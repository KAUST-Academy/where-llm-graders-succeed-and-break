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51840" windowHeight="21120" tabRatio="600" firstSheet="0" activeTab="0" autoFilterDateGrouping="1"/>
  </bookViews>
  <sheets>
    <sheet name="Sheet1" sheetId="1" state="visible" r:id="rId1"/>
  </sheets>
  <definedNames/>
  <calcPr calcId="191029" fullCalcOnLoad="1"/>
</workbook>
</file>

<file path=xl/styles.xml><?xml version="1.0" encoding="utf-8"?>
<styleSheet xmlns="http://schemas.openxmlformats.org/spreadsheetml/2006/main">
  <numFmts count="0"/>
  <fonts count="2">
    <font>
      <name val="Calibri"/>
      <family val="2"/>
      <color theme="1"/>
      <sz val="11"/>
      <scheme val="minor"/>
    </font>
    <font>
      <name val="Calibri"/>
      <b val="1"/>
      <sz val="11"/>
    </font>
  </fonts>
  <fills count="2">
    <fill>
      <patternFill/>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dxfs count="7">
    <dxf>
      <numFmt numFmtId="0" formatCode="General"/>
    </dxf>
    <dxf>
      <numFmt numFmtId="0" formatCode="General"/>
    </dxf>
    <dxf>
      <numFmt numFmtId="0" formatCode="General"/>
    </dxf>
    <dxf>
      <numFmt numFmtId="0" formatCode="General"/>
    </dxf>
    <dxf>
      <border outline="0">
        <top style="thin">
          <color auto="1"/>
        </top>
      </border>
    </dxf>
    <dxf>
      <border outline="0">
        <bottom style="thin">
          <color auto="1"/>
        </bottom>
      </border>
    </dxf>
    <dxf>
      <font>
        <name val="Calibri"/>
        <b val="1"/>
        <strike val="0"/>
        <outline val="0"/>
        <shadow val="0"/>
        <condense val="0"/>
        <color auto="1"/>
        <extend val="0"/>
        <sz val="11"/>
        <vertAlign val="baseline"/>
      </font>
      <alignment horizontal="center" vertical="top"/>
      <border outline="0">
        <left style="thin">
          <color auto="1"/>
        </left>
        <right style="thin">
          <color auto="1"/>
        </right>
        <top/>
        <bottom/>
      </border>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ables/table1.xml><?xml version="1.0" encoding="utf-8"?>
<table xmlns="http://schemas.openxmlformats.org/spreadsheetml/2006/main" id="1" name="Table1" displayName="Table1" ref="A1:V571" headerRowCount="1" totalsRowShown="0" headerRowDxfId="6" headerRowBorderDxfId="5" tableBorderDxfId="4">
  <autoFilter ref="A1:V571"/>
  <sortState ref="A2:V571">
    <sortCondition ref="A1:A571"/>
  </sortState>
  <tableColumns count="22">
    <tableColumn id="1" name="Number"/>
    <tableColumn id="6" name="TA_1_ID"/>
    <tableColumn id="8" name="TA_2_ID"/>
    <tableColumn id="17" name="TA 1 - Q1 Score"/>
    <tableColumn id="18" name="TA 1 - Q1 Bonus"/>
    <tableColumn id="19" name="TA 1 - Q2 Score"/>
    <tableColumn id="20" name="TA 1 - Q2 Bonus"/>
    <tableColumn id="21" name="TA 1 - Q3 Score"/>
    <tableColumn id="22" name="TA 1 - Q4 Bonus"/>
    <tableColumn id="23" name="TA 2 - Q1 Score"/>
    <tableColumn id="24" name="TA 2 - Q1 Bonus"/>
    <tableColumn id="25" name="TA 2 - Q2 Score"/>
    <tableColumn id="26" name="TA 2 - Q2 Bonus"/>
    <tableColumn id="27" name="TA 2 - Q3 Score"/>
    <tableColumn id="28" name="TA 2 - Q4 Bonus"/>
    <tableColumn id="31" name="TA 1 - Total Score (out of 35)" dataDxfId="3">
      <calculatedColumnFormula>Table1[[#This Row],[TA 1 - Q1 Score]]+Table1[[#This Row],[TA 1 - Q2 Score]]+Table1[[#This Row],[TA 1 - Q3 Score]]</calculatedColumnFormula>
    </tableColumn>
    <tableColumn id="32" name="TA 1 - Total Bonus (out of 13)" dataDxfId="2">
      <calculatedColumnFormula>Table1[[#This Row],[TA 1 - Q1 Bonus]]+Table1[[#This Row],[TA 1 - Q2 Bonus]]+Table1[[#This Row],[TA 1 - Q4 Bonus]]</calculatedColumnFormula>
    </tableColumn>
    <tableColumn id="33" name="TA 2 - Total Score (out of 35)">
      <calculatedColumnFormula>Table1[[#This Row],[TA 2 - Q1 Score]]+Table1[[#This Row],[TA 2 - Q2 Score]]+Table1[[#This Row],[TA 2 - Q3 Score]]</calculatedColumnFormula>
    </tableColumn>
    <tableColumn id="34" name="TA 2 - Total Bonus (out of 13)">
      <calculatedColumnFormula>Table1[[#This Row],[TA 2 - Q1 Bonus]]+Table1[[#This Row],[TA 2 - Q2 Bonus]]+Table1[[#This Row],[TA 2 - Q4 Bonus]]</calculatedColumnFormula>
    </tableColumn>
    <tableColumn id="35" name="Average Questions" dataDxfId="1">
      <calculatedColumnFormula>(Table1[[#This Row],[TA 1 - Total Score (out of 35)]]+Table1[[#This Row],[TA 2 - Total Score (out of 35)]])/2</calculatedColumnFormula>
    </tableColumn>
    <tableColumn id="36" name="Average Bonus" dataDxfId="0">
      <calculatedColumnFormula>(Table1[[#This Row],[TA 1 - Total Bonus (out of 13)]]+Table1[[#This Row],[TA 2 - Total Bonus (out of 13)]])/2</calculatedColumnFormula>
    </tableColumn>
    <tableColumn id="37" name="Earned Points">
      <calculatedColumnFormula>Table1[[#This Row],[Average Questions]]/35*20+Table1[[#This Row],[Average Bonus]]/13*5</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outlinePr summaryBelow="1" summaryRight="1"/>
    <pageSetUpPr/>
  </sheetPr>
  <dimension ref="A1:AI571"/>
  <sheetViews>
    <sheetView tabSelected="1" workbookViewId="0">
      <selection activeCell="O5" sqref="O5"/>
    </sheetView>
  </sheetViews>
  <sheetFormatPr baseColWidth="8" defaultRowHeight="15" outlineLevelCol="0"/>
  <cols>
    <col width="12.85546875" bestFit="1" customWidth="1" min="1" max="1"/>
    <col width="12.7109375" bestFit="1" customWidth="1" min="2" max="3"/>
    <col width="18.7109375" bestFit="1" customWidth="1" min="4" max="4"/>
    <col width="19.28515625" bestFit="1" customWidth="1" min="5" max="5"/>
    <col width="18.7109375" bestFit="1" customWidth="1" min="6" max="6"/>
    <col width="19.28515625" bestFit="1" customWidth="1" min="7" max="7"/>
    <col width="18.7109375" bestFit="1" customWidth="1" min="8" max="8"/>
    <col width="19.28515625" bestFit="1" customWidth="1" min="9" max="9"/>
    <col width="18.7109375" bestFit="1" customWidth="1" min="10" max="10"/>
    <col width="19.28515625" bestFit="1" customWidth="1" min="11" max="11"/>
    <col width="18.7109375" bestFit="1" customWidth="1" min="12" max="12"/>
    <col width="19.28515625" bestFit="1" customWidth="1" min="13" max="13"/>
    <col width="18.7109375" bestFit="1" customWidth="1" min="14" max="14"/>
    <col width="19.28515625" bestFit="1" customWidth="1" min="15" max="15"/>
    <col width="30.7109375" bestFit="1" customWidth="1" min="16" max="16"/>
    <col width="31.28515625" bestFit="1" customWidth="1" min="17" max="17"/>
    <col width="30.7109375" bestFit="1" customWidth="1" min="18" max="18"/>
    <col width="31.28515625" bestFit="1" customWidth="1" min="19" max="19"/>
    <col width="22.5703125" bestFit="1" customWidth="1" min="20" max="20"/>
    <col width="18.85546875" bestFit="1" customWidth="1" min="21" max="21"/>
    <col width="17.85546875" bestFit="1" customWidth="1" min="22" max="22"/>
  </cols>
  <sheetData>
    <row r="1">
      <c r="A1" s="1" t="inlineStr">
        <is>
          <t>Number</t>
        </is>
      </c>
      <c r="B1" s="1" t="inlineStr">
        <is>
          <t>TA_1_ID</t>
        </is>
      </c>
      <c r="C1" s="1" t="inlineStr">
        <is>
          <t>TA_2_ID</t>
        </is>
      </c>
      <c r="D1" s="1" t="inlineStr">
        <is>
          <t>TA 1 - Q1 Score</t>
        </is>
      </c>
      <c r="E1" s="1" t="inlineStr">
        <is>
          <t>TA 1 - Q1 Bonus</t>
        </is>
      </c>
      <c r="F1" s="1" t="inlineStr">
        <is>
          <t>TA 1 - Q2 Score</t>
        </is>
      </c>
      <c r="G1" s="1" t="inlineStr">
        <is>
          <t>TA 1 - Q2 Bonus</t>
        </is>
      </c>
      <c r="H1" s="1" t="inlineStr">
        <is>
          <t>TA 1 - Q3 Score</t>
        </is>
      </c>
      <c r="I1" s="1" t="inlineStr">
        <is>
          <t>TA 1 - Q4 Bonus</t>
        </is>
      </c>
      <c r="J1" s="1" t="inlineStr">
        <is>
          <t>TA 2 - Q1 Score</t>
        </is>
      </c>
      <c r="K1" s="1" t="inlineStr">
        <is>
          <t>TA 2 - Q1 Bonus</t>
        </is>
      </c>
      <c r="L1" s="1" t="inlineStr">
        <is>
          <t>TA 2 - Q2 Score</t>
        </is>
      </c>
      <c r="M1" s="1" t="inlineStr">
        <is>
          <t>TA 2 - Q2 Bonus</t>
        </is>
      </c>
      <c r="N1" s="1" t="inlineStr">
        <is>
          <t>TA 2 - Q3 Score</t>
        </is>
      </c>
      <c r="O1" s="1" t="inlineStr">
        <is>
          <t>TA 2 - Q4 Bonus</t>
        </is>
      </c>
      <c r="P1" s="1" t="inlineStr">
        <is>
          <t>TA 1 - Total Score (out of 35)</t>
        </is>
      </c>
      <c r="Q1" s="1" t="inlineStr">
        <is>
          <t>TA 1 - Total Bonus (out of 13)</t>
        </is>
      </c>
      <c r="R1" s="1" t="inlineStr">
        <is>
          <t>TA 2 - Total Score (out of 35)</t>
        </is>
      </c>
      <c r="S1" s="1" t="inlineStr">
        <is>
          <t>TA 2 - Total Bonus (out of 13)</t>
        </is>
      </c>
      <c r="T1" s="1" t="inlineStr">
        <is>
          <t>Average Questions</t>
        </is>
      </c>
      <c r="U1" s="1" t="inlineStr">
        <is>
          <t>Average Bonus</t>
        </is>
      </c>
      <c r="V1" s="1" t="inlineStr">
        <is>
          <t>Earned Points</t>
        </is>
      </c>
      <c r="W1" t="inlineStr">
        <is>
          <t>AI Q1 Score</t>
        </is>
      </c>
      <c r="X1" t="inlineStr">
        <is>
          <t>AI Q1 Bonus</t>
        </is>
      </c>
      <c r="Y1" t="inlineStr">
        <is>
          <t>AI Q1 Reasoning</t>
        </is>
      </c>
      <c r="Z1" t="inlineStr">
        <is>
          <t>AI Q2 Score</t>
        </is>
      </c>
      <c r="AA1" t="inlineStr">
        <is>
          <t>AI Q2 Bonus</t>
        </is>
      </c>
      <c r="AB1" t="inlineStr">
        <is>
          <t>AI Q2 Reasoning</t>
        </is>
      </c>
      <c r="AC1" t="inlineStr">
        <is>
          <t>AI Q3 Score</t>
        </is>
      </c>
      <c r="AD1" t="inlineStr">
        <is>
          <t>AI Q3 Reasoning</t>
        </is>
      </c>
      <c r="AE1" t="inlineStr">
        <is>
          <t>AI Q4 Score</t>
        </is>
      </c>
      <c r="AF1" t="inlineStr">
        <is>
          <t>AI Q4 Bonus</t>
        </is>
      </c>
      <c r="AG1" t="inlineStr">
        <is>
          <t>AI Q4 Reasoning</t>
        </is>
      </c>
      <c r="AH1" t="inlineStr">
        <is>
          <t>AI Total Score</t>
        </is>
      </c>
      <c r="AI1" t="inlineStr">
        <is>
          <t>AI Total Bonus</t>
        </is>
      </c>
    </row>
    <row r="2">
      <c r="A2" t="n">
        <v>1</v>
      </c>
      <c r="B2" t="inlineStr">
        <is>
          <t>TA_1</t>
        </is>
      </c>
      <c r="C2" t="inlineStr">
        <is>
          <t>TA_11</t>
        </is>
      </c>
      <c r="D2" t="n">
        <v>9</v>
      </c>
      <c r="E2" t="n">
        <v>0</v>
      </c>
      <c r="F2" t="n">
        <v>8</v>
      </c>
      <c r="G2" t="n">
        <v>0</v>
      </c>
      <c r="H2" t="n">
        <v>5</v>
      </c>
      <c r="I2" t="n">
        <v>0</v>
      </c>
      <c r="J2" t="n">
        <v>9.25</v>
      </c>
      <c r="K2" t="n">
        <v>0</v>
      </c>
      <c r="L2" t="n">
        <v>8.5</v>
      </c>
      <c r="M2" t="n">
        <v>0</v>
      </c>
      <c r="N2" t="n">
        <v>0</v>
      </c>
      <c r="O2" t="n">
        <v>0</v>
      </c>
      <c r="P2">
        <f>Table1[[#This Row],[TA 1 - Q1 Score]]+Table1[[#This Row],[TA 1 - Q2 Score]]+Table1[[#This Row],[TA 1 - Q3 Score]]</f>
        <v/>
      </c>
      <c r="Q2">
        <f>Table1[[#This Row],[TA 1 - Q1 Bonus]]+Table1[[#This Row],[TA 1 - Q2 Bonus]]+Table1[[#This Row],[TA 1 - Q4 Bonus]]</f>
        <v/>
      </c>
      <c r="R2">
        <f>Table1[[#This Row],[TA 2 - Q1 Score]]+Table1[[#This Row],[TA 2 - Q2 Score]]+Table1[[#This Row],[TA 2 - Q3 Score]]</f>
        <v/>
      </c>
      <c r="S2">
        <f>Table1[[#This Row],[TA 2 - Q1 Bonus]]+Table1[[#This Row],[TA 2 - Q2 Bonus]]+Table1[[#This Row],[TA 2 - Q4 Bonus]]</f>
        <v/>
      </c>
      <c r="T2">
        <f>(Table1[[#This Row],[TA 1 - Total Score (out of 35)]]+Table1[[#This Row],[TA 2 - Total Score (out of 35)]])/2</f>
        <v/>
      </c>
      <c r="U2">
        <f>(Table1[[#This Row],[TA 1 - Total Bonus (out of 13)]]+Table1[[#This Row],[TA 2 - Total Bonus (out of 13)]])/2</f>
        <v/>
      </c>
      <c r="V2">
        <f>Table1[[#This Row],[Average Questions]]/35*20+Table1[[#This Row],[Average Bonus]]/13*5</f>
        <v/>
      </c>
      <c r="W2" t="n">
        <v>7.5</v>
      </c>
      <c r="X2" t="n">
        <v>0</v>
      </c>
      <c r="Y2" t="inlineStr">
        <is>
          <t>The student completed most tasks with minor issues. The data loading and preparation were mostly correct, but the sample images displayed were not randomly selected and did not match the expected format. The model loading and adaptation were correct, but the backbone was not explicitly frozen. The training and validation loops were implemented with some syntax errors, particularly in the training loop where the loss calculation was missing. The device setup and training process were mostly correct, but the optimizer targeted only the classifier parameters, which is not optimal. No bonus task was attempted.</t>
        </is>
      </c>
      <c r="Z2" t="n">
        <v>6</v>
      </c>
      <c r="AA2" t="n">
        <v>0</v>
      </c>
      <c r="AB2" t="inlineStr">
        <is>
          <t>The student successfully loaded and prepared the data with the correct transformations and displayed sample images. The CNN model was built with 5 convolutional layers, but Batch Normalization was incorrectly implemented within the forward method instead of being defined as class attributes. The training and validation functions were correctly defined and used. However, the model's fully connected layer dimensions were incorrect, leading to a mismatch in expected input size. The student trained the model but did not plot the losses and accuracies. No bonus task was attempted.</t>
        </is>
      </c>
      <c r="AC2" t="n">
        <v>2</v>
      </c>
      <c r="AD2" t="inlineStr">
        <is>
          <t>The student attempted most tasks but made significant errors. In Task 1, the dataset class had issues with transform application and incorrect initialization. Task 2 used an incorrect number of classes for multi-class segmentation. Task 3 had incorrect implementation of training and validation loops. Task 4 used binary segmentation instead of multi-class, leading to incorrect loss functions and model definitions. Task 5 attempted visualization but did not correctly handle multi-class masks.</t>
        </is>
      </c>
      <c r="AE2" t="n">
        <v>0</v>
      </c>
      <c r="AF2" t="n">
        <v>0</v>
      </c>
      <c r="AG2" t="inlineStr">
        <is>
          <t>No submission found.</t>
        </is>
      </c>
      <c r="AH2" t="n">
        <v>15.5</v>
      </c>
      <c r="AI2" t="n">
        <v>0</v>
      </c>
    </row>
    <row r="3">
      <c r="A3" t="n">
        <v>2</v>
      </c>
      <c r="B3" t="inlineStr">
        <is>
          <t>TA_1</t>
        </is>
      </c>
      <c r="C3" t="inlineStr">
        <is>
          <t>TA_11</t>
        </is>
      </c>
      <c r="D3" t="n">
        <v>12</v>
      </c>
      <c r="E3" t="n">
        <v>0</v>
      </c>
      <c r="F3" t="n">
        <v>11</v>
      </c>
      <c r="G3" t="n">
        <v>4</v>
      </c>
      <c r="H3" t="n">
        <v>12</v>
      </c>
      <c r="I3" t="n">
        <v>0</v>
      </c>
      <c r="J3" t="n">
        <v>12</v>
      </c>
      <c r="K3" t="n">
        <v>0</v>
      </c>
      <c r="L3" t="n">
        <v>11</v>
      </c>
      <c r="M3" t="n">
        <v>4</v>
      </c>
      <c r="N3" t="n">
        <v>12</v>
      </c>
      <c r="O3" t="n">
        <v>0</v>
      </c>
      <c r="P3">
        <f>Table1[[#This Row],[TA 1 - Q1 Score]]+Table1[[#This Row],[TA 1 - Q2 Score]]+Table1[[#This Row],[TA 1 - Q3 Score]]</f>
        <v/>
      </c>
      <c r="Q3">
        <f>Table1[[#This Row],[TA 1 - Q1 Bonus]]+Table1[[#This Row],[TA 1 - Q2 Bonus]]+Table1[[#This Row],[TA 1 - Q4 Bonus]]</f>
        <v/>
      </c>
      <c r="R3">
        <f>Table1[[#This Row],[TA 2 - Q1 Score]]+Table1[[#This Row],[TA 2 - Q2 Score]]+Table1[[#This Row],[TA 2 - Q3 Score]]</f>
        <v/>
      </c>
      <c r="S3">
        <f>Table1[[#This Row],[TA 2 - Q1 Bonus]]+Table1[[#This Row],[TA 2 - Q2 Bonus]]+Table1[[#This Row],[TA 2 - Q4 Bonus]]</f>
        <v/>
      </c>
      <c r="T3">
        <f>(Table1[[#This Row],[TA 1 - Total Score (out of 35)]]+Table1[[#This Row],[TA 2 - Total Score (out of 35)]])/2</f>
        <v/>
      </c>
      <c r="U3">
        <f>(Table1[[#This Row],[TA 1 - Total Bonus (out of 13)]]+Table1[[#This Row],[TA 2 - Total Bonus (out of 13)]])/2</f>
        <v/>
      </c>
      <c r="V3">
        <f>Table1[[#This Row],[Average Questions]]/35*20+Table1[[#This Row],[Average Bonus]]/13*5</f>
        <v/>
      </c>
      <c r="W3" t="n">
        <v>8.5</v>
      </c>
      <c r="X3" t="n">
        <v>0</v>
      </c>
      <c r="Y3" t="inlineStr">
        <is>
          <t>The student completed most tasks correctly, including defining transforms, creating DataLoaders, displaying sample images, loading and adapting the pretrained model, and implementing training and validation loops. However, the student froze all model parameters instead of just the backbone, resulting in a penalty. The learning rate was set too low, and the number of epochs was insufficient, affecting training performance. No bonus task was attempted.</t>
        </is>
      </c>
      <c r="Z3" t="n">
        <v>8.5</v>
      </c>
      <c r="AA3" t="n">
        <v>1</v>
      </c>
      <c r="AB3" t="inlineStr">
        <is>
          <t>The student successfully loaded and prepared the data with the correct transformations and displayed sample images. The CNN model was built with 5 convolutional layers and batch normalization, though the number of channels and fully connected layer sizes differ from the reference. The training and validation loops were implemented correctly, and the model was trained and plotted. The bonus task included a residual connection, but the implementation had issues with channel dimensions, leading to a partial score.</t>
        </is>
      </c>
      <c r="AC3" t="n">
        <v>8.5</v>
      </c>
      <c r="AD3" t="inlineStr">
        <is>
          <t>The student's submission largely follows the reference solution but contains minor issues. Task 1 is mostly correct with a small mistake in the dataset splitting method. Task 2 is correct with the specified encoder. Task 3 is correct with proper training and validation loops. Task 4 has a minor issue with the optimizer choice and a comment about an error, but the code runs. Task 5 is correct with visualization of predictions.</t>
        </is>
      </c>
      <c r="AE3" t="n">
        <v>0</v>
      </c>
      <c r="AF3" t="n">
        <v>0</v>
      </c>
      <c r="AG3" t="inlineStr">
        <is>
          <t>No submission found.</t>
        </is>
      </c>
      <c r="AH3" t="n">
        <v>25.5</v>
      </c>
      <c r="AI3" t="n">
        <v>1</v>
      </c>
    </row>
    <row r="4">
      <c r="A4" t="n">
        <v>3</v>
      </c>
      <c r="B4" t="inlineStr">
        <is>
          <t>TA_1</t>
        </is>
      </c>
      <c r="C4" t="inlineStr">
        <is>
          <t>TA_11</t>
        </is>
      </c>
      <c r="D4" t="n">
        <v>10.5</v>
      </c>
      <c r="E4" t="n">
        <v>0</v>
      </c>
      <c r="F4" t="n">
        <v>6.5</v>
      </c>
      <c r="G4" t="n">
        <v>0</v>
      </c>
      <c r="H4" t="n">
        <v>12</v>
      </c>
      <c r="I4" t="n">
        <v>0</v>
      </c>
      <c r="J4" t="n">
        <v>12</v>
      </c>
      <c r="K4" t="n">
        <v>0</v>
      </c>
      <c r="L4" t="n">
        <v>7.75</v>
      </c>
      <c r="M4" t="n">
        <v>1.5</v>
      </c>
      <c r="N4" t="n">
        <v>12</v>
      </c>
      <c r="O4" t="n">
        <v>0</v>
      </c>
      <c r="P4">
        <f>Table1[[#This Row],[TA 1 - Q1 Score]]+Table1[[#This Row],[TA 1 - Q2 Score]]+Table1[[#This Row],[TA 1 - Q3 Score]]</f>
        <v/>
      </c>
      <c r="Q4">
        <f>Table1[[#This Row],[TA 1 - Q1 Bonus]]+Table1[[#This Row],[TA 1 - Q2 Bonus]]+Table1[[#This Row],[TA 1 - Q4 Bonus]]</f>
        <v/>
      </c>
      <c r="R4">
        <f>Table1[[#This Row],[TA 2 - Q1 Score]]+Table1[[#This Row],[TA 2 - Q2 Score]]+Table1[[#This Row],[TA 2 - Q3 Score]]</f>
        <v/>
      </c>
      <c r="S4">
        <f>Table1[[#This Row],[TA 2 - Q1 Bonus]]+Table1[[#This Row],[TA 2 - Q2 Bonus]]+Table1[[#This Row],[TA 2 - Q4 Bonus]]</f>
        <v/>
      </c>
      <c r="T4">
        <f>(Table1[[#This Row],[TA 1 - Total Score (out of 35)]]+Table1[[#This Row],[TA 2 - Total Score (out of 35)]])/2</f>
        <v/>
      </c>
      <c r="U4">
        <f>(Table1[[#This Row],[TA 1 - Total Bonus (out of 13)]]+Table1[[#This Row],[TA 2 - Total Bonus (out of 13)]])/2</f>
        <v/>
      </c>
      <c r="V4">
        <f>Table1[[#This Row],[Average Questions]]/35*20+Table1[[#This Row],[Average Bonus]]/13*5</f>
        <v/>
      </c>
      <c r="W4" t="n">
        <v>10.5</v>
      </c>
      <c r="X4" t="n">
        <v>0</v>
      </c>
      <c r="Y4" t="inlineStr">
        <is>
          <t>The student completed most tasks correctly, including data loading, preprocessing, model setup, and training loops. However, the student did not implement test time augmentation, resulting in no bonus points. The code runs and produces the expected outputs, but there were minor issues such as redundant dataset loading and unnecessary print statements within the training loop.</t>
        </is>
      </c>
      <c r="Z4" t="n">
        <v>6</v>
      </c>
      <c r="AA4" t="n">
        <v>0</v>
      </c>
      <c r="AB4" t="inlineStr">
        <is>
          <t>The student implemented a custom dataset class and used the correct transformations, including RandomRotation and resizing to 32x32, earning full marks for Part 1. The CNN model has 5 convolutional layers with Batch Normalization, meeting Part 2 requirements. However, the training and validation functions had minor issues, such as incorrect handling of predicted values, resulting in partial credit. The training setup and execution were mostly correct, but no plots were generated, leading to partial credit. The bonus task was not completed as the residual connection was incorrectly defined and not trained or plotted.</t>
        </is>
      </c>
      <c r="AC4" t="n">
        <v>10</v>
      </c>
      <c r="AD4" t="inlineStr">
        <is>
          <t>The student's submission is mostly correct and runs end-to-end. The dataset class is implemented correctly with proper data loading and transformations. DataLoaders are created and used appropriately. Sample images and masks are displayed correctly. The U-Net model with efficientnet-b0 encoder is defined and initialized properly. Training and validation loops are implemented with minor issues, such as using AdamW instead of Adam for optimization. Losses are printed and plotted correctly. Predictions are visualized against ground truth masks. The only notable issue is the use of AdamW optimizer instead of Adam, which slightly deviates from the reference solution.</t>
        </is>
      </c>
      <c r="AE4" t="n">
        <v>0</v>
      </c>
      <c r="AF4" t="n">
        <v>0</v>
      </c>
      <c r="AG4" t="inlineStr">
        <is>
          <t>No submission found.</t>
        </is>
      </c>
      <c r="AH4" t="n">
        <v>26.5</v>
      </c>
      <c r="AI4" t="n">
        <v>0</v>
      </c>
    </row>
    <row r="5">
      <c r="A5" t="n">
        <v>4</v>
      </c>
      <c r="B5" t="inlineStr">
        <is>
          <t>TA_1</t>
        </is>
      </c>
      <c r="C5" t="inlineStr">
        <is>
          <t>TA_11</t>
        </is>
      </c>
      <c r="D5" t="n">
        <v>12</v>
      </c>
      <c r="E5" t="n">
        <v>4</v>
      </c>
      <c r="F5" t="n">
        <v>11</v>
      </c>
      <c r="G5" t="n">
        <v>4</v>
      </c>
      <c r="H5" t="n">
        <v>9</v>
      </c>
      <c r="I5" t="n">
        <v>5</v>
      </c>
      <c r="J5" t="n">
        <v>11.25</v>
      </c>
      <c r="K5" t="n">
        <v>4</v>
      </c>
      <c r="L5" t="n">
        <v>10.5</v>
      </c>
      <c r="M5" t="n">
        <v>4</v>
      </c>
      <c r="N5" t="n">
        <v>2</v>
      </c>
      <c r="O5" t="n">
        <v>5</v>
      </c>
      <c r="P5">
        <f>Table1[[#This Row],[TA 1 - Q1 Score]]+Table1[[#This Row],[TA 1 - Q2 Score]]+Table1[[#This Row],[TA 1 - Q3 Score]]</f>
        <v/>
      </c>
      <c r="Q5">
        <f>Table1[[#This Row],[TA 1 - Q1 Bonus]]+Table1[[#This Row],[TA 1 - Q2 Bonus]]+Table1[[#This Row],[TA 1 - Q4 Bonus]]</f>
        <v/>
      </c>
      <c r="R5">
        <f>Table1[[#This Row],[TA 2 - Q1 Score]]+Table1[[#This Row],[TA 2 - Q2 Score]]+Table1[[#This Row],[TA 2 - Q3 Score]]</f>
        <v/>
      </c>
      <c r="S5">
        <f>Table1[[#This Row],[TA 2 - Q1 Bonus]]+Table1[[#This Row],[TA 2 - Q2 Bonus]]+Table1[[#This Row],[TA 2 - Q4 Bonus]]</f>
        <v/>
      </c>
      <c r="T5">
        <f>(Table1[[#This Row],[TA 1 - Total Score (out of 35)]]+Table1[[#This Row],[TA 2 - Total Score (out of 35)]])/2</f>
        <v/>
      </c>
      <c r="U5">
        <f>(Table1[[#This Row],[TA 1 - Total Bonus (out of 13)]]+Table1[[#This Row],[TA 2 - Total Bonus (out of 13)]])/2</f>
        <v/>
      </c>
      <c r="V5">
        <f>Table1[[#This Row],[Average Questions]]/35*20+Table1[[#This Row],[Average Bonus]]/13*5</f>
        <v/>
      </c>
      <c r="W5" t="n">
        <v>8.5</v>
      </c>
      <c r="X5" t="n">
        <v>3</v>
      </c>
      <c r="Y5" t="inlineStr">
        <is>
          <t>The student completed most tasks correctly. The transforms were defined properly, and the DataLoaders were set up with a slight difference in batch size. Sample images were displayed correctly. The pretrained EfficientNetV2-Small model was loaded and adapted correctly, though the student unfroze more layers than necessary. The training and validation loops were implemented accurately, including the label fix. The plots for training and validation losses and accuracies were generated correctly. In the bonus task, the student correctly defined three predictions and averaged them, but the function name was slightly off.</t>
        </is>
      </c>
      <c r="Z5" t="n">
        <v>8</v>
      </c>
      <c r="AA5" t="n">
        <v>0</v>
      </c>
      <c r="AB5" t="inlineStr">
        <is>
          <t>The student successfully implemented a custom dataset class, created train and test datasets with appropriate transformations, and displayed sample images. The CNN model includes five convolutional layers with batch normalization, and the training and validation loops are correctly defined. However, the student did not plot the losses and accuracies, resulting in a deduction. The bonus task was not completed as the residual connection was incorrectly implemented and not retrained or plotted.</t>
        </is>
      </c>
      <c r="AC5" t="n">
        <v>4</v>
      </c>
      <c r="AD5" t="inlineStr">
        <is>
          <t>The student partially completed Task 1 by creating a custom dataset class and DataLoaders, but made mistakes in the mask transformation and did not display sample images and masks correctly. Task 2 was incomplete due to using an incorrect number of classes for the U-Net model. Task 3 had syntax errors in the training and validation loops. Task 4 was not fully implemented, with incorrect loss functions and a low number of epochs. Task 5 was not completed as the student did not visualize predictions.</t>
        </is>
      </c>
      <c r="AE5" t="n">
        <v>0</v>
      </c>
      <c r="AF5" t="n">
        <v>5</v>
      </c>
      <c r="AG5" t="inlineStr">
        <is>
          <t>The student's implementation of the ColorizationDataset class is correct and runs perfectly, producing the expected output. The code follows the optimal logic, including the correct formula for converting RGB to grayscale and returning the correct shapes for both grayscale and color images. The visualization also displays the images correctly. Therefore, the student receives full bonus points for this task.</t>
        </is>
      </c>
      <c r="AH5" t="n">
        <v>20.5</v>
      </c>
      <c r="AI5" t="n">
        <v>8</v>
      </c>
    </row>
    <row r="6">
      <c r="A6" t="n">
        <v>5</v>
      </c>
      <c r="B6" t="inlineStr">
        <is>
          <t>TA_1</t>
        </is>
      </c>
      <c r="C6" t="inlineStr">
        <is>
          <t>TA_11</t>
        </is>
      </c>
      <c r="D6" t="n">
        <v>8</v>
      </c>
      <c r="E6" t="n">
        <v>0</v>
      </c>
      <c r="F6" t="n">
        <v>9.5</v>
      </c>
      <c r="G6" t="n">
        <v>0</v>
      </c>
      <c r="H6" t="n">
        <v>8</v>
      </c>
      <c r="I6" t="n">
        <v>0</v>
      </c>
      <c r="J6" t="n">
        <v>7.75</v>
      </c>
      <c r="K6" t="n">
        <v>0</v>
      </c>
      <c r="L6" t="n">
        <v>7.25</v>
      </c>
      <c r="M6" t="n">
        <v>0</v>
      </c>
      <c r="N6" t="n">
        <v>9.5</v>
      </c>
      <c r="O6" t="n">
        <v>0</v>
      </c>
      <c r="P6">
        <f>Table1[[#This Row],[TA 1 - Q1 Score]]+Table1[[#This Row],[TA 1 - Q2 Score]]+Table1[[#This Row],[TA 1 - Q3 Score]]</f>
        <v/>
      </c>
      <c r="Q6">
        <f>Table1[[#This Row],[TA 1 - Q1 Bonus]]+Table1[[#This Row],[TA 1 - Q2 Bonus]]+Table1[[#This Row],[TA 1 - Q4 Bonus]]</f>
        <v/>
      </c>
      <c r="R6">
        <f>Table1[[#This Row],[TA 2 - Q1 Score]]+Table1[[#This Row],[TA 2 - Q2 Score]]+Table1[[#This Row],[TA 2 - Q3 Score]]</f>
        <v/>
      </c>
      <c r="S6">
        <f>Table1[[#This Row],[TA 2 - Q1 Bonus]]+Table1[[#This Row],[TA 2 - Q2 Bonus]]+Table1[[#This Row],[TA 2 - Q4 Bonus]]</f>
        <v/>
      </c>
      <c r="T6">
        <f>(Table1[[#This Row],[TA 1 - Total Score (out of 35)]]+Table1[[#This Row],[TA 2 - Total Score (out of 35)]])/2</f>
        <v/>
      </c>
      <c r="U6">
        <f>(Table1[[#This Row],[TA 1 - Total Bonus (out of 13)]]+Table1[[#This Row],[TA 2 - Total Bonus (out of 13)]])/2</f>
        <v/>
      </c>
      <c r="V6">
        <f>Table1[[#This Row],[Average Questions]]/35*20+Table1[[#This Row],[Average Bonus]]/13*5</f>
        <v/>
      </c>
      <c r="W6" t="n">
        <v>4</v>
      </c>
      <c r="X6" t="n">
        <v>0</v>
      </c>
      <c r="Y6" t="inlineStr">
        <is>
          <t>The student completed the data loading and preparation with correct transformations and displayed sample images, earning 3 points. However, the model adaptation section had issues: the backbone was not frozen correctly, and the classifier head replacement was done without freezing the backbone, resulting in 0 points. The training and validation functions were partially correct but contained syntax errors and logical mistakes, particularly in the training loop where labels were not adjusted, leading to a penalty of -2 points. The training setup and execution were mostly correct but did not plot the required metrics, earning 0.5 points. No bonus task was attempted.</t>
        </is>
      </c>
      <c r="Z6" t="n">
        <v>7</v>
      </c>
      <c r="AA6" t="n">
        <v>0</v>
      </c>
      <c r="AB6" t="inlineStr">
        <is>
          <t>The student implemented a custom dataset class and used DataLoader correctly, earning full marks for Part 1. However, the CNN model had incorrect batch normalization layer assignments and a logical error in the forward method, resulting in partial credit. The training and validation loops were implemented correctly, earning full marks for Part 3. The model setup, training, and plotting were also correct, earning full marks for Part 4. No bonus tasks were attempted.</t>
        </is>
      </c>
      <c r="AC6" t="n">
        <v>5</v>
      </c>
      <c r="AD6" t="inlineStr">
        <is>
          <t>The student's submission partially completes several tasks but contains significant errors. Task 1 is mostly correct with a few issues in displaying images. Task 2 correctly defines the U-Net model with the specified encoder. Task 3 has incorrect implementation of the training and validation loops, using float masks with CrossEntropyLoss, which is inappropriate. Task 4 defines the loss and optimizer correctly but fails to train the model properly due to the issues in Task 3. Task 5 visualizes predictions but incorrectly converts the predicted masks to binary, which is not suitable for multi-class segmentation.</t>
        </is>
      </c>
      <c r="AE6" t="n">
        <v>0</v>
      </c>
      <c r="AF6" t="n">
        <v>0</v>
      </c>
      <c r="AG6" t="inlineStr">
        <is>
          <t>No submission found.</t>
        </is>
      </c>
      <c r="AH6" t="n">
        <v>16</v>
      </c>
      <c r="AI6" t="n">
        <v>0</v>
      </c>
    </row>
    <row r="7">
      <c r="A7" t="n">
        <v>6</v>
      </c>
      <c r="B7" t="inlineStr">
        <is>
          <t>TA_1</t>
        </is>
      </c>
      <c r="C7" t="inlineStr">
        <is>
          <t>TA_11</t>
        </is>
      </c>
      <c r="D7" t="n">
        <v>7</v>
      </c>
      <c r="E7" t="n">
        <v>0</v>
      </c>
      <c r="F7" t="n">
        <v>10</v>
      </c>
      <c r="G7" t="n">
        <v>3</v>
      </c>
      <c r="H7" t="n">
        <v>8</v>
      </c>
      <c r="I7" t="n">
        <v>0</v>
      </c>
      <c r="J7" t="n">
        <v>9.5</v>
      </c>
      <c r="K7" t="n">
        <v>0</v>
      </c>
      <c r="L7" t="n">
        <v>11</v>
      </c>
      <c r="M7" t="n">
        <v>0</v>
      </c>
      <c r="N7" t="n">
        <v>6.5</v>
      </c>
      <c r="O7" t="n">
        <v>0</v>
      </c>
      <c r="P7">
        <f>Table1[[#This Row],[TA 1 - Q1 Score]]+Table1[[#This Row],[TA 1 - Q2 Score]]+Table1[[#This Row],[TA 1 - Q3 Score]]</f>
        <v/>
      </c>
      <c r="Q7">
        <f>Table1[[#This Row],[TA 1 - Q1 Bonus]]+Table1[[#This Row],[TA 1 - Q2 Bonus]]+Table1[[#This Row],[TA 1 - Q4 Bonus]]</f>
        <v/>
      </c>
      <c r="R7">
        <f>Table1[[#This Row],[TA 2 - Q1 Score]]+Table1[[#This Row],[TA 2 - Q2 Score]]+Table1[[#This Row],[TA 2 - Q3 Score]]</f>
        <v/>
      </c>
      <c r="S7">
        <f>Table1[[#This Row],[TA 2 - Q1 Bonus]]+Table1[[#This Row],[TA 2 - Q2 Bonus]]+Table1[[#This Row],[TA 2 - Q4 Bonus]]</f>
        <v/>
      </c>
      <c r="T7">
        <f>(Table1[[#This Row],[TA 1 - Total Score (out of 35)]]+Table1[[#This Row],[TA 2 - Total Score (out of 35)]])/2</f>
        <v/>
      </c>
      <c r="U7">
        <f>(Table1[[#This Row],[TA 1 - Total Bonus (out of 13)]]+Table1[[#This Row],[TA 2 - Total Bonus (out of 13)]])/2</f>
        <v/>
      </c>
      <c r="V7">
        <f>Table1[[#This Row],[Average Questions]]/35*20+Table1[[#This Row],[Average Bonus]]/13*5</f>
        <v/>
      </c>
      <c r="W7" t="n">
        <v>5</v>
      </c>
      <c r="X7" t="n">
        <v>0</v>
      </c>
      <c r="Y7" t="inlineStr">
        <is>
          <t>The student partially completed the tasks with some syntax and logical errors. The image resizing was incorrect (32x32 instead of 28x28), and the label fixing was missing in both training and validation loops. The model setup and training loop had issues with the output squeezing, affecting the loss calculation. The validation loop was also incorrect due to the same issue. The plotting section was incomplete due to missing validation data. No bonus tasks were attempted.</t>
        </is>
      </c>
      <c r="Z7" t="n">
        <v>9</v>
      </c>
      <c r="AA7" t="n">
        <v>1</v>
      </c>
      <c r="AB7" t="inlineStr">
        <is>
          <t>The student successfully loaded and prepared the data with correct transformations and displayed sample images. The CNN model was built with five convolutional layers and batch normalization, though the fifth layer had a different number of output channels than specified. Training and validation functions were implemented correctly, and the model was trained and plotted. The bonus task included a residual connection, but the implementation was not optimal, leading to partial credit.</t>
        </is>
      </c>
      <c r="AC7" t="n">
        <v>4</v>
      </c>
      <c r="AD7" t="inlineStr">
        <is>
          <t>The student attempted most tasks but made significant errors. In Task 1, the dataset paths were incorrectly identified, leading to mismatched image and mask pairs. Task 2 was partially correct with the correct model definition but used the wrong encoder. Task 3 had incomplete training and validation loops with incorrect loss function usage. Task 4 included incorrect loss and optimizer definitions, and Task 5 had issues with prediction visualization, using a binary threshold instead of multi-class handling.</t>
        </is>
      </c>
      <c r="AE7" t="n">
        <v>0</v>
      </c>
      <c r="AF7" t="n">
        <v>0</v>
      </c>
      <c r="AG7" t="inlineStr">
        <is>
          <t>The student's implementation contains multiple syntax and logical errors. In the `rgb_to_grayscale` method, the method is incorrectly defined within itself, causing a nested function issue. Additionally, the `__getitem__` method also contains a nested function definition error. These issues prevent the code from running correctly.</t>
        </is>
      </c>
      <c r="AH7" t="n">
        <v>18</v>
      </c>
      <c r="AI7" t="n">
        <v>1</v>
      </c>
    </row>
    <row r="8">
      <c r="A8" t="n">
        <v>7</v>
      </c>
      <c r="B8" t="inlineStr">
        <is>
          <t>TA_1</t>
        </is>
      </c>
      <c r="C8" t="inlineStr">
        <is>
          <t>TA_11</t>
        </is>
      </c>
      <c r="D8" t="n">
        <v>10</v>
      </c>
      <c r="E8" t="n">
        <v>0</v>
      </c>
      <c r="F8" t="n">
        <v>6.5</v>
      </c>
      <c r="G8" t="n">
        <v>0</v>
      </c>
      <c r="H8" t="n">
        <v>4</v>
      </c>
      <c r="I8" t="n">
        <v>0</v>
      </c>
      <c r="J8" t="n">
        <v>8.5</v>
      </c>
      <c r="K8" t="n">
        <v>0</v>
      </c>
      <c r="L8" t="n">
        <v>5.75</v>
      </c>
      <c r="M8" t="n">
        <v>0</v>
      </c>
      <c r="N8" t="n">
        <v>4.5</v>
      </c>
      <c r="O8" t="n">
        <v>0</v>
      </c>
      <c r="P8">
        <f>Table1[[#This Row],[TA 1 - Q1 Score]]+Table1[[#This Row],[TA 1 - Q2 Score]]+Table1[[#This Row],[TA 1 - Q3 Score]]</f>
        <v/>
      </c>
      <c r="Q8">
        <f>Table1[[#This Row],[TA 1 - Q1 Bonus]]+Table1[[#This Row],[TA 1 - Q2 Bonus]]+Table1[[#This Row],[TA 1 - Q4 Bonus]]</f>
        <v/>
      </c>
      <c r="R8">
        <f>Table1[[#This Row],[TA 2 - Q1 Score]]+Table1[[#This Row],[TA 2 - Q2 Score]]+Table1[[#This Row],[TA 2 - Q3 Score]]</f>
        <v/>
      </c>
      <c r="S8">
        <f>Table1[[#This Row],[TA 2 - Q1 Bonus]]+Table1[[#This Row],[TA 2 - Q2 Bonus]]+Table1[[#This Row],[TA 2 - Q4 Bonus]]</f>
        <v/>
      </c>
      <c r="T8">
        <f>(Table1[[#This Row],[TA 1 - Total Score (out of 35)]]+Table1[[#This Row],[TA 2 - Total Score (out of 35)]])/2</f>
        <v/>
      </c>
      <c r="U8">
        <f>(Table1[[#This Row],[TA 1 - Total Bonus (out of 13)]]+Table1[[#This Row],[TA 2 - Total Bonus (out of 13)]])/2</f>
        <v/>
      </c>
      <c r="V8">
        <f>Table1[[#This Row],[Average Questions]]/35*20+Table1[[#This Row],[Average Bonus]]/13*5</f>
        <v/>
      </c>
      <c r="W8" t="n">
        <v>5.5</v>
      </c>
      <c r="X8" t="n">
        <v>0</v>
      </c>
      <c r="Y8" t="inlineStr">
        <is>
          <t>The student completed the data loading and transformation tasks correctly, including resizing, converting to tensor, and normalizing the images. However, the batch size used in the DataLoaders was smaller than typical (14 instead of 64), which may affect performance. The model loading and adaptation were mostly correct, but the student froze all parameters instead of just the backbone. The training and validation loops were implemented with minor issues, such as unnecessary softmax operations and incorrect label adjustments in the validation loop. The student did not attempt the bonus task for Test Time Augmentation.</t>
        </is>
      </c>
      <c r="Z8" t="n">
        <v>6</v>
      </c>
      <c r="AA8" t="n">
        <v>0</v>
      </c>
      <c r="AB8" t="inlineStr">
        <is>
          <t>The student partially completed the tasks. They used a custom Dataset class instead of ImageFolder, which is acceptable. However, they made mistakes in defining transformations and loading datasets, resulting in incorrect image sizes. The CNN model has 5 convolutional layers but lacks Batch Normalization. Training and validation loops are mostly correct but contain minor issues like unnecessary softmax usage. The student did not attempt the bonus task.</t>
        </is>
      </c>
      <c r="AC8" t="n">
        <v>4</v>
      </c>
      <c r="AD8" t="inlineStr">
        <is>
          <t>The student partially completed Task 1 by creating a custom dataset class and DataLoaders, but made mistakes in the mask transformation and did not display sample images and masks correctly. Task 2 was partially completed with the correct model definition but used an incorrect number of classes. Task 3 was not fully implemented due to incorrect loss calculation in the training and validation loops. Task 4 had issues with the loss function and optimizer setup, and only ran for one epoch without plotting the loss curve. Task 5 was partially completed but used a binary threshold for multi-class segmentation, leading to incorrect visualizations.</t>
        </is>
      </c>
      <c r="AE8" t="n">
        <v>0</v>
      </c>
      <c r="AF8" t="n">
        <v>0</v>
      </c>
      <c r="AG8" t="inlineStr">
        <is>
          <t>No submission found.</t>
        </is>
      </c>
      <c r="AH8" t="n">
        <v>15.5</v>
      </c>
      <c r="AI8" t="n">
        <v>0</v>
      </c>
    </row>
    <row r="9">
      <c r="A9" t="n">
        <v>8</v>
      </c>
      <c r="B9" t="inlineStr">
        <is>
          <t>TA_1</t>
        </is>
      </c>
      <c r="C9" t="inlineStr">
        <is>
          <t>TA_11</t>
        </is>
      </c>
      <c r="D9" t="n">
        <v>7</v>
      </c>
      <c r="E9" t="n">
        <v>0</v>
      </c>
      <c r="F9" t="n">
        <v>9.5</v>
      </c>
      <c r="G9" t="n">
        <v>0</v>
      </c>
      <c r="H9" t="n">
        <v>12</v>
      </c>
      <c r="I9" t="n">
        <v>0</v>
      </c>
      <c r="J9" t="n">
        <v>7</v>
      </c>
      <c r="K9" t="n">
        <v>0</v>
      </c>
      <c r="L9" t="n">
        <v>7.5</v>
      </c>
      <c r="M9" t="n">
        <v>0</v>
      </c>
      <c r="N9" t="n">
        <v>11.5</v>
      </c>
      <c r="O9" t="n">
        <v>0</v>
      </c>
      <c r="P9">
        <f>Table1[[#This Row],[TA 1 - Q1 Score]]+Table1[[#This Row],[TA 1 - Q2 Score]]+Table1[[#This Row],[TA 1 - Q3 Score]]</f>
        <v/>
      </c>
      <c r="Q9">
        <f>Table1[[#This Row],[TA 1 - Q1 Bonus]]+Table1[[#This Row],[TA 1 - Q2 Bonus]]+Table1[[#This Row],[TA 1 - Q4 Bonus]]</f>
        <v/>
      </c>
      <c r="R9">
        <f>Table1[[#This Row],[TA 2 - Q1 Score]]+Table1[[#This Row],[TA 2 - Q2 Score]]+Table1[[#This Row],[TA 2 - Q3 Score]]</f>
        <v/>
      </c>
      <c r="S9">
        <f>Table1[[#This Row],[TA 2 - Q1 Bonus]]+Table1[[#This Row],[TA 2 - Q2 Bonus]]+Table1[[#This Row],[TA 2 - Q4 Bonus]]</f>
        <v/>
      </c>
      <c r="T9">
        <f>(Table1[[#This Row],[TA 1 - Total Score (out of 35)]]+Table1[[#This Row],[TA 2 - Total Score (out of 35)]])/2</f>
        <v/>
      </c>
      <c r="U9">
        <f>(Table1[[#This Row],[TA 1 - Total Bonus (out of 13)]]+Table1[[#This Row],[TA 2 - Total Bonus (out of 13)]])/2</f>
        <v/>
      </c>
      <c r="V9">
        <f>Table1[[#This Row],[Average Questions]]/35*20+Table1[[#This Row],[Average Bonus]]/13*5</f>
        <v/>
      </c>
      <c r="W9" t="n">
        <v>6</v>
      </c>
      <c r="X9" t="n">
        <v>0</v>
      </c>
      <c r="Y9" t="inlineStr">
        <is>
          <t>The student completed the data loading and preparation with minor issues, such as incorrect order of transformations and missing label adjustment. The model loading and adaptation were mostly correct, but all parameters were frozen instead of just the backbone. The training and validation loops were implemented with logical errors, including incorrect handling of outputs and labels. The training process was set up with a very low learning rate and only one epoch, affecting the model's performance. No bonus task was attempted.</t>
        </is>
      </c>
      <c r="Z9" t="n">
        <v>7</v>
      </c>
      <c r="AA9" t="n">
        <v>0</v>
      </c>
      <c r="AB9" t="inlineStr">
        <is>
          <t>The student implemented a custom dataset class and used ImageFolder correctly, achieving full marks for Part 1. The CNN model has 5 convolutional layers but does not include batch normalization, earning 1 point out of 2 for Part 2. The training and validation loops are implemented correctly, scoring full marks for Part 3. The model setup, training, and plotting of losses and accuracies are mostly correct, though the number of epochs is reduced to 3, earning 1.5 points out of 2 for Part 4. No bonus task was attempted.</t>
        </is>
      </c>
      <c r="AC9" t="n">
        <v>8.5</v>
      </c>
      <c r="AD9" t="inlineStr">
        <is>
          <t>The student's submission largely follows the reference solution but contains minor issues. Task 1 is mostly correct with a small mistake in the path definition. Task 2 correctly defines the U-Net model with the specified encoder. Task 3 implements the training and validation loops accurately. Task 4 defines the loss and optimizer correctly, trains the model, and plots the loss curve. Task 5 visualizes predictions but uses a grayscale colormap instead of 'tab10'. Overall, the code runs and achieves the required functionality with some minor adjustments needed.</t>
        </is>
      </c>
      <c r="AE9" t="n">
        <v>0</v>
      </c>
      <c r="AF9" t="n">
        <v>0</v>
      </c>
      <c r="AG9" t="inlineStr">
        <is>
          <t>No submission found.</t>
        </is>
      </c>
      <c r="AH9" t="n">
        <v>21.5</v>
      </c>
      <c r="AI9" t="n">
        <v>0</v>
      </c>
    </row>
    <row r="10">
      <c r="A10" t="n">
        <v>9</v>
      </c>
      <c r="B10" t="inlineStr">
        <is>
          <t>TA_1</t>
        </is>
      </c>
      <c r="C10" t="inlineStr">
        <is>
          <t>TA_11</t>
        </is>
      </c>
      <c r="D10" t="n">
        <v>11</v>
      </c>
      <c r="E10" t="n">
        <v>0</v>
      </c>
      <c r="F10" t="n">
        <v>11</v>
      </c>
      <c r="G10" t="n">
        <v>0</v>
      </c>
      <c r="H10" t="n">
        <v>12</v>
      </c>
      <c r="I10" t="n">
        <v>0</v>
      </c>
      <c r="J10" t="n">
        <v>11.75</v>
      </c>
      <c r="K10" t="n">
        <v>0</v>
      </c>
      <c r="L10" t="n">
        <v>10.25</v>
      </c>
      <c r="M10" t="n">
        <v>0</v>
      </c>
      <c r="N10" t="n">
        <v>12</v>
      </c>
      <c r="O10" t="n">
        <v>0</v>
      </c>
      <c r="P10">
        <f>Table1[[#This Row],[TA 1 - Q1 Score]]+Table1[[#This Row],[TA 1 - Q2 Score]]+Table1[[#This Row],[TA 1 - Q3 Score]]</f>
        <v/>
      </c>
      <c r="Q10">
        <f>Table1[[#This Row],[TA 1 - Q1 Bonus]]+Table1[[#This Row],[TA 1 - Q2 Bonus]]+Table1[[#This Row],[TA 1 - Q4 Bonus]]</f>
        <v/>
      </c>
      <c r="R10">
        <f>Table1[[#This Row],[TA 2 - Q1 Score]]+Table1[[#This Row],[TA 2 - Q2 Score]]+Table1[[#This Row],[TA 2 - Q3 Score]]</f>
        <v/>
      </c>
      <c r="S10">
        <f>Table1[[#This Row],[TA 2 - Q1 Bonus]]+Table1[[#This Row],[TA 2 - Q2 Bonus]]+Table1[[#This Row],[TA 2 - Q4 Bonus]]</f>
        <v/>
      </c>
      <c r="T10">
        <f>(Table1[[#This Row],[TA 1 - Total Score (out of 35)]]+Table1[[#This Row],[TA 2 - Total Score (out of 35)]])/2</f>
        <v/>
      </c>
      <c r="U10">
        <f>(Table1[[#This Row],[TA 1 - Total Bonus (out of 13)]]+Table1[[#This Row],[TA 2 - Total Bonus (out of 13)]])/2</f>
        <v/>
      </c>
      <c r="V10">
        <f>Table1[[#This Row],[Average Questions]]/35*20+Table1[[#This Row],[Average Bonus]]/13*5</f>
        <v/>
      </c>
      <c r="W10" t="n">
        <v>8.5</v>
      </c>
      <c r="X10" t="n">
        <v>0</v>
      </c>
      <c r="Y10" t="inlineStr">
        <is>
          <t>The student completed most tasks correctly but made some minor mistakes. The data loading and preparation were mostly correct, though the batch size was smaller than in the reference. The model loading and adaptation were accurate, but all backbone layers were frozen instead of just the feature extractor. The training and validation loops were implemented correctly, including label fixing. However, the bonus task was not attempted.</t>
        </is>
      </c>
      <c r="Z10" t="n">
        <v>8.5</v>
      </c>
      <c r="AA10" t="n">
        <v>0</v>
      </c>
      <c r="AB10" t="inlineStr">
        <is>
          <t>The student implemented a custom dataset class and used the correct transformations, including RandomRotation and resizing to 32x32. Sample images were displayed with labels. The CNN model has 5 convolutional layers with batch normalization, though the number of channels differs from the reference solution. Training and validation loops were correctly defined and executed, with plots showing loss and accuracy over epochs. The bonus task was not attempted.</t>
        </is>
      </c>
      <c r="AC10" t="n">
        <v>8.5</v>
      </c>
      <c r="AD10" t="inlineStr">
        <is>
          <t>The student's submission largely follows the reference solution but contains minor issues. Task 1 is mostly correct with a small mistake in the mask transformation (PILToTensor instead of ToTensor). Task 2 correctly defines the U-Net model with the specified encoder. Task 3 implements the training and validation loops accurately. Task 4 defines the loss and optimizer correctly, trains the model, and plots the loss curve. Task 5 visualizes predictions but uses a grayscale colormap instead of tab10 for both ground truth and predictions.</t>
        </is>
      </c>
      <c r="AE10" t="n">
        <v>0</v>
      </c>
      <c r="AF10" t="n">
        <v>0</v>
      </c>
      <c r="AG10" t="inlineStr">
        <is>
          <t>No submission found.</t>
        </is>
      </c>
      <c r="AH10" t="n">
        <v>25.5</v>
      </c>
      <c r="AI10" t="n">
        <v>0</v>
      </c>
    </row>
    <row r="11">
      <c r="A11" t="n">
        <v>10</v>
      </c>
      <c r="B11" t="inlineStr">
        <is>
          <t>TA_1</t>
        </is>
      </c>
      <c r="C11" t="inlineStr">
        <is>
          <t>TA_11</t>
        </is>
      </c>
      <c r="D11" t="n">
        <v>12</v>
      </c>
      <c r="E11" t="n">
        <v>4</v>
      </c>
      <c r="F11" t="n">
        <v>11</v>
      </c>
      <c r="G11" t="n">
        <v>0</v>
      </c>
      <c r="H11" t="n">
        <v>9.5</v>
      </c>
      <c r="I11" t="n">
        <v>0</v>
      </c>
      <c r="J11" t="n">
        <v>12</v>
      </c>
      <c r="K11" t="n">
        <v>3</v>
      </c>
      <c r="L11" t="n">
        <v>11</v>
      </c>
      <c r="M11" t="n">
        <v>0</v>
      </c>
      <c r="N11" t="n">
        <v>10</v>
      </c>
      <c r="O11" t="n">
        <v>0</v>
      </c>
      <c r="P11">
        <f>Table1[[#This Row],[TA 1 - Q1 Score]]+Table1[[#This Row],[TA 1 - Q2 Score]]+Table1[[#This Row],[TA 1 - Q3 Score]]</f>
        <v/>
      </c>
      <c r="Q11">
        <f>Table1[[#This Row],[TA 1 - Q1 Bonus]]+Table1[[#This Row],[TA 1 - Q2 Bonus]]+Table1[[#This Row],[TA 1 - Q4 Bonus]]</f>
        <v/>
      </c>
      <c r="R11">
        <f>Table1[[#This Row],[TA 2 - Q1 Score]]+Table1[[#This Row],[TA 2 - Q2 Score]]+Table1[[#This Row],[TA 2 - Q3 Score]]</f>
        <v/>
      </c>
      <c r="S11">
        <f>Table1[[#This Row],[TA 2 - Q1 Bonus]]+Table1[[#This Row],[TA 2 - Q2 Bonus]]+Table1[[#This Row],[TA 2 - Q4 Bonus]]</f>
        <v/>
      </c>
      <c r="T11">
        <f>(Table1[[#This Row],[TA 1 - Total Score (out of 35)]]+Table1[[#This Row],[TA 2 - Total Score (out of 35)]])/2</f>
        <v/>
      </c>
      <c r="U11">
        <f>(Table1[[#This Row],[TA 1 - Total Bonus (out of 13)]]+Table1[[#This Row],[TA 2 - Total Bonus (out of 13)]])/2</f>
        <v/>
      </c>
      <c r="V11">
        <f>Table1[[#This Row],[Average Questions]]/35*20+Table1[[#This Row],[Average Bonus]]/13*5</f>
        <v/>
      </c>
      <c r="W11" t="n">
        <v>8</v>
      </c>
      <c r="X11" t="n">
        <v>0</v>
      </c>
      <c r="Y11" t="inlineStr">
        <is>
          <t>The student completed most tasks correctly but made some minor mistakes. In Part 1, the transforms were correctly defined, and DataLoaders were created with a smaller batch size. Sample images were displayed without labels. In Part 2, the model was loaded and the backbone was frozen, but the classifier head was incorrectly set for binary classification instead of 26 classes. In Part 3, both training and validation loops were implemented correctly, and labels were fixed. In Part 4, the model was set up and trained, and loss and accuracy plots were generated. However, the bonus task was not correctly implemented, as the validation function did not average the predictions from the original, horizontally flipped, and vertically flipped images.</t>
        </is>
      </c>
      <c r="Z11" t="n">
        <v>8.5</v>
      </c>
      <c r="AA11" t="n">
        <v>0</v>
      </c>
      <c r="AB11" t="inlineStr">
        <is>
          <t>The student successfully loaded and prepared the data with the correct transformations and displayed sample images. The CNN model was built with five convolutional layers and batch normalization, though the number of channels and fully connected layer sizes differ from the reference. The training and validation loops were implemented correctly, and the model was trained and plotted. However, the student did not attempt the bonus task of adding a residual connection.</t>
        </is>
      </c>
      <c r="AC11" t="n">
        <v>8</v>
      </c>
      <c r="AD11" t="inlineStr">
        <is>
          <t>The student's submission contains mostly correct code with minor issues. Task 1 is partially correct with syntax errors in displaying images and masks. Task 2 has a mistake in defining the number of classes. Task 3 has logical errors in the training and validation loops due to squeezing the output tensor. Task 4 is mostly correct but uses an incorrect learning rate and optimizer. Task 5 is partially correct with issues in visualizing predictions.</t>
        </is>
      </c>
      <c r="AE11" t="n">
        <v>0</v>
      </c>
      <c r="AF11" t="n">
        <v>0</v>
      </c>
      <c r="AG11" t="inlineStr">
        <is>
          <t>No submission found.</t>
        </is>
      </c>
      <c r="AH11" t="n">
        <v>24.5</v>
      </c>
      <c r="AI11" t="n">
        <v>0</v>
      </c>
    </row>
    <row r="12">
      <c r="A12" t="n">
        <v>11</v>
      </c>
      <c r="B12" t="inlineStr">
        <is>
          <t>TA_1</t>
        </is>
      </c>
      <c r="C12" t="inlineStr">
        <is>
          <t>TA_11</t>
        </is>
      </c>
      <c r="D12" t="n">
        <v>12</v>
      </c>
      <c r="E12" t="n">
        <v>4</v>
      </c>
      <c r="F12" t="n">
        <v>6</v>
      </c>
      <c r="G12" t="n">
        <v>0</v>
      </c>
      <c r="H12" t="n">
        <v>12</v>
      </c>
      <c r="I12" t="n">
        <v>0</v>
      </c>
      <c r="J12" t="n">
        <v>10</v>
      </c>
      <c r="K12" t="n">
        <v>4</v>
      </c>
      <c r="L12" t="n">
        <v>5.5</v>
      </c>
      <c r="M12" t="n">
        <v>0</v>
      </c>
      <c r="N12" t="n">
        <v>11.5</v>
      </c>
      <c r="O12" t="n">
        <v>0</v>
      </c>
      <c r="P12">
        <f>Table1[[#This Row],[TA 1 - Q1 Score]]+Table1[[#This Row],[TA 1 - Q2 Score]]+Table1[[#This Row],[TA 1 - Q3 Score]]</f>
        <v/>
      </c>
      <c r="Q12">
        <f>Table1[[#This Row],[TA 1 - Q1 Bonus]]+Table1[[#This Row],[TA 1 - Q2 Bonus]]+Table1[[#This Row],[TA 1 - Q4 Bonus]]</f>
        <v/>
      </c>
      <c r="R12">
        <f>Table1[[#This Row],[TA 2 - Q1 Score]]+Table1[[#This Row],[TA 2 - Q2 Score]]+Table1[[#This Row],[TA 2 - Q3 Score]]</f>
        <v/>
      </c>
      <c r="S12">
        <f>Table1[[#This Row],[TA 2 - Q1 Bonus]]+Table1[[#This Row],[TA 2 - Q2 Bonus]]+Table1[[#This Row],[TA 2 - Q4 Bonus]]</f>
        <v/>
      </c>
      <c r="T12">
        <f>(Table1[[#This Row],[TA 1 - Total Score (out of 35)]]+Table1[[#This Row],[TA 2 - Total Score (out of 35)]])/2</f>
        <v/>
      </c>
      <c r="U12">
        <f>(Table1[[#This Row],[TA 1 - Total Bonus (out of 13)]]+Table1[[#This Row],[TA 2 - Total Bonus (out of 13)]])/2</f>
        <v/>
      </c>
      <c r="V12">
        <f>Table1[[#This Row],[Average Questions]]/35*20+Table1[[#This Row],[Average Bonus]]/13*5</f>
        <v/>
      </c>
      <c r="W12" t="n">
        <v>6</v>
      </c>
      <c r="X12" t="n">
        <v>0</v>
      </c>
      <c r="Y12" t="inlineStr">
        <is>
          <t>The student completed the data loading and transformation tasks correctly, including resizing, converting to tensor, and normalizing the images. However, they created subsets of the dataset, which is not required and affects the evaluation. The model loading and adaptation were partially correct, but the student froze all parameters instead of just the backbone. The training and validation loops were mostly correct but included unnecessary softmax operations. The bonus task for test time augmentation was not implemented correctly, as the averaging of predictions was done incorrectly.</t>
        </is>
      </c>
      <c r="Z12" t="n">
        <v>6</v>
      </c>
      <c r="AA12" t="n">
        <v>0</v>
      </c>
      <c r="AB12" t="inlineStr">
        <is>
          <t>The student partially completed the tasks. They used ImageFolder for loading datasets but did not apply the required transformations (RandomRotation and resizing to 32x32). The CNN model has 5 convolutional layers but lacks Batch Normalization. The training and validation loops are implemented correctly, and the model was trained and evaluated. However, the bonus task was not attempted.</t>
        </is>
      </c>
      <c r="AC12" t="n">
        <v>8</v>
      </c>
      <c r="AD12" t="inlineStr">
        <is>
          <t>The student's submission includes most of the required tasks with some minor issues. The dataset class is implemented correctly, but the DataLoader creation has a small mistake in the batch size. The model class is defined with the correct encoder, and the training and validation loops are mostly correct. However, the loss and optimizer setup uses a different learning rate and optimizer type than specified. The training process runs, and the loss curve is plotted. The predictions are visualized, but the images are not denormalized, affecting the visualization quality.</t>
        </is>
      </c>
      <c r="AE12" t="n">
        <v>0</v>
      </c>
      <c r="AF12" t="n">
        <v>0</v>
      </c>
      <c r="AG12" t="inlineStr">
        <is>
          <t>No submission found.</t>
        </is>
      </c>
      <c r="AH12" t="n">
        <v>20</v>
      </c>
      <c r="AI12" t="n">
        <v>0</v>
      </c>
    </row>
    <row r="13">
      <c r="A13" t="n">
        <v>12</v>
      </c>
      <c r="B13" t="inlineStr">
        <is>
          <t>TA_1</t>
        </is>
      </c>
      <c r="C13" t="inlineStr">
        <is>
          <t>TA_11</t>
        </is>
      </c>
      <c r="D13" t="n">
        <v>7.5</v>
      </c>
      <c r="E13" t="n">
        <v>4</v>
      </c>
      <c r="F13" t="n">
        <v>11</v>
      </c>
      <c r="G13" t="n">
        <v>0</v>
      </c>
      <c r="H13" t="n">
        <v>12</v>
      </c>
      <c r="I13" t="n">
        <v>0</v>
      </c>
      <c r="J13" t="n">
        <v>7.5</v>
      </c>
      <c r="K13" t="n">
        <v>3</v>
      </c>
      <c r="L13" t="n">
        <v>9.75</v>
      </c>
      <c r="M13" t="n">
        <v>0</v>
      </c>
      <c r="N13" t="n">
        <v>12</v>
      </c>
      <c r="O13" t="n">
        <v>0</v>
      </c>
      <c r="P13">
        <f>Table1[[#This Row],[TA 1 - Q1 Score]]+Table1[[#This Row],[TA 1 - Q2 Score]]+Table1[[#This Row],[TA 1 - Q3 Score]]</f>
        <v/>
      </c>
      <c r="Q13">
        <f>Table1[[#This Row],[TA 1 - Q1 Bonus]]+Table1[[#This Row],[TA 1 - Q2 Bonus]]+Table1[[#This Row],[TA 1 - Q4 Bonus]]</f>
        <v/>
      </c>
      <c r="R13">
        <f>Table1[[#This Row],[TA 2 - Q1 Score]]+Table1[[#This Row],[TA 2 - Q2 Score]]+Table1[[#This Row],[TA 2 - Q3 Score]]</f>
        <v/>
      </c>
      <c r="S13">
        <f>Table1[[#This Row],[TA 2 - Q1 Bonus]]+Table1[[#This Row],[TA 2 - Q2 Bonus]]+Table1[[#This Row],[TA 2 - Q4 Bonus]]</f>
        <v/>
      </c>
      <c r="T13">
        <f>(Table1[[#This Row],[TA 1 - Total Score (out of 35)]]+Table1[[#This Row],[TA 2 - Total Score (out of 35)]])/2</f>
        <v/>
      </c>
      <c r="U13">
        <f>(Table1[[#This Row],[TA 1 - Total Bonus (out of 13)]]+Table1[[#This Row],[TA 2 - Total Bonus (out of 13)]])/2</f>
        <v/>
      </c>
      <c r="V13">
        <f>Table1[[#This Row],[Average Questions]]/35*20+Table1[[#This Row],[Average Bonus]]/13*5</f>
        <v/>
      </c>
      <c r="W13" t="n">
        <v>7</v>
      </c>
      <c r="X13" t="n">
        <v>0</v>
      </c>
      <c r="Y13" t="inlineStr">
        <is>
          <t>The student completed the data loading and preparation with minor issues, such as incorrect initial placement of transformations. The model loading and adaptation were mostly correct, though the student froze all parameters instead of just the backbone. The training and validation loops were implemented with some syntax errors, particularly in the training loop where the batch size was incorrectly used in the accuracy calculation. The bonus task was not attempted.</t>
        </is>
      </c>
      <c r="Z13" t="n">
        <v>8.5</v>
      </c>
      <c r="AA13" t="n">
        <v>0</v>
      </c>
      <c r="AB13" t="inlineStr">
        <is>
          <t>The student successfully loaded and prepared the data with the correct transformations and displayed sample images. The CNN model was built with five convolutional layers and batch normalization, though the fifth layer had fewer filters than specified. Training and validation loops were implemented correctly, and the model was trained and plotted. However, the bonus task was not attempted.</t>
        </is>
      </c>
      <c r="AC13" t="n">
        <v>8.5</v>
      </c>
      <c r="AD13" t="inlineStr">
        <is>
          <t>The student's submission largely follows the reference solution but contains minor issues. The dataset class is correctly implemented, and the DataLoaders are set up properly. However, the image and mask paths are searched with a wildcard that may not match the directory structure, potentially leading to errors. The model class uses the correct architecture but with 'efficientnet-b1' instead of 'efficientnet-b0' as specified. The training and validation loops are implemented correctly, though the learning rate is lower than in the reference. The training runs for 5 epochs instead of 10, and the visualization of predictions is accurate.</t>
        </is>
      </c>
      <c r="AE13" t="n">
        <v>0</v>
      </c>
      <c r="AF13" t="n">
        <v>0</v>
      </c>
      <c r="AG13" t="inlineStr">
        <is>
          <t>No submission found.</t>
        </is>
      </c>
      <c r="AH13" t="n">
        <v>24</v>
      </c>
      <c r="AI13" t="n">
        <v>0</v>
      </c>
    </row>
    <row r="14">
      <c r="A14" t="n">
        <v>13</v>
      </c>
      <c r="B14" t="inlineStr">
        <is>
          <t>TA_1</t>
        </is>
      </c>
      <c r="C14" t="inlineStr">
        <is>
          <t>TA_11</t>
        </is>
      </c>
      <c r="D14" t="n">
        <v>6</v>
      </c>
      <c r="E14" t="n">
        <v>0</v>
      </c>
      <c r="F14" t="n">
        <v>9</v>
      </c>
      <c r="G14" t="n">
        <v>0</v>
      </c>
      <c r="H14" t="n">
        <v>2</v>
      </c>
      <c r="I14" t="n">
        <v>0</v>
      </c>
      <c r="J14" t="n">
        <v>5.5</v>
      </c>
      <c r="K14" t="n">
        <v>0</v>
      </c>
      <c r="L14" t="n">
        <v>6.75</v>
      </c>
      <c r="M14" t="n">
        <v>0</v>
      </c>
      <c r="N14" t="n">
        <v>-1</v>
      </c>
      <c r="O14" t="n">
        <v>0</v>
      </c>
      <c r="P14">
        <f>Table1[[#This Row],[TA 1 - Q1 Score]]+Table1[[#This Row],[TA 1 - Q2 Score]]+Table1[[#This Row],[TA 1 - Q3 Score]]</f>
        <v/>
      </c>
      <c r="Q14">
        <f>Table1[[#This Row],[TA 1 - Q1 Bonus]]+Table1[[#This Row],[TA 1 - Q2 Bonus]]+Table1[[#This Row],[TA 1 - Q4 Bonus]]</f>
        <v/>
      </c>
      <c r="R14">
        <f>Table1[[#This Row],[TA 2 - Q1 Score]]+Table1[[#This Row],[TA 2 - Q2 Score]]+Table1[[#This Row],[TA 2 - Q3 Score]]</f>
        <v/>
      </c>
      <c r="S14">
        <f>Table1[[#This Row],[TA 2 - Q1 Bonus]]+Table1[[#This Row],[TA 2 - Q2 Bonus]]+Table1[[#This Row],[TA 2 - Q4 Bonus]]</f>
        <v/>
      </c>
      <c r="T14">
        <f>(Table1[[#This Row],[TA 1 - Total Score (out of 35)]]+Table1[[#This Row],[TA 2 - Total Score (out of 35)]])/2</f>
        <v/>
      </c>
      <c r="U14">
        <f>(Table1[[#This Row],[TA 1 - Total Bonus (out of 13)]]+Table1[[#This Row],[TA 2 - Total Bonus (out of 13)]])/2</f>
        <v/>
      </c>
      <c r="V14">
        <f>Table1[[#This Row],[Average Questions]]/35*20+Table1[[#This Row],[Average Bonus]]/13*5</f>
        <v/>
      </c>
      <c r="W14" t="n">
        <v>5</v>
      </c>
      <c r="X14" t="n">
        <v>0</v>
      </c>
      <c r="Y14" t="inlineStr">
        <is>
          <t>The student completed the data loading and preparation with minor issues in normalization parameters. DataLoaders were created but with inconsistent batch sizes. The model setup used a custom class instead of modifying the EfficientNetV2-Small directly, leading to incorrect architecture assumptions. Training and validation loops were implemented but did not adjust labels, resulting in a penalty. No bonus task was attempted.</t>
        </is>
      </c>
      <c r="Z14" t="n">
        <v>2</v>
      </c>
      <c r="AA14" t="n">
        <v>0</v>
      </c>
      <c r="AB14" t="inlineStr">
        <is>
          <t>The student's submission contains several issues. In Part 1, the train and test datasets are incorrectly swapped, and the classes are hardcoded instead of being dynamically loaded. The image display section also uses incorrect class labels. In Part 2, the CNN architecture does not meet the requirements, using a different structure inspired by AlexNet rather than the specified 5 convolutional layers with batch normalization. Parts 3 and 4 are partially correct, with proper training and validation loops, but the model setup uses an incorrect number of classes. No bonus task was attempted.</t>
        </is>
      </c>
      <c r="AC14" t="n">
        <v>0.5</v>
      </c>
      <c r="AD14" t="inlineStr">
        <is>
          <t>The student has started the dataset class implementation but did not complete it. The dataset class is partially correct but uses a CSV file for metadata, which is not specified in the task. The remapping function is incorrectly implemented for binary segmentation instead of multi-class. No code was provided for creating DataLoaders, displaying samples, defining the model, training and validation loops, running training, or visualizing predictions.</t>
        </is>
      </c>
      <c r="AE14" t="n">
        <v>0</v>
      </c>
      <c r="AF14" t="n">
        <v>0</v>
      </c>
      <c r="AG14" t="inlineStr">
        <is>
          <t>No submission found.</t>
        </is>
      </c>
      <c r="AH14" t="n">
        <v>7.5</v>
      </c>
      <c r="AI14" t="n">
        <v>0</v>
      </c>
    </row>
    <row r="15">
      <c r="A15" t="n">
        <v>14</v>
      </c>
      <c r="B15" t="inlineStr">
        <is>
          <t>TA_1</t>
        </is>
      </c>
      <c r="C15" t="inlineStr">
        <is>
          <t>TA_11</t>
        </is>
      </c>
      <c r="D15" t="n">
        <v>12</v>
      </c>
      <c r="E15" t="n">
        <v>4</v>
      </c>
      <c r="F15" t="n">
        <v>11</v>
      </c>
      <c r="G15" t="n">
        <v>4</v>
      </c>
      <c r="H15" t="n">
        <v>11</v>
      </c>
      <c r="I15" t="n">
        <v>0</v>
      </c>
      <c r="J15" t="n">
        <v>12</v>
      </c>
      <c r="K15" t="n">
        <v>4</v>
      </c>
      <c r="L15" t="n">
        <v>11</v>
      </c>
      <c r="M15" t="n">
        <v>4</v>
      </c>
      <c r="N15" t="n">
        <v>11</v>
      </c>
      <c r="O15" t="n">
        <v>0</v>
      </c>
      <c r="P15">
        <f>Table1[[#This Row],[TA 1 - Q1 Score]]+Table1[[#This Row],[TA 1 - Q2 Score]]+Table1[[#This Row],[TA 1 - Q3 Score]]</f>
        <v/>
      </c>
      <c r="Q15">
        <f>Table1[[#This Row],[TA 1 - Q1 Bonus]]+Table1[[#This Row],[TA 1 - Q2 Bonus]]+Table1[[#This Row],[TA 1 - Q4 Bonus]]</f>
        <v/>
      </c>
      <c r="R15">
        <f>Table1[[#This Row],[TA 2 - Q1 Score]]+Table1[[#This Row],[TA 2 - Q2 Score]]+Table1[[#This Row],[TA 2 - Q3 Score]]</f>
        <v/>
      </c>
      <c r="S15">
        <f>Table1[[#This Row],[TA 2 - Q1 Bonus]]+Table1[[#This Row],[TA 2 - Q2 Bonus]]+Table1[[#This Row],[TA 2 - Q4 Bonus]]</f>
        <v/>
      </c>
      <c r="T15">
        <f>(Table1[[#This Row],[TA 1 - Total Score (out of 35)]]+Table1[[#This Row],[TA 2 - Total Score (out of 35)]])/2</f>
        <v/>
      </c>
      <c r="U15">
        <f>(Table1[[#This Row],[TA 1 - Total Bonus (out of 13)]]+Table1[[#This Row],[TA 2 - Total Bonus (out of 13)]])/2</f>
        <v/>
      </c>
      <c r="V15">
        <f>Table1[[#This Row],[Average Questions]]/35*20+Table1[[#This Row],[Average Bonus]]/13*5</f>
        <v/>
      </c>
      <c r="W15" t="n">
        <v>11.5</v>
      </c>
      <c r="X15" t="n">
        <v>4</v>
      </c>
      <c r="Y15" t="inlineStr">
        <is>
          <t>The student completed all required tasks with minor issues. In Part 1, the transforms were correctly implemented. In Part 2, the pretrained model was loaded, the backbone was frozen, and the classifier head was replaced correctly. In Part 3, the training and validation loops were implemented with a slight mistake in the training loop where softmax was used instead of directly using the max function on logits. In Part 4, the model was set up, trained, and the loss and accuracy were plotted correctly. For the bonus task, the student correctly implemented test time augmentation by averaging predictions from original, horizontally flipped, and vertically flipped images.</t>
        </is>
      </c>
      <c r="Z15" t="n">
        <v>10.5</v>
      </c>
      <c r="AA15" t="n">
        <v>3</v>
      </c>
      <c r="AB15" t="inlineStr">
        <is>
          <t>The student successfully completed all base tasks with minor issues. The data loading and preparation section included correct transformations and displayed sample images. The CNN model had 5 convolutional layers with batch normalization, though the final layer had 256 instead of 512 channels. Training and validation functions were correctly implemented, and the model trained and plotted losses and accuracies accurately. For the bonus task, the student added a residual connection from the second to fourth layer, but the final layer still had 256 channels instead of 512, affecting the bonus score.</t>
        </is>
      </c>
      <c r="AC15" t="n">
        <v>8</v>
      </c>
      <c r="AD15" t="inlineStr">
        <is>
          <t>The student's submission includes a custom dataset class with proper image-mask pairing, data loaders, and visualization. However, the model definition uses efficientnet-b1 instead of efficientnet-b0 as specified. The training and validation loops are correctly implemented, and the model is trained and validated with loss printed and plotted. The final task visualizes predictions, but the validation dataset is not defined, leading to an error.</t>
        </is>
      </c>
      <c r="AE15" t="n">
        <v>0</v>
      </c>
      <c r="AF15" t="n">
        <v>0</v>
      </c>
      <c r="AG15" t="inlineStr">
        <is>
          <t>No submission found.</t>
        </is>
      </c>
      <c r="AH15" t="n">
        <v>30</v>
      </c>
      <c r="AI15" t="n">
        <v>7</v>
      </c>
    </row>
    <row r="16">
      <c r="A16" t="n">
        <v>15</v>
      </c>
      <c r="B16" t="inlineStr">
        <is>
          <t>TA_1</t>
        </is>
      </c>
      <c r="C16" t="inlineStr">
        <is>
          <t>TA_11</t>
        </is>
      </c>
      <c r="D16" t="n">
        <v>8.5</v>
      </c>
      <c r="E16" t="n">
        <v>0</v>
      </c>
      <c r="F16" t="n">
        <v>8.5</v>
      </c>
      <c r="G16" t="n">
        <v>0</v>
      </c>
      <c r="H16" t="n">
        <v>5</v>
      </c>
      <c r="I16" t="n">
        <v>0</v>
      </c>
      <c r="J16" t="n">
        <v>5.25</v>
      </c>
      <c r="K16" t="n">
        <v>0</v>
      </c>
      <c r="L16" t="n">
        <v>7</v>
      </c>
      <c r="M16" t="n">
        <v>0</v>
      </c>
      <c r="N16" t="n">
        <v>-1.5</v>
      </c>
      <c r="O16" t="n">
        <v>0</v>
      </c>
      <c r="P16">
        <f>Table1[[#This Row],[TA 1 - Q1 Score]]+Table1[[#This Row],[TA 1 - Q2 Score]]+Table1[[#This Row],[TA 1 - Q3 Score]]</f>
        <v/>
      </c>
      <c r="Q16">
        <f>Table1[[#This Row],[TA 1 - Q1 Bonus]]+Table1[[#This Row],[TA 1 - Q2 Bonus]]+Table1[[#This Row],[TA 1 - Q4 Bonus]]</f>
        <v/>
      </c>
      <c r="R16">
        <f>Table1[[#This Row],[TA 2 - Q1 Score]]+Table1[[#This Row],[TA 2 - Q2 Score]]+Table1[[#This Row],[TA 2 - Q3 Score]]</f>
        <v/>
      </c>
      <c r="S16">
        <f>Table1[[#This Row],[TA 2 - Q1 Bonus]]+Table1[[#This Row],[TA 2 - Q2 Bonus]]+Table1[[#This Row],[TA 2 - Q4 Bonus]]</f>
        <v/>
      </c>
      <c r="T16">
        <f>(Table1[[#This Row],[TA 1 - Total Score (out of 35)]]+Table1[[#This Row],[TA 2 - Total Score (out of 35)]])/2</f>
        <v/>
      </c>
      <c r="U16">
        <f>(Table1[[#This Row],[TA 1 - Total Bonus (out of 13)]]+Table1[[#This Row],[TA 2 - Total Bonus (out of 13)]])/2</f>
        <v/>
      </c>
      <c r="V16">
        <f>Table1[[#This Row],[Average Questions]]/35*20+Table1[[#This Row],[Average Bonus]]/13*5</f>
        <v/>
      </c>
      <c r="W16" t="n">
        <v>2</v>
      </c>
      <c r="X16" t="n">
        <v>0</v>
      </c>
      <c r="Y16" t="inlineStr">
        <is>
          <t>The student partially completed the tasks with some syntax and logical errors. The data loading and preparation section had missing parts filled correctly but used a different batch size. The model loading and adaptation section incorrectly loaded EfficientNet-B0 instead of EfficientNetV2-Small and had issues with freezing the backbone. The training and validation loops were implemented with incorrect loss functions and label handling. The plotting section was mostly correct but used BCEWithLogitsLoss instead of CrossEntropyLoss. No bonus tasks were attempted.</t>
        </is>
      </c>
      <c r="Z16" t="n">
        <v>7</v>
      </c>
      <c r="AA16" t="n">
        <v>0</v>
      </c>
      <c r="AB16" t="inlineStr">
        <is>
          <t>The student implemented a custom dataset class and used the correct transformations, including RandomRotation and resizing to 32x32, earning full marks for Part 1. The CNN model has 5 convolutional layers but does not include Batch Normalization, resulting in 50% for Part 2. The training and validation loops are mostly correct but contain unnecessary softmax calls, earning 50% for Part 3. The model setup, training, and plotting of losses and accuracies are correct, earning full marks for Part 4. No bonus task was attempted.</t>
        </is>
      </c>
      <c r="AC16" t="n">
        <v>4</v>
      </c>
      <c r="AD16" t="inlineStr">
        <is>
          <t>The student attempted most tasks but made significant errors. The dataset class incorrectly used a CSV file for paths instead of directly accessing image and mask directories. The model class used 'efficientnet-b1' instead of 'efficientnet-b0' and incorrectly set the number of classes to 1. The training and validation loops had issues with loss calculation due to incorrect mask handling and loss function choice. Visualization of predictions was partially correct but used a binary threshold instead of multi-class segmentation.</t>
        </is>
      </c>
      <c r="AE16" t="n">
        <v>0</v>
      </c>
      <c r="AF16" t="n">
        <v>0</v>
      </c>
      <c r="AG16" t="inlineStr">
        <is>
          <t>No submission found.</t>
        </is>
      </c>
      <c r="AH16" t="n">
        <v>13</v>
      </c>
      <c r="AI16" t="n">
        <v>0</v>
      </c>
    </row>
    <row r="17">
      <c r="A17" t="n">
        <v>16</v>
      </c>
      <c r="B17" t="inlineStr">
        <is>
          <t>TA_1</t>
        </is>
      </c>
      <c r="C17" t="inlineStr">
        <is>
          <t>TA_11</t>
        </is>
      </c>
      <c r="D17" t="n">
        <v>8</v>
      </c>
      <c r="E17" t="n">
        <v>0</v>
      </c>
      <c r="F17" t="n">
        <v>9</v>
      </c>
      <c r="G17" t="n">
        <v>0</v>
      </c>
      <c r="H17" t="n">
        <v>8.5</v>
      </c>
      <c r="I17" t="n">
        <v>0</v>
      </c>
      <c r="J17" t="n">
        <v>7</v>
      </c>
      <c r="K17" t="n">
        <v>0</v>
      </c>
      <c r="L17" t="n">
        <v>8.25</v>
      </c>
      <c r="M17" t="n">
        <v>0</v>
      </c>
      <c r="N17" t="n">
        <v>7</v>
      </c>
      <c r="O17" t="n">
        <v>0</v>
      </c>
      <c r="P17">
        <f>Table1[[#This Row],[TA 1 - Q1 Score]]+Table1[[#This Row],[TA 1 - Q2 Score]]+Table1[[#This Row],[TA 1 - Q3 Score]]</f>
        <v/>
      </c>
      <c r="Q17">
        <f>Table1[[#This Row],[TA 1 - Q1 Bonus]]+Table1[[#This Row],[TA 1 - Q2 Bonus]]+Table1[[#This Row],[TA 1 - Q4 Bonus]]</f>
        <v/>
      </c>
      <c r="R17">
        <f>Table1[[#This Row],[TA 2 - Q1 Score]]+Table1[[#This Row],[TA 2 - Q2 Score]]+Table1[[#This Row],[TA 2 - Q3 Score]]</f>
        <v/>
      </c>
      <c r="S17">
        <f>Table1[[#This Row],[TA 2 - Q1 Bonus]]+Table1[[#This Row],[TA 2 - Q2 Bonus]]+Table1[[#This Row],[TA 2 - Q4 Bonus]]</f>
        <v/>
      </c>
      <c r="T17">
        <f>(Table1[[#This Row],[TA 1 - Total Score (out of 35)]]+Table1[[#This Row],[TA 2 - Total Score (out of 35)]])/2</f>
        <v/>
      </c>
      <c r="U17">
        <f>(Table1[[#This Row],[TA 1 - Total Bonus (out of 13)]]+Table1[[#This Row],[TA 2 - Total Bonus (out of 13)]])/2</f>
        <v/>
      </c>
      <c r="V17">
        <f>Table1[[#This Row],[Average Questions]]/35*20+Table1[[#This Row],[Average Bonus]]/13*5</f>
        <v/>
      </c>
      <c r="W17" t="n">
        <v>7</v>
      </c>
      <c r="X17" t="n">
        <v>0</v>
      </c>
      <c r="Y17" t="inlineStr">
        <is>
          <t>The student completed the data loading and preparation with minor issues, such as incorrect class names in the plot. The model loading and adaptation were mostly correct, but the student froze all parameters instead of just the backbone. The training and validation loops were implemented with some unnecessary softmax operations. The student did not adjust the labels to be 0-indexed, resulting in a penalty. No bonus task was attempted.</t>
        </is>
      </c>
      <c r="Z17" t="n">
        <v>7</v>
      </c>
      <c r="AA17" t="n">
        <v>0</v>
      </c>
      <c r="AB17" t="inlineStr">
        <is>
          <t>The student successfully loaded and prepared the data with the correct transformations and displayed sample images. The CNN model has 5 convolutional layers but does not include batch normalization, resulting in partial credit. The training and validation functions are mostly correct but contain a nested forward method definition error. The model was trained and plotted correctly, but no bonus task was attempted.</t>
        </is>
      </c>
      <c r="AC17" t="n">
        <v>4</v>
      </c>
      <c r="AD17" t="inlineStr">
        <is>
          <t>The student attempted most tasks but made significant errors. In Task 1, the dataset class incorrectly initializes paths and does not sort them. DataLoader creation and sample display also contain errors. Task 2 correctly defines the U-Net model with the specified encoder. Task 3 has issues in the training and validation loops, particularly with mask handling and loss computation. Task 4 uses an incorrect loss function (BCEWithLogitsLoss) for multi-class segmentation and has syntax errors. Task 5 visualizes predictions but incorrectly converts the predicted mask to binary.</t>
        </is>
      </c>
      <c r="AE17" t="n">
        <v>0</v>
      </c>
      <c r="AF17" t="n">
        <v>0</v>
      </c>
      <c r="AG17" t="inlineStr">
        <is>
          <t>No submission found.</t>
        </is>
      </c>
      <c r="AH17" t="n">
        <v>18</v>
      </c>
      <c r="AI17" t="n">
        <v>0</v>
      </c>
    </row>
    <row r="18">
      <c r="A18" t="n">
        <v>17</v>
      </c>
      <c r="B18" t="inlineStr">
        <is>
          <t>TA_1</t>
        </is>
      </c>
      <c r="C18" t="inlineStr">
        <is>
          <t>TA_11</t>
        </is>
      </c>
      <c r="D18" t="n">
        <v>6.5</v>
      </c>
      <c r="E18" t="n">
        <v>0</v>
      </c>
      <c r="F18" t="n">
        <v>9</v>
      </c>
      <c r="G18" t="n">
        <v>0</v>
      </c>
      <c r="H18" t="n">
        <v>4.5</v>
      </c>
      <c r="I18" t="n">
        <v>0</v>
      </c>
      <c r="J18" t="n">
        <v>6</v>
      </c>
      <c r="K18" t="n">
        <v>0</v>
      </c>
      <c r="L18" t="n">
        <v>4.75</v>
      </c>
      <c r="M18" t="n">
        <v>0</v>
      </c>
      <c r="N18" t="n">
        <v>-0.5</v>
      </c>
      <c r="O18" t="n">
        <v>0</v>
      </c>
      <c r="P18">
        <f>Table1[[#This Row],[TA 1 - Q1 Score]]+Table1[[#This Row],[TA 1 - Q2 Score]]+Table1[[#This Row],[TA 1 - Q3 Score]]</f>
        <v/>
      </c>
      <c r="Q18">
        <f>Table1[[#This Row],[TA 1 - Q1 Bonus]]+Table1[[#This Row],[TA 1 - Q2 Bonus]]+Table1[[#This Row],[TA 1 - Q4 Bonus]]</f>
        <v/>
      </c>
      <c r="R18">
        <f>Table1[[#This Row],[TA 2 - Q1 Score]]+Table1[[#This Row],[TA 2 - Q2 Score]]+Table1[[#This Row],[TA 2 - Q3 Score]]</f>
        <v/>
      </c>
      <c r="S18">
        <f>Table1[[#This Row],[TA 2 - Q1 Bonus]]+Table1[[#This Row],[TA 2 - Q2 Bonus]]+Table1[[#This Row],[TA 2 - Q4 Bonus]]</f>
        <v/>
      </c>
      <c r="T18">
        <f>(Table1[[#This Row],[TA 1 - Total Score (out of 35)]]+Table1[[#This Row],[TA 2 - Total Score (out of 35)]])/2</f>
        <v/>
      </c>
      <c r="U18">
        <f>(Table1[[#This Row],[TA 1 - Total Bonus (out of 13)]]+Table1[[#This Row],[TA 2 - Total Bonus (out of 13)]])/2</f>
        <v/>
      </c>
      <c r="V18">
        <f>Table1[[#This Row],[Average Questions]]/35*20+Table1[[#This Row],[Average Bonus]]/13*5</f>
        <v/>
      </c>
      <c r="W18" t="n">
        <v>5</v>
      </c>
      <c r="X18" t="n">
        <v>0</v>
      </c>
      <c r="Y18" t="inlineStr">
        <is>
          <t>The student completed the data loading and transformation tasks correctly, including resizing, converting to tensor, and normalizing the images. However, the DataLoader creation and sample image display were missing. In Part 2, the student attempted to load and modify the EfficientNetV2-Small model but incorrectly defined the classifier head, leading to a mismatch in input features. The training and validation loops were implemented but did not adjust the labels to be 0-indexed, resulting in a penalty. The bonus task was not attempted.</t>
        </is>
      </c>
      <c r="Z18" t="n">
        <v>5</v>
      </c>
      <c r="AA18" t="n">
        <v>0</v>
      </c>
      <c r="AB18" t="inlineStr">
        <is>
          <t>The student partially completed the tasks. They created a custom dataset class with transformations, including resizing to 32x32 and random rotation, but used incorrect normalization parameters. The CNN model has 5 convolutional layers with batch normalization, but the architecture has issues such as incorrect fully connected layer dimensions and output classes. Training and validation functions were implemented correctly, but the model setup and training loop had issues with the optimizer and device handling. No bonus task was attempted.</t>
        </is>
      </c>
      <c r="AC18" t="n">
        <v>2</v>
      </c>
      <c r="AD18" t="inlineStr">
        <is>
          <t>The student attempted most tasks but made significant errors. The dataset class was partially implemented with issues in loading data and missing metadata handling. The model class used the wrong number of output classes and an incorrect encoder. Training and validation loops were attempted but contained logical errors, such as converting masks to float. Visualization code was incorrect, attempting to visualize bounding boxes instead of segmentation masks.</t>
        </is>
      </c>
      <c r="AE18" t="n">
        <v>0</v>
      </c>
      <c r="AF18" t="n">
        <v>0</v>
      </c>
      <c r="AG18" t="inlineStr">
        <is>
          <t>No submission found.</t>
        </is>
      </c>
      <c r="AH18" t="n">
        <v>12</v>
      </c>
      <c r="AI18" t="n">
        <v>0</v>
      </c>
    </row>
    <row r="19">
      <c r="A19" t="n">
        <v>18</v>
      </c>
      <c r="B19" t="inlineStr">
        <is>
          <t>TA_1</t>
        </is>
      </c>
      <c r="C19" t="inlineStr">
        <is>
          <t>TA_11</t>
        </is>
      </c>
      <c r="D19" t="n">
        <v>11</v>
      </c>
      <c r="E19" t="n">
        <v>0</v>
      </c>
      <c r="F19" t="n">
        <v>11</v>
      </c>
      <c r="G19" t="n">
        <v>0</v>
      </c>
      <c r="H19" t="n">
        <v>11</v>
      </c>
      <c r="I19" t="n">
        <v>5</v>
      </c>
      <c r="J19" t="n">
        <v>5.5</v>
      </c>
      <c r="K19" t="n">
        <v>0</v>
      </c>
      <c r="L19" t="n">
        <v>10.25</v>
      </c>
      <c r="M19" t="n">
        <v>0</v>
      </c>
      <c r="N19" t="n">
        <v>10.5</v>
      </c>
      <c r="O19" t="n">
        <v>0</v>
      </c>
      <c r="P19">
        <f>Table1[[#This Row],[TA 1 - Q1 Score]]+Table1[[#This Row],[TA 1 - Q2 Score]]+Table1[[#This Row],[TA 1 - Q3 Score]]</f>
        <v/>
      </c>
      <c r="Q19">
        <f>Table1[[#This Row],[TA 1 - Q1 Bonus]]+Table1[[#This Row],[TA 1 - Q2 Bonus]]+Table1[[#This Row],[TA 1 - Q4 Bonus]]</f>
        <v/>
      </c>
      <c r="R19">
        <f>Table1[[#This Row],[TA 2 - Q1 Score]]+Table1[[#This Row],[TA 2 - Q2 Score]]+Table1[[#This Row],[TA 2 - Q3 Score]]</f>
        <v/>
      </c>
      <c r="S19">
        <f>Table1[[#This Row],[TA 2 - Q1 Bonus]]+Table1[[#This Row],[TA 2 - Q2 Bonus]]+Table1[[#This Row],[TA 2 - Q4 Bonus]]</f>
        <v/>
      </c>
      <c r="T19">
        <f>(Table1[[#This Row],[TA 1 - Total Score (out of 35)]]+Table1[[#This Row],[TA 2 - Total Score (out of 35)]])/2</f>
        <v/>
      </c>
      <c r="U19">
        <f>(Table1[[#This Row],[TA 1 - Total Bonus (out of 13)]]+Table1[[#This Row],[TA 2 - Total Bonus (out of 13)]])/2</f>
        <v/>
      </c>
      <c r="V19">
        <f>Table1[[#This Row],[Average Questions]]/35*20+Table1[[#This Row],[Average Bonus]]/13*5</f>
        <v/>
      </c>
      <c r="W19" t="n">
        <v>5</v>
      </c>
      <c r="X19" t="n">
        <v>0</v>
      </c>
      <c r="Y19" t="inlineStr">
        <is>
          <t>The student completed the data loading and preparation with minor issues, such as using a custom SubtractOne module instead of adjusting labels within the training and validation loops. DataLoaders were created but with a small batch size of 2, which may affect performance. Sample images were displayed correctly. The pretrained model was loaded and adapted, but the classifier head was incorrectly set to 27 classes instead of 26. Training and validation loops were implemented but did not adjust labels, resulting in a penalty. The bonus task was not attempted.</t>
        </is>
      </c>
      <c r="Z19" t="n">
        <v>5</v>
      </c>
      <c r="AA19" t="n">
        <v>0</v>
      </c>
      <c r="AB19" t="inlineStr">
        <is>
          <t>The student partially completed the tasks. The dataset loading and preparation section had issues with incorrect rotation angle and small batch sizes. The CNN model was defined with 5 convolutional layers and batch normalization, but the fully connected layer dimensions were incorrect. The training and validation loops were implemented but contained unnecessary softmax operations. The plotting of losses and accuracies was done correctly. No bonus task was attempted.</t>
        </is>
      </c>
      <c r="AC19" t="n">
        <v>7</v>
      </c>
      <c r="AD19" t="inlineStr">
        <is>
          <t>The student's submission partially completes most tasks but contains several issues. Task 1 has a dataset class with minor issues like incorrect file extensions and unnecessary imports. DataLoaders are incorrectly implemented, leading to incorrect dataset splits. Task 2 correctly defines the U-Net model. Task 3 implements training and validation loops with minor issues. Task 4 defines loss and optimizer but trains for only 2 epochs instead of 10, and plotting is missing. Task 5 visualizes predictions but uses incorrect color maps and does not follow the reference solution closely.</t>
        </is>
      </c>
      <c r="AE19" t="n">
        <v>0</v>
      </c>
      <c r="AF19" t="n">
        <v>0</v>
      </c>
      <c r="AG19" t="inlineStr">
        <is>
          <t>The student's implementation contains several errors and does not follow the reference solution. The `__init__` method incorrectly stores `cifar_data` instead of the passed `cifar_dataset`. The `rgb_to_grayscale` method incorrectly accesses pixel values and does not return the correct shape. The `__getitem__` method incorrectly handles the returned tuple from `cifar_data` and does not properly convert the image to grayscale. These issues prevent the code from running correctly and producing the expected output.</t>
        </is>
      </c>
      <c r="AH19" t="n">
        <v>17</v>
      </c>
      <c r="AI19" t="n">
        <v>0</v>
      </c>
    </row>
    <row r="20">
      <c r="A20" t="n">
        <v>19</v>
      </c>
      <c r="B20" t="inlineStr">
        <is>
          <t>TA_1</t>
        </is>
      </c>
      <c r="C20" t="inlineStr">
        <is>
          <t>TA_11</t>
        </is>
      </c>
      <c r="D20" t="n">
        <v>8</v>
      </c>
      <c r="E20" t="n">
        <v>0</v>
      </c>
      <c r="F20" t="n">
        <v>5</v>
      </c>
      <c r="G20" t="n">
        <v>0</v>
      </c>
      <c r="H20" t="n">
        <v>12</v>
      </c>
      <c r="I20" t="n">
        <v>0</v>
      </c>
      <c r="J20" t="n">
        <v>6</v>
      </c>
      <c r="K20" t="n">
        <v>0</v>
      </c>
      <c r="L20" t="n">
        <v>5</v>
      </c>
      <c r="M20" t="n">
        <v>0</v>
      </c>
      <c r="N20" t="n">
        <v>11</v>
      </c>
      <c r="O20" t="n">
        <v>0</v>
      </c>
      <c r="P20">
        <f>Table1[[#This Row],[TA 1 - Q1 Score]]+Table1[[#This Row],[TA 1 - Q2 Score]]+Table1[[#This Row],[TA 1 - Q3 Score]]</f>
        <v/>
      </c>
      <c r="Q20">
        <f>Table1[[#This Row],[TA 1 - Q1 Bonus]]+Table1[[#This Row],[TA 1 - Q2 Bonus]]+Table1[[#This Row],[TA 1 - Q4 Bonus]]</f>
        <v/>
      </c>
      <c r="R20">
        <f>Table1[[#This Row],[TA 2 - Q1 Score]]+Table1[[#This Row],[TA 2 - Q2 Score]]+Table1[[#This Row],[TA 2 - Q3 Score]]</f>
        <v/>
      </c>
      <c r="S20">
        <f>Table1[[#This Row],[TA 2 - Q1 Bonus]]+Table1[[#This Row],[TA 2 - Q2 Bonus]]+Table1[[#This Row],[TA 2 - Q4 Bonus]]</f>
        <v/>
      </c>
      <c r="T20">
        <f>(Table1[[#This Row],[TA 1 - Total Score (out of 35)]]+Table1[[#This Row],[TA 2 - Total Score (out of 35)]])/2</f>
        <v/>
      </c>
      <c r="U20">
        <f>(Table1[[#This Row],[TA 1 - Total Bonus (out of 13)]]+Table1[[#This Row],[TA 2 - Total Bonus (out of 13)]])/2</f>
        <v/>
      </c>
      <c r="V20">
        <f>Table1[[#This Row],[Average Questions]]/35*20+Table1[[#This Row],[Average Bonus]]/13*5</f>
        <v/>
      </c>
      <c r="W20" t="n">
        <v>3</v>
      </c>
      <c r="X20" t="n">
        <v>0</v>
      </c>
      <c r="Y20" t="inlineStr">
        <is>
          <t>The student completed the data loading and preparation tasks correctly, including defining the necessary transforms, creating DataLoaders, and displaying sample images. However, the student used the wrong model (EfficientNetV2-M instead of EfficientNetV2-Small) and incorrectly froze all parameters instead of just the backbone. The training and validation loops were not implemented correctly, and the student did not attempt the bonus task.</t>
        </is>
      </c>
      <c r="Z20" t="n">
        <v>0</v>
      </c>
      <c r="AA20" t="n">
        <v>0</v>
      </c>
      <c r="AB20" t="inlineStr">
        <is>
          <t>The student's submission does not follow the required structure and instructions. The student used a pre-trained EfficientNet model instead of building a CNN from scratch as specified. Additionally, the bonus task involves implementing a U-Net architecture, which is entirely unrelated to the task of adding a residual connection to a CNN. The code is not organized, and the transformations do not match the requirements (resizing to 32x32 instead of 128x128). The student also did not display sample images with labels, further deviating from the guidelines.</t>
        </is>
      </c>
      <c r="AC20" t="n">
        <v>8</v>
      </c>
      <c r="AD20" t="inlineStr">
        <is>
          <t>The student's submission includes most of the required tasks with minor issues. The dataset class and data loaders are correctly implemented, though the student displays more images than required. The model class uses the correct encoder but has a typo in the dataset download path. The training and validation loops are mostly correct but use a different optimizer and learning rate. The training process runs and prints losses, and the loss curve is plotted. Predictions are visualized, but the colormap used for predicted masks is grayscale instead of tab10.</t>
        </is>
      </c>
      <c r="AE20" t="n">
        <v>0</v>
      </c>
      <c r="AF20" t="n">
        <v>0</v>
      </c>
      <c r="AG20" t="inlineStr">
        <is>
          <t>The student's implementation contains multiple errors and incomplete code. The `__init__` method incorrectly attempts to use `glob.glob` on a dataset object instead of storing the dataset directly. The `__len__` method references an undefined `self.images` variable. The `rgb_to_grayscale` method incorrectly accesses `self.images` and does not properly implement the grayscale conversion formula. The `__getitem__` method is not implemented at all. As a result, the code does not run and fails to produce the expected output.</t>
        </is>
      </c>
      <c r="AH20" t="n">
        <v>11</v>
      </c>
      <c r="AI20" t="n">
        <v>0</v>
      </c>
    </row>
    <row r="21">
      <c r="A21" t="n">
        <v>20</v>
      </c>
      <c r="B21" t="inlineStr">
        <is>
          <t>TA_1</t>
        </is>
      </c>
      <c r="C21" t="inlineStr">
        <is>
          <t>TA_11</t>
        </is>
      </c>
      <c r="D21" t="n">
        <v>12</v>
      </c>
      <c r="E21" t="n">
        <v>0</v>
      </c>
      <c r="F21" t="n">
        <v>6</v>
      </c>
      <c r="G21" t="n">
        <v>0</v>
      </c>
      <c r="H21" t="n">
        <v>6</v>
      </c>
      <c r="I21" t="n">
        <v>0</v>
      </c>
      <c r="J21" t="n">
        <v>11</v>
      </c>
      <c r="K21" t="n">
        <v>0</v>
      </c>
      <c r="L21" t="n">
        <v>7.25</v>
      </c>
      <c r="M21" t="n">
        <v>0</v>
      </c>
      <c r="N21" t="n">
        <v>9.5</v>
      </c>
      <c r="O21" t="n">
        <v>0</v>
      </c>
      <c r="P21">
        <f>Table1[[#This Row],[TA 1 - Q1 Score]]+Table1[[#This Row],[TA 1 - Q2 Score]]+Table1[[#This Row],[TA 1 - Q3 Score]]</f>
        <v/>
      </c>
      <c r="Q21">
        <f>Table1[[#This Row],[TA 1 - Q1 Bonus]]+Table1[[#This Row],[TA 1 - Q2 Bonus]]+Table1[[#This Row],[TA 1 - Q4 Bonus]]</f>
        <v/>
      </c>
      <c r="R21">
        <f>Table1[[#This Row],[TA 2 - Q1 Score]]+Table1[[#This Row],[TA 2 - Q2 Score]]+Table1[[#This Row],[TA 2 - Q3 Score]]</f>
        <v/>
      </c>
      <c r="S21">
        <f>Table1[[#This Row],[TA 2 - Q1 Bonus]]+Table1[[#This Row],[TA 2 - Q2 Bonus]]+Table1[[#This Row],[TA 2 - Q4 Bonus]]</f>
        <v/>
      </c>
      <c r="T21">
        <f>(Table1[[#This Row],[TA 1 - Total Score (out of 35)]]+Table1[[#This Row],[TA 2 - Total Score (out of 35)]])/2</f>
        <v/>
      </c>
      <c r="U21">
        <f>(Table1[[#This Row],[TA 1 - Total Bonus (out of 13)]]+Table1[[#This Row],[TA 2 - Total Bonus (out of 13)]])/2</f>
        <v/>
      </c>
      <c r="V21">
        <f>Table1[[#This Row],[Average Questions]]/35*20+Table1[[#This Row],[Average Bonus]]/13*5</f>
        <v/>
      </c>
      <c r="W21" t="n">
        <v>6</v>
      </c>
      <c r="X21" t="n">
        <v>0</v>
      </c>
      <c r="Y21" t="inlineStr">
        <is>
          <t>The student completed the data loading and preparation with minor issues, such as incorrect batch size and incorrect label descriptions in the plot. The model loading and adaptation were mostly correct, but the student used EfficientNet-B0 instead of EfficientNetV2-Small. The training and validation loops had logical errors, particularly in the accuracy calculation where the labels were not adjusted correctly. The plotting of losses and accuracies was correct, but the training loop did not return the values in the expected order. No bonus task was attempted.</t>
        </is>
      </c>
      <c r="Z21" t="n">
        <v>5</v>
      </c>
      <c r="AA21" t="n">
        <v>0</v>
      </c>
      <c r="AB21" t="inlineStr">
        <is>
          <t>The student partially completed the tasks. They created a custom dataset class and used the correct transformations, including RandomRotation and resizing to 32x32. However, they did not display sample images with labels. The CNN model has a different architecture than specified, with fewer convolutional layers and different configurations. The training and validation functions were implemented but contained logical errors in the order of operations. The model was trained, but the number of epochs was too low, and the plots were generated correctly. No bonus task was attempted.</t>
        </is>
      </c>
      <c r="AC21" t="n">
        <v>6</v>
      </c>
      <c r="AD21" t="inlineStr">
        <is>
          <t>The student's submission partially completes several tasks but contains significant errors. The dataset class is correctly implemented, and data loaders are set up, though the batch size is unusually large (256). Sample images and masks are displayed correctly. The model class uses the wrong number of output classes (1 instead of 8). The training and validation loops are implemented but contain logical errors, such as not squeezing the mask dimension for cross-entropy loss. The loss and optimizer are defined, and training occurs, but the model's performance is likely poor due to the incorrect number of classes. Predictions are visualized, but the model's output is not correctly processed for multi-class segmentation.</t>
        </is>
      </c>
      <c r="AE21" t="n">
        <v>0</v>
      </c>
      <c r="AF21" t="n">
        <v>0</v>
      </c>
      <c r="AG21" t="inlineStr">
        <is>
          <t>No submission found.</t>
        </is>
      </c>
      <c r="AH21" t="n">
        <v>17</v>
      </c>
      <c r="AI21" t="n">
        <v>0</v>
      </c>
    </row>
    <row r="22">
      <c r="A22" t="n">
        <v>21</v>
      </c>
      <c r="B22" t="inlineStr">
        <is>
          <t>TA_1</t>
        </is>
      </c>
      <c r="C22" t="inlineStr">
        <is>
          <t>TA_11</t>
        </is>
      </c>
      <c r="D22" t="n">
        <v>10.5</v>
      </c>
      <c r="E22" t="n">
        <v>0</v>
      </c>
      <c r="F22" t="n">
        <v>8</v>
      </c>
      <c r="G22" t="n">
        <v>0</v>
      </c>
      <c r="H22" t="n">
        <v>9</v>
      </c>
      <c r="I22" t="n">
        <v>0</v>
      </c>
      <c r="J22" t="n">
        <v>4.75</v>
      </c>
      <c r="K22" t="n">
        <v>0</v>
      </c>
      <c r="L22" t="n">
        <v>5.75</v>
      </c>
      <c r="M22" t="n">
        <v>0</v>
      </c>
      <c r="N22" t="n">
        <v>6.5</v>
      </c>
      <c r="O22" t="n">
        <v>0</v>
      </c>
      <c r="P22">
        <f>Table1[[#This Row],[TA 1 - Q1 Score]]+Table1[[#This Row],[TA 1 - Q2 Score]]+Table1[[#This Row],[TA 1 - Q3 Score]]</f>
        <v/>
      </c>
      <c r="Q22">
        <f>Table1[[#This Row],[TA 1 - Q1 Bonus]]+Table1[[#This Row],[TA 1 - Q2 Bonus]]+Table1[[#This Row],[TA 1 - Q4 Bonus]]</f>
        <v/>
      </c>
      <c r="R22">
        <f>Table1[[#This Row],[TA 2 - Q1 Score]]+Table1[[#This Row],[TA 2 - Q2 Score]]+Table1[[#This Row],[TA 2 - Q3 Score]]</f>
        <v/>
      </c>
      <c r="S22">
        <f>Table1[[#This Row],[TA 2 - Q1 Bonus]]+Table1[[#This Row],[TA 2 - Q2 Bonus]]+Table1[[#This Row],[TA 2 - Q4 Bonus]]</f>
        <v/>
      </c>
      <c r="T22">
        <f>(Table1[[#This Row],[TA 1 - Total Score (out of 35)]]+Table1[[#This Row],[TA 2 - Total Score (out of 35)]])/2</f>
        <v/>
      </c>
      <c r="U22">
        <f>(Table1[[#This Row],[TA 1 - Total Bonus (out of 13)]]+Table1[[#This Row],[TA 2 - Total Bonus (out of 13)]])/2</f>
        <v/>
      </c>
      <c r="V22">
        <f>Table1[[#This Row],[Average Questions]]/35*20+Table1[[#This Row],[Average Bonus]]/13*5</f>
        <v/>
      </c>
      <c r="W22" t="n">
        <v>5</v>
      </c>
      <c r="X22" t="n">
        <v>0</v>
      </c>
      <c r="Y22" t="inlineStr">
        <is>
          <t>The student completed the data loading and preparation, including the necessary transformations and creation of DataLoaders, earning full marks for Part 1. However, in Part 2, the student froze all parameters instead of just the backbone, resulting in a penalty. In Part 3, the training and validation loops contained logical errors, such as incorrect handling of model outputs and labels, leading to partial credit. Part 4 was partially implemented with incorrect label adjustments and a limited number of epochs, affecting the plots. No bonus tasks were attempted.</t>
        </is>
      </c>
      <c r="Z22" t="n">
        <v>6</v>
      </c>
      <c r="AA22" t="n">
        <v>0</v>
      </c>
      <c r="AB22" t="inlineStr">
        <is>
          <t>The student completed most tasks with minor issues. The data loading and preparation section had a correct transformation pipeline but used normalization parameters not aligned with the dataset. The model definition included only three convolutional layers instead of five, and batch normalization was not added. The training and validation loops were implemented correctly, though the number of epochs was reduced to two. No bonus task was attempted.</t>
        </is>
      </c>
      <c r="AC22" t="n">
        <v>2</v>
      </c>
      <c r="AD22" t="inlineStr">
        <is>
          <t>The student attempted Task 1 by creating a custom dataset class and data loaders, but there were significant issues. The dataset class had incorrect file paths for masks, used incorrect labels, and returned an extra label. Task 2 was partially completed with the correct model definition, but Task 3 and Task 4 contained incorrect implementations of the training and validation loops, using inappropriate loss functions and data types. Task 5 was not attempted.</t>
        </is>
      </c>
      <c r="AE22" t="n">
        <v>0</v>
      </c>
      <c r="AF22" t="n">
        <v>0</v>
      </c>
      <c r="AG22" t="inlineStr">
        <is>
          <t>The student did not implement any of the required methods in the `ColorizationDataset` class. The `__init__`, `__len__`, `rgb_to_grayscale`, and `__getitem__` methods were left unimplemented with only placeholder comments. As a result, the code does not run and fails to produce the expected output.</t>
        </is>
      </c>
      <c r="AH22" t="n">
        <v>13</v>
      </c>
      <c r="AI22" t="n">
        <v>0</v>
      </c>
    </row>
    <row r="23">
      <c r="A23" t="n">
        <v>22</v>
      </c>
      <c r="B23" t="inlineStr">
        <is>
          <t>TA_1</t>
        </is>
      </c>
      <c r="C23" t="inlineStr">
        <is>
          <t>TA_11</t>
        </is>
      </c>
      <c r="D23" t="n">
        <v>8</v>
      </c>
      <c r="E23" t="n">
        <v>0</v>
      </c>
      <c r="F23" t="n">
        <v>7.5</v>
      </c>
      <c r="G23" t="n">
        <v>0</v>
      </c>
      <c r="H23" t="n">
        <v>5</v>
      </c>
      <c r="I23" t="n">
        <v>0</v>
      </c>
      <c r="J23" t="n">
        <v>5.5</v>
      </c>
      <c r="K23" t="n">
        <v>0</v>
      </c>
      <c r="L23" t="n">
        <v>6.5</v>
      </c>
      <c r="M23" t="n">
        <v>0</v>
      </c>
      <c r="N23" t="n">
        <v>-1</v>
      </c>
      <c r="O23" t="n">
        <v>0</v>
      </c>
      <c r="P23">
        <f>Table1[[#This Row],[TA 1 - Q1 Score]]+Table1[[#This Row],[TA 1 - Q2 Score]]+Table1[[#This Row],[TA 1 - Q3 Score]]</f>
        <v/>
      </c>
      <c r="Q23">
        <f>Table1[[#This Row],[TA 1 - Q1 Bonus]]+Table1[[#This Row],[TA 1 - Q2 Bonus]]+Table1[[#This Row],[TA 1 - Q4 Bonus]]</f>
        <v/>
      </c>
      <c r="R23">
        <f>Table1[[#This Row],[TA 2 - Q1 Score]]+Table1[[#This Row],[TA 2 - Q2 Score]]+Table1[[#This Row],[TA 2 - Q3 Score]]</f>
        <v/>
      </c>
      <c r="S23">
        <f>Table1[[#This Row],[TA 2 - Q1 Bonus]]+Table1[[#This Row],[TA 2 - Q2 Bonus]]+Table1[[#This Row],[TA 2 - Q4 Bonus]]</f>
        <v/>
      </c>
      <c r="T23">
        <f>(Table1[[#This Row],[TA 1 - Total Score (out of 35)]]+Table1[[#This Row],[TA 2 - Total Score (out of 35)]])/2</f>
        <v/>
      </c>
      <c r="U23">
        <f>(Table1[[#This Row],[TA 1 - Total Bonus (out of 13)]]+Table1[[#This Row],[TA 2 - Total Bonus (out of 13)]])/2</f>
        <v/>
      </c>
      <c r="V23">
        <f>Table1[[#This Row],[Average Questions]]/35*20+Table1[[#This Row],[Average Bonus]]/13*5</f>
        <v/>
      </c>
      <c r="W23" t="n">
        <v>2</v>
      </c>
      <c r="X23" t="n">
        <v>0</v>
      </c>
      <c r="Y23" t="inlineStr">
        <is>
          <t>The student completed the data loading and transformation tasks correctly, including resizing, converting to tensor, and normalizing the images. However, the DataLoader creation had a mistake with shuffling the test set, and the sample image display did not adjust labels correctly. The model loading and adaptation were incorrect, with the entire model unfrozen and the classifier incorrectly set to 1 output class. The training and validation loops had significant issues, using BCEWithLogitsLoss and float targets instead of CrossEntropyLoss and integer labels. No bonus tasks were attempted.</t>
        </is>
      </c>
      <c r="Z23" t="n">
        <v>6</v>
      </c>
      <c r="AA23" t="n">
        <v>0</v>
      </c>
      <c r="AB23" t="inlineStr">
        <is>
          <t>The student partially completed the tasks. They correctly set up the dataset and DataLoaders with the specified transformations, including RandomRotation and resizing to 32x32. However, the CNN model has several issues: it does not have 5 convolutional layers, the number of output classes is incorrect, and the fully connected layer dimensions do not match the input size. The training and validation functions are mostly correct but contain unnecessary softmax operations. The model setup and training loop are present but do not fully align with the requirements.</t>
        </is>
      </c>
      <c r="AC23" t="n">
        <v>4</v>
      </c>
      <c r="AD23" t="inlineStr">
        <is>
          <t>The student attempted most tasks but made significant errors. The dataset class incorrectly uses a CSV file instead of directly accessing image and mask files. The model class specifies a single output channel, contradicting the multi-class nature of the task. The training and validation loops use BCEWithLogitsLoss, which is inappropriate for multi-class segmentation. The visualization code correctly displays images and masks but does not handle multi-class predictions properly.</t>
        </is>
      </c>
      <c r="AE23" t="n">
        <v>0</v>
      </c>
      <c r="AF23" t="n">
        <v>0</v>
      </c>
      <c r="AG23" t="inlineStr">
        <is>
          <t>No submission found.</t>
        </is>
      </c>
      <c r="AH23" t="n">
        <v>12</v>
      </c>
      <c r="AI23" t="n">
        <v>0</v>
      </c>
    </row>
    <row r="24">
      <c r="A24" t="n">
        <v>23</v>
      </c>
      <c r="B24" t="inlineStr">
        <is>
          <t>TA_1</t>
        </is>
      </c>
      <c r="C24" t="inlineStr">
        <is>
          <t>TA_11</t>
        </is>
      </c>
      <c r="D24" t="n">
        <v>12</v>
      </c>
      <c r="E24" t="n">
        <v>0</v>
      </c>
      <c r="F24" t="n">
        <v>9</v>
      </c>
      <c r="G24" t="n">
        <v>0</v>
      </c>
      <c r="H24" t="n">
        <v>12.5</v>
      </c>
      <c r="I24" t="n">
        <v>0</v>
      </c>
      <c r="J24" t="n">
        <v>11</v>
      </c>
      <c r="K24" t="n">
        <v>0</v>
      </c>
      <c r="L24" t="n">
        <v>10.75</v>
      </c>
      <c r="M24" t="n">
        <v>0</v>
      </c>
      <c r="N24" t="n">
        <v>12</v>
      </c>
      <c r="O24" t="n">
        <v>0</v>
      </c>
      <c r="P24">
        <f>Table1[[#This Row],[TA 1 - Q1 Score]]+Table1[[#This Row],[TA 1 - Q2 Score]]+Table1[[#This Row],[TA 1 - Q3 Score]]</f>
        <v/>
      </c>
      <c r="Q24">
        <f>Table1[[#This Row],[TA 1 - Q1 Bonus]]+Table1[[#This Row],[TA 1 - Q2 Bonus]]+Table1[[#This Row],[TA 1 - Q4 Bonus]]</f>
        <v/>
      </c>
      <c r="R24">
        <f>Table1[[#This Row],[TA 2 - Q1 Score]]+Table1[[#This Row],[TA 2 - Q2 Score]]+Table1[[#This Row],[TA 2 - Q3 Score]]</f>
        <v/>
      </c>
      <c r="S24">
        <f>Table1[[#This Row],[TA 2 - Q1 Bonus]]+Table1[[#This Row],[TA 2 - Q2 Bonus]]+Table1[[#This Row],[TA 2 - Q4 Bonus]]</f>
        <v/>
      </c>
      <c r="T24">
        <f>(Table1[[#This Row],[TA 1 - Total Score (out of 35)]]+Table1[[#This Row],[TA 2 - Total Score (out of 35)]])/2</f>
        <v/>
      </c>
      <c r="U24">
        <f>(Table1[[#This Row],[TA 1 - Total Bonus (out of 13)]]+Table1[[#This Row],[TA 2 - Total Bonus (out of 13)]])/2</f>
        <v/>
      </c>
      <c r="V24">
        <f>Table1[[#This Row],[Average Questions]]/35*20+Table1[[#This Row],[Average Bonus]]/13*5</f>
        <v/>
      </c>
      <c r="W24" t="n">
        <v>8.5</v>
      </c>
      <c r="X24" t="n">
        <v>0</v>
      </c>
      <c r="Y24" t="inlineStr">
        <is>
          <t>The student completed most tasks correctly but made some minor mistakes. The data loading and preparation were mostly correct, with proper transformations and DataLoader creation, though the batch size was smaller than in the reference. Sample image display had issues with label indexing. The model loading and adaptation were correct, but all backbone layers were frozen instead of just the feature extractor. Training and validation loops were implemented correctly with label fixing, but the optimizer learning rate was lower than in the reference. No bonus task was attempted.</t>
        </is>
      </c>
      <c r="Z24" t="n">
        <v>7</v>
      </c>
      <c r="AA24" t="n">
        <v>0</v>
      </c>
      <c r="AB24" t="inlineStr">
        <is>
          <t>The student successfully loaded and prepared the data with correct transformations and displayed sample images. The CNN model has 5 convolutional layers but uses incorrect output dimensions for the fully connected layers. The training and validation loops are implemented correctly, and the model is trained and plotted. However, the bonus task was not attempted.</t>
        </is>
      </c>
      <c r="AC24" t="n">
        <v>8</v>
      </c>
      <c r="AD24" t="inlineStr">
        <is>
          <t>The student's submission includes most of the required tasks with minor issues. The dataset class is correctly implemented, and the DataLoaders are set up properly. However, the display of sample images and masks has a small issue with the mask shape. The model class uses the correct encoder but has a typo in the dataset download path. The training and validation loops are mostly correct but contain a mistake in the output squeezing and type conversion. The training process is set up correctly with loss and optimizer defined, and the loss curve is plotted accurately. The visualization of predictions is attempted but has issues with the mask display.</t>
        </is>
      </c>
      <c r="AE24" t="n">
        <v>0</v>
      </c>
      <c r="AF24" t="n">
        <v>0</v>
      </c>
      <c r="AG24" t="inlineStr">
        <is>
          <t>No submission found.</t>
        </is>
      </c>
      <c r="AH24" t="n">
        <v>23.5</v>
      </c>
      <c r="AI24" t="n">
        <v>0</v>
      </c>
    </row>
    <row r="25">
      <c r="A25" t="n">
        <v>24</v>
      </c>
      <c r="B25" t="inlineStr">
        <is>
          <t>TA_1</t>
        </is>
      </c>
      <c r="C25" t="inlineStr">
        <is>
          <t>TA_11</t>
        </is>
      </c>
      <c r="D25" t="n">
        <v>12</v>
      </c>
      <c r="E25" t="n">
        <v>0</v>
      </c>
      <c r="F25" t="n">
        <v>11</v>
      </c>
      <c r="G25" t="n">
        <v>0</v>
      </c>
      <c r="H25" t="n">
        <v>12</v>
      </c>
      <c r="I25" t="n">
        <v>0</v>
      </c>
      <c r="J25" t="n">
        <v>12</v>
      </c>
      <c r="K25" t="n">
        <v>0</v>
      </c>
      <c r="L25" t="n">
        <v>10.25</v>
      </c>
      <c r="M25" t="n">
        <v>0</v>
      </c>
      <c r="N25" t="n">
        <v>12</v>
      </c>
      <c r="O25" t="n">
        <v>0</v>
      </c>
      <c r="P25">
        <f>Table1[[#This Row],[TA 1 - Q1 Score]]+Table1[[#This Row],[TA 1 - Q2 Score]]+Table1[[#This Row],[TA 1 - Q3 Score]]</f>
        <v/>
      </c>
      <c r="Q25">
        <f>Table1[[#This Row],[TA 1 - Q1 Bonus]]+Table1[[#This Row],[TA 1 - Q2 Bonus]]+Table1[[#This Row],[TA 1 - Q4 Bonus]]</f>
        <v/>
      </c>
      <c r="R25">
        <f>Table1[[#This Row],[TA 2 - Q1 Score]]+Table1[[#This Row],[TA 2 - Q2 Score]]+Table1[[#This Row],[TA 2 - Q3 Score]]</f>
        <v/>
      </c>
      <c r="S25">
        <f>Table1[[#This Row],[TA 2 - Q1 Bonus]]+Table1[[#This Row],[TA 2 - Q2 Bonus]]+Table1[[#This Row],[TA 2 - Q4 Bonus]]</f>
        <v/>
      </c>
      <c r="T25">
        <f>(Table1[[#This Row],[TA 1 - Total Score (out of 35)]]+Table1[[#This Row],[TA 2 - Total Score (out of 35)]])/2</f>
        <v/>
      </c>
      <c r="U25">
        <f>(Table1[[#This Row],[TA 1 - Total Bonus (out of 13)]]+Table1[[#This Row],[TA 2 - Total Bonus (out of 13)]])/2</f>
        <v/>
      </c>
      <c r="V25">
        <f>Table1[[#This Row],[Average Questions]]/35*20+Table1[[#This Row],[Average Bonus]]/13*5</f>
        <v/>
      </c>
      <c r="W25" t="n">
        <v>8.5</v>
      </c>
      <c r="X25" t="n">
        <v>0</v>
      </c>
      <c r="Y25" t="inlineStr">
        <is>
          <t>The student completed most tasks correctly but made some minor mistakes. The data loading and preparation were mostly accurate, with the correct transformations applied. However, the DataLoader batch size was smaller than the reference solution, which may affect performance. The model loading and adaptation were correct, but the student froze all parameters instead of just the backbone. The training and validation loops were implemented correctly, including the label fix, but the student used softmax and argmax unnecessarily. The plotting of losses and accuracies was done correctly. The bonus task was not attempted.</t>
        </is>
      </c>
      <c r="Z25" t="n">
        <v>7</v>
      </c>
      <c r="AA25" t="n">
        <v>0</v>
      </c>
      <c r="AB25" t="inlineStr">
        <is>
          <t>The student successfully loaded and prepared the data with the correct transformations and displayed sample images. The CNN model was built with five convolutional layers and batch normalization, though the number of channels and kernel sizes differ from the reference solution. The training and validation loops were implemented correctly, and the model was trained and plotted. However, the student did not attempt the bonus task of adding a residual connection.</t>
        </is>
      </c>
      <c r="AC25" t="n">
        <v>8.5</v>
      </c>
      <c r="AD25" t="inlineStr">
        <is>
          <t>The student's submission largely follows the reference solution but contains minor issues. Task 1 is mostly correct with a small mistake in the mask transformation. Task 2 correctly defines the U-Net model with the specified encoder. Task 3 implements the training and validation loops accurately. Task 4 defines the loss and optimizer correctly, trains the model, and plots the loss curve. Task 5 visualizes predictions but uses grayscale for the predicted mask instead of the 'tab10' colormap. Overall, the submission is well-structured and runs end-to-end with minor visual discrepancies.</t>
        </is>
      </c>
      <c r="AE25" t="n">
        <v>0</v>
      </c>
      <c r="AF25" t="n">
        <v>0</v>
      </c>
      <c r="AG25" t="inlineStr">
        <is>
          <t>No submission found.</t>
        </is>
      </c>
      <c r="AH25" t="n">
        <v>24</v>
      </c>
      <c r="AI25" t="n">
        <v>0</v>
      </c>
    </row>
    <row r="26">
      <c r="A26" t="n">
        <v>25</v>
      </c>
      <c r="B26" t="inlineStr">
        <is>
          <t>TA_1</t>
        </is>
      </c>
      <c r="C26" t="inlineStr">
        <is>
          <t>TA_11</t>
        </is>
      </c>
      <c r="D26" t="n">
        <v>11</v>
      </c>
      <c r="E26" t="n">
        <v>4</v>
      </c>
      <c r="F26" t="n">
        <v>11</v>
      </c>
      <c r="G26" t="n">
        <v>4</v>
      </c>
      <c r="H26" t="n">
        <v>12</v>
      </c>
      <c r="I26" t="n">
        <v>0</v>
      </c>
      <c r="J26" t="n">
        <v>8</v>
      </c>
      <c r="K26" t="n">
        <v>3</v>
      </c>
      <c r="L26" t="n">
        <v>10.75</v>
      </c>
      <c r="M26" t="n">
        <v>3.75</v>
      </c>
      <c r="N26" t="n">
        <v>12</v>
      </c>
      <c r="O26" t="n">
        <v>0</v>
      </c>
      <c r="P26">
        <f>Table1[[#This Row],[TA 1 - Q1 Score]]+Table1[[#This Row],[TA 1 - Q2 Score]]+Table1[[#This Row],[TA 1 - Q3 Score]]</f>
        <v/>
      </c>
      <c r="Q26">
        <f>Table1[[#This Row],[TA 1 - Q1 Bonus]]+Table1[[#This Row],[TA 1 - Q2 Bonus]]+Table1[[#This Row],[TA 1 - Q4 Bonus]]</f>
        <v/>
      </c>
      <c r="R26">
        <f>Table1[[#This Row],[TA 2 - Q1 Score]]+Table1[[#This Row],[TA 2 - Q2 Score]]+Table1[[#This Row],[TA 2 - Q3 Score]]</f>
        <v/>
      </c>
      <c r="S26">
        <f>Table1[[#This Row],[TA 2 - Q1 Bonus]]+Table1[[#This Row],[TA 2 - Q2 Bonus]]+Table1[[#This Row],[TA 2 - Q4 Bonus]]</f>
        <v/>
      </c>
      <c r="T26">
        <f>(Table1[[#This Row],[TA 1 - Total Score (out of 35)]]+Table1[[#This Row],[TA 2 - Total Score (out of 35)]])/2</f>
        <v/>
      </c>
      <c r="U26">
        <f>(Table1[[#This Row],[TA 1 - Total Bonus (out of 13)]]+Table1[[#This Row],[TA 2 - Total Bonus (out of 13)]])/2</f>
        <v/>
      </c>
      <c r="V26">
        <f>Table1[[#This Row],[Average Questions]]/35*20+Table1[[#This Row],[Average Bonus]]/13*5</f>
        <v/>
      </c>
      <c r="W26" t="n">
        <v>7</v>
      </c>
      <c r="X26" t="n">
        <v>0</v>
      </c>
      <c r="Y26" t="inlineStr">
        <is>
          <t>The student completed most tasks with minor issues. The data loading and preparation were mostly correct, but the batch size was smaller than specified in the reference solution. The model loading and adaptation were correct, but the student did not freeze only the backbone. The training and validation loops were implemented with some unnecessary softmax operations. The plotting of losses and accuracies was correct. The bonus task was not attempted correctly, as the student did not average the predictions before computing accuracy.</t>
        </is>
      </c>
      <c r="Z26" t="n">
        <v>8</v>
      </c>
      <c r="AA26" t="n">
        <v>0</v>
      </c>
      <c r="AB26" t="inlineStr">
        <is>
          <t>The student successfully loaded and prepared the data with correct transformations and displayed sample images. The CNN model was built with 5 convolutional layers and batch normalization, though the number of output classes was incorrectly set to 10 instead of 3. The training and validation functions were implemented correctly, and the model was trained and plotted. However, the bonus task was not completed as the residual connection was incorrectly defined and the model was not retrained or plotted.</t>
        </is>
      </c>
      <c r="AC26" t="n">
        <v>8.5</v>
      </c>
      <c r="AD26" t="inlineStr">
        <is>
          <t>The student's submission demonstrates a good understanding of the tasks but contains some minor issues. Task 1 is mostly correct with proper dataset class implementation and DataLoader creation, though the image transformation lacks normalization. Task 2 correctly defines the U-Net model with the specified encoder. Task 3 includes both training and validation loops with minor syntax issues. Task 4 defines the loss and optimizer correctly, trains the model, prints losses, and plots the loss curve. Task 5 visualizes predictions but uses grayscale for masks instead of the required colormap.</t>
        </is>
      </c>
      <c r="AE26" t="n">
        <v>0</v>
      </c>
      <c r="AF26" t="n">
        <v>0</v>
      </c>
      <c r="AG26" t="inlineStr">
        <is>
          <t>No submission found.</t>
        </is>
      </c>
      <c r="AH26" t="n">
        <v>23.5</v>
      </c>
      <c r="AI26" t="n">
        <v>0</v>
      </c>
    </row>
    <row r="27">
      <c r="A27" t="n">
        <v>26</v>
      </c>
      <c r="B27" t="inlineStr">
        <is>
          <t>TA_1</t>
        </is>
      </c>
      <c r="C27" t="inlineStr">
        <is>
          <t>TA_11</t>
        </is>
      </c>
      <c r="D27" t="n">
        <v>10</v>
      </c>
      <c r="E27" t="n">
        <v>0</v>
      </c>
      <c r="F27" t="n">
        <v>11</v>
      </c>
      <c r="G27" t="n">
        <v>0</v>
      </c>
      <c r="H27" t="n">
        <v>8</v>
      </c>
      <c r="I27" t="n">
        <v>0</v>
      </c>
      <c r="J27" t="n">
        <v>10</v>
      </c>
      <c r="K27" t="n">
        <v>0</v>
      </c>
      <c r="L27" t="n">
        <v>10</v>
      </c>
      <c r="M27" t="n">
        <v>0</v>
      </c>
      <c r="N27" t="n">
        <v>9</v>
      </c>
      <c r="O27" t="n">
        <v>0</v>
      </c>
      <c r="P27">
        <f>Table1[[#This Row],[TA 1 - Q1 Score]]+Table1[[#This Row],[TA 1 - Q2 Score]]+Table1[[#This Row],[TA 1 - Q3 Score]]</f>
        <v/>
      </c>
      <c r="Q27">
        <f>Table1[[#This Row],[TA 1 - Q1 Bonus]]+Table1[[#This Row],[TA 1 - Q2 Bonus]]+Table1[[#This Row],[TA 1 - Q4 Bonus]]</f>
        <v/>
      </c>
      <c r="R27">
        <f>Table1[[#This Row],[TA 2 - Q1 Score]]+Table1[[#This Row],[TA 2 - Q2 Score]]+Table1[[#This Row],[TA 2 - Q3 Score]]</f>
        <v/>
      </c>
      <c r="S27">
        <f>Table1[[#This Row],[TA 2 - Q1 Bonus]]+Table1[[#This Row],[TA 2 - Q2 Bonus]]+Table1[[#This Row],[TA 2 - Q4 Bonus]]</f>
        <v/>
      </c>
      <c r="T27">
        <f>(Table1[[#This Row],[TA 1 - Total Score (out of 35)]]+Table1[[#This Row],[TA 2 - Total Score (out of 35)]])/2</f>
        <v/>
      </c>
      <c r="U27">
        <f>(Table1[[#This Row],[TA 1 - Total Bonus (out of 13)]]+Table1[[#This Row],[TA 2 - Total Bonus (out of 13)]])/2</f>
        <v/>
      </c>
      <c r="V27">
        <f>Table1[[#This Row],[Average Questions]]/35*20+Table1[[#This Row],[Average Bonus]]/13*5</f>
        <v/>
      </c>
      <c r="W27" t="n">
        <v>7</v>
      </c>
      <c r="X27" t="n">
        <v>0</v>
      </c>
      <c r="Y27" t="inlineStr">
        <is>
          <t>The student completed most tasks with minor issues. Transforms were correctly defined, and DataLoaders were created. Sample images were displayed, though with hardcoded indices. The model was loaded and adapted correctly, with the backbone frozen and classifier replaced. Training and validation loops were implemented but contained label fixing errors and premature loop breaks. Training and validation losses and accuracies were plotted. No bonus task was attempted.</t>
        </is>
      </c>
      <c r="Z27" t="n">
        <v>7</v>
      </c>
      <c r="AA27" t="n">
        <v>0</v>
      </c>
      <c r="AB27" t="inlineStr">
        <is>
          <t>The student implemented a custom dataset class and used the correct transformations, earning full marks for Part 1. The CNN model has more layers than required but does not meet the exact specification of 5 convolutional layers with batch normalization, resulting in partial credit for Part 2. The training and validation loops are correctly implemented, earning full marks for Part 3. The model setup, training, and plotting of losses and accuracies are mostly correct, earning full marks for Part 4. No bonus task was attempted.</t>
        </is>
      </c>
      <c r="AC27" t="n">
        <v>5</v>
      </c>
      <c r="AD27" t="inlineStr">
        <is>
          <t>The student partially completed the tasks with some syntax and logical errors. The dataset class and data loaders were implemented correctly, but the display of sample images and masks had issues with tensor dimensions. The model class used the correct architecture but was not fully integrated. The training and validation loops contained errors in handling the mask data types, leading to incorrect loss calculations. The training process was attempted but did not run due to these issues. Visualization of predictions was incorrect, using sigmoid activation and binary thresholding instead of argmax for multi-class segmentation.</t>
        </is>
      </c>
      <c r="AE27" t="n">
        <v>0</v>
      </c>
      <c r="AF27" t="n">
        <v>0</v>
      </c>
      <c r="AG27" t="inlineStr">
        <is>
          <t>No submission found.</t>
        </is>
      </c>
      <c r="AH27" t="n">
        <v>19</v>
      </c>
      <c r="AI27" t="n">
        <v>0</v>
      </c>
    </row>
    <row r="28">
      <c r="A28" t="n">
        <v>27</v>
      </c>
      <c r="B28" t="inlineStr">
        <is>
          <t>TA_1</t>
        </is>
      </c>
      <c r="C28" t="inlineStr">
        <is>
          <t>TA_11</t>
        </is>
      </c>
      <c r="D28" t="n">
        <v>12</v>
      </c>
      <c r="E28" t="n">
        <v>4</v>
      </c>
      <c r="F28" t="n">
        <v>11</v>
      </c>
      <c r="G28" t="n">
        <v>0</v>
      </c>
      <c r="H28" t="n">
        <v>12</v>
      </c>
      <c r="I28" t="n">
        <v>5</v>
      </c>
      <c r="J28" t="n">
        <v>12</v>
      </c>
      <c r="K28" t="n">
        <v>4</v>
      </c>
      <c r="L28" t="n">
        <v>11</v>
      </c>
      <c r="M28" t="n">
        <v>0</v>
      </c>
      <c r="N28" t="n">
        <v>12</v>
      </c>
      <c r="O28" t="n">
        <v>5</v>
      </c>
      <c r="P28">
        <f>Table1[[#This Row],[TA 1 - Q1 Score]]+Table1[[#This Row],[TA 1 - Q2 Score]]+Table1[[#This Row],[TA 1 - Q3 Score]]</f>
        <v/>
      </c>
      <c r="Q28">
        <f>Table1[[#This Row],[TA 1 - Q1 Bonus]]+Table1[[#This Row],[TA 1 - Q2 Bonus]]+Table1[[#This Row],[TA 1 - Q4 Bonus]]</f>
        <v/>
      </c>
      <c r="R28">
        <f>Table1[[#This Row],[TA 2 - Q1 Score]]+Table1[[#This Row],[TA 2 - Q2 Score]]+Table1[[#This Row],[TA 2 - Q3 Score]]</f>
        <v/>
      </c>
      <c r="S28">
        <f>Table1[[#This Row],[TA 2 - Q1 Bonus]]+Table1[[#This Row],[TA 2 - Q2 Bonus]]+Table1[[#This Row],[TA 2 - Q4 Bonus]]</f>
        <v/>
      </c>
      <c r="T28">
        <f>(Table1[[#This Row],[TA 1 - Total Score (out of 35)]]+Table1[[#This Row],[TA 2 - Total Score (out of 35)]])/2</f>
        <v/>
      </c>
      <c r="U28">
        <f>(Table1[[#This Row],[TA 1 - Total Bonus (out of 13)]]+Table1[[#This Row],[TA 2 - Total Bonus (out of 13)]])/2</f>
        <v/>
      </c>
      <c r="V28">
        <f>Table1[[#This Row],[Average Questions]]/35*20+Table1[[#This Row],[Average Bonus]]/13*5</f>
        <v/>
      </c>
      <c r="W28" t="n">
        <v>8.5</v>
      </c>
      <c r="X28" t="n">
        <v>1</v>
      </c>
      <c r="Y28" t="inlineStr">
        <is>
          <t>The student completed most tasks correctly, including defining transforms, creating DataLoaders, displaying sample images, loading and adapting the pretrained model, and setting up training and validation loops. However, there were minor issues such as incorrect label adjustment in the validation loop and using a different optimizer (AdamW instead of Adam). The bonus task was partially implemented with correct predictions for original, horizontal, and vertical flips, but the final averaged predictions were not used for accuracy calculation.</t>
        </is>
      </c>
      <c r="Z28" t="n">
        <v>8</v>
      </c>
      <c r="AA28" t="n">
        <v>0</v>
      </c>
      <c r="AB28" t="inlineStr">
        <is>
          <t>The student successfully loaded and prepared the data with the correct transformations and displayed sample images. The CNN model was built with 5 convolutional layers and batch normalization, though the number of channels and fully connected layer sizes differ from the reference solution. The training and validation functions were implemented correctly, and the model was trained and plotted with losses and accuracies. However, the bonus task was not completed.</t>
        </is>
      </c>
      <c r="AC28" t="n">
        <v>8</v>
      </c>
      <c r="AD28" t="inlineStr">
        <is>
          <t>The student's submission includes most of the required tasks with some minor issues. The dataset class is implemented correctly, but the DataLoader setup uses a batch size of 32, which is not specified in the reference solution. The model class uses the correct architecture with efficientnet-b1 encoder. Training and validation loops are implemented with minor syntax issues. The loss and optimizer are defined correctly, and the training process runs without errors. However, the visualization of predictions has some issues with denormalization and plotting, leading to incorrect display of images.</t>
        </is>
      </c>
      <c r="AE28" t="n">
        <v>0</v>
      </c>
      <c r="AF28" t="n">
        <v>0</v>
      </c>
      <c r="AG28" t="inlineStr">
        <is>
          <t>The student's implementation contains a critical error in the `rgb_to_grayscale` method where the grayscale calculation incorrectly uses the same channel (img[0]) three times instead of using img[0], img[1], and img[2] for red, green, and blue channels respectively. This results in an incorrect grayscale conversion. Additionally, the code does not contain any syntax or logical errors other than this critical mistake, which prevents the entire implementation from being correct.</t>
        </is>
      </c>
      <c r="AH28" t="n">
        <v>24.5</v>
      </c>
      <c r="AI28" t="n">
        <v>1</v>
      </c>
    </row>
    <row r="29">
      <c r="A29" t="n">
        <v>28</v>
      </c>
      <c r="B29" t="inlineStr">
        <is>
          <t>TA_1</t>
        </is>
      </c>
      <c r="C29" t="inlineStr">
        <is>
          <t>TA_11</t>
        </is>
      </c>
      <c r="D29" t="n">
        <v>10</v>
      </c>
      <c r="E29" t="n">
        <v>0</v>
      </c>
      <c r="F29" t="n">
        <v>11</v>
      </c>
      <c r="G29" t="n">
        <v>0</v>
      </c>
      <c r="H29" t="n">
        <v>8</v>
      </c>
      <c r="I29" t="n">
        <v>0</v>
      </c>
      <c r="J29" t="n">
        <v>8.5</v>
      </c>
      <c r="K29" t="n">
        <v>4</v>
      </c>
      <c r="L29" t="n">
        <v>9.25</v>
      </c>
      <c r="M29" t="n">
        <v>0</v>
      </c>
      <c r="N29" t="n">
        <v>7</v>
      </c>
      <c r="O29" t="n">
        <v>0</v>
      </c>
      <c r="P29">
        <f>Table1[[#This Row],[TA 1 - Q1 Score]]+Table1[[#This Row],[TA 1 - Q2 Score]]+Table1[[#This Row],[TA 1 - Q3 Score]]</f>
        <v/>
      </c>
      <c r="Q29">
        <f>Table1[[#This Row],[TA 1 - Q1 Bonus]]+Table1[[#This Row],[TA 1 - Q2 Bonus]]+Table1[[#This Row],[TA 1 - Q4 Bonus]]</f>
        <v/>
      </c>
      <c r="R29">
        <f>Table1[[#This Row],[TA 2 - Q1 Score]]+Table1[[#This Row],[TA 2 - Q2 Score]]+Table1[[#This Row],[TA 2 - Q3 Score]]</f>
        <v/>
      </c>
      <c r="S29">
        <f>Table1[[#This Row],[TA 2 - Q1 Bonus]]+Table1[[#This Row],[TA 2 - Q2 Bonus]]+Table1[[#This Row],[TA 2 - Q4 Bonus]]</f>
        <v/>
      </c>
      <c r="T29">
        <f>(Table1[[#This Row],[TA 1 - Total Score (out of 35)]]+Table1[[#This Row],[TA 2 - Total Score (out of 35)]])/2</f>
        <v/>
      </c>
      <c r="U29">
        <f>(Table1[[#This Row],[TA 1 - Total Bonus (out of 13)]]+Table1[[#This Row],[TA 2 - Total Bonus (out of 13)]])/2</f>
        <v/>
      </c>
      <c r="V29">
        <f>Table1[[#This Row],[Average Questions]]/35*20+Table1[[#This Row],[Average Bonus]]/13*5</f>
        <v/>
      </c>
      <c r="W29" t="n">
        <v>8</v>
      </c>
      <c r="X29" t="n">
        <v>0</v>
      </c>
      <c r="Y29" t="inlineStr">
        <is>
          <t>The student completed most tasks correctly but made several minor mistakes. The data loading and preparation were mostly accurate, though the visualization function had issues with label mapping. The model loading and adaptation were correct, but the student froze all parameters instead of just the backbone. The training and validation loops were implemented but did not adjust labels correctly, leading to a penalty. The plotting of losses and accuracies was done correctly. The bonus task was not fully implemented as the validation function did not correctly adjust labels.</t>
        </is>
      </c>
      <c r="Z29" t="n">
        <v>6</v>
      </c>
      <c r="AA29" t="n">
        <v>0</v>
      </c>
      <c r="AB29" t="inlineStr">
        <is>
          <t>The student successfully loaded and prepared the data with the correct transformations and displayed sample images. The CNN model was built with five convolutional layers and batch normalization, though the residual connection implementation was incorrect. The training and validation loops were implemented correctly, and the model was trained and plotted. However, the bonus task was not completed due to incorrect residual connection implementation.</t>
        </is>
      </c>
      <c r="AC29" t="n">
        <v>5</v>
      </c>
      <c r="AD29" t="inlineStr">
        <is>
          <t>The student attempted most tasks but made several mistakes. In Task 1, the dataset class has issues with loading images and masks, and the metadata handling is incorrect. The DataLoader creation and sample display are partially correct. Task 2 correctly defines the U-Net model with the specified encoder. Task 3 implements training and validation loops with minor issues in mask handling. Task 4 defines the loss and optimizer but uses a different learning rate and does not plot the loss curve. Task 5 is incomplete as no visualization code was provided.</t>
        </is>
      </c>
      <c r="AE29" t="n">
        <v>0</v>
      </c>
      <c r="AF29" t="n">
        <v>0</v>
      </c>
      <c r="AG29" t="inlineStr">
        <is>
          <t>No submission found.</t>
        </is>
      </c>
      <c r="AH29" t="n">
        <v>19</v>
      </c>
      <c r="AI29" t="n">
        <v>0</v>
      </c>
    </row>
    <row r="30">
      <c r="A30" t="n">
        <v>29</v>
      </c>
      <c r="B30" t="inlineStr">
        <is>
          <t>TA_1</t>
        </is>
      </c>
      <c r="C30" t="inlineStr">
        <is>
          <t>TA_11</t>
        </is>
      </c>
      <c r="D30" t="n">
        <v>12</v>
      </c>
      <c r="E30" t="n">
        <v>0</v>
      </c>
      <c r="F30" t="n">
        <v>11</v>
      </c>
      <c r="G30" t="n">
        <v>3</v>
      </c>
      <c r="H30" t="n">
        <v>12</v>
      </c>
      <c r="I30" t="n">
        <v>0</v>
      </c>
      <c r="J30" t="n">
        <v>9.5</v>
      </c>
      <c r="K30" t="n">
        <v>3.5</v>
      </c>
      <c r="L30" t="n">
        <v>10.25</v>
      </c>
      <c r="M30" t="n">
        <v>1</v>
      </c>
      <c r="N30" t="n">
        <v>12</v>
      </c>
      <c r="O30" t="n">
        <v>0</v>
      </c>
      <c r="P30">
        <f>Table1[[#This Row],[TA 1 - Q1 Score]]+Table1[[#This Row],[TA 1 - Q2 Score]]+Table1[[#This Row],[TA 1 - Q3 Score]]</f>
        <v/>
      </c>
      <c r="Q30">
        <f>Table1[[#This Row],[TA 1 - Q1 Bonus]]+Table1[[#This Row],[TA 1 - Q2 Bonus]]+Table1[[#This Row],[TA 1 - Q4 Bonus]]</f>
        <v/>
      </c>
      <c r="R30">
        <f>Table1[[#This Row],[TA 2 - Q1 Score]]+Table1[[#This Row],[TA 2 - Q2 Score]]+Table1[[#This Row],[TA 2 - Q3 Score]]</f>
        <v/>
      </c>
      <c r="S30">
        <f>Table1[[#This Row],[TA 2 - Q1 Bonus]]+Table1[[#This Row],[TA 2 - Q2 Bonus]]+Table1[[#This Row],[TA 2 - Q4 Bonus]]</f>
        <v/>
      </c>
      <c r="T30">
        <f>(Table1[[#This Row],[TA 1 - Total Score (out of 35)]]+Table1[[#This Row],[TA 2 - Total Score (out of 35)]])/2</f>
        <v/>
      </c>
      <c r="U30">
        <f>(Table1[[#This Row],[TA 1 - Total Bonus (out of 13)]]+Table1[[#This Row],[TA 2 - Total Bonus (out of 13)]])/2</f>
        <v/>
      </c>
      <c r="V30">
        <f>Table1[[#This Row],[Average Questions]]/35*20+Table1[[#This Row],[Average Bonus]]/13*5</f>
        <v/>
      </c>
      <c r="W30" t="n">
        <v>7</v>
      </c>
      <c r="X30" t="n">
        <v>0</v>
      </c>
      <c r="Y30" t="inlineStr">
        <is>
          <t>The student completed most tasks with minor issues. The data loading and preparation section had a redundant transform definition (T_transform) and used a smaller batch size. The model setup and adaptation were mostly correct but the classifier modification was not properly explained. The training and validation loops contained logical errors, such as squeezing outputs unnecessarily and incorrect handling of model outputs. The plotting section was correct. The bonus task was not implemented correctly, as the validation function did not properly handle augmented images.</t>
        </is>
      </c>
      <c r="Z30" t="n">
        <v>6</v>
      </c>
      <c r="AA30" t="n">
        <v>0</v>
      </c>
      <c r="AB30" t="inlineStr">
        <is>
          <t>The student successfully loaded and prepared the data with the correct transformations and displayed sample images. The CNN model was built with 5 convolutional layers and batch normalization, though the number of channels in the layers differs from the reference solution. The training and validation functions were implemented correctly, and the model was trained and plotted. However, the bonus task was not completed as the residual connection was incorrectly defined and the model did not retrain with the residual connection.</t>
        </is>
      </c>
      <c r="AC30" t="n">
        <v>10</v>
      </c>
      <c r="AD30" t="inlineStr">
        <is>
          <t>The student's submission is mostly correct and runs end-to-end. The dataset class is implemented correctly, and the DataLoaders are set up properly. Sample images and masks are displayed accurately. The U-Net model with efficientnet-b0 encoder is defined as required. Training and validation loops are implemented with minor issues, such as using AdamW instead of Adam for optimization. The model trains and validates without errors, and the loss curve is plotted correctly. Predictions are visualized against ground truth masks, though the colormap used for predictions is gray instead of tab10. Overall, the submission meets the requirements with only slight deviations.</t>
        </is>
      </c>
      <c r="AE30" t="n">
        <v>0</v>
      </c>
      <c r="AF30" t="n">
        <v>0</v>
      </c>
      <c r="AG30" t="inlineStr">
        <is>
          <t>The student's submission contains multiple issues. The `ColorizationDataset` class is partially implemented with syntax errors and logical mistakes. The `rgb_to_grayscale` method is incomplete and uses undefined variables (R, G, B). The `__getitem__` method incorrectly attempts to load images using PIL instead of using the provided CIFAR-10 dataset. The visualization and DataLoader tests are not functional due to these errors.</t>
        </is>
      </c>
      <c r="AH30" t="n">
        <v>23</v>
      </c>
      <c r="AI30" t="n">
        <v>0</v>
      </c>
    </row>
    <row r="31">
      <c r="A31" t="n">
        <v>30</v>
      </c>
      <c r="B31" t="inlineStr">
        <is>
          <t>TA_1</t>
        </is>
      </c>
      <c r="C31" t="inlineStr">
        <is>
          <t>TA_11</t>
        </is>
      </c>
      <c r="D31" t="n">
        <v>7.5</v>
      </c>
      <c r="E31" t="n">
        <v>0</v>
      </c>
      <c r="F31" t="n">
        <v>6</v>
      </c>
      <c r="G31" t="n">
        <v>0</v>
      </c>
      <c r="H31" t="n">
        <v>6</v>
      </c>
      <c r="I31" t="n">
        <v>0</v>
      </c>
      <c r="J31" t="n">
        <v>4.25</v>
      </c>
      <c r="K31" t="n">
        <v>0.5</v>
      </c>
      <c r="L31" t="n">
        <v>3.25</v>
      </c>
      <c r="M31" t="n">
        <v>0</v>
      </c>
      <c r="N31" t="n">
        <v>8.5</v>
      </c>
      <c r="O31" t="n">
        <v>0</v>
      </c>
      <c r="P31">
        <f>Table1[[#This Row],[TA 1 - Q1 Score]]+Table1[[#This Row],[TA 1 - Q2 Score]]+Table1[[#This Row],[TA 1 - Q3 Score]]</f>
        <v/>
      </c>
      <c r="Q31">
        <f>Table1[[#This Row],[TA 1 - Q1 Bonus]]+Table1[[#This Row],[TA 1 - Q2 Bonus]]+Table1[[#This Row],[TA 1 - Q4 Bonus]]</f>
        <v/>
      </c>
      <c r="R31">
        <f>Table1[[#This Row],[TA 2 - Q1 Score]]+Table1[[#This Row],[TA 2 - Q2 Score]]+Table1[[#This Row],[TA 2 - Q3 Score]]</f>
        <v/>
      </c>
      <c r="S31">
        <f>Table1[[#This Row],[TA 2 - Q1 Bonus]]+Table1[[#This Row],[TA 2 - Q2 Bonus]]+Table1[[#This Row],[TA 2 - Q4 Bonus]]</f>
        <v/>
      </c>
      <c r="T31">
        <f>(Table1[[#This Row],[TA 1 - Total Score (out of 35)]]+Table1[[#This Row],[TA 2 - Total Score (out of 35)]])/2</f>
        <v/>
      </c>
      <c r="U31">
        <f>(Table1[[#This Row],[TA 1 - Total Bonus (out of 13)]]+Table1[[#This Row],[TA 2 - Total Bonus (out of 13)]])/2</f>
        <v/>
      </c>
      <c r="V31">
        <f>Table1[[#This Row],[Average Questions]]/35*20+Table1[[#This Row],[Average Bonus]]/13*5</f>
        <v/>
      </c>
      <c r="W31" t="n">
        <v>3</v>
      </c>
      <c r="X31" t="n">
        <v>0</v>
      </c>
      <c r="Y31" t="inlineStr">
        <is>
          <t>The student completed the data loading and transformation tasks correctly, including resizing, converting to tensor, and normalizing the images. They also created the DataLoaders and displayed sample images. However, the model setup and adaptation were incorrect, with the student attempting to extract features manually rather than freezing the backbone and replacing the classifier head. The training and validation loops had issues, such as squeezing the model outputs and not adjusting the labels. The bonus task was not attempted.</t>
        </is>
      </c>
      <c r="Z31" t="n">
        <v>2</v>
      </c>
      <c r="AA31" t="n">
        <v>0</v>
      </c>
      <c r="AB31" t="inlineStr">
        <is>
          <t>The student attempted several tasks but made significant errors. The dataset loading and preparation section had issues with incorrect directory paths and transformations. The CNN model definition contained logical errors, such as incorrect batch normalization dimensions and an incorrect number of convolutional layers. The training and validation functions were partially correct but included mistakes like ignoring labels in the training loop. The training setup and execution were mostly correct, but the model did not run due to previous errors. No bonus tasks were attempted.</t>
        </is>
      </c>
      <c r="AC31" t="n">
        <v>6</v>
      </c>
      <c r="AD31" t="inlineStr">
        <is>
          <t>The student attempted most tasks but made several mistakes. In Task 1, the dataset paths were hardcoded instead of using the downloaded path variable. The image and mask resizing dimensions were smaller than those in the reference solution, which might affect performance. Task 2 had an incorrect number of classes specified (5 instead of 8). Task 3 and Task 4 were mostly correct but contained minor issues like unnecessary imports and redundant code. Task 5 visualizations were attempted but used grayscale for predictions instead of the 'tab10' colormap specified in the rubric.</t>
        </is>
      </c>
      <c r="AE31" t="n">
        <v>0</v>
      </c>
      <c r="AF31" t="n">
        <v>0</v>
      </c>
      <c r="AG31" t="inlineStr">
        <is>
          <t>No submission found.</t>
        </is>
      </c>
      <c r="AH31" t="n">
        <v>11</v>
      </c>
      <c r="AI31" t="n">
        <v>0</v>
      </c>
    </row>
    <row r="32">
      <c r="A32" t="n">
        <v>31</v>
      </c>
      <c r="B32" t="inlineStr">
        <is>
          <t>TA_1</t>
        </is>
      </c>
      <c r="C32" t="inlineStr">
        <is>
          <t>TA_11</t>
        </is>
      </c>
      <c r="D32" t="n">
        <v>3</v>
      </c>
      <c r="E32" t="n">
        <v>0</v>
      </c>
      <c r="F32" t="n">
        <v>6.5</v>
      </c>
      <c r="G32" t="n">
        <v>0</v>
      </c>
      <c r="H32" t="n">
        <v>6</v>
      </c>
      <c r="I32" t="n">
        <v>0</v>
      </c>
      <c r="J32" t="n">
        <v>0</v>
      </c>
      <c r="K32" t="n">
        <v>0</v>
      </c>
      <c r="L32" t="n">
        <v>4.5</v>
      </c>
      <c r="M32" t="n">
        <v>0</v>
      </c>
      <c r="N32" t="n">
        <v>0</v>
      </c>
      <c r="O32" t="n">
        <v>0</v>
      </c>
      <c r="P32">
        <f>Table1[[#This Row],[TA 1 - Q1 Score]]+Table1[[#This Row],[TA 1 - Q2 Score]]+Table1[[#This Row],[TA 1 - Q3 Score]]</f>
        <v/>
      </c>
      <c r="Q32">
        <f>Table1[[#This Row],[TA 1 - Q1 Bonus]]+Table1[[#This Row],[TA 1 - Q2 Bonus]]+Table1[[#This Row],[TA 1 - Q4 Bonus]]</f>
        <v/>
      </c>
      <c r="R32">
        <f>Table1[[#This Row],[TA 2 - Q1 Score]]+Table1[[#This Row],[TA 2 - Q2 Score]]+Table1[[#This Row],[TA 2 - Q3 Score]]</f>
        <v/>
      </c>
      <c r="S32">
        <f>Table1[[#This Row],[TA 2 - Q1 Bonus]]+Table1[[#This Row],[TA 2 - Q2 Bonus]]+Table1[[#This Row],[TA 2 - Q4 Bonus]]</f>
        <v/>
      </c>
      <c r="T32">
        <f>(Table1[[#This Row],[TA 1 - Total Score (out of 35)]]+Table1[[#This Row],[TA 2 - Total Score (out of 35)]])/2</f>
        <v/>
      </c>
      <c r="U32">
        <f>(Table1[[#This Row],[TA 1 - Total Bonus (out of 13)]]+Table1[[#This Row],[TA 2 - Total Bonus (out of 13)]])/2</f>
        <v/>
      </c>
      <c r="V32">
        <f>Table1[[#This Row],[Average Questions]]/35*20+Table1[[#This Row],[Average Bonus]]/13*5</f>
        <v/>
      </c>
      <c r="W32" t="n">
        <v>0.5</v>
      </c>
      <c r="X32" t="n">
        <v>0</v>
      </c>
      <c r="Y32" t="inlineStr">
        <is>
          <t>The student attempted most tasks but made significant errors. In Part 1, the transforms were mostly correct but the DataLoader batch size was smaller than the reference. In Part 2, the student incorrectly modified the EfficientNetV2-Small model for binary classification instead of adapting it for 26 classes. In Part 3, the training and validation loops were incorrect due to the binary classification setup. In Part 4, the student used BCEWithLogitsLoss and a sigmoid activation, which is inappropriate for multi-class classification. No bonus task was attempted.</t>
        </is>
      </c>
      <c r="Z32" t="n">
        <v>5</v>
      </c>
      <c r="AA32" t="n">
        <v>0</v>
      </c>
      <c r="AB32" t="inlineStr">
        <is>
          <t>The student attempted all base tasks but made several mistakes. In Part 1, the dataset class incorrectly reads labels as floats instead of integers, and the test DataLoader uses an undefined variable 'valid_dataset'. The transforms are mostly correct but include normalization parameters not aligned with the dataset. In Part 2, the CNN model has incorrect channel sizes in the convolutional layers and an incorrect number of output classes. In Part 3, the training and validation loops are mostly correct but include unnecessary softmax operations. In Part 4, the model setup and training process are correct, but the dataset issues prevent successful execution. No bonus tasks were attempted.</t>
        </is>
      </c>
      <c r="AC32" t="n">
        <v>4</v>
      </c>
      <c r="AD32" t="inlineStr">
        <is>
          <t>The student attempted most tasks but made significant errors. Task 1 had issues with dataset loading and splitting, using incorrect paths and methods. Task 2 used the wrong number of classes for the U-Net model. Task 3 had incomplete training and validation loops with incorrect data handling. Task 4 used BCEWithLogitsLoss instead of CrossEntropyLoss and had incorrect data types. Task 5 had issues with prediction visualization, using sigmoid and thresholding for a multi-class problem.</t>
        </is>
      </c>
      <c r="AE32" t="n">
        <v>0</v>
      </c>
      <c r="AF32" t="n">
        <v>0</v>
      </c>
      <c r="AG32" t="inlineStr">
        <is>
          <t>The student's submission contains significant errors and incomplete implementations. The `ColorizationDataset` class is incorrectly initialized with unnecessary image path handling, which is not required for the CIFAR-10 dataset. The `rgb_to_grayscale` method is incorrectly implemented with a non-functional formula. The `__getitem__` method is incomplete and does not return the required grayscale and color image tuples. The visualization and DataLoader tests are not functional due to the incorrect implementation of the dataset class.</t>
        </is>
      </c>
      <c r="AH32" t="n">
        <v>9.5</v>
      </c>
      <c r="AI32" t="n">
        <v>0</v>
      </c>
    </row>
    <row r="33">
      <c r="A33" t="n">
        <v>32</v>
      </c>
      <c r="B33" t="inlineStr">
        <is>
          <t>TA_1</t>
        </is>
      </c>
      <c r="C33" t="inlineStr">
        <is>
          <t>TA_11</t>
        </is>
      </c>
      <c r="D33" t="n">
        <v>12</v>
      </c>
      <c r="E33" t="n">
        <v>4</v>
      </c>
      <c r="F33" t="n">
        <v>11</v>
      </c>
      <c r="G33" t="n">
        <v>0</v>
      </c>
      <c r="H33" t="n">
        <v>12</v>
      </c>
      <c r="I33" t="n">
        <v>0</v>
      </c>
      <c r="J33" t="n">
        <v>9.5</v>
      </c>
      <c r="K33" t="n">
        <v>4</v>
      </c>
      <c r="L33" t="n">
        <v>10.5</v>
      </c>
      <c r="M33" t="n">
        <v>0</v>
      </c>
      <c r="N33" t="n">
        <v>11.5</v>
      </c>
      <c r="O33" t="n">
        <v>0</v>
      </c>
      <c r="P33">
        <f>Table1[[#This Row],[TA 1 - Q1 Score]]+Table1[[#This Row],[TA 1 - Q2 Score]]+Table1[[#This Row],[TA 1 - Q3 Score]]</f>
        <v/>
      </c>
      <c r="Q33">
        <f>Table1[[#This Row],[TA 1 - Q1 Bonus]]+Table1[[#This Row],[TA 1 - Q2 Bonus]]+Table1[[#This Row],[TA 1 - Q4 Bonus]]</f>
        <v/>
      </c>
      <c r="R33">
        <f>Table1[[#This Row],[TA 2 - Q1 Score]]+Table1[[#This Row],[TA 2 - Q2 Score]]+Table1[[#This Row],[TA 2 - Q3 Score]]</f>
        <v/>
      </c>
      <c r="S33">
        <f>Table1[[#This Row],[TA 2 - Q1 Bonus]]+Table1[[#This Row],[TA 2 - Q2 Bonus]]+Table1[[#This Row],[TA 2 - Q4 Bonus]]</f>
        <v/>
      </c>
      <c r="T33">
        <f>(Table1[[#This Row],[TA 1 - Total Score (out of 35)]]+Table1[[#This Row],[TA 2 - Total Score (out of 35)]])/2</f>
        <v/>
      </c>
      <c r="U33">
        <f>(Table1[[#This Row],[TA 1 - Total Bonus (out of 13)]]+Table1[[#This Row],[TA 2 - Total Bonus (out of 13)]])/2</f>
        <v/>
      </c>
      <c r="V33">
        <f>Table1[[#This Row],[Average Questions]]/35*20+Table1[[#This Row],[Average Bonus]]/13*5</f>
        <v/>
      </c>
      <c r="W33" t="n">
        <v>7</v>
      </c>
      <c r="X33" t="n">
        <v>0</v>
      </c>
      <c r="Y33" t="inlineStr">
        <is>
          <t>The student completed most tasks with minor issues. The data loading and preparation were mostly correct, but the batch size was unusually large (3072), which may cause memory issues. The model loading and adaptation were correct, but the student used the wrong import statement for EfficientNetV2-Small. The training and validation loops had syntax errors, particularly in the output squeezing and label adjustment. The plotting of losses and accuracies was correct, but the bonus task was not implemented properly, as the labels were not adjusted for 0-indexing.</t>
        </is>
      </c>
      <c r="Z33" t="n">
        <v>7</v>
      </c>
      <c r="AA33" t="n">
        <v>0</v>
      </c>
      <c r="AB33" t="inlineStr">
        <is>
          <t>The student successfully loaded and prepared the data with the correct transformations and displayed sample images. The CNN model was built with five convolutional layers and batch normalization, though the model class name was incorrectly named 'SimpleFashionCNN'. The training and validation loops were implemented correctly, and the model was trained and plotted. However, the student used the same test path for both training and testing datasets, which is incorrect.</t>
        </is>
      </c>
      <c r="AC33" t="n">
        <v>8.5</v>
      </c>
      <c r="AD33" t="inlineStr">
        <is>
          <t>The student successfully implemented a custom dataset class, created DataLoaders, and displayed sample images and masks, earning full points for Task 1. They correctly defined a pretrained U-Net model with an efficientnet-b1 encoder in Task 2. The training and validation loops were implemented with minor issues, such as using AdamW instead of Adam, which is acceptable. The student trained the model, printed the training and validation losses, and plotted the loss curve, earning full points for Task 4. However, the visualization of predictions had some issues, including incorrect colormap usage and unnecessary imports, resulting in partial credit for Task 5.</t>
        </is>
      </c>
      <c r="AE33" t="n">
        <v>0</v>
      </c>
      <c r="AF33" t="n">
        <v>0</v>
      </c>
      <c r="AG33" t="inlineStr">
        <is>
          <t>The student's implementation contains several errors. In the `__init__` method, the variable name `data_set` is used instead of `dataset`. The `rgb_to_grayscale` method has incorrect syntax and logic, using `img.size[0]` instead of accessing the individual channels. Additionally, the `__getitem__` method incorrectly returns the original dataset item instead of the grayscale image. These issues prevent the code from running correctly.</t>
        </is>
      </c>
      <c r="AH33" t="n">
        <v>22.5</v>
      </c>
      <c r="AI33" t="n">
        <v>0</v>
      </c>
    </row>
    <row r="34">
      <c r="A34" t="n">
        <v>33</v>
      </c>
      <c r="B34" t="inlineStr">
        <is>
          <t>TA_1</t>
        </is>
      </c>
      <c r="C34" t="inlineStr">
        <is>
          <t>TA_11</t>
        </is>
      </c>
      <c r="D34" t="n">
        <v>9</v>
      </c>
      <c r="E34" t="n">
        <v>0</v>
      </c>
      <c r="F34" t="n">
        <v>8.5</v>
      </c>
      <c r="G34" t="n">
        <v>0</v>
      </c>
      <c r="H34" t="n">
        <v>4.5</v>
      </c>
      <c r="I34" t="n">
        <v>0</v>
      </c>
      <c r="J34" t="n">
        <v>8.75</v>
      </c>
      <c r="K34" t="n">
        <v>0</v>
      </c>
      <c r="L34" t="n">
        <v>6</v>
      </c>
      <c r="M34" t="n">
        <v>0</v>
      </c>
      <c r="N34" t="n">
        <v>-1</v>
      </c>
      <c r="O34" t="n">
        <v>0</v>
      </c>
      <c r="P34">
        <f>Table1[[#This Row],[TA 1 - Q1 Score]]+Table1[[#This Row],[TA 1 - Q2 Score]]+Table1[[#This Row],[TA 1 - Q3 Score]]</f>
        <v/>
      </c>
      <c r="Q34">
        <f>Table1[[#This Row],[TA 1 - Q1 Bonus]]+Table1[[#This Row],[TA 1 - Q2 Bonus]]+Table1[[#This Row],[TA 1 - Q4 Bonus]]</f>
        <v/>
      </c>
      <c r="R34">
        <f>Table1[[#This Row],[TA 2 - Q1 Score]]+Table1[[#This Row],[TA 2 - Q2 Score]]+Table1[[#This Row],[TA 2 - Q3 Score]]</f>
        <v/>
      </c>
      <c r="S34">
        <f>Table1[[#This Row],[TA 2 - Q1 Bonus]]+Table1[[#This Row],[TA 2 - Q2 Bonus]]+Table1[[#This Row],[TA 2 - Q4 Bonus]]</f>
        <v/>
      </c>
      <c r="T34">
        <f>(Table1[[#This Row],[TA 1 - Total Score (out of 35)]]+Table1[[#This Row],[TA 2 - Total Score (out of 35)]])/2</f>
        <v/>
      </c>
      <c r="U34">
        <f>(Table1[[#This Row],[TA 1 - Total Bonus (out of 13)]]+Table1[[#This Row],[TA 2 - Total Bonus (out of 13)]])/2</f>
        <v/>
      </c>
      <c r="V34">
        <f>Table1[[#This Row],[Average Questions]]/35*20+Table1[[#This Row],[Average Bonus]]/13*5</f>
        <v/>
      </c>
      <c r="W34" t="n">
        <v>2</v>
      </c>
      <c r="X34" t="n">
        <v>0</v>
      </c>
      <c r="Y34" t="inlineStr">
        <is>
          <t>The student partially completed the tasks but made several mistakes. In Part 1, the resize transformation was incorrectly set to 64x64 instead of 28x28. The DataLoader creation was attempted but used incorrect shuffling settings for the test loader. Sample image display had issues due to undefined variables. In Part 2, the model was loaded and modified correctly, but all parameters were frozen instead of just the backbone. In Part 3, the training and validation loops contained logical errors, such as incorrect handling of predictions and labels. Part 4 had setup issues, including an undefined DataLoader and incorrect model evaluation. No bonus tasks were attempted.</t>
        </is>
      </c>
      <c r="Z34" t="n">
        <v>4</v>
      </c>
      <c r="AA34" t="n">
        <v>0</v>
      </c>
      <c r="AB34" t="inlineStr">
        <is>
          <t>The student partially completed the required tasks. They correctly set up the dataset and dataloaders with appropriate transformations, including RandomRotation and resizing to 32x32. Sample images were displayed with labels. However, the CNN model had several issues: it did not meet the requirement of having 5 convolutional layers, used incorrect dimensions in some layers, and had a mismatch in the number of classes. The training and validation loops were implemented but contained errors, such as referencing undefined variables and incorrect loss calculation. No bonus tasks were attempted.</t>
        </is>
      </c>
      <c r="AC34" t="n">
        <v>2</v>
      </c>
      <c r="AD34" t="inlineStr">
        <is>
          <t>The student attempted most tasks but made significant errors. In Task 1, the dataset class had issues with mask loading and transformations. The DataLoader was incorrectly implemented, and the display function did not work as intended. Task 2 used the wrong number of classes for the U-Net model. Task 3 had incorrect implementation of the training and validation loops, using BCEWithLogitsLoss instead of CrossEntropyLoss. Task 4 did not properly define the loss and optimizer, and the training loop failed due to incorrect mask handling. Task 5 was not completed due to previous errors.</t>
        </is>
      </c>
      <c r="AE34" t="n">
        <v>0</v>
      </c>
      <c r="AF34" t="n">
        <v>0</v>
      </c>
      <c r="AG34" t="inlineStr">
        <is>
          <t>The student did not implement the required methods in the `ColorizationDataset` class. The `__init__`, `__len__`, `rgb_to_grayscale`, and `__getitem__` methods were either incomplete or incorrectly implemented. Specifically, the `__init__` method does not store the dataset, `__len__` references an undefined variable `self.base`, `rgb_to_grayscale` is not implemented, and `__getitem__` incorrectly attempts to load images from file paths instead of using the provided CIFAR-10 dataset.</t>
        </is>
      </c>
      <c r="AH34" t="n">
        <v>8</v>
      </c>
      <c r="AI34" t="n">
        <v>0</v>
      </c>
    </row>
    <row r="35">
      <c r="A35" t="n">
        <v>34</v>
      </c>
      <c r="B35" t="inlineStr">
        <is>
          <t>TA_1</t>
        </is>
      </c>
      <c r="C35" t="inlineStr">
        <is>
          <t>TA_11</t>
        </is>
      </c>
      <c r="D35" t="n">
        <v>12</v>
      </c>
      <c r="E35" t="n">
        <v>0</v>
      </c>
      <c r="F35" t="n">
        <v>11</v>
      </c>
      <c r="G35" t="n">
        <v>0</v>
      </c>
      <c r="H35" t="n">
        <v>3</v>
      </c>
      <c r="I35" t="n">
        <v>0</v>
      </c>
      <c r="J35" t="n">
        <v>11</v>
      </c>
      <c r="K35" t="n">
        <v>0</v>
      </c>
      <c r="L35" t="n">
        <v>9.75</v>
      </c>
      <c r="M35" t="n">
        <v>0</v>
      </c>
      <c r="N35" t="n">
        <v>1.5</v>
      </c>
      <c r="O35" t="n">
        <v>0</v>
      </c>
      <c r="P35">
        <f>Table1[[#This Row],[TA 1 - Q1 Score]]+Table1[[#This Row],[TA 1 - Q2 Score]]+Table1[[#This Row],[TA 1 - Q3 Score]]</f>
        <v/>
      </c>
      <c r="Q35">
        <f>Table1[[#This Row],[TA 1 - Q1 Bonus]]+Table1[[#This Row],[TA 1 - Q2 Bonus]]+Table1[[#This Row],[TA 1 - Q4 Bonus]]</f>
        <v/>
      </c>
      <c r="R35">
        <f>Table1[[#This Row],[TA 2 - Q1 Score]]+Table1[[#This Row],[TA 2 - Q2 Score]]+Table1[[#This Row],[TA 2 - Q3 Score]]</f>
        <v/>
      </c>
      <c r="S35">
        <f>Table1[[#This Row],[TA 2 - Q1 Bonus]]+Table1[[#This Row],[TA 2 - Q2 Bonus]]+Table1[[#This Row],[TA 2 - Q4 Bonus]]</f>
        <v/>
      </c>
      <c r="T35">
        <f>(Table1[[#This Row],[TA 1 - Total Score (out of 35)]]+Table1[[#This Row],[TA 2 - Total Score (out of 35)]])/2</f>
        <v/>
      </c>
      <c r="U35">
        <f>(Table1[[#This Row],[TA 1 - Total Bonus (out of 13)]]+Table1[[#This Row],[TA 2 - Total Bonus (out of 13)]])/2</f>
        <v/>
      </c>
      <c r="V35">
        <f>Table1[[#This Row],[Average Questions]]/35*20+Table1[[#This Row],[Average Bonus]]/13*5</f>
        <v/>
      </c>
      <c r="W35" t="n">
        <v>7</v>
      </c>
      <c r="X35" t="n">
        <v>0</v>
      </c>
      <c r="Y35" t="inlineStr">
        <is>
          <t>The student completed most tasks with minor issues. Transforms were correctly defined, and DataLoaders were set up properly. Sample images were displayed, though with a typo in variable naming ('lable' instead of 'labels'). The model was loaded and adapted correctly, but all parameters were frozen instead of just the backbone. Training and validation loops were implemented with a mistake in the output squeezing, affecting accuracy calculations. The training process ran, and losses/accuracies were plotted, but the bonus task was not attempted.</t>
        </is>
      </c>
      <c r="Z35" t="n">
        <v>7</v>
      </c>
      <c r="AA35" t="n">
        <v>0</v>
      </c>
      <c r="AB35" t="inlineStr">
        <is>
          <t>The student successfully loaded and prepared the data with correct transformations and displayed sample images. However, there were issues in creating separate train and test datasets, leading to incorrect data loading. The CNN model was built with 5 convolutional layers and batch normalization, but the architecture had a mismatch in input dimensions for the fully connected layer. The training and validation loops were implemented correctly, and the model was trained and plotted. No bonus task was attempted.</t>
        </is>
      </c>
      <c r="AC35" t="n">
        <v>1</v>
      </c>
      <c r="AD35" t="inlineStr">
        <is>
          <t>The student has started the implementation of the dataset class and remapping function correctly but has not completed the DataLoader setup or displayed sample images and masks. The model class, training and validation loops, running training, and visualizing predictions tasks are not attempted.</t>
        </is>
      </c>
      <c r="AE35" t="n">
        <v>0</v>
      </c>
      <c r="AF35" t="n">
        <v>0</v>
      </c>
      <c r="AG35" t="inlineStr">
        <is>
          <t>The student did not implement any of the required methods in the `ColorizationDataset` class. The `__init__`, `__len__`, `rgb_to_grayscale`, and `__getitem__` methods were left unimplemented with only placeholder comments. As a result, the code does not run and fails to produce the expected output.</t>
        </is>
      </c>
      <c r="AH35" t="n">
        <v>15</v>
      </c>
      <c r="AI35" t="n">
        <v>0</v>
      </c>
    </row>
    <row r="36">
      <c r="A36" t="n">
        <v>35</v>
      </c>
      <c r="B36" t="inlineStr">
        <is>
          <t>TA_1</t>
        </is>
      </c>
      <c r="C36" t="inlineStr">
        <is>
          <t>TA_11</t>
        </is>
      </c>
      <c r="D36" t="n">
        <v>10.5</v>
      </c>
      <c r="E36" t="n">
        <v>2</v>
      </c>
      <c r="F36" t="n">
        <v>11</v>
      </c>
      <c r="G36" t="n">
        <v>0</v>
      </c>
      <c r="H36" t="n">
        <v>12</v>
      </c>
      <c r="I36" t="n">
        <v>0</v>
      </c>
      <c r="J36" t="n">
        <v>7</v>
      </c>
      <c r="K36" t="n">
        <v>0</v>
      </c>
      <c r="L36" t="n">
        <v>10.25</v>
      </c>
      <c r="M36" t="n">
        <v>0</v>
      </c>
      <c r="N36" t="n">
        <v>12</v>
      </c>
      <c r="O36" t="n">
        <v>0</v>
      </c>
      <c r="P36">
        <f>Table1[[#This Row],[TA 1 - Q1 Score]]+Table1[[#This Row],[TA 1 - Q2 Score]]+Table1[[#This Row],[TA 1 - Q3 Score]]</f>
        <v/>
      </c>
      <c r="Q36">
        <f>Table1[[#This Row],[TA 1 - Q1 Bonus]]+Table1[[#This Row],[TA 1 - Q2 Bonus]]+Table1[[#This Row],[TA 1 - Q4 Bonus]]</f>
        <v/>
      </c>
      <c r="R36">
        <f>Table1[[#This Row],[TA 2 - Q1 Score]]+Table1[[#This Row],[TA 2 - Q2 Score]]+Table1[[#This Row],[TA 2 - Q3 Score]]</f>
        <v/>
      </c>
      <c r="S36">
        <f>Table1[[#This Row],[TA 2 - Q1 Bonus]]+Table1[[#This Row],[TA 2 - Q2 Bonus]]+Table1[[#This Row],[TA 2 - Q4 Bonus]]</f>
        <v/>
      </c>
      <c r="T36">
        <f>(Table1[[#This Row],[TA 1 - Total Score (out of 35)]]+Table1[[#This Row],[TA 2 - Total Score (out of 35)]])/2</f>
        <v/>
      </c>
      <c r="U36">
        <f>(Table1[[#This Row],[TA 1 - Total Bonus (out of 13)]]+Table1[[#This Row],[TA 2 - Total Bonus (out of 13)]])/2</f>
        <v/>
      </c>
      <c r="V36">
        <f>Table1[[#This Row],[Average Questions]]/35*20+Table1[[#This Row],[Average Bonus]]/13*5</f>
        <v/>
      </c>
      <c r="W36" t="n">
        <v>5</v>
      </c>
      <c r="X36" t="n">
        <v>0</v>
      </c>
      <c r="Y36" t="inlineStr">
        <is>
          <t>The student completed the data loading and transformation tasks correctly, including resizing, converting to tensor, and normalizing the images. However, there were issues in creating and displaying the DataLoaders, where the test DataLoader was shuffled incorrectly. The model loading and adaptation tasks were mostly correct, but the classifier head was incorrectly set to 27 classes instead of 26. The training and validation loops were implemented with some syntax errors, such as incorrect handling of the model's output shape and label adjustments. The bonus task was not correctly implemented, with improper flipping and averaging of predictions.</t>
        </is>
      </c>
      <c r="Z36" t="n">
        <v>6</v>
      </c>
      <c r="AA36" t="n">
        <v>0</v>
      </c>
      <c r="AB36" t="inlineStr">
        <is>
          <t>The student successfully loaded and prepared the data with the correct transformations and displayed sample images. The CNN model was built with 5 convolutional layers and batch normalization, though the linear layer input size was incorrectly set to 262144 instead of 4096. The training and validation loops were implemented correctly, but the model was trained for only 2 epochs instead of 10. No bonus task was attempted.</t>
        </is>
      </c>
      <c r="AC36" t="n">
        <v>7</v>
      </c>
      <c r="AD36" t="inlineStr">
        <is>
          <t>The student's submission includes most of the required tasks with some issues. The dataset class is implemented correctly, but the image and mask transformations resize to 32x32, which is smaller than the reference solution's 256x256. The DataLoader creation and sample display are mostly correct. The U-Net model is defined with the correct encoder, but the device is set to CPU instead of GPU. The training and validation loops are implemented with minor issues, such as the use of AdamW optimizer instead of Adam. The training process runs for only 2 epochs, which is less than the reference solution's 10 epochs. The loss plotting and prediction visualization are correct, but the predicted masks are displayed in grayscale instead of using a colormap.</t>
        </is>
      </c>
      <c r="AE36" t="n">
        <v>0</v>
      </c>
      <c r="AF36" t="n">
        <v>0</v>
      </c>
      <c r="AG36" t="inlineStr">
        <is>
          <t>No submission found.</t>
        </is>
      </c>
      <c r="AH36" t="n">
        <v>18</v>
      </c>
      <c r="AI36" t="n">
        <v>0</v>
      </c>
    </row>
    <row r="37">
      <c r="A37" t="n">
        <v>36</v>
      </c>
      <c r="B37" t="inlineStr">
        <is>
          <t>TA_1</t>
        </is>
      </c>
      <c r="C37" t="inlineStr">
        <is>
          <t>TA_11</t>
        </is>
      </c>
      <c r="D37" t="n">
        <v>6</v>
      </c>
      <c r="E37" t="n">
        <v>0</v>
      </c>
      <c r="F37" t="n">
        <v>7</v>
      </c>
      <c r="G37" t="n">
        <v>0</v>
      </c>
      <c r="H37" t="n">
        <v>10.5</v>
      </c>
      <c r="I37" t="n">
        <v>0</v>
      </c>
      <c r="J37" t="n">
        <v>5.75</v>
      </c>
      <c r="K37" t="n">
        <v>0</v>
      </c>
      <c r="L37" t="n">
        <v>7</v>
      </c>
      <c r="M37" t="n">
        <v>0</v>
      </c>
      <c r="N37" t="n">
        <v>11</v>
      </c>
      <c r="O37" t="n">
        <v>0</v>
      </c>
      <c r="P37">
        <f>Table1[[#This Row],[TA 1 - Q1 Score]]+Table1[[#This Row],[TA 1 - Q2 Score]]+Table1[[#This Row],[TA 1 - Q3 Score]]</f>
        <v/>
      </c>
      <c r="Q37">
        <f>Table1[[#This Row],[TA 1 - Q1 Bonus]]+Table1[[#This Row],[TA 1 - Q2 Bonus]]+Table1[[#This Row],[TA 1 - Q4 Bonus]]</f>
        <v/>
      </c>
      <c r="R37">
        <f>Table1[[#This Row],[TA 2 - Q1 Score]]+Table1[[#This Row],[TA 2 - Q2 Score]]+Table1[[#This Row],[TA 2 - Q3 Score]]</f>
        <v/>
      </c>
      <c r="S37">
        <f>Table1[[#This Row],[TA 2 - Q1 Bonus]]+Table1[[#This Row],[TA 2 - Q2 Bonus]]+Table1[[#This Row],[TA 2 - Q4 Bonus]]</f>
        <v/>
      </c>
      <c r="T37">
        <f>(Table1[[#This Row],[TA 1 - Total Score (out of 35)]]+Table1[[#This Row],[TA 2 - Total Score (out of 35)]])/2</f>
        <v/>
      </c>
      <c r="U37">
        <f>(Table1[[#This Row],[TA 1 - Total Bonus (out of 13)]]+Table1[[#This Row],[TA 2 - Total Bonus (out of 13)]])/2</f>
        <v/>
      </c>
      <c r="V37">
        <f>Table1[[#This Row],[Average Questions]]/35*20+Table1[[#This Row],[Average Bonus]]/13*5</f>
        <v/>
      </c>
      <c r="W37" t="n">
        <v>4</v>
      </c>
      <c r="X37" t="n">
        <v>0</v>
      </c>
      <c r="Y37" t="inlineStr">
        <is>
          <t>The student partially completed the tasks with some syntax and logical errors. The data loading and preparation section had missing parts filled in, but the DataLoader creation used an incorrect variable name. The model loading and adaptation section incorrectly froze the backbone and attempted to extract features manually, which is not required. The training and validation loops were implemented but contained errors such as squeezing outputs and incorrect handling of labels. The plotting section was mostly correct but used incorrect variable names for the loaders. No bonus task was attempted.</t>
        </is>
      </c>
      <c r="Z37" t="n">
        <v>5</v>
      </c>
      <c r="AA37" t="n">
        <v>0</v>
      </c>
      <c r="AB37" t="inlineStr">
        <is>
          <t>The student attempted most tasks but made several mistakes. In Part 1, the dataset paths were incorrectly specified, and the labels were manually extracted instead of using ImageFolder. The image display code had errors, referencing undefined variables. In Part 2, the CNN model definition had syntax errors and incorrect layer definitions. Part 3 and Part 4 were mostly correct, but the model did not run due to the issues in Part 2. No bonus task was attempted.</t>
        </is>
      </c>
      <c r="AC37" t="n">
        <v>8</v>
      </c>
      <c r="AD37" t="inlineStr">
        <is>
          <t>The student's submission contains mostly correct code with minor issues. Task 1 is partially correct due to an error in splitting the dataset, which causes the test loader to use the same data as the train loader. Task 2 is fully correct with the correct model definition. Task 3 is fully correct with proper training and validation loops. Task 4 is partially correct as the student used AdamW instead of Adam and trained for 7 epochs instead of 10, but the overall approach is correct. Task 5 is mostly correct with visualization issues due to the incorrect dataset split.</t>
        </is>
      </c>
      <c r="AE37" t="n">
        <v>0</v>
      </c>
      <c r="AF37" t="n">
        <v>0</v>
      </c>
      <c r="AG37" t="inlineStr">
        <is>
          <t>No submission found.</t>
        </is>
      </c>
      <c r="AH37" t="n">
        <v>17</v>
      </c>
      <c r="AI37" t="n">
        <v>0</v>
      </c>
    </row>
    <row r="38">
      <c r="A38" t="n">
        <v>37</v>
      </c>
      <c r="B38" t="inlineStr">
        <is>
          <t>TA_1</t>
        </is>
      </c>
      <c r="C38" t="inlineStr">
        <is>
          <t>TA_11</t>
        </is>
      </c>
      <c r="D38" t="n">
        <v>7</v>
      </c>
      <c r="E38" t="n">
        <v>0</v>
      </c>
      <c r="F38" t="n">
        <v>6</v>
      </c>
      <c r="G38" t="n">
        <v>0</v>
      </c>
      <c r="H38" t="n">
        <v>2</v>
      </c>
      <c r="I38" t="n">
        <v>0</v>
      </c>
      <c r="J38" t="n">
        <v>5.75</v>
      </c>
      <c r="K38" t="n">
        <v>0</v>
      </c>
      <c r="L38" t="n">
        <v>6</v>
      </c>
      <c r="M38" t="n">
        <v>0</v>
      </c>
      <c r="N38" t="n">
        <v>1.75</v>
      </c>
      <c r="O38" t="n">
        <v>0</v>
      </c>
      <c r="P38">
        <f>Table1[[#This Row],[TA 1 - Q1 Score]]+Table1[[#This Row],[TA 1 - Q2 Score]]+Table1[[#This Row],[TA 1 - Q3 Score]]</f>
        <v/>
      </c>
      <c r="Q38">
        <f>Table1[[#This Row],[TA 1 - Q1 Bonus]]+Table1[[#This Row],[TA 1 - Q2 Bonus]]+Table1[[#This Row],[TA 1 - Q4 Bonus]]</f>
        <v/>
      </c>
      <c r="R38">
        <f>Table1[[#This Row],[TA 2 - Q1 Score]]+Table1[[#This Row],[TA 2 - Q2 Score]]+Table1[[#This Row],[TA 2 - Q3 Score]]</f>
        <v/>
      </c>
      <c r="S38">
        <f>Table1[[#This Row],[TA 2 - Q1 Bonus]]+Table1[[#This Row],[TA 2 - Q2 Bonus]]+Table1[[#This Row],[TA 2 - Q4 Bonus]]</f>
        <v/>
      </c>
      <c r="T38">
        <f>(Table1[[#This Row],[TA 1 - Total Score (out of 35)]]+Table1[[#This Row],[TA 2 - Total Score (out of 35)]])/2</f>
        <v/>
      </c>
      <c r="U38">
        <f>(Table1[[#This Row],[TA 1 - Total Bonus (out of 13)]]+Table1[[#This Row],[TA 2 - Total Bonus (out of 13)]])/2</f>
        <v/>
      </c>
      <c r="V38">
        <f>Table1[[#This Row],[Average Questions]]/35*20+Table1[[#This Row],[Average Bonus]]/13*5</f>
        <v/>
      </c>
      <c r="W38" t="n">
        <v>4</v>
      </c>
      <c r="X38" t="n">
        <v>0</v>
      </c>
      <c r="Y38" t="inlineStr">
        <is>
          <t>The student completed the data loading and transformation tasks correctly, including resizing, converting to tensor, and normalizing the images. However, the DataLoader creation had incorrect batch sizes and num_workers, and the sample image display used hardcoded indices instead of random samples. The model loading and adaptation were partially correct, but the classifier replacement used incorrect dimensions. The training and validation loops were implemented but did not adjust the labels to be 0-indexed, resulting in a penalty. The bonus task was not attempted.</t>
        </is>
      </c>
      <c r="Z38" t="n">
        <v>5</v>
      </c>
      <c r="AA38" t="n">
        <v>0</v>
      </c>
      <c r="AB38" t="inlineStr">
        <is>
          <t>The student partially completed the tasks. They implemented a custom dataset class and used ImageFolder, but incorrectly applied transformations and did not display sample images. The CNN model has 5 convolutional layers but incorrect batch normalization usage. Training and validation loops are mostly correct but only ran for one epoch. No bonus tasks were attempted.</t>
        </is>
      </c>
      <c r="AC38" t="n">
        <v>2</v>
      </c>
      <c r="AD38" t="inlineStr">
        <is>
          <t>The student has partially completed Task 1 by defining the custom dataset class and setting up the data loaders. However, there are issues with the directory paths and the display function. The remaining tasks are not attempted, resulting in no code for Tasks 2 through 5.</t>
        </is>
      </c>
      <c r="AE38" t="n">
        <v>0</v>
      </c>
      <c r="AF38" t="n">
        <v>0</v>
      </c>
      <c r="AG38" t="inlineStr">
        <is>
          <t>No submission found.</t>
        </is>
      </c>
      <c r="AH38" t="n">
        <v>11</v>
      </c>
      <c r="AI38" t="n">
        <v>0</v>
      </c>
    </row>
    <row r="39">
      <c r="A39" t="n">
        <v>38</v>
      </c>
      <c r="B39" t="inlineStr">
        <is>
          <t>TA_1</t>
        </is>
      </c>
      <c r="C39" t="inlineStr">
        <is>
          <t>TA_11</t>
        </is>
      </c>
      <c r="D39" t="n">
        <v>12</v>
      </c>
      <c r="E39" t="n">
        <v>4</v>
      </c>
      <c r="F39" t="n">
        <v>11</v>
      </c>
      <c r="G39" t="n">
        <v>0</v>
      </c>
      <c r="H39" t="n">
        <v>12</v>
      </c>
      <c r="I39" t="n">
        <v>0</v>
      </c>
      <c r="J39" t="n">
        <v>12</v>
      </c>
      <c r="K39" t="n">
        <v>4</v>
      </c>
      <c r="L39" t="n">
        <v>10.75</v>
      </c>
      <c r="M39" t="n">
        <v>0</v>
      </c>
      <c r="N39" t="n">
        <v>12</v>
      </c>
      <c r="O39" t="n">
        <v>0</v>
      </c>
      <c r="P39">
        <f>Table1[[#This Row],[TA 1 - Q1 Score]]+Table1[[#This Row],[TA 1 - Q2 Score]]+Table1[[#This Row],[TA 1 - Q3 Score]]</f>
        <v/>
      </c>
      <c r="Q39">
        <f>Table1[[#This Row],[TA 1 - Q1 Bonus]]+Table1[[#This Row],[TA 1 - Q2 Bonus]]+Table1[[#This Row],[TA 1 - Q4 Bonus]]</f>
        <v/>
      </c>
      <c r="R39">
        <f>Table1[[#This Row],[TA 2 - Q1 Score]]+Table1[[#This Row],[TA 2 - Q2 Score]]+Table1[[#This Row],[TA 2 - Q3 Score]]</f>
        <v/>
      </c>
      <c r="S39">
        <f>Table1[[#This Row],[TA 2 - Q1 Bonus]]+Table1[[#This Row],[TA 2 - Q2 Bonus]]+Table1[[#This Row],[TA 2 - Q4 Bonus]]</f>
        <v/>
      </c>
      <c r="T39">
        <f>(Table1[[#This Row],[TA 1 - Total Score (out of 35)]]+Table1[[#This Row],[TA 2 - Total Score (out of 35)]])/2</f>
        <v/>
      </c>
      <c r="U39">
        <f>(Table1[[#This Row],[TA 1 - Total Bonus (out of 13)]]+Table1[[#This Row],[TA 2 - Total Bonus (out of 13)]])/2</f>
        <v/>
      </c>
      <c r="V39">
        <f>Table1[[#This Row],[Average Questions]]/35*20+Table1[[#This Row],[Average Bonus]]/13*5</f>
        <v/>
      </c>
      <c r="W39" t="n">
        <v>11</v>
      </c>
      <c r="X39" t="n">
        <v>4</v>
      </c>
      <c r="Y39" t="inlineStr">
        <is>
          <t>The student's submission is mostly correct and runs end-to-end. They completed all required tasks with minor issues. In Part 1, the transforms were correctly defined, and sample images were displayed. In Part 2, the pretrained EfficientNetV2-Small model was loaded and adapted properly. In Part 3, both training and validation loops were implemented correctly, and label fixing was done accurately. In Part 4, the model was trained, and loss and accuracy plots were generated. For the bonus task in Part 5, the student correctly defined three predictions (original, horizontal flip, vertical flip), averaged them, and calculated the accuracy.</t>
        </is>
      </c>
      <c r="Z39" t="n">
        <v>8</v>
      </c>
      <c r="AA39" t="n">
        <v>0</v>
      </c>
      <c r="AB39" t="inlineStr">
        <is>
          <t>The student successfully loaded and prepared the data with the correct transformations and displayed sample images. The CNN model was built with 5 convolutional layers and batch normalization, though there was a minor mistake in the number of input channels for the first batch normalization layer. The training and validation loops were implemented correctly, and the model was trained and plotted with losses and accuracies. However, the bonus task was not attempted.</t>
        </is>
      </c>
      <c r="AC39" t="n">
        <v>10</v>
      </c>
      <c r="AD39" t="inlineStr">
        <is>
          <t>The student's submission is mostly correct and runs end-to-end. The dataset class is implemented correctly with proper transformations and splitting. The model class uses the correct U-Net architecture with the specified encoder. The training and validation loops are implemented with minor issues, such as squeezing the masks unnecessarily. The training process defines the loss and optimizer correctly and prints the losses. The visualization of predictions is accurate, though the colormap could be improved for better distinction between classes.</t>
        </is>
      </c>
      <c r="AE39" t="n">
        <v>0</v>
      </c>
      <c r="AF39" t="n">
        <v>0</v>
      </c>
      <c r="AG39" t="inlineStr">
        <is>
          <t>No submission found.</t>
        </is>
      </c>
      <c r="AH39" t="n">
        <v>29</v>
      </c>
      <c r="AI39" t="n">
        <v>4</v>
      </c>
    </row>
    <row r="40">
      <c r="A40" t="n">
        <v>39</v>
      </c>
      <c r="B40" t="inlineStr">
        <is>
          <t>TA_1</t>
        </is>
      </c>
      <c r="C40" t="inlineStr">
        <is>
          <t>TA_11</t>
        </is>
      </c>
      <c r="D40" t="n">
        <v>12</v>
      </c>
      <c r="E40" t="n">
        <v>4</v>
      </c>
      <c r="F40" t="n">
        <v>11</v>
      </c>
      <c r="G40" t="n">
        <v>4</v>
      </c>
      <c r="H40" t="n">
        <v>12</v>
      </c>
      <c r="I40" t="n">
        <v>5</v>
      </c>
      <c r="J40" t="n">
        <v>12</v>
      </c>
      <c r="K40" t="n">
        <v>4</v>
      </c>
      <c r="L40" t="n">
        <v>11</v>
      </c>
      <c r="M40" t="n">
        <v>4</v>
      </c>
      <c r="N40" t="n">
        <v>12</v>
      </c>
      <c r="O40" t="n">
        <v>5</v>
      </c>
      <c r="P40">
        <f>Table1[[#This Row],[TA 1 - Q1 Score]]+Table1[[#This Row],[TA 1 - Q2 Score]]+Table1[[#This Row],[TA 1 - Q3 Score]]</f>
        <v/>
      </c>
      <c r="Q40">
        <f>Table1[[#This Row],[TA 1 - Q1 Bonus]]+Table1[[#This Row],[TA 1 - Q2 Bonus]]+Table1[[#This Row],[TA 1 - Q4 Bonus]]</f>
        <v/>
      </c>
      <c r="R40">
        <f>Table1[[#This Row],[TA 2 - Q1 Score]]+Table1[[#This Row],[TA 2 - Q2 Score]]+Table1[[#This Row],[TA 2 - Q3 Score]]</f>
        <v/>
      </c>
      <c r="S40">
        <f>Table1[[#This Row],[TA 2 - Q1 Bonus]]+Table1[[#This Row],[TA 2 - Q2 Bonus]]+Table1[[#This Row],[TA 2 - Q4 Bonus]]</f>
        <v/>
      </c>
      <c r="T40">
        <f>(Table1[[#This Row],[TA 1 - Total Score (out of 35)]]+Table1[[#This Row],[TA 2 - Total Score (out of 35)]])/2</f>
        <v/>
      </c>
      <c r="U40">
        <f>(Table1[[#This Row],[TA 1 - Total Bonus (out of 13)]]+Table1[[#This Row],[TA 2 - Total Bonus (out of 13)]])/2</f>
        <v/>
      </c>
      <c r="V40">
        <f>Table1[[#This Row],[Average Questions]]/35*20+Table1[[#This Row],[Average Bonus]]/13*5</f>
        <v/>
      </c>
      <c r="W40" t="n">
        <v>10.5</v>
      </c>
      <c r="X40" t="n">
        <v>3</v>
      </c>
      <c r="Y40" t="inlineStr">
        <is>
          <t>The student completed most tasks correctly. The data loading and preparation were accurate, including the transforms and DataLoader creation. Sample images were displayed correctly. The pretrained EfficientNetV2-Small model was loaded and adapted properly, with the backbone frozen and the classifier head replaced. The training and validation loops were implemented correctly, with label fixing applied. The training process ran smoothly, and the loss and accuracy plots were generated. In the bonus task, the student correctly defined three predictions (original, horizontal flip, vertical flip) and averaged them, though the standard validation was also included without penalty.</t>
        </is>
      </c>
      <c r="Z40" t="n">
        <v>9</v>
      </c>
      <c r="AA40" t="n">
        <v>3</v>
      </c>
      <c r="AB40" t="inlineStr">
        <is>
          <t>The student successfully completed most tasks, including loading and preparing the data, building the CNN model with batch normalization, defining training and validation loops, and plotting losses and accuracies. However, the CNN model has 6 convolutional layers instead of 5, and the residual connection implementation is slightly off, concatenating 128 and 64 channels to 192 instead of 128. Despite this, the residual connection concept is correctly applied.</t>
        </is>
      </c>
      <c r="AC40" t="n">
        <v>8.5</v>
      </c>
      <c r="AD40" t="inlineStr">
        <is>
          <t>The student's submission demonstrates a good understanding of the tasks but contains some minor issues. The dataset class and DataLoader creation are mostly correct, with a small mistake in the image and mask file extensions. The model definition uses the correct architecture but with a different learning rate and optimizer compared to the reference solution. The training and validation loops are implemented correctly, and the loss curve is plotted accurately. However, the visualization of predictions uses grayscale instead of the specified colormap, and the number of epochs is higher than required.</t>
        </is>
      </c>
      <c r="AE40" t="n">
        <v>0</v>
      </c>
      <c r="AF40" t="n">
        <v>5</v>
      </c>
      <c r="AG40" t="inlineStr">
        <is>
          <t>The student's implementation of the `ColorizationDataset` class is correct and runs perfectly, producing the expected output. The `__init__`, `__len__`, `rgb_to_grayscale`, and `__getitem__` methods are all implemented accurately. The visualization code also works as intended, displaying the grayscale and color images correctly. Therefore, the student receives full bonus points for this task.</t>
        </is>
      </c>
      <c r="AH40" t="n">
        <v>28</v>
      </c>
      <c r="AI40" t="n">
        <v>11</v>
      </c>
    </row>
    <row r="41">
      <c r="A41" t="n">
        <v>40</v>
      </c>
      <c r="B41" t="inlineStr">
        <is>
          <t>TA_1</t>
        </is>
      </c>
      <c r="C41" t="inlineStr">
        <is>
          <t>TA_11</t>
        </is>
      </c>
      <c r="D41" t="n">
        <v>8.5</v>
      </c>
      <c r="E41" t="n">
        <v>3</v>
      </c>
      <c r="F41" t="n">
        <v>9</v>
      </c>
      <c r="G41" t="n">
        <v>4</v>
      </c>
      <c r="H41" t="n">
        <v>10.5</v>
      </c>
      <c r="I41" t="n">
        <v>0</v>
      </c>
      <c r="J41" t="n">
        <v>11</v>
      </c>
      <c r="K41" t="n">
        <v>1</v>
      </c>
      <c r="L41" t="n">
        <v>9</v>
      </c>
      <c r="M41" t="n">
        <v>1</v>
      </c>
      <c r="N41" t="n">
        <v>4</v>
      </c>
      <c r="O41" t="n">
        <v>0</v>
      </c>
      <c r="P41">
        <f>Table1[[#This Row],[TA 1 - Q1 Score]]+Table1[[#This Row],[TA 1 - Q2 Score]]+Table1[[#This Row],[TA 1 - Q3 Score]]</f>
        <v/>
      </c>
      <c r="Q41">
        <f>Table1[[#This Row],[TA 1 - Q1 Bonus]]+Table1[[#This Row],[TA 1 - Q2 Bonus]]+Table1[[#This Row],[TA 1 - Q4 Bonus]]</f>
        <v/>
      </c>
      <c r="R41">
        <f>Table1[[#This Row],[TA 2 - Q1 Score]]+Table1[[#This Row],[TA 2 - Q2 Score]]+Table1[[#This Row],[TA 2 - Q3 Score]]</f>
        <v/>
      </c>
      <c r="S41">
        <f>Table1[[#This Row],[TA 2 - Q1 Bonus]]+Table1[[#This Row],[TA 2 - Q2 Bonus]]+Table1[[#This Row],[TA 2 - Q4 Bonus]]</f>
        <v/>
      </c>
      <c r="T41">
        <f>(Table1[[#This Row],[TA 1 - Total Score (out of 35)]]+Table1[[#This Row],[TA 2 - Total Score (out of 35)]])/2</f>
        <v/>
      </c>
      <c r="U41">
        <f>(Table1[[#This Row],[TA 1 - Total Bonus (out of 13)]]+Table1[[#This Row],[TA 2 - Total Bonus (out of 13)]])/2</f>
        <v/>
      </c>
      <c r="V41">
        <f>Table1[[#This Row],[Average Questions]]/35*20+Table1[[#This Row],[Average Bonus]]/13*5</f>
        <v/>
      </c>
      <c r="W41" t="n">
        <v>6</v>
      </c>
      <c r="X41" t="n">
        <v>0</v>
      </c>
      <c r="Y41" t="inlineStr">
        <is>
          <t>The student completed the data loading and preparation, including defining the necessary transforms and creating DataLoaders. Sample images were displayed correctly. The pretrained EfficientNetV2-Small model was loaded and adapted, with the backbone frozen and the classifier head replaced for 26 classes. However, there were issues in the training and validation loops, such as incorrect handling of model outputs and label adjustments. The bonus task was not correctly implemented, as the predictions were not averaged properly.</t>
        </is>
      </c>
      <c r="Z41" t="n">
        <v>7</v>
      </c>
      <c r="AA41" t="n">
        <v>0</v>
      </c>
      <c r="AB41" t="inlineStr">
        <is>
          <t>The student successfully loaded and prepared the data with the correct transformations and displayed sample images. The CNN model was built with 5 convolutional layers, though the number of channels was less than specified in the rubric. Batch normalization was not added, resulting in a deduction. The training and validation functions were implemented correctly, and the model was trained and plotted. However, the bonus task was not completed as the residual connection was incorrectly defined and not properly integrated into the model.</t>
        </is>
      </c>
      <c r="AC41" t="n">
        <v>5</v>
      </c>
      <c r="AD41" t="inlineStr">
        <is>
          <t>The student partially completed the tasks with some syntax and logical errors. The dataset class and data loaders were implemented correctly, but the dataset class name and initialization method differed slightly from the reference. The model class used the wrong number of output classes (1 instead of 8) and the wrong encoder ('efficientnet-b1' instead of 'efficientnet-b0'). The training and validation loops contained errors in handling the mask data types and loss functions. The training process used an incorrect loss function (BCEWithLogitsLoss) and a very low number of epochs (2). The visualization of predictions had issues with converting the predicted masks to binary, which is not suitable for multi-class segmentation.</t>
        </is>
      </c>
      <c r="AE41" t="n">
        <v>0</v>
      </c>
      <c r="AF41" t="n">
        <v>0</v>
      </c>
      <c r="AG41" t="inlineStr">
        <is>
          <t>The student's implementation contains several errors. In the `__len__` method, `self.image_paths` is referenced instead of `self.dataset`. The `rgb_to_grayscale` method incorrectly iterates over the image dimensions and does not correctly compute the grayscale value. Additionally, in the `__getitem__` method, the grayscale and color images are incorrectly indexed, leading to errors. These issues prevent the code from running correctly.</t>
        </is>
      </c>
      <c r="AH41" t="n">
        <v>18</v>
      </c>
      <c r="AI41" t="n">
        <v>0</v>
      </c>
    </row>
    <row r="42">
      <c r="A42" t="n">
        <v>41</v>
      </c>
      <c r="B42" t="inlineStr">
        <is>
          <t>TA_1</t>
        </is>
      </c>
      <c r="C42" t="inlineStr">
        <is>
          <t>TA_11</t>
        </is>
      </c>
      <c r="D42" t="n">
        <v>12</v>
      </c>
      <c r="E42" t="n">
        <v>0</v>
      </c>
      <c r="F42" t="n">
        <v>11</v>
      </c>
      <c r="G42" t="n">
        <v>0</v>
      </c>
      <c r="H42" t="n">
        <v>12.5</v>
      </c>
      <c r="I42" t="n">
        <v>0</v>
      </c>
      <c r="J42" t="n">
        <v>11</v>
      </c>
      <c r="K42" t="n">
        <v>0</v>
      </c>
      <c r="L42" t="n">
        <v>9.25</v>
      </c>
      <c r="M42" t="n">
        <v>0</v>
      </c>
      <c r="N42" t="n">
        <v>12</v>
      </c>
      <c r="O42" t="n">
        <v>0</v>
      </c>
      <c r="P42">
        <f>Table1[[#This Row],[TA 1 - Q1 Score]]+Table1[[#This Row],[TA 1 - Q2 Score]]+Table1[[#This Row],[TA 1 - Q3 Score]]</f>
        <v/>
      </c>
      <c r="Q42">
        <f>Table1[[#This Row],[TA 1 - Q1 Bonus]]+Table1[[#This Row],[TA 1 - Q2 Bonus]]+Table1[[#This Row],[TA 1 - Q4 Bonus]]</f>
        <v/>
      </c>
      <c r="R42">
        <f>Table1[[#This Row],[TA 2 - Q1 Score]]+Table1[[#This Row],[TA 2 - Q2 Score]]+Table1[[#This Row],[TA 2 - Q3 Score]]</f>
        <v/>
      </c>
      <c r="S42">
        <f>Table1[[#This Row],[TA 2 - Q1 Bonus]]+Table1[[#This Row],[TA 2 - Q2 Bonus]]+Table1[[#This Row],[TA 2 - Q4 Bonus]]</f>
        <v/>
      </c>
      <c r="T42">
        <f>(Table1[[#This Row],[TA 1 - Total Score (out of 35)]]+Table1[[#This Row],[TA 2 - Total Score (out of 35)]])/2</f>
        <v/>
      </c>
      <c r="U42">
        <f>(Table1[[#This Row],[TA 1 - Total Bonus (out of 13)]]+Table1[[#This Row],[TA 2 - Total Bonus (out of 13)]])/2</f>
        <v/>
      </c>
      <c r="V42">
        <f>Table1[[#This Row],[Average Questions]]/35*20+Table1[[#This Row],[Average Bonus]]/13*5</f>
        <v/>
      </c>
      <c r="W42" t="n">
        <v>7</v>
      </c>
      <c r="X42" t="n">
        <v>0</v>
      </c>
      <c r="Y42" t="inlineStr">
        <is>
          <t>The student completed most tasks with minor issues. The data loading and preparation section was mostly correct, with a small mistake in displaying sample images. The model loading and adaptation were accurate, but the student used EfficientNetV2-Small incorrectly in the comment. The training and validation loops had syntax errors, particularly in the output squeezing, affecting accuracy calculations. The training setup and execution were mostly correct, but the learning rate was too high, and the number of epochs was low. No bonus task was attempted.</t>
        </is>
      </c>
      <c r="Z42" t="n">
        <v>7</v>
      </c>
      <c r="AA42" t="n">
        <v>0</v>
      </c>
      <c r="AB42" t="inlineStr">
        <is>
          <t>The student successfully loaded and prepared the data with the correct transformations, including RandomRotation and resizing to 32x32. However, the CNN model has fewer convolutional layers (5 instead of 5 as specified, but with different channel sizes) and incorrect fully connected layer dimensions. The training and validation loops are implemented correctly, and the model trains and plots the loss and accuracy curves. The bonus task was not attempted.</t>
        </is>
      </c>
      <c r="AC42" t="n">
        <v>8.5</v>
      </c>
      <c r="AD42" t="inlineStr">
        <is>
          <t>The student's submission largely follows the reference solution but contains minor issues. Task 1 is mostly correct with a small mistake in the dataset initialization path. Task 2 correctly defines the U-Net model with the specified encoder. Task 3 implements the training and validation loops accurately. Task 4 defines the loss and optimizer correctly, trains the model, and plots the loss curve. Task 5 visualizes predictions but uses a grayscale colormap instead of 'tab10'.</t>
        </is>
      </c>
      <c r="AE42" t="n">
        <v>0</v>
      </c>
      <c r="AF42" t="n">
        <v>0</v>
      </c>
      <c r="AG42" t="inlineStr">
        <is>
          <t>No submission found.</t>
        </is>
      </c>
      <c r="AH42" t="n">
        <v>22.5</v>
      </c>
      <c r="AI42" t="n">
        <v>0</v>
      </c>
    </row>
    <row r="43">
      <c r="A43" t="n">
        <v>42</v>
      </c>
      <c r="B43" t="inlineStr">
        <is>
          <t>TA_1</t>
        </is>
      </c>
      <c r="C43" t="inlineStr">
        <is>
          <t>TA_11</t>
        </is>
      </c>
      <c r="D43" t="n">
        <v>7</v>
      </c>
      <c r="E43" t="n">
        <v>0</v>
      </c>
      <c r="F43" t="n">
        <v>11</v>
      </c>
      <c r="G43" t="n">
        <v>0</v>
      </c>
      <c r="H43" t="n">
        <v>12</v>
      </c>
      <c r="I43" t="n">
        <v>0</v>
      </c>
      <c r="J43" t="n">
        <v>5.75</v>
      </c>
      <c r="K43" t="n">
        <v>0</v>
      </c>
      <c r="L43" t="n">
        <v>11</v>
      </c>
      <c r="M43" t="n">
        <v>0</v>
      </c>
      <c r="N43" t="n">
        <v>11</v>
      </c>
      <c r="O43" t="n">
        <v>0</v>
      </c>
      <c r="P43">
        <f>Table1[[#This Row],[TA 1 - Q1 Score]]+Table1[[#This Row],[TA 1 - Q2 Score]]+Table1[[#This Row],[TA 1 - Q3 Score]]</f>
        <v/>
      </c>
      <c r="Q43">
        <f>Table1[[#This Row],[TA 1 - Q1 Bonus]]+Table1[[#This Row],[TA 1 - Q2 Bonus]]+Table1[[#This Row],[TA 1 - Q4 Bonus]]</f>
        <v/>
      </c>
      <c r="R43">
        <f>Table1[[#This Row],[TA 2 - Q1 Score]]+Table1[[#This Row],[TA 2 - Q2 Score]]+Table1[[#This Row],[TA 2 - Q3 Score]]</f>
        <v/>
      </c>
      <c r="S43">
        <f>Table1[[#This Row],[TA 2 - Q1 Bonus]]+Table1[[#This Row],[TA 2 - Q2 Bonus]]+Table1[[#This Row],[TA 2 - Q4 Bonus]]</f>
        <v/>
      </c>
      <c r="T43">
        <f>(Table1[[#This Row],[TA 1 - Total Score (out of 35)]]+Table1[[#This Row],[TA 2 - Total Score (out of 35)]])/2</f>
        <v/>
      </c>
      <c r="U43">
        <f>(Table1[[#This Row],[TA 1 - Total Bonus (out of 13)]]+Table1[[#This Row],[TA 2 - Total Bonus (out of 13)]])/2</f>
        <v/>
      </c>
      <c r="V43">
        <f>Table1[[#This Row],[Average Questions]]/35*20+Table1[[#This Row],[Average Bonus]]/13*5</f>
        <v/>
      </c>
      <c r="W43" t="n">
        <v>3</v>
      </c>
      <c r="X43" t="n">
        <v>0</v>
      </c>
      <c r="Y43" t="inlineStr">
        <is>
          <t>The student partially completed Part 1 by defining the transforms with incorrect resizing dimensions and displaying sample images with hardcoded indices. Part 2 had issues with loading the wrong model (EfficientNet-B0 instead of EfficientNetV2-Small). Part 3 contained syntax errors in the training and validation loops, such as incorrect reshaping of outputs and using BCELoss for a multi-class problem. Part 4 was not fully implemented due to these errors. No bonus tasks were attempted.</t>
        </is>
      </c>
      <c r="Z43" t="n">
        <v>7</v>
      </c>
      <c r="AA43" t="n">
        <v>0</v>
      </c>
      <c r="AB43" t="inlineStr">
        <is>
          <t>The student successfully loaded and prepared the data with correct transformations and displayed sample images. The CNN model has 5 convolutional layers with batch normalization, though the linear layer input size is incorrect due to mismatched dimensions. Training and validation loops are implemented correctly, and the model is trained and plotted. However, the bonus task was not completed.</t>
        </is>
      </c>
      <c r="AC43" t="n">
        <v>8</v>
      </c>
      <c r="AD43" t="inlineStr">
        <is>
          <t>The student's submission contains mostly correct code with minor issues. Task 1 is partially correct due to missing initialization of image_paths and mask_paths in the SegDataset class. Task 2 is correct with the specified encoder. Task 3 is correct with proper training and validation loops. Task 4 is mostly correct with defined loss and optimizer, but the learning rate is different from the reference solution. Task 5 is partially correct with visualization issues, such as incorrect colormap usage and missing denormalization parameters.</t>
        </is>
      </c>
      <c r="AE43" t="n">
        <v>0</v>
      </c>
      <c r="AF43" t="n">
        <v>0</v>
      </c>
      <c r="AG43" t="inlineStr">
        <is>
          <t>No submission found.</t>
        </is>
      </c>
      <c r="AH43" t="n">
        <v>18</v>
      </c>
      <c r="AI43" t="n">
        <v>0</v>
      </c>
    </row>
    <row r="44">
      <c r="A44" t="n">
        <v>43</v>
      </c>
      <c r="B44" t="inlineStr">
        <is>
          <t>TA_1</t>
        </is>
      </c>
      <c r="C44" t="inlineStr">
        <is>
          <t>TA_11</t>
        </is>
      </c>
      <c r="D44" t="n">
        <v>4.5</v>
      </c>
      <c r="E44" t="n">
        <v>0</v>
      </c>
      <c r="F44" t="n">
        <v>8</v>
      </c>
      <c r="G44" t="n">
        <v>0</v>
      </c>
      <c r="H44" t="n">
        <v>7.5</v>
      </c>
      <c r="I44" t="n">
        <v>0</v>
      </c>
      <c r="J44" t="n">
        <v>5.25</v>
      </c>
      <c r="K44" t="n">
        <v>0</v>
      </c>
      <c r="L44" t="n">
        <v>7.75</v>
      </c>
      <c r="M44" t="n">
        <v>0</v>
      </c>
      <c r="N44" t="n">
        <v>6</v>
      </c>
      <c r="O44" t="n">
        <v>0</v>
      </c>
      <c r="P44">
        <f>Table1[[#This Row],[TA 1 - Q1 Score]]+Table1[[#This Row],[TA 1 - Q2 Score]]+Table1[[#This Row],[TA 1 - Q3 Score]]</f>
        <v/>
      </c>
      <c r="Q44">
        <f>Table1[[#This Row],[TA 1 - Q1 Bonus]]+Table1[[#This Row],[TA 1 - Q2 Bonus]]+Table1[[#This Row],[TA 1 - Q4 Bonus]]</f>
        <v/>
      </c>
      <c r="R44">
        <f>Table1[[#This Row],[TA 2 - Q1 Score]]+Table1[[#This Row],[TA 2 - Q2 Score]]+Table1[[#This Row],[TA 2 - Q3 Score]]</f>
        <v/>
      </c>
      <c r="S44">
        <f>Table1[[#This Row],[TA 2 - Q1 Bonus]]+Table1[[#This Row],[TA 2 - Q2 Bonus]]+Table1[[#This Row],[TA 2 - Q4 Bonus]]</f>
        <v/>
      </c>
      <c r="T44">
        <f>(Table1[[#This Row],[TA 1 - Total Score (out of 35)]]+Table1[[#This Row],[TA 2 - Total Score (out of 35)]])/2</f>
        <v/>
      </c>
      <c r="U44">
        <f>(Table1[[#This Row],[TA 1 - Total Bonus (out of 13)]]+Table1[[#This Row],[TA 2 - Total Bonus (out of 13)]])/2</f>
        <v/>
      </c>
      <c r="V44">
        <f>Table1[[#This Row],[Average Questions]]/35*20+Table1[[#This Row],[Average Bonus]]/13*5</f>
        <v/>
      </c>
      <c r="W44" t="n">
        <v>6</v>
      </c>
      <c r="X44" t="n">
        <v>0</v>
      </c>
      <c r="Y44" t="inlineStr">
        <is>
          <t>The student completed the data loading and preparation, including defining the necessary transforms and creating DataLoaders. Sample images were displayed correctly. However, there were issues with freezing the backbone and replacing the classifier head, where the entire model was unfrozen instead of just the feature extractor. The training and validation loops were partially implemented but lacked label fixing, resulting in incorrect label handling. The plotting of losses and accuracies was not done. No bonus task was attempted.</t>
        </is>
      </c>
      <c r="Z44" t="n">
        <v>6</v>
      </c>
      <c r="AA44" t="n">
        <v>0</v>
      </c>
      <c r="AB44" t="inlineStr">
        <is>
          <t>The student implemented a custom dataset class and used the correct transformations, including RandomRotation and resizing to 32x32. Sample images were displayed with labels. The CNN model has 5 convolutional layers, but the number of channels and fully connected layer sizes differ from the reference solution. Batch normalization was not added. Training and validation functions were defined and executed, and the model was trained for 10 epochs. However, the bonus task was not attempted.</t>
        </is>
      </c>
      <c r="AC44" t="n">
        <v>6</v>
      </c>
      <c r="AD44" t="inlineStr">
        <is>
          <t>The student successfully created a custom dataset class and used DataLoaders, displaying sample images and masks correctly. The model class was defined using a pretrained U-Net with an efficientnet-b0 encoder. However, there were issues in the training and validation loops, where the masks were incorrectly converted to float instead of long, and BCEWithLogitsLoss was used instead of CrossEntropyLoss, which is inappropriate for multi-class segmentation. The training process was initiated, but the loss plotting and prediction visualization were not completed.</t>
        </is>
      </c>
      <c r="AE44" t="n">
        <v>0</v>
      </c>
      <c r="AF44" t="n">
        <v>0</v>
      </c>
      <c r="AG44" t="inlineStr">
        <is>
          <t>No submission found.</t>
        </is>
      </c>
      <c r="AH44" t="n">
        <v>18</v>
      </c>
      <c r="AI44" t="n">
        <v>0</v>
      </c>
    </row>
    <row r="45">
      <c r="A45" t="n">
        <v>44</v>
      </c>
      <c r="B45" t="inlineStr">
        <is>
          <t>TA_1</t>
        </is>
      </c>
      <c r="C45" t="inlineStr">
        <is>
          <t>TA_11</t>
        </is>
      </c>
      <c r="D45" t="n">
        <v>12</v>
      </c>
      <c r="E45" t="n">
        <v>0</v>
      </c>
      <c r="F45" t="n">
        <v>11</v>
      </c>
      <c r="G45" t="n">
        <v>0</v>
      </c>
      <c r="H45" t="n">
        <v>12</v>
      </c>
      <c r="I45" t="n">
        <v>0</v>
      </c>
      <c r="J45" t="n">
        <v>12</v>
      </c>
      <c r="K45" t="n">
        <v>0</v>
      </c>
      <c r="L45" t="n">
        <v>11</v>
      </c>
      <c r="M45" t="n">
        <v>0</v>
      </c>
      <c r="N45" t="n">
        <v>11</v>
      </c>
      <c r="O45" t="n">
        <v>0</v>
      </c>
      <c r="P45">
        <f>Table1[[#This Row],[TA 1 - Q1 Score]]+Table1[[#This Row],[TA 1 - Q2 Score]]+Table1[[#This Row],[TA 1 - Q3 Score]]</f>
        <v/>
      </c>
      <c r="Q45">
        <f>Table1[[#This Row],[TA 1 - Q1 Bonus]]+Table1[[#This Row],[TA 1 - Q2 Bonus]]+Table1[[#This Row],[TA 1 - Q4 Bonus]]</f>
        <v/>
      </c>
      <c r="R45">
        <f>Table1[[#This Row],[TA 2 - Q1 Score]]+Table1[[#This Row],[TA 2 - Q2 Score]]+Table1[[#This Row],[TA 2 - Q3 Score]]</f>
        <v/>
      </c>
      <c r="S45">
        <f>Table1[[#This Row],[TA 2 - Q1 Bonus]]+Table1[[#This Row],[TA 2 - Q2 Bonus]]+Table1[[#This Row],[TA 2 - Q4 Bonus]]</f>
        <v/>
      </c>
      <c r="T45">
        <f>(Table1[[#This Row],[TA 1 - Total Score (out of 35)]]+Table1[[#This Row],[TA 2 - Total Score (out of 35)]])/2</f>
        <v/>
      </c>
      <c r="U45">
        <f>(Table1[[#This Row],[TA 1 - Total Bonus (out of 13)]]+Table1[[#This Row],[TA 2 - Total Bonus (out of 13)]])/2</f>
        <v/>
      </c>
      <c r="V45">
        <f>Table1[[#This Row],[Average Questions]]/35*20+Table1[[#This Row],[Average Bonus]]/13*5</f>
        <v/>
      </c>
      <c r="W45" t="n">
        <v>7</v>
      </c>
      <c r="X45" t="n">
        <v>0</v>
      </c>
      <c r="Y45" t="inlineStr">
        <is>
          <t>The student completed most tasks with minor issues. The transforms were correctly defined, and the DataLoaders were set up properly. Sample images were displayed correctly. However, the student used EfficientNet-B0 instead of EfficientNetV2-Small, which is a significant error. The model's backbone was frozen correctly, and the classifier was replaced appropriately. The training and validation loops were implemented with correct label adjustments, though the learning rate was unusually low, and the number of epochs was too few. No bonus task was attempted.</t>
        </is>
      </c>
      <c r="Z45" t="n">
        <v>10</v>
      </c>
      <c r="AA45" t="n">
        <v>0</v>
      </c>
      <c r="AB45" t="inlineStr">
        <is>
          <t>The student successfully completed all base tasks for Question 2, including loading and preparing the data, building the CNN model with batch normalization, defining training and validation functions, setting up the device, model, loss, and optimizer, and training the model. The student also plotted the losses and accuracies correctly. However, the bonus task was not attempted, so no bonus points were awarded.</t>
        </is>
      </c>
      <c r="AC45" t="n">
        <v>8</v>
      </c>
      <c r="AD45" t="inlineStr">
        <is>
          <t>The student's submission includes most of the required tasks with minor issues. The dataset class is correctly implemented, but the same dataset is used for both training and testing, which is a mistake. The model class uses the correct architecture but with a different encoder (efficientnet-b1 instead of efficientnet-b0). The training and validation loops are implemented correctly, though the number of epochs is reduced to 3. The loss and optimizer are defined properly, and the loss curve is plotted. Predictions are visualized, but the colormap for the predicted masks is not consistent with the ground truth.</t>
        </is>
      </c>
      <c r="AE45" t="n">
        <v>0</v>
      </c>
      <c r="AF45" t="n">
        <v>0</v>
      </c>
      <c r="AG45" t="inlineStr">
        <is>
          <t>No submission found.</t>
        </is>
      </c>
      <c r="AH45" t="n">
        <v>25</v>
      </c>
      <c r="AI45" t="n">
        <v>0</v>
      </c>
    </row>
    <row r="46">
      <c r="A46" t="n">
        <v>45</v>
      </c>
      <c r="B46" t="inlineStr">
        <is>
          <t>TA_1</t>
        </is>
      </c>
      <c r="C46" t="inlineStr">
        <is>
          <t>TA_11</t>
        </is>
      </c>
      <c r="D46" t="n">
        <v>7.5</v>
      </c>
      <c r="E46" t="n">
        <v>0</v>
      </c>
      <c r="F46" t="n">
        <v>7</v>
      </c>
      <c r="G46" t="n">
        <v>3</v>
      </c>
      <c r="H46" t="n">
        <v>7</v>
      </c>
      <c r="I46" t="n">
        <v>0</v>
      </c>
      <c r="J46" t="n">
        <v>8</v>
      </c>
      <c r="K46" t="n">
        <v>2</v>
      </c>
      <c r="L46" t="n">
        <v>8</v>
      </c>
      <c r="M46" t="n">
        <v>0</v>
      </c>
      <c r="N46" t="n">
        <v>5</v>
      </c>
      <c r="O46" t="n">
        <v>0</v>
      </c>
      <c r="P46">
        <f>Table1[[#This Row],[TA 1 - Q1 Score]]+Table1[[#This Row],[TA 1 - Q2 Score]]+Table1[[#This Row],[TA 1 - Q3 Score]]</f>
        <v/>
      </c>
      <c r="Q46">
        <f>Table1[[#This Row],[TA 1 - Q1 Bonus]]+Table1[[#This Row],[TA 1 - Q2 Bonus]]+Table1[[#This Row],[TA 1 - Q4 Bonus]]</f>
        <v/>
      </c>
      <c r="R46">
        <f>Table1[[#This Row],[TA 2 - Q1 Score]]+Table1[[#This Row],[TA 2 - Q2 Score]]+Table1[[#This Row],[TA 2 - Q3 Score]]</f>
        <v/>
      </c>
      <c r="S46">
        <f>Table1[[#This Row],[TA 2 - Q1 Bonus]]+Table1[[#This Row],[TA 2 - Q2 Bonus]]+Table1[[#This Row],[TA 2 - Q4 Bonus]]</f>
        <v/>
      </c>
      <c r="T46">
        <f>(Table1[[#This Row],[TA 1 - Total Score (out of 35)]]+Table1[[#This Row],[TA 2 - Total Score (out of 35)]])/2</f>
        <v/>
      </c>
      <c r="U46">
        <f>(Table1[[#This Row],[TA 1 - Total Bonus (out of 13)]]+Table1[[#This Row],[TA 2 - Total Bonus (out of 13)]])/2</f>
        <v/>
      </c>
      <c r="V46">
        <f>Table1[[#This Row],[Average Questions]]/35*20+Table1[[#This Row],[Average Bonus]]/13*5</f>
        <v/>
      </c>
      <c r="W46" t="n">
        <v>5.5</v>
      </c>
      <c r="X46" t="n">
        <v>0</v>
      </c>
      <c r="Y46" t="inlineStr">
        <is>
          <t>The student partially completed several tasks but made significant errors. In Part 1, the SubtractOne class incorrectly attempts to modify labels within the transform pipeline, which is not the intended approach. The DataLoader creation and sample image display were mostly correct. In Part 2, the student froze all model parameters instead of just the backbone. Part 3 had issues with the training and validation loops, particularly in how labels were handled and accuracy was calculated. Part 4 included a basic training setup but used an incorrect optimizer and did not plot the results correctly. The bonus task was not implemented correctly, with errors in handling image flips and averaging predictions.</t>
        </is>
      </c>
      <c r="Z46" t="n">
        <v>5</v>
      </c>
      <c r="AA46" t="n">
        <v>0</v>
      </c>
      <c r="AB46" t="inlineStr">
        <is>
          <t>The student partially completed the tasks. They correctly set up the dataset and DataLoaders with the required transformations, earning full points for Part 1. However, the CNN model defined in Part 2 has several issues: incorrect number of convolutional layers, mismatched batch normalization layers, and incorrect fully connected layer input size. The training and validation functions in Part 3 were implemented correctly, earning full points. The training setup and execution in Part 4 were also correct, but the model definition issues impacted the results. No bonus task was attempted.</t>
        </is>
      </c>
      <c r="AC46" t="n">
        <v>2</v>
      </c>
      <c r="AD46" t="inlineStr">
        <is>
          <t>The student attempted most tasks but made significant errors. The dataset class has issues with incorrect file path handling and missing initialization parameters. The model class correctly defines the U-Net model with the specified encoder. The training and validation loops contain logical errors, particularly in handling mask data types and dimensions. The training process is not fully implemented due to these issues, and visualization of predictions is incorrect, showing raw model outputs instead of argmax predictions.</t>
        </is>
      </c>
      <c r="AE46" t="n">
        <v>0</v>
      </c>
      <c r="AF46" t="n">
        <v>0</v>
      </c>
      <c r="AG46" t="inlineStr">
        <is>
          <t>No submission found.</t>
        </is>
      </c>
      <c r="AH46" t="n">
        <v>12.5</v>
      </c>
      <c r="AI46" t="n">
        <v>0</v>
      </c>
    </row>
    <row r="47">
      <c r="A47" t="n">
        <v>46</v>
      </c>
      <c r="B47" t="inlineStr">
        <is>
          <t>TA_1</t>
        </is>
      </c>
      <c r="C47" t="inlineStr">
        <is>
          <t>TA_11</t>
        </is>
      </c>
      <c r="D47" t="n">
        <v>6</v>
      </c>
      <c r="E47" t="n">
        <v>0</v>
      </c>
      <c r="F47" t="n">
        <v>10</v>
      </c>
      <c r="G47" t="n">
        <v>0</v>
      </c>
      <c r="H47" t="n">
        <v>4</v>
      </c>
      <c r="I47" t="n">
        <v>0</v>
      </c>
      <c r="J47" t="n">
        <v>6.75</v>
      </c>
      <c r="K47" t="n">
        <v>0</v>
      </c>
      <c r="L47" t="n">
        <v>8.5</v>
      </c>
      <c r="M47" t="n">
        <v>0</v>
      </c>
      <c r="N47" t="n">
        <v>5.25</v>
      </c>
      <c r="O47" t="n">
        <v>0</v>
      </c>
      <c r="P47">
        <f>Table1[[#This Row],[TA 1 - Q1 Score]]+Table1[[#This Row],[TA 1 - Q2 Score]]+Table1[[#This Row],[TA 1 - Q3 Score]]</f>
        <v/>
      </c>
      <c r="Q47">
        <f>Table1[[#This Row],[TA 1 - Q1 Bonus]]+Table1[[#This Row],[TA 1 - Q2 Bonus]]+Table1[[#This Row],[TA 1 - Q4 Bonus]]</f>
        <v/>
      </c>
      <c r="R47">
        <f>Table1[[#This Row],[TA 2 - Q1 Score]]+Table1[[#This Row],[TA 2 - Q2 Score]]+Table1[[#This Row],[TA 2 - Q3 Score]]</f>
        <v/>
      </c>
      <c r="S47">
        <f>Table1[[#This Row],[TA 2 - Q1 Bonus]]+Table1[[#This Row],[TA 2 - Q2 Bonus]]+Table1[[#This Row],[TA 2 - Q4 Bonus]]</f>
        <v/>
      </c>
      <c r="T47">
        <f>(Table1[[#This Row],[TA 1 - Total Score (out of 35)]]+Table1[[#This Row],[TA 2 - Total Score (out of 35)]])/2</f>
        <v/>
      </c>
      <c r="U47">
        <f>(Table1[[#This Row],[TA 1 - Total Bonus (out of 13)]]+Table1[[#This Row],[TA 2 - Total Bonus (out of 13)]])/2</f>
        <v/>
      </c>
      <c r="V47">
        <f>Table1[[#This Row],[Average Questions]]/35*20+Table1[[#This Row],[Average Bonus]]/13*5</f>
        <v/>
      </c>
      <c r="W47" t="n">
        <v>4</v>
      </c>
      <c r="X47" t="n">
        <v>0</v>
      </c>
      <c r="Y47" t="inlineStr">
        <is>
          <t>The student partially completed several tasks but made significant errors. The data loading and preparation section had missing parts filled correctly, but the display function did not properly map labels. The model adaptation section incorrectly froze all parameters and replaced the classifier head with a single output neuron. Training and validation loops were implemented but lacked label fixing, resulting in incorrect calculations. The plotting section was mostly correct, but no bonus task was attempted.</t>
        </is>
      </c>
      <c r="Z47" t="n">
        <v>7</v>
      </c>
      <c r="AA47" t="n">
        <v>0</v>
      </c>
      <c r="AB47" t="inlineStr">
        <is>
          <t>The student partially completed the tasks. They used ImageFolder correctly and defined appropriate transformations, earning full points for Part 1. The CNN model has 5 convolutional layers with batch normalization, earning full points for Part 2. The training and validation functions were implemented correctly, earning full points for Part 3. However, the model's convolutional layer output sizes did not match the input size for the fully connected layer, leading to a mismatch error during training. The plotting of losses and accuracies was done correctly, earning full points for Part 4. No bonus task was attempted.</t>
        </is>
      </c>
      <c r="AC47" t="n">
        <v>3</v>
      </c>
      <c r="AD47" t="inlineStr">
        <is>
          <t>The student attempted most tasks but made significant errors. In Task 1, the dataset class lacks transform parameters and the paths are undefined. DataLoaders are created without proper paths. Task 2 incorrectly specifies 7 classes instead of 8 and uses CPU instead of GPU. Task 3 includes unnecessary accuracy calculations in the training and validation loops. Task 4 has incomplete code for training and plotting, missing loss lists initialization. Task 5 is not implemented.</t>
        </is>
      </c>
      <c r="AE47" t="n">
        <v>0</v>
      </c>
      <c r="AF47" t="n">
        <v>0</v>
      </c>
      <c r="AG47" t="inlineStr">
        <is>
          <t>No submission found.</t>
        </is>
      </c>
      <c r="AH47" t="n">
        <v>14</v>
      </c>
      <c r="AI47" t="n">
        <v>0</v>
      </c>
    </row>
    <row r="48">
      <c r="A48" t="n">
        <v>47</v>
      </c>
      <c r="B48" t="inlineStr">
        <is>
          <t>TA_1</t>
        </is>
      </c>
      <c r="C48" t="inlineStr">
        <is>
          <t>TA_11</t>
        </is>
      </c>
      <c r="D48" t="n">
        <v>12</v>
      </c>
      <c r="E48" t="n">
        <v>0</v>
      </c>
      <c r="F48" t="n">
        <v>11</v>
      </c>
      <c r="G48" t="n">
        <v>0</v>
      </c>
      <c r="H48" t="n">
        <v>6</v>
      </c>
      <c r="I48" t="n">
        <v>0</v>
      </c>
      <c r="J48" t="n">
        <v>9.25</v>
      </c>
      <c r="K48" t="n">
        <v>0</v>
      </c>
      <c r="L48" t="n">
        <v>11</v>
      </c>
      <c r="M48" t="n">
        <v>0</v>
      </c>
      <c r="N48" t="n">
        <v>1</v>
      </c>
      <c r="O48" t="n">
        <v>0</v>
      </c>
      <c r="P48">
        <f>Table1[[#This Row],[TA 1 - Q1 Score]]+Table1[[#This Row],[TA 1 - Q2 Score]]+Table1[[#This Row],[TA 1 - Q3 Score]]</f>
        <v/>
      </c>
      <c r="Q48">
        <f>Table1[[#This Row],[TA 1 - Q1 Bonus]]+Table1[[#This Row],[TA 1 - Q2 Bonus]]+Table1[[#This Row],[TA 1 - Q4 Bonus]]</f>
        <v/>
      </c>
      <c r="R48">
        <f>Table1[[#This Row],[TA 2 - Q1 Score]]+Table1[[#This Row],[TA 2 - Q2 Score]]+Table1[[#This Row],[TA 2 - Q3 Score]]</f>
        <v/>
      </c>
      <c r="S48">
        <f>Table1[[#This Row],[TA 2 - Q1 Bonus]]+Table1[[#This Row],[TA 2 - Q2 Bonus]]+Table1[[#This Row],[TA 2 - Q4 Bonus]]</f>
        <v/>
      </c>
      <c r="T48">
        <f>(Table1[[#This Row],[TA 1 - Total Score (out of 35)]]+Table1[[#This Row],[TA 2 - Total Score (out of 35)]])/2</f>
        <v/>
      </c>
      <c r="U48">
        <f>(Table1[[#This Row],[TA 1 - Total Bonus (out of 13)]]+Table1[[#This Row],[TA 2 - Total Bonus (out of 13)]])/2</f>
        <v/>
      </c>
      <c r="V48">
        <f>Table1[[#This Row],[Average Questions]]/35*20+Table1[[#This Row],[Average Bonus]]/13*5</f>
        <v/>
      </c>
      <c r="W48" t="n">
        <v>8.5</v>
      </c>
      <c r="X48" t="n">
        <v>0</v>
      </c>
      <c r="Y48" t="inlineStr">
        <is>
          <t>The student completed most tasks correctly but made some mistakes. The transforms were mostly correct with missing comments. DataLoaders were set up properly, and sample images were displayed accurately. The model was loaded and adapted correctly, with the backbone frozen and classifier replaced. However, there were issues in the training and validation loops: labels were not adjusted correctly, leading to a penalty. The training process was set up and executed, and plots were generated, but the bonus task was not attempted.</t>
        </is>
      </c>
      <c r="Z48" t="n">
        <v>8</v>
      </c>
      <c r="AA48" t="n">
        <v>0</v>
      </c>
      <c r="AB48" t="inlineStr">
        <is>
          <t>The student implemented a custom dataset class and used DataLoader correctly, achieving full marks for Part 1. The CNN model has 5 convolutional layers with Batch Normalization, earning full marks for Part 2. The training and validation functions were implemented correctly, scoring full marks for Part 3. The model setup, training, and plotting of losses and accuracies were done properly, earning full marks for Part 4. However, the bonus task was not completed as the student did not implement a residual connection, resulting in 0 bonus points.</t>
        </is>
      </c>
      <c r="AC48" t="n">
        <v>0.5</v>
      </c>
      <c r="AD48" t="inlineStr">
        <is>
          <t>The student has started the dataset class implementation but made a mistake in the __getitem__ method by using the same image path for both image and mask. Additionally, the student did not complete the remaining tasks, including creating DataLoaders, displaying sample images and masks, defining the model, implementing training and validation loops, setting up loss and optimizer, training the model, plotting loss curves, and visualizing predictions.</t>
        </is>
      </c>
      <c r="AE48" t="n">
        <v>0</v>
      </c>
      <c r="AF48" t="n">
        <v>0</v>
      </c>
      <c r="AG48" t="inlineStr">
        <is>
          <t>No submission found.</t>
        </is>
      </c>
      <c r="AH48" t="n">
        <v>17</v>
      </c>
      <c r="AI48" t="n">
        <v>0</v>
      </c>
    </row>
    <row r="49">
      <c r="A49" t="n">
        <v>48</v>
      </c>
      <c r="B49" t="inlineStr">
        <is>
          <t>TA_1</t>
        </is>
      </c>
      <c r="C49" t="inlineStr">
        <is>
          <t>TA_11</t>
        </is>
      </c>
      <c r="D49" t="n">
        <v>12</v>
      </c>
      <c r="E49" t="n">
        <v>3</v>
      </c>
      <c r="F49" t="n">
        <v>11</v>
      </c>
      <c r="G49" t="n">
        <v>0</v>
      </c>
      <c r="H49" t="n">
        <v>12</v>
      </c>
      <c r="I49" t="n">
        <v>0</v>
      </c>
      <c r="J49" t="n">
        <v>12</v>
      </c>
      <c r="K49" t="n">
        <v>3</v>
      </c>
      <c r="L49" t="n">
        <v>9.5</v>
      </c>
      <c r="M49" t="n">
        <v>0</v>
      </c>
      <c r="N49" t="n">
        <v>12</v>
      </c>
      <c r="O49" t="n">
        <v>0</v>
      </c>
      <c r="P49">
        <f>Table1[[#This Row],[TA 1 - Q1 Score]]+Table1[[#This Row],[TA 1 - Q2 Score]]+Table1[[#This Row],[TA 1 - Q3 Score]]</f>
        <v/>
      </c>
      <c r="Q49">
        <f>Table1[[#This Row],[TA 1 - Q1 Bonus]]+Table1[[#This Row],[TA 1 - Q2 Bonus]]+Table1[[#This Row],[TA 1 - Q4 Bonus]]</f>
        <v/>
      </c>
      <c r="R49">
        <f>Table1[[#This Row],[TA 2 - Q1 Score]]+Table1[[#This Row],[TA 2 - Q2 Score]]+Table1[[#This Row],[TA 2 - Q3 Score]]</f>
        <v/>
      </c>
      <c r="S49">
        <f>Table1[[#This Row],[TA 2 - Q1 Bonus]]+Table1[[#This Row],[TA 2 - Q2 Bonus]]+Table1[[#This Row],[TA 2 - Q4 Bonus]]</f>
        <v/>
      </c>
      <c r="T49">
        <f>(Table1[[#This Row],[TA 1 - Total Score (out of 35)]]+Table1[[#This Row],[TA 2 - Total Score (out of 35)]])/2</f>
        <v/>
      </c>
      <c r="U49">
        <f>(Table1[[#This Row],[TA 1 - Total Bonus (out of 13)]]+Table1[[#This Row],[TA 2 - Total Bonus (out of 13)]])/2</f>
        <v/>
      </c>
      <c r="V49">
        <f>Table1[[#This Row],[Average Questions]]/35*20+Table1[[#This Row],[Average Bonus]]/13*5</f>
        <v/>
      </c>
      <c r="W49" t="n">
        <v>7</v>
      </c>
      <c r="X49" t="n">
        <v>0</v>
      </c>
      <c r="Y49" t="inlineStr">
        <is>
          <t>The student completed most tasks with minor issues. Transforms were mostly correct but lacked comments. DataLoaders were set up properly with a smaller batch size. Sample images were displayed with incorrect class labels due to a misunderstanding of the dataset. The model was loaded and adapted correctly, but the classifier head was incorrectly set to 2 classes instead of 26. Training and validation loops were implemented with label fixing, but the validation loop in the bonus section had logical errors in averaging predictions.</t>
        </is>
      </c>
      <c r="Z49" t="n">
        <v>5</v>
      </c>
      <c r="AA49" t="n">
        <v>0</v>
      </c>
      <c r="AB49" t="inlineStr">
        <is>
          <t>The student partially completed the tasks. They correctly set up the dataset paths and transformations, including RandomRotation and resizing to 32x32. However, they used the same transformation for both training and validation datasets, which is not ideal. The student created DataLoaders but mistakenly named the validation loader 'valid_loader'. The model defined is an AlexNet variant instead of a simple CNN with 5 convolutional layers and batch normalization, which results in a significant deviation from the task requirements. The training and validation loops were implemented correctly, but the model used was not as specified. No bonus task was attempted.</t>
        </is>
      </c>
      <c r="AC49" t="n">
        <v>8.5</v>
      </c>
      <c r="AD49" t="inlineStr">
        <is>
          <t>The student's submission largely follows the required tasks but has some issues. Task 1 is mostly correct with a minor mistake in the dataset class initialization. Task 2 correctly defines the U-Net model with the specified encoder. Task 3 implements the training and validation loops accurately. Task 4 defines the loss and optimizer correctly, trains the model, and plots the loss curve. Task 5 visualizes predictions but uses a different dataset split for visualization, which is a minor issue.</t>
        </is>
      </c>
      <c r="AE49" t="n">
        <v>0</v>
      </c>
      <c r="AF49" t="n">
        <v>0</v>
      </c>
      <c r="AG49" t="inlineStr">
        <is>
          <t>No submission found.</t>
        </is>
      </c>
      <c r="AH49" t="n">
        <v>20.5</v>
      </c>
      <c r="AI49" t="n">
        <v>0</v>
      </c>
    </row>
    <row r="50">
      <c r="A50" t="n">
        <v>49</v>
      </c>
      <c r="B50" t="inlineStr">
        <is>
          <t>TA_1</t>
        </is>
      </c>
      <c r="C50" t="inlineStr">
        <is>
          <t>TA_11</t>
        </is>
      </c>
      <c r="D50" t="n">
        <v>6</v>
      </c>
      <c r="E50" t="n">
        <v>0</v>
      </c>
      <c r="F50" t="n">
        <v>2</v>
      </c>
      <c r="G50" t="n">
        <v>0</v>
      </c>
      <c r="H50" t="n">
        <v>5</v>
      </c>
      <c r="I50" t="n">
        <v>0</v>
      </c>
      <c r="J50" t="n">
        <v>5</v>
      </c>
      <c r="K50" t="n">
        <v>0</v>
      </c>
      <c r="L50" t="n">
        <v>0.5</v>
      </c>
      <c r="M50" t="n">
        <v>0</v>
      </c>
      <c r="N50" t="n">
        <v>-2</v>
      </c>
      <c r="O50" t="n">
        <v>0</v>
      </c>
      <c r="P50">
        <f>Table1[[#This Row],[TA 1 - Q1 Score]]+Table1[[#This Row],[TA 1 - Q2 Score]]+Table1[[#This Row],[TA 1 - Q3 Score]]</f>
        <v/>
      </c>
      <c r="Q50">
        <f>Table1[[#This Row],[TA 1 - Q1 Bonus]]+Table1[[#This Row],[TA 1 - Q2 Bonus]]+Table1[[#This Row],[TA 1 - Q4 Bonus]]</f>
        <v/>
      </c>
      <c r="R50">
        <f>Table1[[#This Row],[TA 2 - Q1 Score]]+Table1[[#This Row],[TA 2 - Q2 Score]]+Table1[[#This Row],[TA 2 - Q3 Score]]</f>
        <v/>
      </c>
      <c r="S50">
        <f>Table1[[#This Row],[TA 2 - Q1 Bonus]]+Table1[[#This Row],[TA 2 - Q2 Bonus]]+Table1[[#This Row],[TA 2 - Q4 Bonus]]</f>
        <v/>
      </c>
      <c r="T50">
        <f>(Table1[[#This Row],[TA 1 - Total Score (out of 35)]]+Table1[[#This Row],[TA 2 - Total Score (out of 35)]])/2</f>
        <v/>
      </c>
      <c r="U50">
        <f>(Table1[[#This Row],[TA 1 - Total Bonus (out of 13)]]+Table1[[#This Row],[TA 2 - Total Bonus (out of 13)]])/2</f>
        <v/>
      </c>
      <c r="V50">
        <f>Table1[[#This Row],[Average Questions]]/35*20+Table1[[#This Row],[Average Bonus]]/13*5</f>
        <v/>
      </c>
      <c r="W50" t="n">
        <v>5.5</v>
      </c>
      <c r="X50" t="n">
        <v>0</v>
      </c>
      <c r="Y50" t="inlineStr">
        <is>
          <t>The student completed the data loading and transformation tasks correctly, including resizing, converting to tensor, and normalizing the images. However, there were issues in displaying sample images, where the labels were not adjusted for 0-indexing. The model loading and adaptation were mostly correct, but the student used SGD instead of Adam for optimization and did not freeze the backbone. The training and validation loops had syntax errors and did not adjust labels correctly. No bonus tasks were attempted.</t>
        </is>
      </c>
      <c r="Z50" t="n">
        <v>0</v>
      </c>
      <c r="AA50" t="n">
        <v>0</v>
      </c>
      <c r="AB50" t="inlineStr">
        <is>
          <t>The student did not provide any code for Parts 1 through 4 of the question. They only included a partial transformation pipeline in Cell 3, which incorrectly resizes images to 32x32 instead of 128x128 as specified, and converts images to grayscale, which is not required. Cells 4 through 7 are empty, indicating no attempt was made to complete the remaining tasks.</t>
        </is>
      </c>
      <c r="AC50" t="n">
        <v>4</v>
      </c>
      <c r="AD50" t="inlineStr">
        <is>
          <t>The student attempted most tasks but made significant errors. The dataset class uses a CSV file for paths instead of directly listing files, which is unconventional and could lead to issues. The model class incorrectly sets the number of classes to 1, indicating a misunderstanding of the task requirements. The training and validation loops use BCEWithLogitsLoss, which is suitable for binary segmentation but not multi-class segmentation. The visualization section correctly displays images and masks but does not handle multi-class predictions properly.</t>
        </is>
      </c>
      <c r="AE50" t="n">
        <v>0</v>
      </c>
      <c r="AF50" t="n">
        <v>0</v>
      </c>
      <c r="AG50" t="inlineStr">
        <is>
          <t>No submission found.</t>
        </is>
      </c>
      <c r="AH50" t="n">
        <v>9.5</v>
      </c>
      <c r="AI50" t="n">
        <v>0</v>
      </c>
    </row>
    <row r="51">
      <c r="A51" t="n">
        <v>50</v>
      </c>
      <c r="B51" t="inlineStr">
        <is>
          <t>TA_1</t>
        </is>
      </c>
      <c r="C51" t="inlineStr">
        <is>
          <t>TA_11</t>
        </is>
      </c>
      <c r="D51" t="n">
        <v>12</v>
      </c>
      <c r="E51" t="n">
        <v>4</v>
      </c>
      <c r="F51" t="n">
        <v>11</v>
      </c>
      <c r="G51" t="n">
        <v>0</v>
      </c>
      <c r="H51" t="n">
        <v>11</v>
      </c>
      <c r="I51" t="n">
        <v>0</v>
      </c>
      <c r="J51" t="n">
        <v>9.5</v>
      </c>
      <c r="K51" t="n">
        <v>0</v>
      </c>
      <c r="L51" t="n">
        <v>5</v>
      </c>
      <c r="M51" t="n">
        <v>0</v>
      </c>
      <c r="N51" t="n">
        <v>11.5</v>
      </c>
      <c r="O51" t="n">
        <v>0</v>
      </c>
      <c r="P51">
        <f>Table1[[#This Row],[TA 1 - Q1 Score]]+Table1[[#This Row],[TA 1 - Q2 Score]]+Table1[[#This Row],[TA 1 - Q3 Score]]</f>
        <v/>
      </c>
      <c r="Q51">
        <f>Table1[[#This Row],[TA 1 - Q1 Bonus]]+Table1[[#This Row],[TA 1 - Q2 Bonus]]+Table1[[#This Row],[TA 1 - Q4 Bonus]]</f>
        <v/>
      </c>
      <c r="R51">
        <f>Table1[[#This Row],[TA 2 - Q1 Score]]+Table1[[#This Row],[TA 2 - Q2 Score]]+Table1[[#This Row],[TA 2 - Q3 Score]]</f>
        <v/>
      </c>
      <c r="S51">
        <f>Table1[[#This Row],[TA 2 - Q1 Bonus]]+Table1[[#This Row],[TA 2 - Q2 Bonus]]+Table1[[#This Row],[TA 2 - Q4 Bonus]]</f>
        <v/>
      </c>
      <c r="T51">
        <f>(Table1[[#This Row],[TA 1 - Total Score (out of 35)]]+Table1[[#This Row],[TA 2 - Total Score (out of 35)]])/2</f>
        <v/>
      </c>
      <c r="U51">
        <f>(Table1[[#This Row],[TA 1 - Total Bonus (out of 13)]]+Table1[[#This Row],[TA 2 - Total Bonus (out of 13)]])/2</f>
        <v/>
      </c>
      <c r="V51">
        <f>Table1[[#This Row],[Average Questions]]/35*20+Table1[[#This Row],[Average Bonus]]/13*5</f>
        <v/>
      </c>
      <c r="W51" t="n">
        <v>4</v>
      </c>
      <c r="X51" t="n">
        <v>0</v>
      </c>
      <c r="Y51" t="inlineStr">
        <is>
          <t>The student partially completed several tasks but had significant issues in others. They correctly set up the transforms and created DataLoaders, but failed to display sample images properly. The model loading and adaptation were mostly correct, but the backbone was incorrectly frozen. The training and validation loops had logical errors, particularly in label fixing and accuracy calculation. No bonus task was attempted.</t>
        </is>
      </c>
      <c r="Z51" t="n">
        <v>6</v>
      </c>
      <c r="AA51" t="n">
        <v>0</v>
      </c>
      <c r="AB51" t="inlineStr">
        <is>
          <t>The student partially completed the tasks. They used ImageFolder correctly but resized images to 224x224 instead of 32x32, missing the required transformation. The CNN model had 5 convolutional layers but did not include batch normalization. The training and validation loops were implemented correctly, and the model trained and plotted results. However, the bonus task was not attempted.</t>
        </is>
      </c>
      <c r="AC51" t="n">
        <v>8</v>
      </c>
      <c r="AD51" t="inlineStr">
        <is>
          <t>The student's submission contains mostly correct code with minor issues. Task 1 is partially correct with syntax errors in the initial dataset splitting and incorrect mask transformation handling. Task 2 is correct with the right model definition. Task 3 is correct with proper training and validation loops. Task 4 is mostly correct with a minor issue in the optimizer choice and correct implementation of loss calculation and plotting. Task 5 is correct with proper visualization of predictions.</t>
        </is>
      </c>
      <c r="AE51" t="n">
        <v>0</v>
      </c>
      <c r="AF51" t="n">
        <v>0</v>
      </c>
      <c r="AG51" t="inlineStr">
        <is>
          <t>No submission found.</t>
        </is>
      </c>
      <c r="AH51" t="n">
        <v>18</v>
      </c>
      <c r="AI51" t="n">
        <v>0</v>
      </c>
    </row>
    <row r="52">
      <c r="A52" t="n">
        <v>51</v>
      </c>
      <c r="B52" t="inlineStr">
        <is>
          <t>TA_1</t>
        </is>
      </c>
      <c r="C52" t="inlineStr">
        <is>
          <t>TA_11</t>
        </is>
      </c>
      <c r="D52" t="n">
        <v>10.5</v>
      </c>
      <c r="E52" t="n">
        <v>0</v>
      </c>
      <c r="F52" t="n">
        <v>9</v>
      </c>
      <c r="G52" t="n">
        <v>0</v>
      </c>
      <c r="H52" t="n">
        <v>12</v>
      </c>
      <c r="I52" t="n">
        <v>0</v>
      </c>
      <c r="J52" t="n">
        <v>11</v>
      </c>
      <c r="K52" t="n">
        <v>0</v>
      </c>
      <c r="L52" t="n">
        <v>8.5</v>
      </c>
      <c r="M52" t="n">
        <v>0</v>
      </c>
      <c r="N52" t="n">
        <v>11</v>
      </c>
      <c r="O52" t="n">
        <v>0</v>
      </c>
      <c r="P52">
        <f>Table1[[#This Row],[TA 1 - Q1 Score]]+Table1[[#This Row],[TA 1 - Q2 Score]]+Table1[[#This Row],[TA 1 - Q3 Score]]</f>
        <v/>
      </c>
      <c r="Q52">
        <f>Table1[[#This Row],[TA 1 - Q1 Bonus]]+Table1[[#This Row],[TA 1 - Q2 Bonus]]+Table1[[#This Row],[TA 1 - Q4 Bonus]]</f>
        <v/>
      </c>
      <c r="R52">
        <f>Table1[[#This Row],[TA 2 - Q1 Score]]+Table1[[#This Row],[TA 2 - Q2 Score]]+Table1[[#This Row],[TA 2 - Q3 Score]]</f>
        <v/>
      </c>
      <c r="S52">
        <f>Table1[[#This Row],[TA 2 - Q1 Bonus]]+Table1[[#This Row],[TA 2 - Q2 Bonus]]+Table1[[#This Row],[TA 2 - Q4 Bonus]]</f>
        <v/>
      </c>
      <c r="T52">
        <f>(Table1[[#This Row],[TA 1 - Total Score (out of 35)]]+Table1[[#This Row],[TA 2 - Total Score (out of 35)]])/2</f>
        <v/>
      </c>
      <c r="U52">
        <f>(Table1[[#This Row],[TA 1 - Total Bonus (out of 13)]]+Table1[[#This Row],[TA 2 - Total Bonus (out of 13)]])/2</f>
        <v/>
      </c>
      <c r="V52">
        <f>Table1[[#This Row],[Average Questions]]/35*20+Table1[[#This Row],[Average Bonus]]/13*5</f>
        <v/>
      </c>
      <c r="W52" t="n">
        <v>7.5</v>
      </c>
      <c r="X52" t="n">
        <v>0</v>
      </c>
      <c r="Y52" t="inlineStr">
        <is>
          <t>The student completed most tasks with minor issues. Transforms were correctly defined, and DataLoaders were set up properly. Sample images were displayed, though with hardcoded indices. The pretrained model was loaded and adapted correctly, but the backbone was not explicitly frozen. Training and validation loops were implemented with label fixing, but the model was incorrectly loaded as EfficientNet-B0 instead of EfficientNetV2-Small. The training process ran, but the learning rate was too low, and the number of epochs was unnecessarily high. No bonus task was attempted.</t>
        </is>
      </c>
      <c r="Z52" t="n">
        <v>7</v>
      </c>
      <c r="AA52" t="n">
        <v>0</v>
      </c>
      <c r="AB52" t="inlineStr">
        <is>
          <t>The student successfully loaded and prepared the data with the correct transformations and displayed sample images. The CNN model was built with 5 convolutional layers, but the number of channels and fully connected layer sizes were different from the reference solution. The training and validation functions were implemented correctly, and the model was trained and plotted. However, the bonus task was not completed.</t>
        </is>
      </c>
      <c r="AC52" t="n">
        <v>8</v>
      </c>
      <c r="AD52" t="inlineStr">
        <is>
          <t>The student's submission contains mostly correct code with minor issues. Task 1 is partially correct due to incorrect sorting of image and mask paths within the dataset class. Task 2 is fully correct with the correct model definition. Task 3 is fully correct with proper training and validation loops. Task 4 is mostly correct with the right loss and optimizer, but the learning rate is different from the reference solution. Task 5 is partially correct with visualization issues, such as using grayscale for predicted masks instead of a color map.</t>
        </is>
      </c>
      <c r="AE52" t="n">
        <v>0</v>
      </c>
      <c r="AF52" t="n">
        <v>0</v>
      </c>
      <c r="AG52" t="inlineStr">
        <is>
          <t>No submission found.</t>
        </is>
      </c>
      <c r="AH52" t="n">
        <v>22.5</v>
      </c>
      <c r="AI52" t="n">
        <v>0</v>
      </c>
    </row>
    <row r="53">
      <c r="A53" t="n">
        <v>52</v>
      </c>
      <c r="B53" t="inlineStr">
        <is>
          <t>TA_1</t>
        </is>
      </c>
      <c r="C53" t="inlineStr">
        <is>
          <t>TA_11</t>
        </is>
      </c>
      <c r="D53" t="n">
        <v>8</v>
      </c>
      <c r="E53" t="n">
        <v>0</v>
      </c>
      <c r="F53" t="n">
        <v>9</v>
      </c>
      <c r="G53" t="n">
        <v>0</v>
      </c>
      <c r="H53" t="n">
        <v>4</v>
      </c>
      <c r="I53" t="n">
        <v>0</v>
      </c>
      <c r="J53" t="n">
        <v>8.5</v>
      </c>
      <c r="K53" t="n">
        <v>0</v>
      </c>
      <c r="L53" t="n">
        <v>9</v>
      </c>
      <c r="M53" t="n">
        <v>0</v>
      </c>
      <c r="N53" t="n">
        <v>6.5</v>
      </c>
      <c r="O53" t="n">
        <v>0</v>
      </c>
      <c r="P53">
        <f>Table1[[#This Row],[TA 1 - Q1 Score]]+Table1[[#This Row],[TA 1 - Q2 Score]]+Table1[[#This Row],[TA 1 - Q3 Score]]</f>
        <v/>
      </c>
      <c r="Q53">
        <f>Table1[[#This Row],[TA 1 - Q1 Bonus]]+Table1[[#This Row],[TA 1 - Q2 Bonus]]+Table1[[#This Row],[TA 1 - Q4 Bonus]]</f>
        <v/>
      </c>
      <c r="R53">
        <f>Table1[[#This Row],[TA 2 - Q1 Score]]+Table1[[#This Row],[TA 2 - Q2 Score]]+Table1[[#This Row],[TA 2 - Q3 Score]]</f>
        <v/>
      </c>
      <c r="S53">
        <f>Table1[[#This Row],[TA 2 - Q1 Bonus]]+Table1[[#This Row],[TA 2 - Q2 Bonus]]+Table1[[#This Row],[TA 2 - Q4 Bonus]]</f>
        <v/>
      </c>
      <c r="T53">
        <f>(Table1[[#This Row],[TA 1 - Total Score (out of 35)]]+Table1[[#This Row],[TA 2 - Total Score (out of 35)]])/2</f>
        <v/>
      </c>
      <c r="U53">
        <f>(Table1[[#This Row],[TA 1 - Total Bonus (out of 13)]]+Table1[[#This Row],[TA 2 - Total Bonus (out of 13)]])/2</f>
        <v/>
      </c>
      <c r="V53">
        <f>Table1[[#This Row],[Average Questions]]/35*20+Table1[[#This Row],[Average Bonus]]/13*5</f>
        <v/>
      </c>
      <c r="W53" t="n">
        <v>6</v>
      </c>
      <c r="X53" t="n">
        <v>0</v>
      </c>
      <c r="Y53" t="inlineStr">
        <is>
          <t>The student completed the data loading and preparation with minor issues, such as using a different batch size and including unnecessary comments. The model loading and adaptation were mostly correct, but the student used the wrong import statement for the EfficientNetV2-Small model. The training and validation loops were implemented with logical errors, particularly in adjusting the labels and handling the model outputs. The plotting of losses and accuracies was correct, but the bonus task was not attempted.</t>
        </is>
      </c>
      <c r="Z53" t="n">
        <v>7</v>
      </c>
      <c r="AA53" t="n">
        <v>0</v>
      </c>
      <c r="AB53" t="inlineStr">
        <is>
          <t>The student implemented a custom dataset class and used appropriate transformations, including resizing and random rotation. However, the dataset class did not use ImageFolder, and the class labels were incorrectly formatted. The CNN model had fewer than five convolutional layers and lacked batch normalization. The training and validation loops were mostly correct but included unnecessary softmax and argmax operations. The model was trained and plotted, but the CNN architecture did not meet the specified requirements.</t>
        </is>
      </c>
      <c r="AC53" t="n">
        <v>4</v>
      </c>
      <c r="AD53" t="inlineStr">
        <is>
          <t>The student partially completed Task 1 by creating a custom dataset class and defining data loaders, but failed to display sample images and masks. Task 2 was not completed as the student did not define a pretrained U-Net model. Task 3 was not attempted. Task 4 had some code for defining loss and optimizer, but the training and validation loops were not implemented correctly, and the loss plotting was incomplete. Task 5 was not attempted.</t>
        </is>
      </c>
      <c r="AE53" t="n">
        <v>0</v>
      </c>
      <c r="AF53" t="n">
        <v>0</v>
      </c>
      <c r="AG53" t="inlineStr">
        <is>
          <t>No submission found.</t>
        </is>
      </c>
      <c r="AH53" t="n">
        <v>17</v>
      </c>
      <c r="AI53" t="n">
        <v>0</v>
      </c>
    </row>
    <row r="54">
      <c r="A54" t="n">
        <v>53</v>
      </c>
      <c r="B54" t="inlineStr">
        <is>
          <t>TA_1</t>
        </is>
      </c>
      <c r="C54" t="inlineStr">
        <is>
          <t>TA_11</t>
        </is>
      </c>
      <c r="D54" t="n">
        <v>4.5</v>
      </c>
      <c r="E54" t="n">
        <v>0</v>
      </c>
      <c r="F54" t="n">
        <v>9.5</v>
      </c>
      <c r="G54" t="n">
        <v>0</v>
      </c>
      <c r="H54" t="n">
        <v>7</v>
      </c>
      <c r="I54" t="n">
        <v>0</v>
      </c>
      <c r="J54" t="n">
        <v>2.75</v>
      </c>
      <c r="K54" t="n">
        <v>0</v>
      </c>
      <c r="L54" t="n">
        <v>8.25</v>
      </c>
      <c r="M54" t="n">
        <v>0</v>
      </c>
      <c r="N54" t="n">
        <v>7.25</v>
      </c>
      <c r="O54" t="n">
        <v>0</v>
      </c>
      <c r="P54">
        <f>Table1[[#This Row],[TA 1 - Q1 Score]]+Table1[[#This Row],[TA 1 - Q2 Score]]+Table1[[#This Row],[TA 1 - Q3 Score]]</f>
        <v/>
      </c>
      <c r="Q54">
        <f>Table1[[#This Row],[TA 1 - Q1 Bonus]]+Table1[[#This Row],[TA 1 - Q2 Bonus]]+Table1[[#This Row],[TA 1 - Q4 Bonus]]</f>
        <v/>
      </c>
      <c r="R54">
        <f>Table1[[#This Row],[TA 2 - Q1 Score]]+Table1[[#This Row],[TA 2 - Q2 Score]]+Table1[[#This Row],[TA 2 - Q3 Score]]</f>
        <v/>
      </c>
      <c r="S54">
        <f>Table1[[#This Row],[TA 2 - Q1 Bonus]]+Table1[[#This Row],[TA 2 - Q2 Bonus]]+Table1[[#This Row],[TA 2 - Q4 Bonus]]</f>
        <v/>
      </c>
      <c r="T54">
        <f>(Table1[[#This Row],[TA 1 - Total Score (out of 35)]]+Table1[[#This Row],[TA 2 - Total Score (out of 35)]])/2</f>
        <v/>
      </c>
      <c r="U54">
        <f>(Table1[[#This Row],[TA 1 - Total Bonus (out of 13)]]+Table1[[#This Row],[TA 2 - Total Bonus (out of 13)]])/2</f>
        <v/>
      </c>
      <c r="V54">
        <f>Table1[[#This Row],[Average Questions]]/35*20+Table1[[#This Row],[Average Bonus]]/13*5</f>
        <v/>
      </c>
      <c r="W54" t="n">
        <v>3</v>
      </c>
      <c r="X54" t="n">
        <v>0</v>
      </c>
      <c r="Y54" t="inlineStr">
        <is>
          <t>The student partially completed Part 1 by defining the transforms but used an incorrect image size (224x224 instead of 28x28). DataLoaders were created correctly, and sample images were displayed, though the labels were not adjusted for 0-indexing. Part 2 had significant issues, including loading the wrong model and incorrectly modifying the classifier. Parts 3 and 4 were not fully implemented, with missing or incorrect training and validation loops. No bonus tasks were attempted.</t>
        </is>
      </c>
      <c r="Z54" t="n">
        <v>8.5</v>
      </c>
      <c r="AA54" t="n">
        <v>0</v>
      </c>
      <c r="AB54" t="inlineStr">
        <is>
          <t>The student successfully completed most tasks with minor issues. The data loading and preparation section included correct transformations and displayed sample images. However, the model architecture had incorrect output dimensions due to the input size being resized to 32x32, affecting the fully connected layer. The training and validation loops were implemented correctly, and the model trained and plotted results accurately. No bonus task was attempted.</t>
        </is>
      </c>
      <c r="AC54" t="n">
        <v>5</v>
      </c>
      <c r="AD54" t="inlineStr">
        <is>
          <t>The student attempted most tasks but made several mistakes. In Task 1, the dataset class had issues with file path handling and incorrect attribute names. The DataLoader creation was partially correct but used incorrect arguments. Task 2 correctly defined the U-Net model with the specified encoder. Task 3 had syntax errors in the training and validation loops. Task 4 incorrectly initialized the model without specifying parameters and included unnecessary accuracy calculations. Task 5 had issues with mask prediction and visualization.</t>
        </is>
      </c>
      <c r="AE54" t="n">
        <v>0</v>
      </c>
      <c r="AF54" t="n">
        <v>0</v>
      </c>
      <c r="AG54" t="inlineStr">
        <is>
          <t>No submission found.</t>
        </is>
      </c>
      <c r="AH54" t="n">
        <v>16.5</v>
      </c>
      <c r="AI54" t="n">
        <v>0</v>
      </c>
    </row>
    <row r="55">
      <c r="A55" t="n">
        <v>54</v>
      </c>
      <c r="B55" t="inlineStr">
        <is>
          <t>TA_1</t>
        </is>
      </c>
      <c r="C55" t="inlineStr">
        <is>
          <t>TA_11</t>
        </is>
      </c>
      <c r="D55" t="n">
        <v>12</v>
      </c>
      <c r="E55" t="n">
        <v>0</v>
      </c>
      <c r="F55" t="n">
        <v>11</v>
      </c>
      <c r="G55" t="n">
        <v>0</v>
      </c>
      <c r="H55" t="n">
        <v>12</v>
      </c>
      <c r="I55" t="n">
        <v>0</v>
      </c>
      <c r="J55" t="n">
        <v>12</v>
      </c>
      <c r="K55" t="n">
        <v>0</v>
      </c>
      <c r="L55" t="n">
        <v>8</v>
      </c>
      <c r="M55" t="n">
        <v>0</v>
      </c>
      <c r="N55" t="n">
        <v>11.5</v>
      </c>
      <c r="O55" t="n">
        <v>0</v>
      </c>
      <c r="P55">
        <f>Table1[[#This Row],[TA 1 - Q1 Score]]+Table1[[#This Row],[TA 1 - Q2 Score]]+Table1[[#This Row],[TA 1 - Q3 Score]]</f>
        <v/>
      </c>
      <c r="Q55">
        <f>Table1[[#This Row],[TA 1 - Q1 Bonus]]+Table1[[#This Row],[TA 1 - Q2 Bonus]]+Table1[[#This Row],[TA 1 - Q4 Bonus]]</f>
        <v/>
      </c>
      <c r="R55">
        <f>Table1[[#This Row],[TA 2 - Q1 Score]]+Table1[[#This Row],[TA 2 - Q2 Score]]+Table1[[#This Row],[TA 2 - Q3 Score]]</f>
        <v/>
      </c>
      <c r="S55">
        <f>Table1[[#This Row],[TA 2 - Q1 Bonus]]+Table1[[#This Row],[TA 2 - Q2 Bonus]]+Table1[[#This Row],[TA 2 - Q4 Bonus]]</f>
        <v/>
      </c>
      <c r="T55">
        <f>(Table1[[#This Row],[TA 1 - Total Score (out of 35)]]+Table1[[#This Row],[TA 2 - Total Score (out of 35)]])/2</f>
        <v/>
      </c>
      <c r="U55">
        <f>(Table1[[#This Row],[TA 1 - Total Bonus (out of 13)]]+Table1[[#This Row],[TA 2 - Total Bonus (out of 13)]])/2</f>
        <v/>
      </c>
      <c r="V55">
        <f>Table1[[#This Row],[Average Questions]]/35*20+Table1[[#This Row],[Average Bonus]]/13*5</f>
        <v/>
      </c>
      <c r="W55" t="n">
        <v>6</v>
      </c>
      <c r="X55" t="n">
        <v>0</v>
      </c>
      <c r="Y55" t="inlineStr">
        <is>
          <t>The student partially completed the tasks. In Part 1, the resize transformation was incorrectly set to 224x224 instead of 28x28, resulting in a deduction. DataLoaders were correctly created, and sample images were displayed. In Part 2, the model was loaded and the backbone was frozen, but the classifier head replacement was missing, leading to a deduction. In Part 3, both training and validation loops were implemented correctly, and label fixing was done properly. In Part 4, the setup was correct, and the model trained for one epoch, with plots generated. No bonus tasks were attempted.</t>
        </is>
      </c>
      <c r="Z55" t="n">
        <v>7</v>
      </c>
      <c r="AA55" t="n">
        <v>0</v>
      </c>
      <c r="AB55" t="inlineStr">
        <is>
          <t>The student implemented a custom dataset class and used DataLoaders correctly, earning full marks for Part 1. The CNN model has 5 convolutional layers with batch normalization, meeting Part 2 requirements. Training and validation loops are defined and executed, scoring full points for Part 3 and Part 4. However, the image transformations did not include RandomRotation and resizing to 32x32, deducting points from Part 1. Sample images were not displayed, further reducing Part 1 score. No bonus task was attempted.</t>
        </is>
      </c>
      <c r="AC55" t="n">
        <v>8</v>
      </c>
      <c r="AD55" t="inlineStr">
        <is>
          <t>The student's submission contains mostly correct code with minor issues. The dataset class is implemented correctly but has a typo in the parameter name 'Traget_transform'. The DataLoader creation and sample display are mostly correct but the dataset splitting method is flawed, leading to incorrect train-test splits. The model definition uses the correct architecture but the optimizer choice differs from the reference. The training and validation loops are implemented correctly, and the loss plotting is accurate. The prediction visualization is correct but uses a different colormap and does not denormalize the images properly.</t>
        </is>
      </c>
      <c r="AE55" t="n">
        <v>0</v>
      </c>
      <c r="AF55" t="n">
        <v>0</v>
      </c>
      <c r="AG55" t="inlineStr">
        <is>
          <t>No submission found.</t>
        </is>
      </c>
      <c r="AH55" t="n">
        <v>21</v>
      </c>
      <c r="AI55" t="n">
        <v>0</v>
      </c>
    </row>
    <row r="56">
      <c r="A56" t="n">
        <v>55</v>
      </c>
      <c r="B56" t="inlineStr">
        <is>
          <t>TA_1</t>
        </is>
      </c>
      <c r="C56" t="inlineStr">
        <is>
          <t>TA_11</t>
        </is>
      </c>
      <c r="D56" t="n">
        <v>10.5</v>
      </c>
      <c r="E56" t="n">
        <v>0</v>
      </c>
      <c r="F56" t="n">
        <v>10</v>
      </c>
      <c r="G56" t="n">
        <v>0</v>
      </c>
      <c r="H56" t="n">
        <v>12</v>
      </c>
      <c r="I56" t="n">
        <v>0</v>
      </c>
      <c r="J56" t="n">
        <v>12</v>
      </c>
      <c r="K56" t="n">
        <v>0</v>
      </c>
      <c r="L56" t="n">
        <v>9.5</v>
      </c>
      <c r="M56" t="n">
        <v>0</v>
      </c>
      <c r="N56" t="n">
        <v>12</v>
      </c>
      <c r="O56" t="n">
        <v>0</v>
      </c>
      <c r="P56">
        <f>Table1[[#This Row],[TA 1 - Q1 Score]]+Table1[[#This Row],[TA 1 - Q2 Score]]+Table1[[#This Row],[TA 1 - Q3 Score]]</f>
        <v/>
      </c>
      <c r="Q56">
        <f>Table1[[#This Row],[TA 1 - Q1 Bonus]]+Table1[[#This Row],[TA 1 - Q2 Bonus]]+Table1[[#This Row],[TA 1 - Q4 Bonus]]</f>
        <v/>
      </c>
      <c r="R56">
        <f>Table1[[#This Row],[TA 2 - Q1 Score]]+Table1[[#This Row],[TA 2 - Q2 Score]]+Table1[[#This Row],[TA 2 - Q3 Score]]</f>
        <v/>
      </c>
      <c r="S56">
        <f>Table1[[#This Row],[TA 2 - Q1 Bonus]]+Table1[[#This Row],[TA 2 - Q2 Bonus]]+Table1[[#This Row],[TA 2 - Q4 Bonus]]</f>
        <v/>
      </c>
      <c r="T56">
        <f>(Table1[[#This Row],[TA 1 - Total Score (out of 35)]]+Table1[[#This Row],[TA 2 - Total Score (out of 35)]])/2</f>
        <v/>
      </c>
      <c r="U56">
        <f>(Table1[[#This Row],[TA 1 - Total Bonus (out of 13)]]+Table1[[#This Row],[TA 2 - Total Bonus (out of 13)]])/2</f>
        <v/>
      </c>
      <c r="V56">
        <f>Table1[[#This Row],[Average Questions]]/35*20+Table1[[#This Row],[Average Bonus]]/13*5</f>
        <v/>
      </c>
      <c r="W56" t="n">
        <v>8</v>
      </c>
      <c r="X56" t="n">
        <v>0</v>
      </c>
      <c r="Y56" t="inlineStr">
        <is>
          <t>The student completed most tasks correctly but made some minor mistakes. The data loading and preparation were mostly accurate, though the batch size was smaller than in the reference solution. The model loading and adaptation were correct, and the training and validation loops were implemented properly, though the learning rate was higher and fewer epochs were used. The student did not attempt the bonus task for test time augmentation.</t>
        </is>
      </c>
      <c r="Z56" t="n">
        <v>7</v>
      </c>
      <c r="AA56" t="n">
        <v>0</v>
      </c>
      <c r="AB56" t="inlineStr">
        <is>
          <t>The student successfully loaded and prepared the data with correct transformations and displayed sample images. The CNN model was built with 5 convolutional layers but lacked batch normalization. The training and validation functions were implemented correctly, and the model was trained and plotted. However, the bonus task was not attempted.</t>
        </is>
      </c>
      <c r="AC56" t="n">
        <v>8.5</v>
      </c>
      <c r="AD56" t="inlineStr">
        <is>
          <t>The student's submission largely follows the reference solution but contains minor issues. Task 1 is mostly correct with proper dataset class and DataLoader implementation, though the test dataset creation has a typo. Task 2 correctly defines the U-Net model with the specified encoder. Task 3 includes both training and validation loops with minor syntax issues. Task 4 defines the loss and optimizer correctly, trains the model, prints losses, and plots the loss curve. Task 5 visualizes predictions but uses grayscale for masks instead of the specified colormap.</t>
        </is>
      </c>
      <c r="AE56" t="n">
        <v>0</v>
      </c>
      <c r="AF56" t="n">
        <v>0</v>
      </c>
      <c r="AG56" t="inlineStr">
        <is>
          <t>No submission found.</t>
        </is>
      </c>
      <c r="AH56" t="n">
        <v>23.5</v>
      </c>
      <c r="AI56" t="n">
        <v>0</v>
      </c>
    </row>
    <row r="57">
      <c r="A57" t="n">
        <v>56</v>
      </c>
      <c r="B57" t="inlineStr">
        <is>
          <t>TA_1</t>
        </is>
      </c>
      <c r="C57" t="inlineStr">
        <is>
          <t>TA_11</t>
        </is>
      </c>
      <c r="D57" t="n">
        <v>6</v>
      </c>
      <c r="E57" t="n">
        <v>0</v>
      </c>
      <c r="F57" t="n">
        <v>7.5</v>
      </c>
      <c r="G57" t="n">
        <v>0</v>
      </c>
      <c r="H57" t="n">
        <v>11</v>
      </c>
      <c r="I57" t="n">
        <v>0</v>
      </c>
      <c r="J57" t="n">
        <v>4.5</v>
      </c>
      <c r="K57" t="n">
        <v>0</v>
      </c>
      <c r="L57" t="n">
        <v>6.75</v>
      </c>
      <c r="M57" t="n">
        <v>0</v>
      </c>
      <c r="N57" t="n">
        <v>4.5</v>
      </c>
      <c r="O57" t="n">
        <v>0</v>
      </c>
      <c r="P57">
        <f>Table1[[#This Row],[TA 1 - Q1 Score]]+Table1[[#This Row],[TA 1 - Q2 Score]]+Table1[[#This Row],[TA 1 - Q3 Score]]</f>
        <v/>
      </c>
      <c r="Q57">
        <f>Table1[[#This Row],[TA 1 - Q1 Bonus]]+Table1[[#This Row],[TA 1 - Q2 Bonus]]+Table1[[#This Row],[TA 1 - Q4 Bonus]]</f>
        <v/>
      </c>
      <c r="R57">
        <f>Table1[[#This Row],[TA 2 - Q1 Score]]+Table1[[#This Row],[TA 2 - Q2 Score]]+Table1[[#This Row],[TA 2 - Q3 Score]]</f>
        <v/>
      </c>
      <c r="S57">
        <f>Table1[[#This Row],[TA 2 - Q1 Bonus]]+Table1[[#This Row],[TA 2 - Q2 Bonus]]+Table1[[#This Row],[TA 2 - Q4 Bonus]]</f>
        <v/>
      </c>
      <c r="T57">
        <f>(Table1[[#This Row],[TA 1 - Total Score (out of 35)]]+Table1[[#This Row],[TA 2 - Total Score (out of 35)]])/2</f>
        <v/>
      </c>
      <c r="U57">
        <f>(Table1[[#This Row],[TA 1 - Total Bonus (out of 13)]]+Table1[[#This Row],[TA 2 - Total Bonus (out of 13)]])/2</f>
        <v/>
      </c>
      <c r="V57">
        <f>Table1[[#This Row],[Average Questions]]/35*20+Table1[[#This Row],[Average Bonus]]/13*5</f>
        <v/>
      </c>
      <c r="W57" t="n">
        <v>4</v>
      </c>
      <c r="X57" t="n">
        <v>0</v>
      </c>
      <c r="Y57" t="inlineStr">
        <is>
          <t>The student partially completed several tasks but made significant errors. The data loading and preparation section had issues with DataLoader creation and sample image display. The model loading and adaptation were mostly correct but used the wrong model type (EfficientNet-B0 instead of EfficientNetV2-Small). The training and validation loops contained syntax and logical errors, such as incorrect handling of model outputs and label adjustments. No bonus tasks were attempted.</t>
        </is>
      </c>
      <c r="Z57" t="n">
        <v>7</v>
      </c>
      <c r="AA57" t="n">
        <v>0</v>
      </c>
      <c r="AB57" t="inlineStr">
        <is>
          <t>The student partially completed the tasks. They correctly set up the dataset and DataLoaders with the required transformations, including RandomRotation and resizing to 32x32 for the training set. However, they used different sizes for the test set and included additional transformations like ColorJitter and Normalize, which were not specified. The CNN model had 5 convolutional layers but did not include Batch Normalization, resulting in partial credit. The training and validation loops were implemented correctly, and the model was trained and evaluated. The bonus task was not attempted.</t>
        </is>
      </c>
      <c r="AC57" t="n">
        <v>4</v>
      </c>
      <c r="AD57" t="inlineStr">
        <is>
          <t>The student partially completed the tasks with some syntax and logical errors. The dataset class and DataLoader creation were mostly correct but had issues with the directory paths and mask transformations. The model definition used the wrong number of classes (1 instead of 8). The training and validation loops were implemented but used BCEWithLogitsLoss, which is not suitable for multi-class segmentation. The visualization of predictions was attempted but incorrectly converted the predicted masks to binary.</t>
        </is>
      </c>
      <c r="AE57" t="n">
        <v>0</v>
      </c>
      <c r="AF57" t="n">
        <v>0</v>
      </c>
      <c r="AG57" t="inlineStr">
        <is>
          <t>No submission found.</t>
        </is>
      </c>
      <c r="AH57" t="n">
        <v>15</v>
      </c>
      <c r="AI57" t="n">
        <v>0</v>
      </c>
    </row>
    <row r="58">
      <c r="A58" t="n">
        <v>57</v>
      </c>
      <c r="B58" t="inlineStr">
        <is>
          <t>TA_1</t>
        </is>
      </c>
      <c r="C58" t="inlineStr">
        <is>
          <t>TA_11</t>
        </is>
      </c>
      <c r="D58" t="n">
        <v>7</v>
      </c>
      <c r="E58" t="n">
        <v>0</v>
      </c>
      <c r="F58" t="n">
        <v>7</v>
      </c>
      <c r="G58" t="n">
        <v>0</v>
      </c>
      <c r="H58" t="n">
        <v>7</v>
      </c>
      <c r="I58" t="n">
        <v>0</v>
      </c>
      <c r="J58" t="n">
        <v>5.25</v>
      </c>
      <c r="K58" t="n">
        <v>0</v>
      </c>
      <c r="L58" t="n">
        <v>4.25</v>
      </c>
      <c r="M58" t="n">
        <v>0</v>
      </c>
      <c r="N58" t="n">
        <v>7</v>
      </c>
      <c r="O58" t="n">
        <v>0</v>
      </c>
      <c r="P58">
        <f>Table1[[#This Row],[TA 1 - Q1 Score]]+Table1[[#This Row],[TA 1 - Q2 Score]]+Table1[[#This Row],[TA 1 - Q3 Score]]</f>
        <v/>
      </c>
      <c r="Q58">
        <f>Table1[[#This Row],[TA 1 - Q1 Bonus]]+Table1[[#This Row],[TA 1 - Q2 Bonus]]+Table1[[#This Row],[TA 1 - Q4 Bonus]]</f>
        <v/>
      </c>
      <c r="R58">
        <f>Table1[[#This Row],[TA 2 - Q1 Score]]+Table1[[#This Row],[TA 2 - Q2 Score]]+Table1[[#This Row],[TA 2 - Q3 Score]]</f>
        <v/>
      </c>
      <c r="S58">
        <f>Table1[[#This Row],[TA 2 - Q1 Bonus]]+Table1[[#This Row],[TA 2 - Q2 Bonus]]+Table1[[#This Row],[TA 2 - Q4 Bonus]]</f>
        <v/>
      </c>
      <c r="T58">
        <f>(Table1[[#This Row],[TA 1 - Total Score (out of 35)]]+Table1[[#This Row],[TA 2 - Total Score (out of 35)]])/2</f>
        <v/>
      </c>
      <c r="U58">
        <f>(Table1[[#This Row],[TA 1 - Total Bonus (out of 13)]]+Table1[[#This Row],[TA 2 - Total Bonus (out of 13)]])/2</f>
        <v/>
      </c>
      <c r="V58">
        <f>Table1[[#This Row],[Average Questions]]/35*20+Table1[[#This Row],[Average Bonus]]/13*5</f>
        <v/>
      </c>
      <c r="W58" t="n">
        <v>4</v>
      </c>
      <c r="X58" t="n">
        <v>0</v>
      </c>
      <c r="Y58" t="inlineStr">
        <is>
          <t>The student partially completed the tasks but made several mistakes. In Part 1, the transforms were incomplete, missing Resize, ToTensor, and Normalize. In Part 2, the student loaded the wrong model (EfficientNet-B0 instead of EfficientNetV2-Small) and incorrectly froze all parameters instead of just the backbone. In Part 3, the training and validation loops had issues, including incorrect handling of model outputs and labels. Part 4 was also flawed due to the incorrect model setup. No bonus tasks were attempted.</t>
        </is>
      </c>
      <c r="Z58" t="n">
        <v>5</v>
      </c>
      <c r="AA58" t="n">
        <v>0</v>
      </c>
      <c r="AB58" t="inlineStr">
        <is>
          <t>The student implemented a custom dataset class and used transformations including RandomRotation and resizing to 32x32, earning full marks for Part 1. However, the CNN model had incorrect architecture with only 5 convolutional layers but fewer channels and incorrect fully connected layer sizes, earning 25% for Part 2. The training and validation loops were mostly correct but contained a mistake in squeezing the model outputs, earning 25% for Part 3. The training setup and execution were partially correct but referenced undefined loaders, earning 25% for Part 4. No bonus task was attempted.</t>
        </is>
      </c>
      <c r="AC58" t="n">
        <v>6</v>
      </c>
      <c r="AD58" t="inlineStr">
        <is>
          <t>The student's submission partially completes several tasks but contains significant errors. The dataset class and data loaders are correctly implemented, earning full points for Task 1. The model class is defined with the correct encoder, earning full points for Task 2. However, the training and validation loops contain logical errors, particularly in handling the mask data types, resulting in 25% for Task 3. The loss and optimizer are defined correctly, but the training loop has issues with mask data types, leading to 25% for Task 4. Visualization of predictions is attempted but incorrectly handles the mask data, resulting in 25% for Task 5.</t>
        </is>
      </c>
      <c r="AE58" t="n">
        <v>0</v>
      </c>
      <c r="AF58" t="n">
        <v>0</v>
      </c>
      <c r="AG58" t="inlineStr">
        <is>
          <t>No submission found.</t>
        </is>
      </c>
      <c r="AH58" t="n">
        <v>15</v>
      </c>
      <c r="AI58" t="n">
        <v>0</v>
      </c>
    </row>
    <row r="59">
      <c r="A59" t="n">
        <v>58</v>
      </c>
      <c r="B59" t="inlineStr">
        <is>
          <t>TA_2</t>
        </is>
      </c>
      <c r="C59" t="inlineStr">
        <is>
          <t>TA_12</t>
        </is>
      </c>
      <c r="D59" t="n">
        <v>12</v>
      </c>
      <c r="E59" t="n">
        <v>0</v>
      </c>
      <c r="F59" t="n">
        <v>11</v>
      </c>
      <c r="G59" t="n">
        <v>0</v>
      </c>
      <c r="H59" t="n">
        <v>12</v>
      </c>
      <c r="I59" t="n">
        <v>0</v>
      </c>
      <c r="J59" t="n">
        <v>12</v>
      </c>
      <c r="K59" t="n">
        <v>0</v>
      </c>
      <c r="L59" t="n">
        <v>10.25</v>
      </c>
      <c r="M59" t="n">
        <v>0</v>
      </c>
      <c r="N59" t="n">
        <v>8.75</v>
      </c>
      <c r="O59" t="n">
        <v>0</v>
      </c>
      <c r="P59">
        <f>Table1[[#This Row],[TA 1 - Q1 Score]]+Table1[[#This Row],[TA 1 - Q2 Score]]+Table1[[#This Row],[TA 1 - Q3 Score]]</f>
        <v/>
      </c>
      <c r="Q59">
        <f>Table1[[#This Row],[TA 1 - Q1 Bonus]]+Table1[[#This Row],[TA 1 - Q2 Bonus]]+Table1[[#This Row],[TA 1 - Q4 Bonus]]</f>
        <v/>
      </c>
      <c r="R59">
        <f>Table1[[#This Row],[TA 2 - Q1 Score]]+Table1[[#This Row],[TA 2 - Q2 Score]]+Table1[[#This Row],[TA 2 - Q3 Score]]</f>
        <v/>
      </c>
      <c r="S59">
        <f>Table1[[#This Row],[TA 2 - Q1 Bonus]]+Table1[[#This Row],[TA 2 - Q2 Bonus]]+Table1[[#This Row],[TA 2 - Q4 Bonus]]</f>
        <v/>
      </c>
      <c r="T59">
        <f>(Table1[[#This Row],[TA 1 - Total Score (out of 35)]]+Table1[[#This Row],[TA 2 - Total Score (out of 35)]])/2</f>
        <v/>
      </c>
      <c r="U59">
        <f>(Table1[[#This Row],[TA 1 - Total Bonus (out of 13)]]+Table1[[#This Row],[TA 2 - Total Bonus (out of 13)]])/2</f>
        <v/>
      </c>
      <c r="V59">
        <f>Table1[[#This Row],[Average Questions]]/35*20+Table1[[#This Row],[Average Bonus]]/13*5</f>
        <v/>
      </c>
      <c r="W59" t="n">
        <v>10.5</v>
      </c>
      <c r="X59" t="n">
        <v>0</v>
      </c>
      <c r="Y59" t="inlineStr">
        <is>
          <t>The student completed all base tasks with minor issues. The transforms were correctly defined, and DataLoaders were set up properly. Sample images were displayed with correct labels. The pretrained EfficientNetV2-Small model was loaded and adapted correctly, with the backbone frozen and the classifier head replaced. Training and validation loops were implemented with label fixing, though the validation loop used unnecessary softmax. The model was trained, and loss and accuracy plots were generated. No bonus task was attempted.</t>
        </is>
      </c>
      <c r="Z59" t="n">
        <v>8.5</v>
      </c>
      <c r="AA59" t="n">
        <v>0</v>
      </c>
      <c r="AB59" t="inlineStr">
        <is>
          <t>The student successfully loaded and prepared the data with the correct transformations and displayed sample images. The CNN model was built with 5 convolutional layers and batch normalization, though the number of channels differs from the reference solution. Training and validation functions were correctly implemented, and the model was trained and plotted. However, the bonus task was not attempted.</t>
        </is>
      </c>
      <c r="AC59" t="n">
        <v>4</v>
      </c>
      <c r="AD59" t="inlineStr">
        <is>
          <t>The student partially completed Task 1 by creating a custom dataset class and DataLoaders, but used a batch size of 1 instead of 4. Task 2 was not fully completed as the model was incorrectly defined with only one class instead of eight. Task 3 was not attempted. Task 4 had syntax errors and logical mistakes, using BCEWithLogitsLoss for a multi-class problem and attempting to plot accuracy curves without calculating accuracy. Task 5 was partially completed with visualization issues due to incorrect handling of multi-class predictions.</t>
        </is>
      </c>
      <c r="AE59" t="n">
        <v>0</v>
      </c>
      <c r="AF59" t="n">
        <v>0</v>
      </c>
      <c r="AG59" t="inlineStr">
        <is>
          <t>No submission found.</t>
        </is>
      </c>
      <c r="AH59" t="n">
        <v>23</v>
      </c>
      <c r="AI59" t="n">
        <v>0</v>
      </c>
    </row>
    <row r="60">
      <c r="A60" t="n">
        <v>59</v>
      </c>
      <c r="B60" t="inlineStr">
        <is>
          <t>TA_2</t>
        </is>
      </c>
      <c r="C60" t="inlineStr">
        <is>
          <t>TA_12</t>
        </is>
      </c>
      <c r="D60" t="n">
        <v>11</v>
      </c>
      <c r="E60" t="n">
        <v>0</v>
      </c>
      <c r="F60" t="n">
        <v>9.5</v>
      </c>
      <c r="G60" t="n">
        <v>0</v>
      </c>
      <c r="H60" t="n">
        <v>2</v>
      </c>
      <c r="I60" t="n">
        <v>0</v>
      </c>
      <c r="J60" t="n">
        <v>10.5</v>
      </c>
      <c r="K60" t="n">
        <v>3</v>
      </c>
      <c r="L60" t="n">
        <v>7</v>
      </c>
      <c r="M60" t="n">
        <v>0</v>
      </c>
      <c r="N60" t="n">
        <v>1</v>
      </c>
      <c r="O60" t="n">
        <v>0</v>
      </c>
      <c r="P60">
        <f>Table1[[#This Row],[TA 1 - Q1 Score]]+Table1[[#This Row],[TA 1 - Q2 Score]]+Table1[[#This Row],[TA 1 - Q3 Score]]</f>
        <v/>
      </c>
      <c r="Q60">
        <f>Table1[[#This Row],[TA 1 - Q1 Bonus]]+Table1[[#This Row],[TA 1 - Q2 Bonus]]+Table1[[#This Row],[TA 1 - Q4 Bonus]]</f>
        <v/>
      </c>
      <c r="R60">
        <f>Table1[[#This Row],[TA 2 - Q1 Score]]+Table1[[#This Row],[TA 2 - Q2 Score]]+Table1[[#This Row],[TA 2 - Q3 Score]]</f>
        <v/>
      </c>
      <c r="S60">
        <f>Table1[[#This Row],[TA 2 - Q1 Bonus]]+Table1[[#This Row],[TA 2 - Q2 Bonus]]+Table1[[#This Row],[TA 2 - Q4 Bonus]]</f>
        <v/>
      </c>
      <c r="T60">
        <f>(Table1[[#This Row],[TA 1 - Total Score (out of 35)]]+Table1[[#This Row],[TA 2 - Total Score (out of 35)]])/2</f>
        <v/>
      </c>
      <c r="U60">
        <f>(Table1[[#This Row],[TA 1 - Total Bonus (out of 13)]]+Table1[[#This Row],[TA 2 - Total Bonus (out of 13)]])/2</f>
        <v/>
      </c>
      <c r="V60">
        <f>Table1[[#This Row],[Average Questions]]/35*20+Table1[[#This Row],[Average Bonus]]/13*5</f>
        <v/>
      </c>
      <c r="W60" t="n">
        <v>8</v>
      </c>
      <c r="X60" t="n">
        <v>0</v>
      </c>
      <c r="Y60" t="inlineStr">
        <is>
          <t>The student completed most tasks correctly but made some minor mistakes. The data loading and preparation were mostly correct, though the image display had issues with the color channel and normalization. The model loading and adaptation were accurate, but the student used EfficientNet-B0 instead of EfficientNetV2-Small. The training and validation loops were implemented correctly, including the label fix. However, the plots were incorrectly duplicated and misplaced. The bonus task was not attempted.</t>
        </is>
      </c>
      <c r="Z60" t="n">
        <v>6</v>
      </c>
      <c r="AA60" t="n">
        <v>0</v>
      </c>
      <c r="AB60" t="inlineStr">
        <is>
          <t>The student successfully loaded and prepared the data with the correct transformations and displayed sample images, earning full marks for Part 1. The CNN model was built with 5 convolutional layers, but the number of channels did not match the reference solution, resulting in partial credit for Part 2. The training and validation functions were correctly implemented, earning full marks for Part 3. The model was set up and trained, but the number of epochs was reduced to 5 instead of 10, and the optimizer used was AdamW instead of Adam, leading to partial credit for Part 4. No bonus tasks were attempted.</t>
        </is>
      </c>
      <c r="AC60" t="n">
        <v>0</v>
      </c>
      <c r="AD60" t="inlineStr">
        <is>
          <t>The student did not complete any of the required tasks. The dataset class implementation is incomplete and contains errors, such as incorrect attribute names and missing functionality. No DataLoaders were created, and no sample images or masks were displayed. The model class, training and validation loops, running training, and visualizing predictions tasks were not attempted.</t>
        </is>
      </c>
      <c r="AE60" t="n">
        <v>0</v>
      </c>
      <c r="AF60" t="n">
        <v>0</v>
      </c>
      <c r="AG60" t="inlineStr">
        <is>
          <t>The student did not implement any of the required methods in the `ColorizationDataset` class. The `__init__`, `__len__`, `rgb_to_grayscale`, and `__getitem__` methods were left unimplemented with only placeholder comments. As a result, the code does not run and fails to produce the expected output.</t>
        </is>
      </c>
      <c r="AH60" t="n">
        <v>14</v>
      </c>
      <c r="AI60" t="n">
        <v>0</v>
      </c>
    </row>
    <row r="61">
      <c r="A61" t="n">
        <v>60</v>
      </c>
      <c r="B61" t="inlineStr">
        <is>
          <t>TA_2</t>
        </is>
      </c>
      <c r="C61" t="inlineStr">
        <is>
          <t>TA_12</t>
        </is>
      </c>
      <c r="D61" t="n">
        <v>5</v>
      </c>
      <c r="E61" t="n">
        <v>0</v>
      </c>
      <c r="F61" t="n">
        <v>3</v>
      </c>
      <c r="G61" t="n">
        <v>0</v>
      </c>
      <c r="H61" t="n">
        <v>11.5</v>
      </c>
      <c r="I61" t="n">
        <v>0</v>
      </c>
      <c r="J61" t="n">
        <v>5</v>
      </c>
      <c r="K61" t="n">
        <v>0</v>
      </c>
      <c r="L61" t="n">
        <v>2</v>
      </c>
      <c r="M61" t="n">
        <v>0</v>
      </c>
      <c r="N61" t="n">
        <v>6.05</v>
      </c>
      <c r="O61" t="n">
        <v>0</v>
      </c>
      <c r="P61">
        <f>Table1[[#This Row],[TA 1 - Q1 Score]]+Table1[[#This Row],[TA 1 - Q2 Score]]+Table1[[#This Row],[TA 1 - Q3 Score]]</f>
        <v/>
      </c>
      <c r="Q61">
        <f>Table1[[#This Row],[TA 1 - Q1 Bonus]]+Table1[[#This Row],[TA 1 - Q2 Bonus]]+Table1[[#This Row],[TA 1 - Q4 Bonus]]</f>
        <v/>
      </c>
      <c r="R61">
        <f>Table1[[#This Row],[TA 2 - Q1 Score]]+Table1[[#This Row],[TA 2 - Q2 Score]]+Table1[[#This Row],[TA 2 - Q3 Score]]</f>
        <v/>
      </c>
      <c r="S61">
        <f>Table1[[#This Row],[TA 2 - Q1 Bonus]]+Table1[[#This Row],[TA 2 - Q2 Bonus]]+Table1[[#This Row],[TA 2 - Q4 Bonus]]</f>
        <v/>
      </c>
      <c r="T61">
        <f>(Table1[[#This Row],[TA 1 - Total Score (out of 35)]]+Table1[[#This Row],[TA 2 - Total Score (out of 35)]])/2</f>
        <v/>
      </c>
      <c r="U61">
        <f>(Table1[[#This Row],[TA 1 - Total Bonus (out of 13)]]+Table1[[#This Row],[TA 2 - Total Bonus (out of 13)]])/2</f>
        <v/>
      </c>
      <c r="V61">
        <f>Table1[[#This Row],[Average Questions]]/35*20+Table1[[#This Row],[Average Bonus]]/13*5</f>
        <v/>
      </c>
      <c r="W61" t="n">
        <v>7</v>
      </c>
      <c r="X61" t="n">
        <v>0</v>
      </c>
      <c r="Y61" t="inlineStr">
        <is>
          <t>The student completed the data loading and preparation with minor issues, such as incorrect batch size and missing normalization details initially. The model loading and adaptation were partially correct but used the wrong model variant (EfficientNet-B0 instead of EfficientNetV2-Small). The training and validation loops were implemented with logical mistakes, particularly in not adjusting the labels to be 0-indexed. The plotting of losses and accuracies was not included. No bonus task was attempted.</t>
        </is>
      </c>
      <c r="Z61" t="n">
        <v>2.5</v>
      </c>
      <c r="AA61" t="n">
        <v>0</v>
      </c>
      <c r="AB61" t="inlineStr">
        <is>
          <t>The student attempted several tasks but made significant errors. In Part 1, no data loading or transformation code was provided. In Part 2, the CNN model had incorrect architecture with missing BatchNormalization layers and incorrect fully connected layer sizes. In Part 3, the training and validation loops were partially correct but included unnecessary softmax operations. Parts 4 and 5 were not attempted.</t>
        </is>
      </c>
      <c r="AC61" t="n">
        <v>4</v>
      </c>
      <c r="AD61" t="inlineStr">
        <is>
          <t>The student partially completed Task 1 by creating a dataset class and DataLoaders, but there were issues with the directory paths. Task 2 was mostly correct except for using 'efficientnet-b1' instead of 'efficientnet-b0'. Task 3 had syntax errors and logical mistakes in the training and validation loops. Task 4 was not fully implemented due to incorrect loss function and optimizer settings, and Task 5 was not functional due to incorrect handling of predictions and masks.</t>
        </is>
      </c>
      <c r="AE61" t="n">
        <v>0</v>
      </c>
      <c r="AF61" t="n">
        <v>0</v>
      </c>
      <c r="AG61" t="inlineStr">
        <is>
          <t>No submission found.</t>
        </is>
      </c>
      <c r="AH61" t="n">
        <v>13.5</v>
      </c>
      <c r="AI61" t="n">
        <v>0</v>
      </c>
    </row>
    <row r="62">
      <c r="A62" t="n">
        <v>61</v>
      </c>
      <c r="B62" t="inlineStr">
        <is>
          <t>TA_2</t>
        </is>
      </c>
      <c r="C62" t="inlineStr">
        <is>
          <t>TA_12</t>
        </is>
      </c>
      <c r="D62" t="n">
        <v>11.5</v>
      </c>
      <c r="E62" t="n">
        <v>4</v>
      </c>
      <c r="F62" t="n">
        <v>9</v>
      </c>
      <c r="G62" t="n">
        <v>1</v>
      </c>
      <c r="H62" t="n">
        <v>12</v>
      </c>
      <c r="I62" t="n">
        <v>5</v>
      </c>
      <c r="J62" t="n">
        <v>12</v>
      </c>
      <c r="K62" t="n">
        <v>4</v>
      </c>
      <c r="L62" t="n">
        <v>10</v>
      </c>
      <c r="M62" t="n">
        <v>2</v>
      </c>
      <c r="N62" t="n">
        <v>12</v>
      </c>
      <c r="O62" t="n">
        <v>5</v>
      </c>
      <c r="P62">
        <f>Table1[[#This Row],[TA 1 - Q1 Score]]+Table1[[#This Row],[TA 1 - Q2 Score]]+Table1[[#This Row],[TA 1 - Q3 Score]]</f>
        <v/>
      </c>
      <c r="Q62">
        <f>Table1[[#This Row],[TA 1 - Q1 Bonus]]+Table1[[#This Row],[TA 1 - Q2 Bonus]]+Table1[[#This Row],[TA 1 - Q4 Bonus]]</f>
        <v/>
      </c>
      <c r="R62">
        <f>Table1[[#This Row],[TA 2 - Q1 Score]]+Table1[[#This Row],[TA 2 - Q2 Score]]+Table1[[#This Row],[TA 2 - Q3 Score]]</f>
        <v/>
      </c>
      <c r="S62">
        <f>Table1[[#This Row],[TA 2 - Q1 Bonus]]+Table1[[#This Row],[TA 2 - Q2 Bonus]]+Table1[[#This Row],[TA 2 - Q4 Bonus]]</f>
        <v/>
      </c>
      <c r="T62">
        <f>(Table1[[#This Row],[TA 1 - Total Score (out of 35)]]+Table1[[#This Row],[TA 2 - Total Score (out of 35)]])/2</f>
        <v/>
      </c>
      <c r="U62">
        <f>(Table1[[#This Row],[TA 1 - Total Bonus (out of 13)]]+Table1[[#This Row],[TA 2 - Total Bonus (out of 13)]])/2</f>
        <v/>
      </c>
      <c r="V62">
        <f>Table1[[#This Row],[Average Questions]]/35*20+Table1[[#This Row],[Average Bonus]]/13*5</f>
        <v/>
      </c>
      <c r="W62" t="n">
        <v>6.5</v>
      </c>
      <c r="X62" t="n">
        <v>0</v>
      </c>
      <c r="Y62" t="inlineStr">
        <is>
          <t>The student completed most tasks with minor issues. Transforms were mostly correct but lacked comments. DataLoaders were set up properly, though the validation loader was incorrectly named. Sample images were displayed correctly. The pretrained model was loaded and adapted, but the backbone was not correctly frozen. Training and validation loops were implemented with label fixing, but the model output squeezing caused errors. Training and validation plots were generated. No bonus task was attempted.</t>
        </is>
      </c>
      <c r="Z62" t="n">
        <v>7.5</v>
      </c>
      <c r="AA62" t="n">
        <v>0</v>
      </c>
      <c r="AB62" t="inlineStr">
        <is>
          <t>The student successfully loaded and prepared the data with the correct transformations and displayed sample images. The CNN model was built with 5 convolutional layers and batch normalization, though the number of channels and fully connected layer sizes differ from the reference. The training and validation loops were implemented correctly, and the model was trained and validated. However, the bonus task was not completed as the residual connection was incorrectly defined and the model was not retrained or plotted.</t>
        </is>
      </c>
      <c r="AC62" t="n">
        <v>6</v>
      </c>
      <c r="AD62" t="inlineStr">
        <is>
          <t>The student's submission partially completes several tasks but contains syntax errors and logical mistakes. The dataset class is mostly correct but has a typo ('targer_transform' instead of 'target_transform'). The DataLoader creation is correct, and sample images and masks are displayed. The U-Net model is defined with the correct encoder, but the training and validation loops contain errors, such as squeezing outputs incorrectly and using softmax where unnecessary. The training process is attempted but with incorrect loss calculation due to these issues. Visualization of predictions is attempted but also contains errors in handling the predicted masks.</t>
        </is>
      </c>
      <c r="AE62" t="n">
        <v>0</v>
      </c>
      <c r="AF62" t="n">
        <v>0</v>
      </c>
      <c r="AG62" t="inlineStr">
        <is>
          <t>The student's implementation contains several errors. In the `rgb_to_grayscale` method, the indexing of the image tensor is incorrect, leading to a mismatch in dimensions. Additionally, the `__getitem__` method incorrectly returns the color image as a tuple, which causes issues in the visualization and DataLoader tests. These mistakes prevent the code from running correctly and producing the expected output.</t>
        </is>
      </c>
      <c r="AH62" t="n">
        <v>20</v>
      </c>
      <c r="AI62" t="n">
        <v>0</v>
      </c>
    </row>
    <row r="63">
      <c r="A63" t="n">
        <v>62</v>
      </c>
      <c r="B63" t="inlineStr">
        <is>
          <t>TA_2</t>
        </is>
      </c>
      <c r="C63" t="inlineStr">
        <is>
          <t>TA_12</t>
        </is>
      </c>
      <c r="D63" t="n">
        <v>11</v>
      </c>
      <c r="E63" t="n">
        <v>3</v>
      </c>
      <c r="F63" t="n">
        <v>11</v>
      </c>
      <c r="G63" t="n">
        <v>0</v>
      </c>
      <c r="H63" t="n">
        <v>12</v>
      </c>
      <c r="I63" t="n">
        <v>5</v>
      </c>
      <c r="J63" t="n">
        <v>11</v>
      </c>
      <c r="K63" t="n">
        <v>4</v>
      </c>
      <c r="L63" t="n">
        <v>11</v>
      </c>
      <c r="M63" t="n">
        <v>4</v>
      </c>
      <c r="N63" t="n">
        <v>12</v>
      </c>
      <c r="O63" t="n">
        <v>5</v>
      </c>
      <c r="P63">
        <f>Table1[[#This Row],[TA 1 - Q1 Score]]+Table1[[#This Row],[TA 1 - Q2 Score]]+Table1[[#This Row],[TA 1 - Q3 Score]]</f>
        <v/>
      </c>
      <c r="Q63">
        <f>Table1[[#This Row],[TA 1 - Q1 Bonus]]+Table1[[#This Row],[TA 1 - Q2 Bonus]]+Table1[[#This Row],[TA 1 - Q4 Bonus]]</f>
        <v/>
      </c>
      <c r="R63">
        <f>Table1[[#This Row],[TA 2 - Q1 Score]]+Table1[[#This Row],[TA 2 - Q2 Score]]+Table1[[#This Row],[TA 2 - Q3 Score]]</f>
        <v/>
      </c>
      <c r="S63">
        <f>Table1[[#This Row],[TA 2 - Q1 Bonus]]+Table1[[#This Row],[TA 2 - Q2 Bonus]]+Table1[[#This Row],[TA 2 - Q4 Bonus]]</f>
        <v/>
      </c>
      <c r="T63">
        <f>(Table1[[#This Row],[TA 1 - Total Score (out of 35)]]+Table1[[#This Row],[TA 2 - Total Score (out of 35)]])/2</f>
        <v/>
      </c>
      <c r="U63">
        <f>(Table1[[#This Row],[TA 1 - Total Bonus (out of 13)]]+Table1[[#This Row],[TA 2 - Total Bonus (out of 13)]])/2</f>
        <v/>
      </c>
      <c r="V63">
        <f>Table1[[#This Row],[Average Questions]]/35*20+Table1[[#This Row],[Average Bonus]]/13*5</f>
        <v/>
      </c>
      <c r="W63" t="n">
        <v>7</v>
      </c>
      <c r="X63" t="n">
        <v>0</v>
      </c>
      <c r="Y63" t="inlineStr">
        <is>
          <t>The student completed most tasks with minor issues. Transforms were correctly defined, but the DataLoader batch size was set to 32 instead of 64. The model setup used a custom class unnecessarily, but the core logic was correct. Training and validation loops were implemented with slight inefficiencies, such as unnecessary softmax calls. The bonus task was not fully completed as the validation function was redefined instead of modified.</t>
        </is>
      </c>
      <c r="Z63" t="n">
        <v>8.5</v>
      </c>
      <c r="AA63" t="n">
        <v>1</v>
      </c>
      <c r="AB63" t="inlineStr">
        <is>
          <t>The student implemented a custom dataset class and used the correct transformations, including RandomRotation and resizing to 32x32. Sample images were displayed with labels. The CNN model had 5 convolutional layers with batch normalization. Training and validation loops were defined and executed, and losses and accuracies were plotted. For the bonus task, the student added a residual connection but made a mistake in the input channels for the concatenated layer, leading to a partial implementation.</t>
        </is>
      </c>
      <c r="AC63" t="n">
        <v>8</v>
      </c>
      <c r="AD63" t="inlineStr">
        <is>
          <t>The student's submission includes most of the required tasks with minor issues. Task 1 is mostly correct with a few syntax errors in the dataset class and DataLoader creation. Task 2 is correct with the specified U-Net model. Task 3 has correct training and validation loops but could benefit from better variable naming. Task 4 is mostly correct with the loss and optimizer defined, trained for 5 epochs, and loss curves plotted. Task 5 visualizes predictions correctly but uses grayscale for masks instead of the specified colormap.</t>
        </is>
      </c>
      <c r="AE63" t="n">
        <v>0</v>
      </c>
      <c r="AF63" t="n">
        <v>0</v>
      </c>
      <c r="AG63" t="inlineStr">
        <is>
          <t>The student's implementation contains several errors. In the `rgb_to_grayscale` method, the RGB channels are incorrectly accessed, leading to incorrect grayscale conversion. Additionally, the method does not add the channel dimension, resulting in incorrect tensor shapes. The `__getitem__` method also returns the wrong color image tensor, as it accesses the first element of the tuple instead of the entire color image. These issues prevent the code from running correctly and producing the expected output.</t>
        </is>
      </c>
      <c r="AH63" t="n">
        <v>23.5</v>
      </c>
      <c r="AI63" t="n">
        <v>1</v>
      </c>
    </row>
    <row r="64">
      <c r="A64" t="n">
        <v>63</v>
      </c>
      <c r="B64" t="inlineStr">
        <is>
          <t>TA_2</t>
        </is>
      </c>
      <c r="C64" t="inlineStr">
        <is>
          <t>TA_12</t>
        </is>
      </c>
      <c r="D64" t="n">
        <v>6.5</v>
      </c>
      <c r="E64" t="n">
        <v>0</v>
      </c>
      <c r="F64" t="n">
        <v>9.5</v>
      </c>
      <c r="G64" t="n">
        <v>0</v>
      </c>
      <c r="H64" t="n">
        <v>12</v>
      </c>
      <c r="I64" t="n">
        <v>0</v>
      </c>
      <c r="J64" t="n">
        <v>5</v>
      </c>
      <c r="K64" t="n">
        <v>0</v>
      </c>
      <c r="L64" t="n">
        <v>8.5</v>
      </c>
      <c r="M64" t="n">
        <v>0</v>
      </c>
      <c r="N64" t="n">
        <v>12</v>
      </c>
      <c r="O64" t="n">
        <v>0</v>
      </c>
      <c r="P64">
        <f>Table1[[#This Row],[TA 1 - Q1 Score]]+Table1[[#This Row],[TA 1 - Q2 Score]]+Table1[[#This Row],[TA 1 - Q3 Score]]</f>
        <v/>
      </c>
      <c r="Q64">
        <f>Table1[[#This Row],[TA 1 - Q1 Bonus]]+Table1[[#This Row],[TA 1 - Q2 Bonus]]+Table1[[#This Row],[TA 1 - Q4 Bonus]]</f>
        <v/>
      </c>
      <c r="R64">
        <f>Table1[[#This Row],[TA 2 - Q1 Score]]+Table1[[#This Row],[TA 2 - Q2 Score]]+Table1[[#This Row],[TA 2 - Q3 Score]]</f>
        <v/>
      </c>
      <c r="S64">
        <f>Table1[[#This Row],[TA 2 - Q1 Bonus]]+Table1[[#This Row],[TA 2 - Q2 Bonus]]+Table1[[#This Row],[TA 2 - Q4 Bonus]]</f>
        <v/>
      </c>
      <c r="T64">
        <f>(Table1[[#This Row],[TA 1 - Total Score (out of 35)]]+Table1[[#This Row],[TA 2 - Total Score (out of 35)]])/2</f>
        <v/>
      </c>
      <c r="U64">
        <f>(Table1[[#This Row],[TA 1 - Total Bonus (out of 13)]]+Table1[[#This Row],[TA 2 - Total Bonus (out of 13)]])/2</f>
        <v/>
      </c>
      <c r="V64">
        <f>Table1[[#This Row],[Average Questions]]/35*20+Table1[[#This Row],[Average Bonus]]/13*5</f>
        <v/>
      </c>
      <c r="W64" t="n">
        <v>5</v>
      </c>
      <c r="X64" t="n">
        <v>0</v>
      </c>
      <c r="Y64" t="inlineStr">
        <is>
          <t>The student completed the data loading and preparation with correct transformations and displayed sample images. However, they used the wrong model (EfficientNetV2-M instead of EfficientNetV2-Small) and did not freeze the backbone. The training and validation loops had syntax errors and logical mistakes, such as incorrect handling of model outputs and label adjustments. No bonus task was attempted.</t>
        </is>
      </c>
      <c r="Z64" t="n">
        <v>8.5</v>
      </c>
      <c r="AA64" t="n">
        <v>0</v>
      </c>
      <c r="AB64" t="inlineStr">
        <is>
          <t>The student successfully implemented a custom Dataset class, created train/test datasets and DataLoaders, applied the required transformations, and displayed sample images with labels. The CNN model includes 5 convolutional layers and batch normalization. Training and validation loops are correctly defined and executed. However, the student did not plot the losses and accuracies, resulting in a deduction. No bonus task was attempted.</t>
        </is>
      </c>
      <c r="AC64" t="n">
        <v>8.5</v>
      </c>
      <c r="AD64" t="inlineStr">
        <is>
          <t>The student's submission demonstrates a good understanding of the tasks but contains some minor issues. The dataset class is correctly implemented, and the data loaders are set up properly. Sample images and masks are displayed correctly. The model class uses the correct U-Net architecture with the specified encoder. The training and validation loops are implemented with minor syntax issues. The loss and optimizer are defined, and the model trains and prints the losses as required. However, the plot of the loss curve has incorrect x-axis labeling. The visualization of predictions is mostly correct but uses grayscale for the predicted mask instead of the specified colormap.</t>
        </is>
      </c>
      <c r="AE64" t="n">
        <v>0</v>
      </c>
      <c r="AF64" t="n">
        <v>0</v>
      </c>
      <c r="AG64" t="inlineStr">
        <is>
          <t>No submission found.</t>
        </is>
      </c>
      <c r="AH64" t="n">
        <v>22</v>
      </c>
      <c r="AI64" t="n">
        <v>0</v>
      </c>
    </row>
    <row r="65">
      <c r="A65" t="n">
        <v>64</v>
      </c>
      <c r="B65" t="inlineStr">
        <is>
          <t>TA_2</t>
        </is>
      </c>
      <c r="C65" t="inlineStr">
        <is>
          <t>TA_12</t>
        </is>
      </c>
      <c r="D65" t="n">
        <v>5.75</v>
      </c>
      <c r="E65" t="n">
        <v>0</v>
      </c>
      <c r="F65" t="n">
        <v>10</v>
      </c>
      <c r="G65" t="n">
        <v>0</v>
      </c>
      <c r="H65" t="n">
        <v>10</v>
      </c>
      <c r="I65" t="n">
        <v>0</v>
      </c>
      <c r="J65" t="n">
        <v>4.4</v>
      </c>
      <c r="K65" t="n">
        <v>0</v>
      </c>
      <c r="L65" t="n">
        <v>8.5</v>
      </c>
      <c r="M65" t="n">
        <v>0</v>
      </c>
      <c r="N65" t="n">
        <v>5</v>
      </c>
      <c r="O65" t="n">
        <v>0</v>
      </c>
      <c r="P65">
        <f>Table1[[#This Row],[TA 1 - Q1 Score]]+Table1[[#This Row],[TA 1 - Q2 Score]]+Table1[[#This Row],[TA 1 - Q3 Score]]</f>
        <v/>
      </c>
      <c r="Q65">
        <f>Table1[[#This Row],[TA 1 - Q1 Bonus]]+Table1[[#This Row],[TA 1 - Q2 Bonus]]+Table1[[#This Row],[TA 1 - Q4 Bonus]]</f>
        <v/>
      </c>
      <c r="R65">
        <f>Table1[[#This Row],[TA 2 - Q1 Score]]+Table1[[#This Row],[TA 2 - Q2 Score]]+Table1[[#This Row],[TA 2 - Q3 Score]]</f>
        <v/>
      </c>
      <c r="S65">
        <f>Table1[[#This Row],[TA 2 - Q1 Bonus]]+Table1[[#This Row],[TA 2 - Q2 Bonus]]+Table1[[#This Row],[TA 2 - Q4 Bonus]]</f>
        <v/>
      </c>
      <c r="T65">
        <f>(Table1[[#This Row],[TA 1 - Total Score (out of 35)]]+Table1[[#This Row],[TA 2 - Total Score (out of 35)]])/2</f>
        <v/>
      </c>
      <c r="U65">
        <f>(Table1[[#This Row],[TA 1 - Total Bonus (out of 13)]]+Table1[[#This Row],[TA 2 - Total Bonus (out of 13)]])/2</f>
        <v/>
      </c>
      <c r="V65">
        <f>Table1[[#This Row],[Average Questions]]/35*20+Table1[[#This Row],[Average Bonus]]/13*5</f>
        <v/>
      </c>
      <c r="W65" t="n">
        <v>5</v>
      </c>
      <c r="X65" t="n">
        <v>0</v>
      </c>
      <c r="Y65" t="inlineStr">
        <is>
          <t>The student completed the data loading and transformation tasks correctly, including resizing, converting to tensor, and normalizing the images. However, the student did not display sample images, resulting in a deduction. In part 2, the student loaded the EfficientNetV2-Small model but froze all parameters instead of just the backbone. The training and validation loops were implemented but did not adjust the labels to be 0-indexed, leading to a penalty. The student used SGD instead of Adam for optimization. No bonus task was attempted.</t>
        </is>
      </c>
      <c r="Z65" t="n">
        <v>6</v>
      </c>
      <c r="AA65" t="n">
        <v>0</v>
      </c>
      <c r="AB65" t="inlineStr">
        <is>
          <t>The student successfully loaded and prepared the data with the correct transformations and displayed sample images. The CNN model was defined with five convolutional layers, but Batch Normalization was incorrectly implemented. The training and validation loops were correctly defined and executed, and the model was trained and plotted. However, the number of epochs was reduced to 5, and the fully connected layer output size was incorrectly set to 10 instead of 3. No bonus task was attempted.</t>
        </is>
      </c>
      <c r="AC65" t="n">
        <v>3</v>
      </c>
      <c r="AD65" t="inlineStr">
        <is>
          <t>The student's submission contains significant issues across multiple tasks. In Task 1, the dataset class is incorrectly implemented, and the data loading logic is flawed, leading to incorrect paths and dataset splits. Task 2 is entirely incorrect as the student attempted to build a custom U-Net architecture instead of using a pretrained U-Net with an efficientnet-b1 encoder. Task 3 is partially correct with the training and validation loops, but the model definition is missing. Task 4 has issues with the model definition and plotting, and Task 5 is mostly correct but relies on an undefined model. Overall, the submission does not follow the required approach and contains numerous errors.</t>
        </is>
      </c>
      <c r="AE65" t="n">
        <v>0</v>
      </c>
      <c r="AF65" t="n">
        <v>0</v>
      </c>
      <c r="AG65" t="inlineStr">
        <is>
          <t>No submission found.</t>
        </is>
      </c>
      <c r="AH65" t="n">
        <v>14</v>
      </c>
      <c r="AI65" t="n">
        <v>0</v>
      </c>
    </row>
    <row r="66">
      <c r="A66" t="n">
        <v>65</v>
      </c>
      <c r="B66" t="inlineStr">
        <is>
          <t>TA_2</t>
        </is>
      </c>
      <c r="C66" t="inlineStr">
        <is>
          <t>TA_12</t>
        </is>
      </c>
      <c r="D66" t="n">
        <v>11.5</v>
      </c>
      <c r="E66" t="n">
        <v>0</v>
      </c>
      <c r="F66" t="n">
        <v>9</v>
      </c>
      <c r="G66" t="n">
        <v>0</v>
      </c>
      <c r="H66" t="n">
        <v>12</v>
      </c>
      <c r="I66" t="n">
        <v>0</v>
      </c>
      <c r="J66" t="n">
        <v>12</v>
      </c>
      <c r="K66" t="n">
        <v>0</v>
      </c>
      <c r="L66" t="n">
        <v>9</v>
      </c>
      <c r="M66" t="n">
        <v>0</v>
      </c>
      <c r="N66" t="n">
        <v>11.5</v>
      </c>
      <c r="O66" t="n">
        <v>0</v>
      </c>
      <c r="P66">
        <f>Table1[[#This Row],[TA 1 - Q1 Score]]+Table1[[#This Row],[TA 1 - Q2 Score]]+Table1[[#This Row],[TA 1 - Q3 Score]]</f>
        <v/>
      </c>
      <c r="Q66">
        <f>Table1[[#This Row],[TA 1 - Q1 Bonus]]+Table1[[#This Row],[TA 1 - Q2 Bonus]]+Table1[[#This Row],[TA 1 - Q4 Bonus]]</f>
        <v/>
      </c>
      <c r="R66">
        <f>Table1[[#This Row],[TA 2 - Q1 Score]]+Table1[[#This Row],[TA 2 - Q2 Score]]+Table1[[#This Row],[TA 2 - Q3 Score]]</f>
        <v/>
      </c>
      <c r="S66">
        <f>Table1[[#This Row],[TA 2 - Q1 Bonus]]+Table1[[#This Row],[TA 2 - Q2 Bonus]]+Table1[[#This Row],[TA 2 - Q4 Bonus]]</f>
        <v/>
      </c>
      <c r="T66">
        <f>(Table1[[#This Row],[TA 1 - Total Score (out of 35)]]+Table1[[#This Row],[TA 2 - Total Score (out of 35)]])/2</f>
        <v/>
      </c>
      <c r="U66">
        <f>(Table1[[#This Row],[TA 1 - Total Bonus (out of 13)]]+Table1[[#This Row],[TA 2 - Total Bonus (out of 13)]])/2</f>
        <v/>
      </c>
      <c r="V66">
        <f>Table1[[#This Row],[Average Questions]]/35*20+Table1[[#This Row],[Average Bonus]]/13*5</f>
        <v/>
      </c>
      <c r="W66" t="n">
        <v>7</v>
      </c>
      <c r="X66" t="n">
        <v>0</v>
      </c>
      <c r="Y66" t="inlineStr">
        <is>
          <t>The student completed most tasks with minor issues. Transforms were correctly defined, and DataLoaders were set up properly. Sample images were displayed with correct labels. The pretrained EfficientNetV2-Small model was loaded and adapted correctly, with the backbone frozen and the classifier head replaced. However, there were issues in the training and validation loops, including incorrect handling of model outputs and loss calculation. The student did not implement Test Time Augmentation for the bonus task.</t>
        </is>
      </c>
      <c r="Z66" t="n">
        <v>8</v>
      </c>
      <c r="AA66" t="n">
        <v>0</v>
      </c>
      <c r="AB66" t="inlineStr">
        <is>
          <t>The student successfully loaded and prepared the data with correct transformations and displayed sample images. The CNN model has 5 convolutional layers but does not include batch normalization, earning partial credit. Both training and validation functions are implemented correctly. The model setup, training, and plotting of losses and accuracies are also correct. However, the bonus task was not attempted.</t>
        </is>
      </c>
      <c r="AC66" t="n">
        <v>8</v>
      </c>
      <c r="AD66" t="inlineStr">
        <is>
          <t>The student's submission includes most of the required tasks with some minor issues. The dataset class is implemented correctly, and the DataLoaders are set up properly. However, the image transformation lacks normalization, which is a critical step. The model class uses the correct architecture but with a different encoder (efficientnet-b1 instead of efficientnet-b0). The training and validation loops are mostly correct but contain a mistake in handling the mask data type. The training process defines the loss and optimizer correctly and prints the losses, but the learning rate is lower than the reference. The visualization of predictions is attempted but uses a grayscale colormap instead of 'tab10'.</t>
        </is>
      </c>
      <c r="AE66" t="n">
        <v>0</v>
      </c>
      <c r="AF66" t="n">
        <v>0</v>
      </c>
      <c r="AG66" t="inlineStr">
        <is>
          <t>No submission found.</t>
        </is>
      </c>
      <c r="AH66" t="n">
        <v>23</v>
      </c>
      <c r="AI66" t="n">
        <v>0</v>
      </c>
    </row>
    <row r="67">
      <c r="A67" t="n">
        <v>66</v>
      </c>
      <c r="B67" t="inlineStr">
        <is>
          <t>TA_2</t>
        </is>
      </c>
      <c r="C67" t="inlineStr">
        <is>
          <t>TA_12</t>
        </is>
      </c>
      <c r="D67" t="n">
        <v>11</v>
      </c>
      <c r="E67" t="n">
        <v>0</v>
      </c>
      <c r="F67" t="n">
        <v>8</v>
      </c>
      <c r="G67" t="n">
        <v>0</v>
      </c>
      <c r="H67" t="n">
        <v>6</v>
      </c>
      <c r="I67" t="n">
        <v>0</v>
      </c>
      <c r="J67" t="n">
        <v>10</v>
      </c>
      <c r="K67" t="n">
        <v>0</v>
      </c>
      <c r="L67" t="n">
        <v>8</v>
      </c>
      <c r="M67" t="n">
        <v>0</v>
      </c>
      <c r="N67" t="n">
        <v>1.95</v>
      </c>
      <c r="O67" t="n">
        <v>0</v>
      </c>
      <c r="P67">
        <f>Table1[[#This Row],[TA 1 - Q1 Score]]+Table1[[#This Row],[TA 1 - Q2 Score]]+Table1[[#This Row],[TA 1 - Q3 Score]]</f>
        <v/>
      </c>
      <c r="Q67">
        <f>Table1[[#This Row],[TA 1 - Q1 Bonus]]+Table1[[#This Row],[TA 1 - Q2 Bonus]]+Table1[[#This Row],[TA 1 - Q4 Bonus]]</f>
        <v/>
      </c>
      <c r="R67">
        <f>Table1[[#This Row],[TA 2 - Q1 Score]]+Table1[[#This Row],[TA 2 - Q2 Score]]+Table1[[#This Row],[TA 2 - Q3 Score]]</f>
        <v/>
      </c>
      <c r="S67">
        <f>Table1[[#This Row],[TA 2 - Q1 Bonus]]+Table1[[#This Row],[TA 2 - Q2 Bonus]]+Table1[[#This Row],[TA 2 - Q4 Bonus]]</f>
        <v/>
      </c>
      <c r="T67">
        <f>(Table1[[#This Row],[TA 1 - Total Score (out of 35)]]+Table1[[#This Row],[TA 2 - Total Score (out of 35)]])/2</f>
        <v/>
      </c>
      <c r="U67">
        <f>(Table1[[#This Row],[TA 1 - Total Bonus (out of 13)]]+Table1[[#This Row],[TA 2 - Total Bonus (out of 13)]])/2</f>
        <v/>
      </c>
      <c r="V67">
        <f>Table1[[#This Row],[Average Questions]]/35*20+Table1[[#This Row],[Average Bonus]]/13*5</f>
        <v/>
      </c>
      <c r="W67" t="n">
        <v>7</v>
      </c>
      <c r="X67" t="n">
        <v>0</v>
      </c>
      <c r="Y67" t="inlineStr">
        <is>
          <t>The student completed most tasks with minor issues. The data loading and preparation were mostly correct, but the DataLoader batch size was smaller than the reference. The model loading and adaptation were correct, but the student froze the entire model instead of just the backbone. The training and validation loops were implemented with a mistake in the accuracy calculation due to incorrect label handling. The plotting of losses and accuracies was correct. The bonus task was not attempted.</t>
        </is>
      </c>
      <c r="Z67" t="n">
        <v>7</v>
      </c>
      <c r="AA67" t="n">
        <v>0</v>
      </c>
      <c r="AB67" t="inlineStr">
        <is>
          <t>The student implemented a custom dataset class and used appropriate transformations, including RandomRotation and resizing to 32x32, earning full marks for Part 1. The CNN model class was defined with 5 convolutional layers and batch normalization, though the forward method had logical errors due to incorrect placement of batch normalization layers, resulting in partial credit. Training and validation functions were correctly defined, but the model's output layer had an incorrect number of classes, leading to partial credit. The model was trained and plotted, but the number of epochs was low, affecting the overall performance. No bonus task was attempted.</t>
        </is>
      </c>
      <c r="AC67" t="n">
        <v>2</v>
      </c>
      <c r="AD67" t="inlineStr">
        <is>
          <t>The student attempted most tasks but made significant errors. The dataset class was partially correct but used a CSV file instead of directly accessing image and mask files. The DataLoader creation was incorrect due to the use of ImageFolder and incorrect paths. The model definition used 'efficientnet-b1' but incorrectly set the number of classes to 1, indicating a misunderstanding of the task. The training and validation loops were mostly correct but used BCEWithLogitsLoss, which is inappropriate for multi-class segmentation. Visualization of predictions was attempted but used a binary threshold, not suitable for multi-class masks.</t>
        </is>
      </c>
      <c r="AE67" t="n">
        <v>0</v>
      </c>
      <c r="AF67" t="n">
        <v>0</v>
      </c>
      <c r="AG67" t="inlineStr">
        <is>
          <t>No submission found.</t>
        </is>
      </c>
      <c r="AH67" t="n">
        <v>16</v>
      </c>
      <c r="AI67" t="n">
        <v>0</v>
      </c>
    </row>
    <row r="68">
      <c r="A68" t="n">
        <v>67</v>
      </c>
      <c r="B68" t="inlineStr">
        <is>
          <t>TA_2</t>
        </is>
      </c>
      <c r="C68" t="inlineStr">
        <is>
          <t>TA_12</t>
        </is>
      </c>
      <c r="D68" t="n">
        <v>7.5</v>
      </c>
      <c r="E68" t="n">
        <v>0</v>
      </c>
      <c r="F68" t="n">
        <v>8.5</v>
      </c>
      <c r="G68" t="n">
        <v>0</v>
      </c>
      <c r="H68" t="n">
        <v>12</v>
      </c>
      <c r="I68" t="n">
        <v>0</v>
      </c>
      <c r="J68" t="n">
        <v>7.5</v>
      </c>
      <c r="K68" t="n">
        <v>0</v>
      </c>
      <c r="L68" t="n">
        <v>8.25</v>
      </c>
      <c r="M68" t="n">
        <v>0</v>
      </c>
      <c r="N68" t="n">
        <v>12</v>
      </c>
      <c r="O68" t="n">
        <v>0</v>
      </c>
      <c r="P68">
        <f>Table1[[#This Row],[TA 1 - Q1 Score]]+Table1[[#This Row],[TA 1 - Q2 Score]]+Table1[[#This Row],[TA 1 - Q3 Score]]</f>
        <v/>
      </c>
      <c r="Q68">
        <f>Table1[[#This Row],[TA 1 - Q1 Bonus]]+Table1[[#This Row],[TA 1 - Q2 Bonus]]+Table1[[#This Row],[TA 1 - Q4 Bonus]]</f>
        <v/>
      </c>
      <c r="R68">
        <f>Table1[[#This Row],[TA 2 - Q1 Score]]+Table1[[#This Row],[TA 2 - Q2 Score]]+Table1[[#This Row],[TA 2 - Q3 Score]]</f>
        <v/>
      </c>
      <c r="S68">
        <f>Table1[[#This Row],[TA 2 - Q1 Bonus]]+Table1[[#This Row],[TA 2 - Q2 Bonus]]+Table1[[#This Row],[TA 2 - Q4 Bonus]]</f>
        <v/>
      </c>
      <c r="T68">
        <f>(Table1[[#This Row],[TA 1 - Total Score (out of 35)]]+Table1[[#This Row],[TA 2 - Total Score (out of 35)]])/2</f>
        <v/>
      </c>
      <c r="U68">
        <f>(Table1[[#This Row],[TA 1 - Total Bonus (out of 13)]]+Table1[[#This Row],[TA 2 - Total Bonus (out of 13)]])/2</f>
        <v/>
      </c>
      <c r="V68">
        <f>Table1[[#This Row],[Average Questions]]/35*20+Table1[[#This Row],[Average Bonus]]/13*5</f>
        <v/>
      </c>
      <c r="W68" t="n">
        <v>6</v>
      </c>
      <c r="X68" t="n">
        <v>0</v>
      </c>
      <c r="Y68" t="inlineStr">
        <is>
          <t>The student completed the data loading and preparation with minor issues, such as incorrect batch size and incorrect label adjustment in the training loop. The model loading and adaptation were mostly correct, but the student froze all parameters instead of just the backbone. The training and validation loops had significant issues, including incorrect label adjustments and logic errors. The plotting of losses and accuracies was correct, but no bonus task was attempted.</t>
        </is>
      </c>
      <c r="Z68" t="n">
        <v>7</v>
      </c>
      <c r="AA68" t="n">
        <v>0</v>
      </c>
      <c r="AB68" t="inlineStr">
        <is>
          <t>The student successfully loaded and prepared the data with the correct transformations and displayed sample images. The CNN model was built with five convolutional layers, but batch normalization was not added, resulting in partial credit. The training and validation functions were implemented correctly, and the model was trained and plotted with appropriate metrics. However, the bonus task was not attempted.</t>
        </is>
      </c>
      <c r="AC68" t="n">
        <v>8</v>
      </c>
      <c r="AD68" t="inlineStr">
        <is>
          <t>The student's submission contains mostly correct code with minor issues. Task 1 is partially correct with a few syntax errors in displaying images. Task 2 is correct with the specified encoder. Task 3 is mostly correct with a small mistake in the validation loop. Task 4 is mostly correct with a different learning rate and optimizer, and Task 5 is partially correct with a minor issue in visualizing predictions.</t>
        </is>
      </c>
      <c r="AE68" t="n">
        <v>0</v>
      </c>
      <c r="AF68" t="n">
        <v>0</v>
      </c>
      <c r="AG68" t="inlineStr">
        <is>
          <t>No submission found.</t>
        </is>
      </c>
      <c r="AH68" t="n">
        <v>21</v>
      </c>
      <c r="AI68" t="n">
        <v>0</v>
      </c>
    </row>
    <row r="69">
      <c r="A69" t="n">
        <v>68</v>
      </c>
      <c r="B69" t="inlineStr">
        <is>
          <t>TA_2</t>
        </is>
      </c>
      <c r="C69" t="inlineStr">
        <is>
          <t>TA_12</t>
        </is>
      </c>
      <c r="D69" t="n">
        <v>7.5</v>
      </c>
      <c r="E69" t="n">
        <v>0</v>
      </c>
      <c r="F69" t="n">
        <v>8.5</v>
      </c>
      <c r="G69" t="n">
        <v>0</v>
      </c>
      <c r="H69" t="n">
        <v>11</v>
      </c>
      <c r="I69" t="n">
        <v>0</v>
      </c>
      <c r="J69" t="n">
        <v>7.5</v>
      </c>
      <c r="K69" t="n">
        <v>0</v>
      </c>
      <c r="L69" t="n">
        <v>6.5</v>
      </c>
      <c r="M69" t="n">
        <v>1</v>
      </c>
      <c r="N69" t="n">
        <v>7</v>
      </c>
      <c r="O69" t="n">
        <v>0</v>
      </c>
      <c r="P69">
        <f>Table1[[#This Row],[TA 1 - Q1 Score]]+Table1[[#This Row],[TA 1 - Q2 Score]]+Table1[[#This Row],[TA 1 - Q3 Score]]</f>
        <v/>
      </c>
      <c r="Q69">
        <f>Table1[[#This Row],[TA 1 - Q1 Bonus]]+Table1[[#This Row],[TA 1 - Q2 Bonus]]+Table1[[#This Row],[TA 1 - Q4 Bonus]]</f>
        <v/>
      </c>
      <c r="R69">
        <f>Table1[[#This Row],[TA 2 - Q1 Score]]+Table1[[#This Row],[TA 2 - Q2 Score]]+Table1[[#This Row],[TA 2 - Q3 Score]]</f>
        <v/>
      </c>
      <c r="S69">
        <f>Table1[[#This Row],[TA 2 - Q1 Bonus]]+Table1[[#This Row],[TA 2 - Q2 Bonus]]+Table1[[#This Row],[TA 2 - Q4 Bonus]]</f>
        <v/>
      </c>
      <c r="T69">
        <f>(Table1[[#This Row],[TA 1 - Total Score (out of 35)]]+Table1[[#This Row],[TA 2 - Total Score (out of 35)]])/2</f>
        <v/>
      </c>
      <c r="U69">
        <f>(Table1[[#This Row],[TA 1 - Total Bonus (out of 13)]]+Table1[[#This Row],[TA 2 - Total Bonus (out of 13)]])/2</f>
        <v/>
      </c>
      <c r="V69">
        <f>Table1[[#This Row],[Average Questions]]/35*20+Table1[[#This Row],[Average Bonus]]/13*5</f>
        <v/>
      </c>
      <c r="W69" t="n">
        <v>7</v>
      </c>
      <c r="X69" t="n">
        <v>0</v>
      </c>
      <c r="Y69" t="inlineStr">
        <is>
          <t>The student completed most tasks with minor issues. The data loading and preparation were mostly correct, but the batch size was smaller than the reference solution. The model loading and adaptation were correct, but the student froze all parameters instead of just the backbone. The training and validation loops were implemented correctly, but there was a mistake in using the dataset directly in the validation loop instead of the DataLoader. The plotting of losses and accuracies was correct, but the number of epochs was unnecessarily high. No bonus task was attempted.</t>
        </is>
      </c>
      <c r="Z69" t="n">
        <v>6</v>
      </c>
      <c r="AA69" t="n">
        <v>0</v>
      </c>
      <c r="AB69" t="inlineStr">
        <is>
          <t>The student successfully loaded and prepared the data with the correct transformations and displayed sample images. The CNN model was built with 5 convolutional layers, though the number of channels and fully connected layer sizes differ from the reference solution. The training and validation functions were implemented correctly, and the model was trained and plotted. However, the bonus task was not completed due to incorrect implementation of the residual connection.</t>
        </is>
      </c>
      <c r="AC69" t="n">
        <v>6</v>
      </c>
      <c r="AD69" t="inlineStr">
        <is>
          <t>The student's submission partially completes several tasks but contains errors and omissions. The dataset class is mostly correct but has issues with the directory paths for the test set. The model class incorrectly specifies 5 classes instead of 8. The training and validation loops are implemented correctly, and the training process runs without errors. However, the visualization of predictions is incomplete and does not display the expected results due to incorrect indexing and missing plotting code.</t>
        </is>
      </c>
      <c r="AE69" t="n">
        <v>0</v>
      </c>
      <c r="AF69" t="n">
        <v>0</v>
      </c>
      <c r="AG69" t="inlineStr">
        <is>
          <t>No submission found.</t>
        </is>
      </c>
      <c r="AH69" t="n">
        <v>19</v>
      </c>
      <c r="AI69" t="n">
        <v>0</v>
      </c>
    </row>
    <row r="70">
      <c r="A70" t="n">
        <v>69</v>
      </c>
      <c r="B70" t="inlineStr">
        <is>
          <t>TA_2</t>
        </is>
      </c>
      <c r="C70" t="inlineStr">
        <is>
          <t>TA_12</t>
        </is>
      </c>
      <c r="D70" t="n">
        <v>11.5</v>
      </c>
      <c r="E70" t="n">
        <v>0</v>
      </c>
      <c r="F70" t="n">
        <v>9</v>
      </c>
      <c r="G70" t="n">
        <v>0</v>
      </c>
      <c r="H70" t="n">
        <v>12</v>
      </c>
      <c r="I70" t="n">
        <v>0</v>
      </c>
      <c r="J70" t="n">
        <v>12</v>
      </c>
      <c r="K70" t="n">
        <v>0</v>
      </c>
      <c r="L70" t="n">
        <v>9</v>
      </c>
      <c r="M70" t="n">
        <v>0</v>
      </c>
      <c r="N70" t="n">
        <v>9.5</v>
      </c>
      <c r="O70" t="n">
        <v>0</v>
      </c>
      <c r="P70">
        <f>Table1[[#This Row],[TA 1 - Q1 Score]]+Table1[[#This Row],[TA 1 - Q2 Score]]+Table1[[#This Row],[TA 1 - Q3 Score]]</f>
        <v/>
      </c>
      <c r="Q70">
        <f>Table1[[#This Row],[TA 1 - Q1 Bonus]]+Table1[[#This Row],[TA 1 - Q2 Bonus]]+Table1[[#This Row],[TA 1 - Q4 Bonus]]</f>
        <v/>
      </c>
      <c r="R70">
        <f>Table1[[#This Row],[TA 2 - Q1 Score]]+Table1[[#This Row],[TA 2 - Q2 Score]]+Table1[[#This Row],[TA 2 - Q3 Score]]</f>
        <v/>
      </c>
      <c r="S70">
        <f>Table1[[#This Row],[TA 2 - Q1 Bonus]]+Table1[[#This Row],[TA 2 - Q2 Bonus]]+Table1[[#This Row],[TA 2 - Q4 Bonus]]</f>
        <v/>
      </c>
      <c r="T70">
        <f>(Table1[[#This Row],[TA 1 - Total Score (out of 35)]]+Table1[[#This Row],[TA 2 - Total Score (out of 35)]])/2</f>
        <v/>
      </c>
      <c r="U70">
        <f>(Table1[[#This Row],[TA 1 - Total Bonus (out of 13)]]+Table1[[#This Row],[TA 2 - Total Bonus (out of 13)]])/2</f>
        <v/>
      </c>
      <c r="V70">
        <f>Table1[[#This Row],[Average Questions]]/35*20+Table1[[#This Row],[Average Bonus]]/13*5</f>
        <v/>
      </c>
      <c r="W70" t="n">
        <v>8.5</v>
      </c>
      <c r="X70" t="n">
        <v>0</v>
      </c>
      <c r="Y70" t="inlineStr">
        <is>
          <t>The student completed most tasks with minor issues. The image resizing was incorrect (224x224 instead of 28x28), affecting the model's performance. DataLoaders were created correctly, but the batch size was smaller than the reference. Sample images were displayed with correct labels. The pretrained model was loaded and adapted properly, with the backbone frozen and classifier replaced. Training and validation loops were implemented correctly, with label fixing applied. However, the bonus task was not attempted.</t>
        </is>
      </c>
      <c r="Z70" t="n">
        <v>8</v>
      </c>
      <c r="AA70" t="n">
        <v>0</v>
      </c>
      <c r="AB70" t="inlineStr">
        <is>
          <t>The student successfully completed most tasks with minor issues. The dataset loading and preparation were mostly correct, with the exception of shuffling the test loader. The CNN model had 5 convolutional layers but used different channel sizes than specified. Batch normalization was missing. The training and validation loops were implemented correctly, and the model trained and plotted the results accurately. The bonus task was not attempted.</t>
        </is>
      </c>
      <c r="AC70" t="n">
        <v>8</v>
      </c>
      <c r="AD70" t="inlineStr">
        <is>
          <t>The student's submission contains mostly correct code with minor issues. Task 1 is partially correct with a small mistake in the dataset class where the image and mask paths are not sorted, which could lead to mismatched pairs. Task 2 is correct with the right model definition. Task 3 is mostly correct with a small issue in the validation loop where the mask is not squeezed. Task 4 is partially correct with a mistake in the optimizer choice (AdamW instead of Adam) and a lower number of epochs (5 instead of 10). Task 5 is mostly correct with a minor issue in the prediction visualization where the predicted mask is displayed in grayscale instead of using a colormap.</t>
        </is>
      </c>
      <c r="AE70" t="n">
        <v>0</v>
      </c>
      <c r="AF70" t="n">
        <v>0</v>
      </c>
      <c r="AG70" t="inlineStr">
        <is>
          <t>No submission found.</t>
        </is>
      </c>
      <c r="AH70" t="n">
        <v>24.5</v>
      </c>
      <c r="AI70" t="n">
        <v>0</v>
      </c>
    </row>
    <row r="71">
      <c r="A71" t="n">
        <v>70</v>
      </c>
      <c r="B71" t="inlineStr">
        <is>
          <t>TA_2</t>
        </is>
      </c>
      <c r="C71" t="inlineStr">
        <is>
          <t>TA_12</t>
        </is>
      </c>
      <c r="D71" t="n">
        <v>10.75</v>
      </c>
      <c r="E71" t="n">
        <v>0</v>
      </c>
      <c r="F71" t="n">
        <v>9</v>
      </c>
      <c r="G71" t="n">
        <v>0</v>
      </c>
      <c r="H71" t="n">
        <v>12</v>
      </c>
      <c r="I71" t="n">
        <v>0</v>
      </c>
      <c r="J71" t="n">
        <v>8.600000000000001</v>
      </c>
      <c r="K71" t="n">
        <v>0</v>
      </c>
      <c r="L71" t="n">
        <v>9</v>
      </c>
      <c r="M71" t="n">
        <v>0</v>
      </c>
      <c r="N71" t="n">
        <v>4.95</v>
      </c>
      <c r="O71" t="n">
        <v>0</v>
      </c>
      <c r="P71">
        <f>Table1[[#This Row],[TA 1 - Q1 Score]]+Table1[[#This Row],[TA 1 - Q2 Score]]+Table1[[#This Row],[TA 1 - Q3 Score]]</f>
        <v/>
      </c>
      <c r="Q71">
        <f>Table1[[#This Row],[TA 1 - Q1 Bonus]]+Table1[[#This Row],[TA 1 - Q2 Bonus]]+Table1[[#This Row],[TA 1 - Q4 Bonus]]</f>
        <v/>
      </c>
      <c r="R71">
        <f>Table1[[#This Row],[TA 2 - Q1 Score]]+Table1[[#This Row],[TA 2 - Q2 Score]]+Table1[[#This Row],[TA 2 - Q3 Score]]</f>
        <v/>
      </c>
      <c r="S71">
        <f>Table1[[#This Row],[TA 2 - Q1 Bonus]]+Table1[[#This Row],[TA 2 - Q2 Bonus]]+Table1[[#This Row],[TA 2 - Q4 Bonus]]</f>
        <v/>
      </c>
      <c r="T71">
        <f>(Table1[[#This Row],[TA 1 - Total Score (out of 35)]]+Table1[[#This Row],[TA 2 - Total Score (out of 35)]])/2</f>
        <v/>
      </c>
      <c r="U71">
        <f>(Table1[[#This Row],[TA 1 - Total Bonus (out of 13)]]+Table1[[#This Row],[TA 2 - Total Bonus (out of 13)]])/2</f>
        <v/>
      </c>
      <c r="V71">
        <f>Table1[[#This Row],[Average Questions]]/35*20+Table1[[#This Row],[Average Bonus]]/13*5</f>
        <v/>
      </c>
      <c r="W71" t="n">
        <v>5</v>
      </c>
      <c r="X71" t="n">
        <v>0</v>
      </c>
      <c r="Y71" t="inlineStr">
        <is>
          <t>The student completed the data loading and transformation tasks correctly, including resizing, converting to tensor, and normalizing the images. However, there were issues in creating and displaying the DataLoaders, where the student used incorrect labels ('Cat' and 'Dog') instead of the actual EMNIST letter labels. The model loading and adaptation were partially correct, but the student froze the entire model instead of just the backbone. The training and validation loops had significant errors, including incorrect handling of outputs and labels, and the use of sigmoid activation with binary cross-entropy loss, which is inappropriate for multi-class classification. The plotting of losses and accuracies was mostly correct, but the training loop did not run due to the earlier errors.</t>
        </is>
      </c>
      <c r="Z71" t="n">
        <v>8.5</v>
      </c>
      <c r="AA71" t="n">
        <v>0</v>
      </c>
      <c r="AB71" t="inlineStr">
        <is>
          <t>The student successfully completed most tasks with minor issues. The dataset loading and preparation were correct, including the use of RandomRotation and resizing to 32x32. Sample images were displayed with labels. The CNN model had 5 convolutional layers but used incorrect channel sizes and lacked batch normalization. The training and validation loops were implemented correctly, and the model was trained and plotted accurately. However, the bonus task was not attempted.</t>
        </is>
      </c>
      <c r="AC71" t="n">
        <v>4</v>
      </c>
      <c r="AD71" t="inlineStr">
        <is>
          <t>The student attempted most tasks but made significant errors. In Task 1, the dataset paths were incorrectly listed without full paths, leading to potential issues. The dataset class was mostly correct but used pandas unnecessarily. In Task 2, the model was incorrectly defined with only one class instead of eight. In Task 3, the training and validation loops had logical errors, converting masks to float and using BCEWithLogitsLoss, which is unsuitable for multi-class segmentation. In Task 4, the loss and optimizer were defined incorrectly, and the model was trained on CPU. In Task 5, the prediction visualization was incorrect, using a binary threshold instead of argmax for multi-class segmentation.</t>
        </is>
      </c>
      <c r="AE71" t="n">
        <v>0</v>
      </c>
      <c r="AF71" t="n">
        <v>0</v>
      </c>
      <c r="AG71" t="inlineStr">
        <is>
          <t>No submission found.</t>
        </is>
      </c>
      <c r="AH71" t="n">
        <v>17.5</v>
      </c>
      <c r="AI71" t="n">
        <v>0</v>
      </c>
    </row>
    <row r="72">
      <c r="A72" t="n">
        <v>71</v>
      </c>
      <c r="B72" t="inlineStr">
        <is>
          <t>TA_2</t>
        </is>
      </c>
      <c r="C72" t="inlineStr">
        <is>
          <t>TA_12</t>
        </is>
      </c>
      <c r="D72" t="n">
        <v>11</v>
      </c>
      <c r="E72" t="n">
        <v>0</v>
      </c>
      <c r="F72" t="n">
        <v>11</v>
      </c>
      <c r="G72" t="n">
        <v>0</v>
      </c>
      <c r="H72" t="n">
        <v>12</v>
      </c>
      <c r="I72" t="n">
        <v>5</v>
      </c>
      <c r="J72" t="n">
        <v>12</v>
      </c>
      <c r="K72" t="n">
        <v>0</v>
      </c>
      <c r="L72" t="n">
        <v>11</v>
      </c>
      <c r="M72" t="n">
        <v>0</v>
      </c>
      <c r="N72" t="n">
        <v>12</v>
      </c>
      <c r="O72" t="n">
        <v>0</v>
      </c>
      <c r="P72">
        <f>Table1[[#This Row],[TA 1 - Q1 Score]]+Table1[[#This Row],[TA 1 - Q2 Score]]+Table1[[#This Row],[TA 1 - Q3 Score]]</f>
        <v/>
      </c>
      <c r="Q72">
        <f>Table1[[#This Row],[TA 1 - Q1 Bonus]]+Table1[[#This Row],[TA 1 - Q2 Bonus]]+Table1[[#This Row],[TA 1 - Q4 Bonus]]</f>
        <v/>
      </c>
      <c r="R72">
        <f>Table1[[#This Row],[TA 2 - Q1 Score]]+Table1[[#This Row],[TA 2 - Q2 Score]]+Table1[[#This Row],[TA 2 - Q3 Score]]</f>
        <v/>
      </c>
      <c r="S72">
        <f>Table1[[#This Row],[TA 2 - Q1 Bonus]]+Table1[[#This Row],[TA 2 - Q2 Bonus]]+Table1[[#This Row],[TA 2 - Q4 Bonus]]</f>
        <v/>
      </c>
      <c r="T72">
        <f>(Table1[[#This Row],[TA 1 - Total Score (out of 35)]]+Table1[[#This Row],[TA 2 - Total Score (out of 35)]])/2</f>
        <v/>
      </c>
      <c r="U72">
        <f>(Table1[[#This Row],[TA 1 - Total Bonus (out of 13)]]+Table1[[#This Row],[TA 2 - Total Bonus (out of 13)]])/2</f>
        <v/>
      </c>
      <c r="V72">
        <f>Table1[[#This Row],[Average Questions]]/35*20+Table1[[#This Row],[Average Bonus]]/13*5</f>
        <v/>
      </c>
      <c r="W72" t="n">
        <v>8.5</v>
      </c>
      <c r="X72" t="n">
        <v>0</v>
      </c>
      <c r="Y72" t="inlineStr">
        <is>
          <t>The student completed most tasks correctly but made some minor mistakes. The data loading and preparation were mostly accurate, though the student added unnecessary code to check label types. The model setup and adaptation were correct, but the student incorrectly froze the entire model instead of just the backbone. The training and validation loops were implemented with some redundant softmax operations, and the learning rate was set too low. No bonus task was attempted.</t>
        </is>
      </c>
      <c r="Z72" t="n">
        <v>7</v>
      </c>
      <c r="AA72" t="n">
        <v>0</v>
      </c>
      <c r="AB72" t="inlineStr">
        <is>
          <t>The student successfully loaded and prepared the data with correct transformations and displayed sample images. The CNN model has 5 convolutional layers with batch normalization, though the architecture differs from the reference solution. The training and validation loops are implemented correctly, and the model is trained and plotted. However, the student added dropout and used LeakyReLU, deviating from the instructions. No bonus task was attempted.</t>
        </is>
      </c>
      <c r="AC72" t="n">
        <v>10</v>
      </c>
      <c r="AD72" t="inlineStr">
        <is>
          <t>The student's submission is mostly correct and runs end-to-end. The dataset class is implemented correctly with proper data loading and transformations. The DataLoaders are set up properly, and sample images and masks are displayed. The U-Net model with the efficientnet-b1 encoder is defined as required. The training and validation loops are implemented correctly, and the model is trained for 10 epochs with printed losses. The loss curve is plotted accurately. Predictions are visualized against ground truth for multiple images. Minor issues include using AdamW instead of Adam for optimization and a slightly different learning rate, but these do not affect the overall correctness of the implementation.</t>
        </is>
      </c>
      <c r="AE72" t="n">
        <v>0</v>
      </c>
      <c r="AF72" t="n">
        <v>0</v>
      </c>
      <c r="AG72" t="inlineStr">
        <is>
          <t>The student did not implement any of the required methods in the `ColorizationDataset` class. The `__init__`, `__len__`, `rgb_to_grayscale`, and `__getitem__` methods were left unimplemented with only placeholder comments. As a result, the code does not run and fails to produce the expected output.</t>
        </is>
      </c>
      <c r="AH72" t="n">
        <v>25.5</v>
      </c>
      <c r="AI72" t="n">
        <v>0</v>
      </c>
    </row>
    <row r="73">
      <c r="A73" t="n">
        <v>72</v>
      </c>
      <c r="B73" t="inlineStr">
        <is>
          <t>TA_2</t>
        </is>
      </c>
      <c r="C73" t="inlineStr">
        <is>
          <t>TA_12</t>
        </is>
      </c>
      <c r="D73" t="n">
        <v>10.75</v>
      </c>
      <c r="E73" t="n">
        <v>1</v>
      </c>
      <c r="F73" t="n">
        <v>10.5</v>
      </c>
      <c r="G73" t="n">
        <v>0</v>
      </c>
      <c r="H73" t="n">
        <v>11.5</v>
      </c>
      <c r="I73" t="n">
        <v>0</v>
      </c>
      <c r="J73" t="n">
        <v>10.2</v>
      </c>
      <c r="K73" t="n">
        <v>3</v>
      </c>
      <c r="L73" t="n">
        <v>10.25</v>
      </c>
      <c r="M73" t="n">
        <v>0</v>
      </c>
      <c r="N73" t="n">
        <v>7.5</v>
      </c>
      <c r="O73" t="n">
        <v>0</v>
      </c>
      <c r="P73">
        <f>Table1[[#This Row],[TA 1 - Q1 Score]]+Table1[[#This Row],[TA 1 - Q2 Score]]+Table1[[#This Row],[TA 1 - Q3 Score]]</f>
        <v/>
      </c>
      <c r="Q73">
        <f>Table1[[#This Row],[TA 1 - Q1 Bonus]]+Table1[[#This Row],[TA 1 - Q2 Bonus]]+Table1[[#This Row],[TA 1 - Q4 Bonus]]</f>
        <v/>
      </c>
      <c r="R73">
        <f>Table1[[#This Row],[TA 2 - Q1 Score]]+Table1[[#This Row],[TA 2 - Q2 Score]]+Table1[[#This Row],[TA 2 - Q3 Score]]</f>
        <v/>
      </c>
      <c r="S73">
        <f>Table1[[#This Row],[TA 2 - Q1 Bonus]]+Table1[[#This Row],[TA 2 - Q2 Bonus]]+Table1[[#This Row],[TA 2 - Q4 Bonus]]</f>
        <v/>
      </c>
      <c r="T73">
        <f>(Table1[[#This Row],[TA 1 - Total Score (out of 35)]]+Table1[[#This Row],[TA 2 - Total Score (out of 35)]])/2</f>
        <v/>
      </c>
      <c r="U73">
        <f>(Table1[[#This Row],[TA 1 - Total Bonus (out of 13)]]+Table1[[#This Row],[TA 2 - Total Bonus (out of 13)]])/2</f>
        <v/>
      </c>
      <c r="V73">
        <f>Table1[[#This Row],[Average Questions]]/35*20+Table1[[#This Row],[Average Bonus]]/13*5</f>
        <v/>
      </c>
      <c r="W73" t="n">
        <v>6.5</v>
      </c>
      <c r="X73" t="n">
        <v>0</v>
      </c>
      <c r="Y73" t="inlineStr">
        <is>
          <t>The student completed most tasks with minor issues. The data loading and preparation were mostly correct, though the batch size was smaller than the reference. The model loading and adaptation were accurate, but the classifier head modification had a redundant line. The training and validation loops had syntax errors, particularly in handling the model outputs and labels. The plotting was correct, but the number of epochs was reduced. The bonus task was attempted but incorrectly implemented, with flawed loss calculations and image flipping.</t>
        </is>
      </c>
      <c r="Z73" t="n">
        <v>7</v>
      </c>
      <c r="AA73" t="n">
        <v>0</v>
      </c>
      <c r="AB73" t="inlineStr">
        <is>
          <t>The student implemented a custom dataset class and used appropriate transformations, including RandomRotation and resizing to 32x32, earning full marks for Part 1. The CNN model has 5 convolutional layers with batch normalization, meeting Part 2 requirements. Training and validation loops were correctly defined and executed, scoring full marks for Part 3. However, the student did not plot sample images with labels, deducting 1 point from Part 1. For the bonus task, the student did not implement a residual connection, resulting in no bonus points.</t>
        </is>
      </c>
      <c r="AC73" t="n">
        <v>5</v>
      </c>
      <c r="AD73" t="inlineStr">
        <is>
          <t>The student partially completed the tasks with some syntax and logical errors. The dataset class was implemented but had issues with the directory structure and file filtering. DataLoaders were created but with incorrect batch sizes and missing num_workers. Sample images and masks were displayed with minor issues. The U-Net model was defined correctly. Training and validation loops were attempted but included unnecessary accuracy calculations and incorrect handling of outputs. Loss and optimizer were defined, and training was executed, but with incorrect loss tracking. Predictions were visualized, but the mask conversion was incorrect, and the images were not properly denormalized.</t>
        </is>
      </c>
      <c r="AE73" t="n">
        <v>0</v>
      </c>
      <c r="AF73" t="n">
        <v>0</v>
      </c>
      <c r="AG73" t="inlineStr">
        <is>
          <t>No submission found.</t>
        </is>
      </c>
      <c r="AH73" t="n">
        <v>18.5</v>
      </c>
      <c r="AI73" t="n">
        <v>0</v>
      </c>
    </row>
    <row r="74">
      <c r="A74" t="n">
        <v>73</v>
      </c>
      <c r="B74" t="inlineStr">
        <is>
          <t>TA_2</t>
        </is>
      </c>
      <c r="C74" t="inlineStr">
        <is>
          <t>TA_12</t>
        </is>
      </c>
      <c r="D74" t="n">
        <v>5</v>
      </c>
      <c r="E74" t="n">
        <v>0</v>
      </c>
      <c r="F74" t="n">
        <v>7.8</v>
      </c>
      <c r="G74" t="n">
        <v>0.5</v>
      </c>
      <c r="H74" t="n">
        <v>10</v>
      </c>
      <c r="I74" t="n">
        <v>0</v>
      </c>
      <c r="J74" t="n">
        <v>5.1</v>
      </c>
      <c r="K74" t="n">
        <v>0</v>
      </c>
      <c r="L74" t="n">
        <v>3</v>
      </c>
      <c r="M74" t="n">
        <v>0.5</v>
      </c>
      <c r="N74" t="n">
        <v>3.7</v>
      </c>
      <c r="O74" t="n">
        <v>0</v>
      </c>
      <c r="P74">
        <f>Table1[[#This Row],[TA 1 - Q1 Score]]+Table1[[#This Row],[TA 1 - Q2 Score]]+Table1[[#This Row],[TA 1 - Q3 Score]]</f>
        <v/>
      </c>
      <c r="Q74">
        <f>Table1[[#This Row],[TA 1 - Q1 Bonus]]+Table1[[#This Row],[TA 1 - Q2 Bonus]]+Table1[[#This Row],[TA 1 - Q4 Bonus]]</f>
        <v/>
      </c>
      <c r="R74">
        <f>Table1[[#This Row],[TA 2 - Q1 Score]]+Table1[[#This Row],[TA 2 - Q2 Score]]+Table1[[#This Row],[TA 2 - Q3 Score]]</f>
        <v/>
      </c>
      <c r="S74">
        <f>Table1[[#This Row],[TA 2 - Q1 Bonus]]+Table1[[#This Row],[TA 2 - Q2 Bonus]]+Table1[[#This Row],[TA 2 - Q4 Bonus]]</f>
        <v/>
      </c>
      <c r="T74">
        <f>(Table1[[#This Row],[TA 1 - Total Score (out of 35)]]+Table1[[#This Row],[TA 2 - Total Score (out of 35)]])/2</f>
        <v/>
      </c>
      <c r="U74">
        <f>(Table1[[#This Row],[TA 1 - Total Bonus (out of 13)]]+Table1[[#This Row],[TA 2 - Total Bonus (out of 13)]])/2</f>
        <v/>
      </c>
      <c r="V74">
        <f>Table1[[#This Row],[Average Questions]]/35*20+Table1[[#This Row],[Average Bonus]]/13*5</f>
        <v/>
      </c>
      <c r="W74" t="n">
        <v>5</v>
      </c>
      <c r="X74" t="n">
        <v>0</v>
      </c>
      <c r="Y74" t="inlineStr">
        <is>
          <t>The student completed the data loading and transformation steps correctly, including resizing, converting to tensor, and normalizing the images. However, there were issues in displaying sample images due to incorrect indexing and unnormalization. The model loading and adaptation part had significant issues, including incorrect model initialization and classifier replacement. The training and validation loops were implemented but did not adjust the labels correctly, leading to a penalty. The bonus task was not attempted.</t>
        </is>
      </c>
      <c r="Z74" t="n">
        <v>5</v>
      </c>
      <c r="AA74" t="n">
        <v>0</v>
      </c>
      <c r="AB74" t="inlineStr">
        <is>
          <t>The student implemented a custom dataset class and used appropriate transformations, earning full marks for Part 1. However, the CNN model in Part 2 has several issues: incorrect batch normalization usage, missing layers, and incorrect fully connected layer dimensions, resulting in partial credit. The training and validation loops in Part 3 contain logical errors, such as incorrect handling of outputs and loss calculation, leading to partial credit. In Part 4, the student used an incorrect model class name and did not plot the losses and accuracies correctly, resulting in partial credit. No bonus task was attempted.</t>
        </is>
      </c>
      <c r="AC74" t="n">
        <v>4</v>
      </c>
      <c r="AD74" t="inlineStr">
        <is>
          <t>The student attempted most tasks but made significant errors. The dataset class incorrectly uses a CSV file for paths instead of directly listing image and mask files. The model class uses EfficientNet-B1 without adapting it for segmentation, which is entirely incorrect. The training and validation loops were partially correct but included unnecessary accuracy calculations for a segmentation task. The training process used an incorrect model and printed losses correctly. Visualization of predictions was attempted but used an incorrect model and displayed masks in grayscale instead of color-coded classes.</t>
        </is>
      </c>
      <c r="AE74" t="n">
        <v>0</v>
      </c>
      <c r="AF74" t="n">
        <v>0</v>
      </c>
      <c r="AG74" t="inlineStr">
        <is>
          <t>No submission found.</t>
        </is>
      </c>
      <c r="AH74" t="n">
        <v>14</v>
      </c>
      <c r="AI74" t="n">
        <v>0</v>
      </c>
    </row>
    <row r="75">
      <c r="A75" t="n">
        <v>74</v>
      </c>
      <c r="B75" t="inlineStr">
        <is>
          <t>TA_2</t>
        </is>
      </c>
      <c r="C75" t="inlineStr">
        <is>
          <t>TA_12</t>
        </is>
      </c>
      <c r="D75" t="n">
        <v>6.7</v>
      </c>
      <c r="E75" t="n">
        <v>0</v>
      </c>
      <c r="F75" t="n">
        <v>10.5</v>
      </c>
      <c r="G75" t="n">
        <v>0.5</v>
      </c>
      <c r="H75" t="n">
        <v>8</v>
      </c>
      <c r="I75" t="n">
        <v>0</v>
      </c>
      <c r="J75" t="n">
        <v>2.5</v>
      </c>
      <c r="K75" t="n">
        <v>0</v>
      </c>
      <c r="L75" t="n">
        <v>9</v>
      </c>
      <c r="M75" t="n">
        <v>1.5</v>
      </c>
      <c r="N75" t="n">
        <v>1.75</v>
      </c>
      <c r="O75" t="n">
        <v>5</v>
      </c>
      <c r="P75">
        <f>Table1[[#This Row],[TA 1 - Q1 Score]]+Table1[[#This Row],[TA 1 - Q2 Score]]+Table1[[#This Row],[TA 1 - Q3 Score]]</f>
        <v/>
      </c>
      <c r="Q75">
        <f>Table1[[#This Row],[TA 1 - Q1 Bonus]]+Table1[[#This Row],[TA 1 - Q2 Bonus]]+Table1[[#This Row],[TA 1 - Q4 Bonus]]</f>
        <v/>
      </c>
      <c r="R75">
        <f>Table1[[#This Row],[TA 2 - Q1 Score]]+Table1[[#This Row],[TA 2 - Q2 Score]]+Table1[[#This Row],[TA 2 - Q3 Score]]</f>
        <v/>
      </c>
      <c r="S75">
        <f>Table1[[#This Row],[TA 2 - Q1 Bonus]]+Table1[[#This Row],[TA 2 - Q2 Bonus]]+Table1[[#This Row],[TA 2 - Q4 Bonus]]</f>
        <v/>
      </c>
      <c r="T75">
        <f>(Table1[[#This Row],[TA 1 - Total Score (out of 35)]]+Table1[[#This Row],[TA 2 - Total Score (out of 35)]])/2</f>
        <v/>
      </c>
      <c r="U75">
        <f>(Table1[[#This Row],[TA 1 - Total Bonus (out of 13)]]+Table1[[#This Row],[TA 2 - Total Bonus (out of 13)]])/2</f>
        <v/>
      </c>
      <c r="V75">
        <f>Table1[[#This Row],[Average Questions]]/35*20+Table1[[#This Row],[Average Bonus]]/13*5</f>
        <v/>
      </c>
      <c r="W75" t="n">
        <v>3</v>
      </c>
      <c r="X75" t="n">
        <v>0</v>
      </c>
      <c r="Y75" t="inlineStr">
        <is>
          <t>The student completed the data loading and transformation tasks correctly, including resizing, converting to tensor, and normalizing the images. They also created the DataLoaders and displayed sample images. However, they used the wrong model (EfficientNet-B0 instead of EfficientNetV2-Small), did not freeze the backbone, and incorrectly modified the classifier head. The training and validation loops were partially correct but contained logical errors, such as using BCEWithLogitsLoss and sigmoid activation for a multi-class problem. The plotting of losses and accuracies was not implemented correctly due to incorrect function calls and data handling.</t>
        </is>
      </c>
      <c r="Z75" t="n">
        <v>8</v>
      </c>
      <c r="AA75" t="n">
        <v>1</v>
      </c>
      <c r="AB75" t="inlineStr">
        <is>
          <t>The student successfully loaded and prepared the data with correct transformations and displayed sample images. The CNN model was built with 5 convolutional layers and batch normalization, though the architecture differs slightly from the reference. Training and validation functions were implemented correctly, and the model was trained and plotted. The bonus task included a residual connection, but the architecture had issues with dimensionality, leading to incomplete results.</t>
        </is>
      </c>
      <c r="AC75" t="n">
        <v>4</v>
      </c>
      <c r="AD75" t="inlineStr">
        <is>
          <t>The student attempted most tasks but made significant errors. The dataset class incorrectly uses a CSV file for paths instead of directly listing image and mask files. The model is defined for binary segmentation with one output channel instead of multi-class with eight channels. The training and validation loops use BCEWithLogitsLoss, which is inappropriate for multi-class segmentation. The visualization code also treats the model as binary. Despite these issues, the student attempted each task and provided code.</t>
        </is>
      </c>
      <c r="AE75" t="n">
        <v>0</v>
      </c>
      <c r="AF75" t="n">
        <v>0</v>
      </c>
      <c r="AG75" t="inlineStr">
        <is>
          <t>The student did not complete the implementation of the `ColorizationDataset` class in the first two cells. The methods `__init__`, `__len__`, `rgb_to_grayscale`, and `__getitem__` were initially left as placeholders with 'pass' statements. Although the class was implemented correctly in the third cell, the initial incomplete implementation in the second cell results in a failure to meet the all-or-nothing criteria for the bonus question.</t>
        </is>
      </c>
      <c r="AH75" t="n">
        <v>15</v>
      </c>
      <c r="AI75" t="n">
        <v>1</v>
      </c>
    </row>
    <row r="76">
      <c r="A76" t="n">
        <v>75</v>
      </c>
      <c r="B76" t="inlineStr">
        <is>
          <t>TA_2</t>
        </is>
      </c>
      <c r="C76" t="inlineStr">
        <is>
          <t>TA_12</t>
        </is>
      </c>
      <c r="D76" t="n">
        <v>9.5</v>
      </c>
      <c r="E76" t="n">
        <v>0</v>
      </c>
      <c r="F76" t="n">
        <v>11</v>
      </c>
      <c r="G76" t="n">
        <v>4</v>
      </c>
      <c r="H76" t="n">
        <v>12</v>
      </c>
      <c r="I76" t="n">
        <v>0</v>
      </c>
      <c r="J76" t="n">
        <v>9.5</v>
      </c>
      <c r="K76" t="n">
        <v>0</v>
      </c>
      <c r="L76" t="n">
        <v>9.75</v>
      </c>
      <c r="M76" t="n">
        <v>4</v>
      </c>
      <c r="N76" t="n">
        <v>12</v>
      </c>
      <c r="O76" t="n">
        <v>0</v>
      </c>
      <c r="P76">
        <f>Table1[[#This Row],[TA 1 - Q1 Score]]+Table1[[#This Row],[TA 1 - Q2 Score]]+Table1[[#This Row],[TA 1 - Q3 Score]]</f>
        <v/>
      </c>
      <c r="Q76">
        <f>Table1[[#This Row],[TA 1 - Q1 Bonus]]+Table1[[#This Row],[TA 1 - Q2 Bonus]]+Table1[[#This Row],[TA 1 - Q4 Bonus]]</f>
        <v/>
      </c>
      <c r="R76">
        <f>Table1[[#This Row],[TA 2 - Q1 Score]]+Table1[[#This Row],[TA 2 - Q2 Score]]+Table1[[#This Row],[TA 2 - Q3 Score]]</f>
        <v/>
      </c>
      <c r="S76">
        <f>Table1[[#This Row],[TA 2 - Q1 Bonus]]+Table1[[#This Row],[TA 2 - Q2 Bonus]]+Table1[[#This Row],[TA 2 - Q4 Bonus]]</f>
        <v/>
      </c>
      <c r="T76">
        <f>(Table1[[#This Row],[TA 1 - Total Score (out of 35)]]+Table1[[#This Row],[TA 2 - Total Score (out of 35)]])/2</f>
        <v/>
      </c>
      <c r="U76">
        <f>(Table1[[#This Row],[TA 1 - Total Bonus (out of 13)]]+Table1[[#This Row],[TA 2 - Total Bonus (out of 13)]])/2</f>
        <v/>
      </c>
      <c r="V76">
        <f>Table1[[#This Row],[Average Questions]]/35*20+Table1[[#This Row],[Average Bonus]]/13*5</f>
        <v/>
      </c>
      <c r="W76" t="n">
        <v>7</v>
      </c>
      <c r="X76" t="n">
        <v>0</v>
      </c>
      <c r="Y76" t="inlineStr">
        <is>
          <t>The student completed most tasks with minor issues. The data loading and preparation section was mostly correct, with the addition of unnecessary test_transform and incorrect DataLoader variable names. The model loading and adaptation were partially correct, but the student used the wrong model name (EfficientNet-B0 instead of EfficientNetV2-Small). The training and validation loops were implemented with some syntax errors, such as squeezing the model outputs unnecessarily. The plotting of losses and accuracies was correct. No bonus task was attempted.</t>
        </is>
      </c>
      <c r="Z76" t="n">
        <v>8.5</v>
      </c>
      <c r="AA76" t="n">
        <v>3</v>
      </c>
      <c r="AB76" t="inlineStr">
        <is>
          <t>The student successfully loaded and prepared the data with the correct transformations and displayed sample images. The CNN model was built with five convolutional layers and batch normalization, earning full marks for this part. However, the model architecture in the bonus section used a different configuration than specified, with incorrect layer dimensions and connections. Despite this, the residual connection concept was correctly implemented, earning partial bonus points. The training and validation loops were correctly defined and executed, and the plots were generated as required.</t>
        </is>
      </c>
      <c r="AC76" t="n">
        <v>8</v>
      </c>
      <c r="AD76" t="inlineStr">
        <is>
          <t>The student successfully implemented a custom dataset class, created DataLoaders, and displayed sample images and masks, earning full points for Task 1. They correctly defined a pretrained U-Net model with an efficientnet-b1 encoder in Task 2. The training and validation loops were implemented with minor issues, such as using AdamW instead of Adam and a shorter training duration, earning partial points for Task 3 and Task 4. The student visualized predictions against ground truth, though with some minor differences in implementation, earning full points for Task 5.</t>
        </is>
      </c>
      <c r="AE76" t="n">
        <v>0</v>
      </c>
      <c r="AF76" t="n">
        <v>0</v>
      </c>
      <c r="AG76" t="inlineStr">
        <is>
          <t>No submission found.</t>
        </is>
      </c>
      <c r="AH76" t="n">
        <v>23.5</v>
      </c>
      <c r="AI76" t="n">
        <v>3</v>
      </c>
    </row>
    <row r="77">
      <c r="A77" t="n">
        <v>76</v>
      </c>
      <c r="B77" t="inlineStr">
        <is>
          <t>TA_2</t>
        </is>
      </c>
      <c r="C77" t="inlineStr">
        <is>
          <t>TA_12</t>
        </is>
      </c>
      <c r="D77" t="n">
        <v>11.5</v>
      </c>
      <c r="E77" t="n">
        <v>4</v>
      </c>
      <c r="F77" t="n">
        <v>10</v>
      </c>
      <c r="G77" t="n">
        <v>0</v>
      </c>
      <c r="H77" t="n">
        <v>12</v>
      </c>
      <c r="I77" t="n">
        <v>5</v>
      </c>
      <c r="J77" t="n">
        <v>12</v>
      </c>
      <c r="K77" t="n">
        <v>4</v>
      </c>
      <c r="L77" t="n">
        <v>9.25</v>
      </c>
      <c r="M77" t="n">
        <v>4</v>
      </c>
      <c r="N77" t="n">
        <v>12</v>
      </c>
      <c r="O77" t="n">
        <v>5</v>
      </c>
      <c r="P77">
        <f>Table1[[#This Row],[TA 1 - Q1 Score]]+Table1[[#This Row],[TA 1 - Q2 Score]]+Table1[[#This Row],[TA 1 - Q3 Score]]</f>
        <v/>
      </c>
      <c r="Q77">
        <f>Table1[[#This Row],[TA 1 - Q1 Bonus]]+Table1[[#This Row],[TA 1 - Q2 Bonus]]+Table1[[#This Row],[TA 1 - Q4 Bonus]]</f>
        <v/>
      </c>
      <c r="R77">
        <f>Table1[[#This Row],[TA 2 - Q1 Score]]+Table1[[#This Row],[TA 2 - Q2 Score]]+Table1[[#This Row],[TA 2 - Q3 Score]]</f>
        <v/>
      </c>
      <c r="S77">
        <f>Table1[[#This Row],[TA 2 - Q1 Bonus]]+Table1[[#This Row],[TA 2 - Q2 Bonus]]+Table1[[#This Row],[TA 2 - Q4 Bonus]]</f>
        <v/>
      </c>
      <c r="T77">
        <f>(Table1[[#This Row],[TA 1 - Total Score (out of 35)]]+Table1[[#This Row],[TA 2 - Total Score (out of 35)]])/2</f>
        <v/>
      </c>
      <c r="U77">
        <f>(Table1[[#This Row],[TA 1 - Total Bonus (out of 13)]]+Table1[[#This Row],[TA 2 - Total Bonus (out of 13)]])/2</f>
        <v/>
      </c>
      <c r="V77">
        <f>Table1[[#This Row],[Average Questions]]/35*20+Table1[[#This Row],[Average Bonus]]/13*5</f>
        <v/>
      </c>
      <c r="W77" t="n">
        <v>10</v>
      </c>
      <c r="X77" t="n">
        <v>4</v>
      </c>
      <c r="Y77" t="inlineStr">
        <is>
          <t>The student completed all required tasks with correct implementations. The data loading and preparation, including transformations and DataLoader creation, were done accurately. Sample images were displayed correctly. The pretrained EfficientNetV2-Small model was loaded and adapted properly with the backbone frozen and the classifier head replaced. Training and validation loops were implemented correctly, with label adjustments made. Training and validation metrics were plotted appropriately. The bonus task for Test Time Augmentation was also correctly implemented, with predictions averaged from original, horizontally flipped, and vertically flipped images.</t>
        </is>
      </c>
      <c r="Z77" t="n">
        <v>8.5</v>
      </c>
      <c r="AA77" t="n">
        <v>1</v>
      </c>
      <c r="AB77" t="inlineStr">
        <is>
          <t>The student successfully loaded and prepared the data with the correct transformations and displayed sample images. The CNN model was built with five convolutional layers and batch normalization, earning full marks for this part. The training and validation functions were implemented correctly, and the model was trained and plotted. However, the student used a different directory structure for the dataset, which required a slight adjustment. In the bonus part, the student added a residual connection but did not plot the losses and accuracies for comparison, earning partial bonus points.</t>
        </is>
      </c>
      <c r="AC77" t="n">
        <v>7</v>
      </c>
      <c r="AD77" t="inlineStr">
        <is>
          <t>The student's submission contains mostly correct code but has some issues. Task 1 is partially correct with a minor mistake in the dataset class where masks are squeezed prematurely. Task 2 is correct with the correct model definition. Task 3 has syntax errors in the training and validation loops due to missing squeezing of masks. Task 4 is mostly correct but has syntax errors in the training loop. Task 5 is correct except for the colormap used in visualization, which should be 'tab10' instead of 'jet'.</t>
        </is>
      </c>
      <c r="AE77" t="n">
        <v>0</v>
      </c>
      <c r="AF77" t="n">
        <v>5</v>
      </c>
      <c r="AG77" t="inlineStr">
        <is>
          <t>The student's implementation of the ColorizationDataset class is correct and runs without errors. The rgb_to_grayscale method accurately converts RGB images to grayscale using the specified formula, and the __getitem__ method returns the correct (grayscale, color) tuples. The visualization and DataLoader tests also confirm the correctness of the implementation.</t>
        </is>
      </c>
      <c r="AH77" t="n">
        <v>25.5</v>
      </c>
      <c r="AI77" t="n">
        <v>10</v>
      </c>
    </row>
    <row r="78">
      <c r="A78" t="n">
        <v>77</v>
      </c>
      <c r="B78" t="inlineStr">
        <is>
          <t>TA_2</t>
        </is>
      </c>
      <c r="C78" t="inlineStr">
        <is>
          <t>TA_12</t>
        </is>
      </c>
      <c r="D78" t="n">
        <v>10.5</v>
      </c>
      <c r="E78" t="n">
        <v>0</v>
      </c>
      <c r="F78" t="n">
        <v>8.5</v>
      </c>
      <c r="G78" t="n">
        <v>0</v>
      </c>
      <c r="H78" t="n">
        <v>12</v>
      </c>
      <c r="I78" t="n">
        <v>0</v>
      </c>
      <c r="J78" t="n">
        <v>9.5</v>
      </c>
      <c r="K78" t="n">
        <v>0</v>
      </c>
      <c r="L78" t="n">
        <v>8.5</v>
      </c>
      <c r="M78" t="n">
        <v>0</v>
      </c>
      <c r="N78" t="n">
        <v>12</v>
      </c>
      <c r="O78" t="n">
        <v>0</v>
      </c>
      <c r="P78">
        <f>Table1[[#This Row],[TA 1 - Q1 Score]]+Table1[[#This Row],[TA 1 - Q2 Score]]+Table1[[#This Row],[TA 1 - Q3 Score]]</f>
        <v/>
      </c>
      <c r="Q78">
        <f>Table1[[#This Row],[TA 1 - Q1 Bonus]]+Table1[[#This Row],[TA 1 - Q2 Bonus]]+Table1[[#This Row],[TA 1 - Q4 Bonus]]</f>
        <v/>
      </c>
      <c r="R78">
        <f>Table1[[#This Row],[TA 2 - Q1 Score]]+Table1[[#This Row],[TA 2 - Q2 Score]]+Table1[[#This Row],[TA 2 - Q3 Score]]</f>
        <v/>
      </c>
      <c r="S78">
        <f>Table1[[#This Row],[TA 2 - Q1 Bonus]]+Table1[[#This Row],[TA 2 - Q2 Bonus]]+Table1[[#This Row],[TA 2 - Q4 Bonus]]</f>
        <v/>
      </c>
      <c r="T78">
        <f>(Table1[[#This Row],[TA 1 - Total Score (out of 35)]]+Table1[[#This Row],[TA 2 - Total Score (out of 35)]])/2</f>
        <v/>
      </c>
      <c r="U78">
        <f>(Table1[[#This Row],[TA 1 - Total Bonus (out of 13)]]+Table1[[#This Row],[TA 2 - Total Bonus (out of 13)]])/2</f>
        <v/>
      </c>
      <c r="V78">
        <f>Table1[[#This Row],[Average Questions]]/35*20+Table1[[#This Row],[Average Bonus]]/13*5</f>
        <v/>
      </c>
      <c r="W78" t="n">
        <v>7</v>
      </c>
      <c r="X78" t="n">
        <v>0</v>
      </c>
      <c r="Y78" t="inlineStr">
        <is>
          <t>The student completed most tasks with minor issues. The transforms were mostly correct but included a comment suggesting resizing to 64x64 instead of 28x28. DataLoaders were set up correctly, and sample images were displayed with proper labels. The pretrained model was loaded and adapted, but the backbone was not explicitly frozen. The training and validation loops were implemented with a mistake in the label adjustment (subtracted 1 twice). The model was trained and plotted, but the number of epochs was reduced to 3. No bonus task was attempted.</t>
        </is>
      </c>
      <c r="Z78" t="n">
        <v>6</v>
      </c>
      <c r="AA78" t="n">
        <v>0</v>
      </c>
      <c r="AB78" t="inlineStr">
        <is>
          <t>The student successfully loaded and prepared the data with the correct transformations and displayed sample images. The CNN model was built with 5 convolutional layers, though the number of channels was different from the reference solution. The training and validation functions were correctly implemented. However, the student did not add batch normalization to the model, and the bonus task for residual connections was not completed correctly due to syntax errors and logical issues.</t>
        </is>
      </c>
      <c r="AC78" t="n">
        <v>8</v>
      </c>
      <c r="AD78" t="inlineStr">
        <is>
          <t>The student's submission includes most of the required tasks with minor issues. The dataset class is implemented correctly, and the DataLoaders are set up properly. However, the image normalization parameters are missing in the transform. The model class uses the correct architecture but with a different encoder (efficientnet-b1 instead of efficientnet-b0). The training and validation loops are implemented correctly, and the loss and optimizer are defined appropriately. The training process runs for fewer epochs than specified, but the logic is sound. The visualization of predictions is mostly correct, but the colormap used for masks is grayscale instead of tab10.</t>
        </is>
      </c>
      <c r="AE78" t="n">
        <v>0</v>
      </c>
      <c r="AF78" t="n">
        <v>0</v>
      </c>
      <c r="AG78" t="inlineStr">
        <is>
          <t>No submission found.</t>
        </is>
      </c>
      <c r="AH78" t="n">
        <v>21</v>
      </c>
      <c r="AI78" t="n">
        <v>0</v>
      </c>
    </row>
    <row r="79">
      <c r="A79" t="n">
        <v>78</v>
      </c>
      <c r="B79" t="inlineStr">
        <is>
          <t>TA_2</t>
        </is>
      </c>
      <c r="C79" t="inlineStr">
        <is>
          <t>TA_12</t>
        </is>
      </c>
      <c r="D79" t="n">
        <v>10</v>
      </c>
      <c r="E79" t="n">
        <v>0</v>
      </c>
      <c r="F79" t="n">
        <v>11</v>
      </c>
      <c r="G79" t="n">
        <v>1</v>
      </c>
      <c r="H79" t="n">
        <v>12</v>
      </c>
      <c r="I79" t="n">
        <v>0</v>
      </c>
      <c r="J79" t="n">
        <v>9.25</v>
      </c>
      <c r="K79" t="n">
        <v>0</v>
      </c>
      <c r="L79" t="n">
        <v>11</v>
      </c>
      <c r="M79" t="n">
        <v>0</v>
      </c>
      <c r="N79" t="n">
        <v>7.25</v>
      </c>
      <c r="O79" t="n">
        <v>0</v>
      </c>
      <c r="P79">
        <f>Table1[[#This Row],[TA 1 - Q1 Score]]+Table1[[#This Row],[TA 1 - Q2 Score]]+Table1[[#This Row],[TA 1 - Q3 Score]]</f>
        <v/>
      </c>
      <c r="Q79">
        <f>Table1[[#This Row],[TA 1 - Q1 Bonus]]+Table1[[#This Row],[TA 1 - Q2 Bonus]]+Table1[[#This Row],[TA 1 - Q4 Bonus]]</f>
        <v/>
      </c>
      <c r="R79">
        <f>Table1[[#This Row],[TA 2 - Q1 Score]]+Table1[[#This Row],[TA 2 - Q2 Score]]+Table1[[#This Row],[TA 2 - Q3 Score]]</f>
        <v/>
      </c>
      <c r="S79">
        <f>Table1[[#This Row],[TA 2 - Q1 Bonus]]+Table1[[#This Row],[TA 2 - Q2 Bonus]]+Table1[[#This Row],[TA 2 - Q4 Bonus]]</f>
        <v/>
      </c>
      <c r="T79">
        <f>(Table1[[#This Row],[TA 1 - Total Score (out of 35)]]+Table1[[#This Row],[TA 2 - Total Score (out of 35)]])/2</f>
        <v/>
      </c>
      <c r="U79">
        <f>(Table1[[#This Row],[TA 1 - Total Bonus (out of 13)]]+Table1[[#This Row],[TA 2 - Total Bonus (out of 13)]])/2</f>
        <v/>
      </c>
      <c r="V79">
        <f>Table1[[#This Row],[Average Questions]]/35*20+Table1[[#This Row],[Average Bonus]]/13*5</f>
        <v/>
      </c>
      <c r="W79" t="n">
        <v>6</v>
      </c>
      <c r="X79" t="n">
        <v>0</v>
      </c>
      <c r="Y79" t="inlineStr">
        <is>
          <t>The student completed the data loading and preparation with minor issues in image display. The model loading and adaptation were mostly correct, but the training and validation loops had significant logical errors, particularly in label adjustment and output handling. The student did not attempt the bonus task.</t>
        </is>
      </c>
      <c r="Z79" t="n">
        <v>3</v>
      </c>
      <c r="AA79" t="n">
        <v>0</v>
      </c>
      <c r="AB79" t="inlineStr">
        <is>
          <t>The student partially completed the tasks. The data loading and preparation section had issues with image display due to incorrect transposition. The CNN model did not meet the requirement of having 5 convolutional layers with batch normalization; instead, it used a more complex architecture with multiple sequential blocks. The training and validation functions were mostly correct but contained unnecessary squeezing of outputs. The residual connection bonus was not attempted.</t>
        </is>
      </c>
      <c r="AC79" t="n">
        <v>5</v>
      </c>
      <c r="AD79" t="inlineStr">
        <is>
          <t>The student attempted most tasks but made several mistakes. In Task 1, the dataset class incorrectly splits the dataset without proper shuffling, leading to potential data leakage. Task 2 correctly defines the U-Net model but uses 'efficientnet-b1' instead of 'efficientnet-b0'. Task 3 has incorrect training and validation loops, using BCEWithLogitsLoss which is unsuitable for multi-class segmentation. Task 4 partially implements loss and optimizer but fails to plot the loss curve correctly. Task 5 visualizes predictions but uses a binary threshold, which is incorrect for multi-class segmentation.</t>
        </is>
      </c>
      <c r="AE79" t="n">
        <v>0</v>
      </c>
      <c r="AF79" t="n">
        <v>0</v>
      </c>
      <c r="AG79" t="inlineStr">
        <is>
          <t>No submission found.</t>
        </is>
      </c>
      <c r="AH79" t="n">
        <v>14</v>
      </c>
      <c r="AI79" t="n">
        <v>0</v>
      </c>
    </row>
    <row r="80">
      <c r="A80" t="n">
        <v>79</v>
      </c>
      <c r="B80" t="inlineStr">
        <is>
          <t>TA_2</t>
        </is>
      </c>
      <c r="C80" t="inlineStr">
        <is>
          <t>TA_12</t>
        </is>
      </c>
      <c r="D80" t="n">
        <v>11</v>
      </c>
      <c r="E80" t="n">
        <v>4</v>
      </c>
      <c r="F80" t="n">
        <v>11</v>
      </c>
      <c r="G80" t="n">
        <v>4</v>
      </c>
      <c r="H80" t="n">
        <v>12</v>
      </c>
      <c r="I80" t="n">
        <v>5</v>
      </c>
      <c r="J80" t="n">
        <v>11</v>
      </c>
      <c r="K80" t="n">
        <v>4</v>
      </c>
      <c r="L80" t="n">
        <v>10.25</v>
      </c>
      <c r="M80" t="n">
        <v>4</v>
      </c>
      <c r="N80" t="n">
        <v>12</v>
      </c>
      <c r="O80" t="n">
        <v>5</v>
      </c>
      <c r="P80">
        <f>Table1[[#This Row],[TA 1 - Q1 Score]]+Table1[[#This Row],[TA 1 - Q2 Score]]+Table1[[#This Row],[TA 1 - Q3 Score]]</f>
        <v/>
      </c>
      <c r="Q80">
        <f>Table1[[#This Row],[TA 1 - Q1 Bonus]]+Table1[[#This Row],[TA 1 - Q2 Bonus]]+Table1[[#This Row],[TA 1 - Q4 Bonus]]</f>
        <v/>
      </c>
      <c r="R80">
        <f>Table1[[#This Row],[TA 2 - Q1 Score]]+Table1[[#This Row],[TA 2 - Q2 Score]]+Table1[[#This Row],[TA 2 - Q3 Score]]</f>
        <v/>
      </c>
      <c r="S80">
        <f>Table1[[#This Row],[TA 2 - Q1 Bonus]]+Table1[[#This Row],[TA 2 - Q2 Bonus]]+Table1[[#This Row],[TA 2 - Q4 Bonus]]</f>
        <v/>
      </c>
      <c r="T80">
        <f>(Table1[[#This Row],[TA 1 - Total Score (out of 35)]]+Table1[[#This Row],[TA 2 - Total Score (out of 35)]])/2</f>
        <v/>
      </c>
      <c r="U80">
        <f>(Table1[[#This Row],[TA 1 - Total Bonus (out of 13)]]+Table1[[#This Row],[TA 2 - Total Bonus (out of 13)]])/2</f>
        <v/>
      </c>
      <c r="V80">
        <f>Table1[[#This Row],[Average Questions]]/35*20+Table1[[#This Row],[Average Bonus]]/13*5</f>
        <v/>
      </c>
      <c r="W80" t="n">
        <v>8</v>
      </c>
      <c r="X80" t="n">
        <v>0</v>
      </c>
      <c r="Y80" t="inlineStr">
        <is>
          <t>The student completed most tasks correctly but made several minor mistakes. The data loading and preparation were mostly correct, though the DataLoader batch size was missing in the second cell. The model loading and adaptation were accurate, but the classifier replacement was incorrectly done by directly assigning a new Linear layer without preserving the dropout layer. The training and validation loops were implemented correctly with label fixing. However, the bonus task for Test Time Augmentation was incorrectly implemented, averaging the loss instead of the predictions.</t>
        </is>
      </c>
      <c r="Z80" t="n">
        <v>8.5</v>
      </c>
      <c r="AA80" t="n">
        <v>3</v>
      </c>
      <c r="AB80" t="inlineStr">
        <is>
          <t>The student successfully loaded and prepared the dataset with the required transformations, displayed sample images, built a CNN model with five convolutional layers and batch normalization, implemented training and validation loops, and trained the model. However, the image resizing in the transformations was incorrect (32x32 instead of 128x128). For the bonus task, the student correctly implemented a residual connection and retrained the model, though the initial setup for the residual connection was redundant.</t>
        </is>
      </c>
      <c r="AC80" t="n">
        <v>8.5</v>
      </c>
      <c r="AD80" t="inlineStr">
        <is>
          <t>The student's submission demonstrates a good understanding of the tasks but contains some minor issues. The dataset class is implemented correctly, and the data loaders are set up properly. However, the image resizing dimensions differ from the reference solution, which may affect performance. The model class is correctly defined with the specified encoder. The training and validation loops are implemented well, but the learning rate is lower than the reference, and the number of epochs is higher. The loss and optimizer are correctly defined, and the training process runs smoothly. The predictions are visualized correctly, although the colormap could be improved for better visualization.</t>
        </is>
      </c>
      <c r="AE80" t="n">
        <v>0</v>
      </c>
      <c r="AF80" t="n">
        <v>5</v>
      </c>
      <c r="AG80" t="inlineStr">
        <is>
          <t>The student's implementation of the ColorizationDataset class is correct and runs perfectly. It includes the proper initialization, length method, grayscale conversion, and item retrieval. The visualization also works as expected. Since all tasks are completed accurately, the student receives full bonus points.</t>
        </is>
      </c>
      <c r="AH80" t="n">
        <v>25</v>
      </c>
      <c r="AI80" t="n">
        <v>8</v>
      </c>
    </row>
    <row r="81">
      <c r="A81" t="n">
        <v>80</v>
      </c>
      <c r="B81" t="inlineStr">
        <is>
          <t>TA_2</t>
        </is>
      </c>
      <c r="C81" t="inlineStr">
        <is>
          <t>TA_12</t>
        </is>
      </c>
      <c r="D81" t="n">
        <v>12</v>
      </c>
      <c r="E81" t="n">
        <v>2</v>
      </c>
      <c r="F81" t="n">
        <v>11</v>
      </c>
      <c r="G81" t="n">
        <v>0</v>
      </c>
      <c r="H81" t="n">
        <v>12</v>
      </c>
      <c r="I81" t="n">
        <v>5</v>
      </c>
      <c r="J81" t="n">
        <v>12</v>
      </c>
      <c r="K81" t="n">
        <v>4</v>
      </c>
      <c r="L81" t="n">
        <v>11</v>
      </c>
      <c r="M81" t="n">
        <v>0</v>
      </c>
      <c r="N81" t="n">
        <v>12</v>
      </c>
      <c r="O81" t="n">
        <v>5</v>
      </c>
      <c r="P81">
        <f>Table1[[#This Row],[TA 1 - Q1 Score]]+Table1[[#This Row],[TA 1 - Q2 Score]]+Table1[[#This Row],[TA 1 - Q3 Score]]</f>
        <v/>
      </c>
      <c r="Q81">
        <f>Table1[[#This Row],[TA 1 - Q1 Bonus]]+Table1[[#This Row],[TA 1 - Q2 Bonus]]+Table1[[#This Row],[TA 1 - Q4 Bonus]]</f>
        <v/>
      </c>
      <c r="R81">
        <f>Table1[[#This Row],[TA 2 - Q1 Score]]+Table1[[#This Row],[TA 2 - Q2 Score]]+Table1[[#This Row],[TA 2 - Q3 Score]]</f>
        <v/>
      </c>
      <c r="S81">
        <f>Table1[[#This Row],[TA 2 - Q1 Bonus]]+Table1[[#This Row],[TA 2 - Q2 Bonus]]+Table1[[#This Row],[TA 2 - Q4 Bonus]]</f>
        <v/>
      </c>
      <c r="T81">
        <f>(Table1[[#This Row],[TA 1 - Total Score (out of 35)]]+Table1[[#This Row],[TA 2 - Total Score (out of 35)]])/2</f>
        <v/>
      </c>
      <c r="U81">
        <f>(Table1[[#This Row],[TA 1 - Total Bonus (out of 13)]]+Table1[[#This Row],[TA 2 - Total Bonus (out of 13)]])/2</f>
        <v/>
      </c>
      <c r="V81">
        <f>Table1[[#This Row],[Average Questions]]/35*20+Table1[[#This Row],[Average Bonus]]/13*5</f>
        <v/>
      </c>
      <c r="W81" t="n">
        <v>11</v>
      </c>
      <c r="X81" t="n">
        <v>4</v>
      </c>
      <c r="Y81" t="inlineStr">
        <is>
          <t>The student successfully completed all tasks in Part 1, Part 2, Part 3, and Part 4, including loading and preparing data, loading and adapting a pretrained model, defining training and validation loops, setting up device, model, loss, and optimizer, and plotting training and validation metrics. In Part 5, the student correctly implemented Test Time Augmentation by defining three predictions (original, horizontal flip, vertical flip), averaging them, and calculating the accuracy. The code runs perfectly and follows the optimal logic.</t>
        </is>
      </c>
      <c r="Z81" t="n">
        <v>8.5</v>
      </c>
      <c r="AA81" t="n">
        <v>1</v>
      </c>
      <c r="AB81" t="inlineStr">
        <is>
          <t>The student successfully loaded and prepared the data with the correct transformations and displayed sample images. The CNN model was built with five convolutional layers and batch normalization, earning full marks for this part. The training and validation functions were implemented correctly, and the model was trained and plotted with appropriate metrics. For the bonus task, the student added a residual connection but made some errors in the architecture, leading to partial credit.</t>
        </is>
      </c>
      <c r="AC81" t="n">
        <v>11</v>
      </c>
      <c r="AD81" t="inlineStr">
        <is>
          <t>The student's submission is mostly correct and runs end-to-end. The dataset class is implemented correctly with proper data loading and transformations. The DataLoaders are set up properly, and sample images and masks are displayed. The model class uses the correct pretrained U-Net with efficientnet-b1 encoder. The training and validation loops are implemented correctly, and the model is trained for 10 epochs with loss printed and plotted. Predictions are visualized against ground truth. The only minor issue is the installation command for segmentation_models_pytorch, which should not be included in the final submission.</t>
        </is>
      </c>
      <c r="AE81" t="n">
        <v>0</v>
      </c>
      <c r="AF81" t="n">
        <v>0</v>
      </c>
      <c r="AG81" t="inlineStr">
        <is>
          <t>The student's implementation contains several issues that prevent it from being fully correct. The `__init__`, `__len__`, `rgb_to_grayscale`, and `__getitem__` methods are present but contain unnecessary 'pass' statements, which indicate incomplete implementation. Additionally, the code is mostly correct but lacks the final print statements and visualization steps required to fully demonstrate the functionality. These issues result in a non-functional implementation, leading to a score of 0.0 for both the base score and the bonus.</t>
        </is>
      </c>
      <c r="AH81" t="n">
        <v>30.5</v>
      </c>
      <c r="AI81" t="n">
        <v>5</v>
      </c>
    </row>
    <row r="82">
      <c r="A82" t="n">
        <v>81</v>
      </c>
      <c r="B82" t="inlineStr">
        <is>
          <t>TA_2</t>
        </is>
      </c>
      <c r="C82" t="inlineStr">
        <is>
          <t>TA_12</t>
        </is>
      </c>
      <c r="D82" t="n">
        <v>11</v>
      </c>
      <c r="E82" t="n">
        <v>4</v>
      </c>
      <c r="F82" t="n">
        <v>11</v>
      </c>
      <c r="G82" t="n">
        <v>4</v>
      </c>
      <c r="H82" t="n">
        <v>11.5</v>
      </c>
      <c r="I82" t="n">
        <v>5</v>
      </c>
      <c r="J82" t="n">
        <v>11</v>
      </c>
      <c r="K82" t="n">
        <v>4</v>
      </c>
      <c r="L82" t="n">
        <v>11</v>
      </c>
      <c r="M82" t="n">
        <v>4</v>
      </c>
      <c r="N82" t="n">
        <v>11.5</v>
      </c>
      <c r="O82" t="n">
        <v>5</v>
      </c>
      <c r="P82">
        <f>Table1[[#This Row],[TA 1 - Q1 Score]]+Table1[[#This Row],[TA 1 - Q2 Score]]+Table1[[#This Row],[TA 1 - Q3 Score]]</f>
        <v/>
      </c>
      <c r="Q82">
        <f>Table1[[#This Row],[TA 1 - Q1 Bonus]]+Table1[[#This Row],[TA 1 - Q2 Bonus]]+Table1[[#This Row],[TA 1 - Q4 Bonus]]</f>
        <v/>
      </c>
      <c r="R82">
        <f>Table1[[#This Row],[TA 2 - Q1 Score]]+Table1[[#This Row],[TA 2 - Q2 Score]]+Table1[[#This Row],[TA 2 - Q3 Score]]</f>
        <v/>
      </c>
      <c r="S82">
        <f>Table1[[#This Row],[TA 2 - Q1 Bonus]]+Table1[[#This Row],[TA 2 - Q2 Bonus]]+Table1[[#This Row],[TA 2 - Q4 Bonus]]</f>
        <v/>
      </c>
      <c r="T82">
        <f>(Table1[[#This Row],[TA 1 - Total Score (out of 35)]]+Table1[[#This Row],[TA 2 - Total Score (out of 35)]])/2</f>
        <v/>
      </c>
      <c r="U82">
        <f>(Table1[[#This Row],[TA 1 - Total Bonus (out of 13)]]+Table1[[#This Row],[TA 2 - Total Bonus (out of 13)]])/2</f>
        <v/>
      </c>
      <c r="V82">
        <f>Table1[[#This Row],[Average Questions]]/35*20+Table1[[#This Row],[Average Bonus]]/13*5</f>
        <v/>
      </c>
      <c r="W82" t="n">
        <v>8.5</v>
      </c>
      <c r="X82" t="n">
        <v>0</v>
      </c>
      <c r="Y82" t="inlineStr">
        <is>
          <t>The student completed most tasks correctly but made some minor mistakes. The data loading and preparation were mostly accurate, though the batch size was unusually large (256) and drop_last was set to True. The model loading and adaptation were correct, but the student did not freeze the backbone properly. The training and validation loops were implemented with some unnecessary softmax operations. The student did not plot the training and validation losses and accuracies. The bonus task for Test Time Augmentation was not fully implemented, as the student did not integrate it into the main training loop.</t>
        </is>
      </c>
      <c r="Z82" t="n">
        <v>8.5</v>
      </c>
      <c r="AA82" t="n">
        <v>0</v>
      </c>
      <c r="AB82" t="inlineStr">
        <is>
          <t>The student successfully loaded and prepared the data with the correct transformations and displayed sample images. The CNN model was built with five convolutional layers and batch normalization, though the number of classes was incorrectly set to 10 instead of 3. The training and validation loops were implemented correctly, and the model was trained and plotted. However, the bonus task was not completed as the residual connection was not properly defined or implemented.</t>
        </is>
      </c>
      <c r="AC82" t="n">
        <v>8</v>
      </c>
      <c r="AD82" t="inlineStr">
        <is>
          <t>The student's submission includes most of the required tasks with some minor issues. The dataset class is implemented correctly but uses a CSV file approach instead of directly accessing files, which is less efficient. DataLoaders are created properly, and sample images and masks are displayed. The U-Net model is defined with the correct encoder, but the optimizer uses AdamW instead of Adam. Training and validation loops are implemented correctly, and losses are printed and plotted. Predictions are visualized against ground truth, but the images are not denormalized for better visualization.</t>
        </is>
      </c>
      <c r="AE82" t="n">
        <v>0</v>
      </c>
      <c r="AF82" t="n">
        <v>0</v>
      </c>
      <c r="AG82" t="inlineStr">
        <is>
          <t>The student's implementation contains several issues. In the `__init__` method, unnecessary variables `image` and `label` are assigned but not used. The `__getitem__` method is mostly correct but the `__init__` method's extra lines suggest a misunderstanding of the task requirements. The code does not meet the criteria for full bonus points due to these mistakes.</t>
        </is>
      </c>
      <c r="AH82" t="n">
        <v>25</v>
      </c>
      <c r="AI82" t="n">
        <v>0</v>
      </c>
    </row>
    <row r="83">
      <c r="A83" t="n">
        <v>82</v>
      </c>
      <c r="B83" t="inlineStr">
        <is>
          <t>TA_2</t>
        </is>
      </c>
      <c r="C83" t="inlineStr">
        <is>
          <t>TA_12</t>
        </is>
      </c>
      <c r="D83" t="n">
        <v>11</v>
      </c>
      <c r="E83" t="n">
        <v>0</v>
      </c>
      <c r="F83" t="n">
        <v>8</v>
      </c>
      <c r="G83" t="n">
        <v>0</v>
      </c>
      <c r="H83" t="n">
        <v>12</v>
      </c>
      <c r="I83" t="n">
        <v>0</v>
      </c>
      <c r="J83" t="n">
        <v>10</v>
      </c>
      <c r="K83" t="n">
        <v>0</v>
      </c>
      <c r="L83" t="n">
        <v>8.5</v>
      </c>
      <c r="M83" t="n">
        <v>0</v>
      </c>
      <c r="N83" t="n">
        <v>12</v>
      </c>
      <c r="O83" t="n">
        <v>0</v>
      </c>
      <c r="P83">
        <f>Table1[[#This Row],[TA 1 - Q1 Score]]+Table1[[#This Row],[TA 1 - Q2 Score]]+Table1[[#This Row],[TA 1 - Q3 Score]]</f>
        <v/>
      </c>
      <c r="Q83">
        <f>Table1[[#This Row],[TA 1 - Q1 Bonus]]+Table1[[#This Row],[TA 1 - Q2 Bonus]]+Table1[[#This Row],[TA 1 - Q4 Bonus]]</f>
        <v/>
      </c>
      <c r="R83">
        <f>Table1[[#This Row],[TA 2 - Q1 Score]]+Table1[[#This Row],[TA 2 - Q2 Score]]+Table1[[#This Row],[TA 2 - Q3 Score]]</f>
        <v/>
      </c>
      <c r="S83">
        <f>Table1[[#This Row],[TA 2 - Q1 Bonus]]+Table1[[#This Row],[TA 2 - Q2 Bonus]]+Table1[[#This Row],[TA 2 - Q4 Bonus]]</f>
        <v/>
      </c>
      <c r="T83">
        <f>(Table1[[#This Row],[TA 1 - Total Score (out of 35)]]+Table1[[#This Row],[TA 2 - Total Score (out of 35)]])/2</f>
        <v/>
      </c>
      <c r="U83">
        <f>(Table1[[#This Row],[TA 1 - Total Bonus (out of 13)]]+Table1[[#This Row],[TA 2 - Total Bonus (out of 13)]])/2</f>
        <v/>
      </c>
      <c r="V83">
        <f>Table1[[#This Row],[Average Questions]]/35*20+Table1[[#This Row],[Average Bonus]]/13*5</f>
        <v/>
      </c>
      <c r="W83" t="n">
        <v>8</v>
      </c>
      <c r="X83" t="n">
        <v>0</v>
      </c>
      <c r="Y83" t="inlineStr">
        <is>
          <t>The student completed most tasks with minor issues. The data loading and preparation were mostly correct, though the batch size was smaller than the reference solution. The model loading and adaptation were partially correct, but the student froze all parameters instead of just the backbone. The training and validation loops had syntax errors and logical mistakes, particularly in how labels were adjusted and metrics were calculated. The plotting of losses and accuracies was not included. No bonus task was attempted.</t>
        </is>
      </c>
      <c r="Z83" t="n">
        <v>8</v>
      </c>
      <c r="AA83" t="n">
        <v>0</v>
      </c>
      <c r="AB83" t="inlineStr">
        <is>
          <t>The student successfully loaded and prepared the data with the correct transformations and displayed sample images. The CNN model was built with 5 convolutional layers, though the number of channels was different from the reference solution. Batch normalization was not added, resulting in a deduction. Both training and validation loops were implemented correctly. The model was trained and the losses and accuracies were plotted. However, the bonus task was not completed.</t>
        </is>
      </c>
      <c r="AC83" t="n">
        <v>10</v>
      </c>
      <c r="AD83" t="inlineStr">
        <is>
          <t>The student's submission is mostly correct and runs end-to-end. The dataset class is implemented correctly with proper data loading and transformations. The model class uses the correct pretrained U-Net with efficientnet-b1 encoder. The training and validation loops are implemented accurately, and the loss and optimizer are defined properly. The training process prints the losses and plots the loss curve correctly. The predictions are visualized against the ground truth. Minor issues include the use of AdamW instead of Adam for the optimizer and a slightly different learning rate, but these do not affect the overall correctness of the implementation.</t>
        </is>
      </c>
      <c r="AE83" t="n">
        <v>0</v>
      </c>
      <c r="AF83" t="n">
        <v>0</v>
      </c>
      <c r="AG83" t="inlineStr">
        <is>
          <t>No submission found.</t>
        </is>
      </c>
      <c r="AH83" t="n">
        <v>26</v>
      </c>
      <c r="AI83" t="n">
        <v>0</v>
      </c>
    </row>
    <row r="84">
      <c r="A84" t="n">
        <v>83</v>
      </c>
      <c r="B84" t="inlineStr">
        <is>
          <t>TA_2</t>
        </is>
      </c>
      <c r="C84" t="inlineStr">
        <is>
          <t>TA_12</t>
        </is>
      </c>
      <c r="D84" t="n">
        <v>12</v>
      </c>
      <c r="E84" t="n">
        <v>0</v>
      </c>
      <c r="F84" t="n">
        <v>11</v>
      </c>
      <c r="G84" t="n">
        <v>0</v>
      </c>
      <c r="H84" t="n">
        <v>12</v>
      </c>
      <c r="I84" t="n">
        <v>0</v>
      </c>
      <c r="J84" t="n">
        <v>11</v>
      </c>
      <c r="K84" t="n">
        <v>0</v>
      </c>
      <c r="L84" t="n">
        <v>8</v>
      </c>
      <c r="M84" t="n">
        <v>0</v>
      </c>
      <c r="N84" t="n">
        <v>11.8</v>
      </c>
      <c r="O84" t="n">
        <v>0</v>
      </c>
      <c r="P84">
        <f>Table1[[#This Row],[TA 1 - Q1 Score]]+Table1[[#This Row],[TA 1 - Q2 Score]]+Table1[[#This Row],[TA 1 - Q3 Score]]</f>
        <v/>
      </c>
      <c r="Q84">
        <f>Table1[[#This Row],[TA 1 - Q1 Bonus]]+Table1[[#This Row],[TA 1 - Q2 Bonus]]+Table1[[#This Row],[TA 1 - Q4 Bonus]]</f>
        <v/>
      </c>
      <c r="R84">
        <f>Table1[[#This Row],[TA 2 - Q1 Score]]+Table1[[#This Row],[TA 2 - Q2 Score]]+Table1[[#This Row],[TA 2 - Q3 Score]]</f>
        <v/>
      </c>
      <c r="S84">
        <f>Table1[[#This Row],[TA 2 - Q1 Bonus]]+Table1[[#This Row],[TA 2 - Q2 Bonus]]+Table1[[#This Row],[TA 2 - Q4 Bonus]]</f>
        <v/>
      </c>
      <c r="T84">
        <f>(Table1[[#This Row],[TA 1 - Total Score (out of 35)]]+Table1[[#This Row],[TA 2 - Total Score (out of 35)]])/2</f>
        <v/>
      </c>
      <c r="U84">
        <f>(Table1[[#This Row],[TA 1 - Total Bonus (out of 13)]]+Table1[[#This Row],[TA 2 - Total Bonus (out of 13)]])/2</f>
        <v/>
      </c>
      <c r="V84">
        <f>Table1[[#This Row],[Average Questions]]/35*20+Table1[[#This Row],[Average Bonus]]/13*5</f>
        <v/>
      </c>
      <c r="W84" t="n">
        <v>8</v>
      </c>
      <c r="X84" t="n">
        <v>0</v>
      </c>
      <c r="Y84" t="inlineStr">
        <is>
          <t>The student completed most tasks correctly but made some minor mistakes. The data loading and preparation were mostly correct, with proper transformations and DataLoader creation. Sample images were displayed correctly. The pretrained model was loaded and adapted properly, with the backbone frozen and the classifier head replaced. However, there were issues in the training and validation loops, including incorrect handling of model outputs and learning rate. The plots were generated correctly, but no bonus task was attempted.</t>
        </is>
      </c>
      <c r="Z84" t="n">
        <v>8</v>
      </c>
      <c r="AA84" t="n">
        <v>0</v>
      </c>
      <c r="AB84" t="inlineStr">
        <is>
          <t>The student successfully loaded and prepared the data with the correct transformations and displayed sample images. The CNN model was built with five convolutional layers and batch normalization, though the final fully connected layer had an incorrect output size. The training and validation loops were implemented correctly, and the model was trained and plotted. However, the bonus task was not completed.</t>
        </is>
      </c>
      <c r="AC84" t="n">
        <v>8.5</v>
      </c>
      <c r="AD84" t="inlineStr">
        <is>
          <t>The student's submission includes most of the required tasks with minor issues. The dataset class and data loaders are correctly implemented, and sample images and masks are displayed. The model class is defined with the correct encoder, and the training and validation loops are mostly correct with a few syntax issues. The loss and optimizer are defined, and the model is trained and validated, with losses printed and plotted. However, the visualization of predictions has some issues, including incorrect colormap usage and redundant denormalization function definition.</t>
        </is>
      </c>
      <c r="AE84" t="n">
        <v>0</v>
      </c>
      <c r="AF84" t="n">
        <v>0</v>
      </c>
      <c r="AG84" t="inlineStr">
        <is>
          <t>The student's implementation contains several errors. In the `rgb_to_grayscale` method, the student incorrectly uses `transforms.Grayscale(3)` instead of manually applying the grayscale conversion formula. Additionally, in the `__getitem__` method, the student attempts to open an image path using `Image.open`, which is incorrect since the dataset is already loaded as tensors. These mistakes prevent the code from running correctly.</t>
        </is>
      </c>
      <c r="AH84" t="n">
        <v>24.5</v>
      </c>
      <c r="AI84" t="n">
        <v>0</v>
      </c>
    </row>
    <row r="85">
      <c r="A85" t="n">
        <v>84</v>
      </c>
      <c r="B85" t="inlineStr">
        <is>
          <t>TA_2</t>
        </is>
      </c>
      <c r="C85" t="inlineStr">
        <is>
          <t>TA_12</t>
        </is>
      </c>
      <c r="D85" t="n">
        <v>12</v>
      </c>
      <c r="E85" t="n">
        <v>0</v>
      </c>
      <c r="F85" t="n">
        <v>10.5</v>
      </c>
      <c r="G85" t="n">
        <v>0</v>
      </c>
      <c r="H85" t="n">
        <v>12</v>
      </c>
      <c r="I85" t="n">
        <v>5</v>
      </c>
      <c r="J85" t="n">
        <v>12</v>
      </c>
      <c r="K85" t="n">
        <v>0</v>
      </c>
      <c r="L85" t="n">
        <v>11</v>
      </c>
      <c r="M85" t="n">
        <v>0</v>
      </c>
      <c r="N85" t="n">
        <v>11.7</v>
      </c>
      <c r="O85" t="n">
        <v>5</v>
      </c>
      <c r="P85">
        <f>Table1[[#This Row],[TA 1 - Q1 Score]]+Table1[[#This Row],[TA 1 - Q2 Score]]+Table1[[#This Row],[TA 1 - Q3 Score]]</f>
        <v/>
      </c>
      <c r="Q85">
        <f>Table1[[#This Row],[TA 1 - Q1 Bonus]]+Table1[[#This Row],[TA 1 - Q2 Bonus]]+Table1[[#This Row],[TA 1 - Q4 Bonus]]</f>
        <v/>
      </c>
      <c r="R85">
        <f>Table1[[#This Row],[TA 2 - Q1 Score]]+Table1[[#This Row],[TA 2 - Q2 Score]]+Table1[[#This Row],[TA 2 - Q3 Score]]</f>
        <v/>
      </c>
      <c r="S85">
        <f>Table1[[#This Row],[TA 2 - Q1 Bonus]]+Table1[[#This Row],[TA 2 - Q2 Bonus]]+Table1[[#This Row],[TA 2 - Q4 Bonus]]</f>
        <v/>
      </c>
      <c r="T85">
        <f>(Table1[[#This Row],[TA 1 - Total Score (out of 35)]]+Table1[[#This Row],[TA 2 - Total Score (out of 35)]])/2</f>
        <v/>
      </c>
      <c r="U85">
        <f>(Table1[[#This Row],[TA 1 - Total Bonus (out of 13)]]+Table1[[#This Row],[TA 2 - Total Bonus (out of 13)]])/2</f>
        <v/>
      </c>
      <c r="V85">
        <f>Table1[[#This Row],[Average Questions]]/35*20+Table1[[#This Row],[Average Bonus]]/13*5</f>
        <v/>
      </c>
      <c r="W85" t="n">
        <v>10.5</v>
      </c>
      <c r="X85" t="n">
        <v>0</v>
      </c>
      <c r="Y85" t="inlineStr">
        <is>
          <t>The student completed most tasks correctly. The transforms were defined properly, and the DataLoaders were set up with appropriate batch sizes. Sample images were displayed with correct labels. The pretrained EfficientNetV2-Small model was loaded and adapted correctly with the backbone frozen and the classifier modified for 26 classes. The training and validation loops were implemented accurately, including label fixing. The plots for training and validation losses and accuracies were generated correctly. However, the bonus task for Test Time Augmentation was not attempted.</t>
        </is>
      </c>
      <c r="Z85" t="n">
        <v>7</v>
      </c>
      <c r="AA85" t="n">
        <v>0</v>
      </c>
      <c r="AB85" t="inlineStr">
        <is>
          <t>The student successfully loaded and prepared the data with the correct transformations, including RandomRotation and resizing to 32x32. However, the images were converted to grayscale, which deviates from the reference solution. The CNN model was built with 5 convolutional layers and batch normalization, but the input channels were incorrectly set to 1 due to the grayscale conversion. The training and validation loops were implemented correctly, and the model was trained and plotted. The bonus task was not attempted.</t>
        </is>
      </c>
      <c r="AC85" t="n">
        <v>8</v>
      </c>
      <c r="AD85" t="inlineStr">
        <is>
          <t>The student's submission contains mostly correct code with minor issues. Task 1 is partially correct due to the incorrect variable names for the datasets in the DataLoader creation. Task 2 is fully correct with the correct model definition. Task 3 is fully correct with proper training and validation loops. Task 4 has a syntax error in the DataLoader variable names and uses a different learning rate and optimizer, but the logic is correct. Task 5 is mostly correct with a minor issue in the colormap used for displaying masks.</t>
        </is>
      </c>
      <c r="AE85" t="n">
        <v>0</v>
      </c>
      <c r="AF85" t="n">
        <v>5</v>
      </c>
      <c r="AG85" t="inlineStr">
        <is>
          <t>The student's implementation of the ColorizationDataset class is correct and runs perfectly, producing the expected output and following the optimal logic. The code includes all required methods (__init__, __len__, rgb_to_grayscale, __getitem__) and provides correct visualizations. No mistakes were found in the implementation.</t>
        </is>
      </c>
      <c r="AH85" t="n">
        <v>25.5</v>
      </c>
      <c r="AI85" t="n">
        <v>5</v>
      </c>
    </row>
    <row r="86">
      <c r="A86" t="n">
        <v>85</v>
      </c>
      <c r="B86" t="inlineStr">
        <is>
          <t>TA_2</t>
        </is>
      </c>
      <c r="C86" t="inlineStr">
        <is>
          <t>TA_12</t>
        </is>
      </c>
      <c r="D86" t="n">
        <v>12</v>
      </c>
      <c r="E86" t="n">
        <v>0.5</v>
      </c>
      <c r="F86" t="n">
        <v>10.5</v>
      </c>
      <c r="G86" t="n">
        <v>0</v>
      </c>
      <c r="H86" t="n">
        <v>12</v>
      </c>
      <c r="I86" t="n">
        <v>0</v>
      </c>
      <c r="J86" t="n">
        <v>12</v>
      </c>
      <c r="K86" t="n">
        <v>4</v>
      </c>
      <c r="L86" t="n">
        <v>11</v>
      </c>
      <c r="M86" t="n">
        <v>4</v>
      </c>
      <c r="N86" t="n">
        <v>9.300000000000001</v>
      </c>
      <c r="O86" t="n">
        <v>0</v>
      </c>
      <c r="P86">
        <f>Table1[[#This Row],[TA 1 - Q1 Score]]+Table1[[#This Row],[TA 1 - Q2 Score]]+Table1[[#This Row],[TA 1 - Q3 Score]]</f>
        <v/>
      </c>
      <c r="Q86">
        <f>Table1[[#This Row],[TA 1 - Q1 Bonus]]+Table1[[#This Row],[TA 1 - Q2 Bonus]]+Table1[[#This Row],[TA 1 - Q4 Bonus]]</f>
        <v/>
      </c>
      <c r="R86">
        <f>Table1[[#This Row],[TA 2 - Q1 Score]]+Table1[[#This Row],[TA 2 - Q2 Score]]+Table1[[#This Row],[TA 2 - Q3 Score]]</f>
        <v/>
      </c>
      <c r="S86">
        <f>Table1[[#This Row],[TA 2 - Q1 Bonus]]+Table1[[#This Row],[TA 2 - Q2 Bonus]]+Table1[[#This Row],[TA 2 - Q4 Bonus]]</f>
        <v/>
      </c>
      <c r="T86">
        <f>(Table1[[#This Row],[TA 1 - Total Score (out of 35)]]+Table1[[#This Row],[TA 2 - Total Score (out of 35)]])/2</f>
        <v/>
      </c>
      <c r="U86">
        <f>(Table1[[#This Row],[TA 1 - Total Bonus (out of 13)]]+Table1[[#This Row],[TA 2 - Total Bonus (out of 13)]])/2</f>
        <v/>
      </c>
      <c r="V86">
        <f>Table1[[#This Row],[Average Questions]]/35*20+Table1[[#This Row],[Average Bonus]]/13*5</f>
        <v/>
      </c>
      <c r="W86" t="n">
        <v>8.5</v>
      </c>
      <c r="X86" t="n">
        <v>3</v>
      </c>
      <c r="Y86" t="inlineStr">
        <is>
          <t>The student completed most tasks correctly, including defining transforms, creating DataLoaders, displaying sample images, loading and adapting the pretrained model, and implementing training and validation loops. However, the student used a batch size of 32 instead of 64, which affects performance. The training loop calculates total loss incorrectly by multiplying by batch size. The bonus task for Test Time Augmentation was implemented correctly, averaging predictions from original, horizontally flipped, and vertically flipped images.</t>
        </is>
      </c>
      <c r="Z86" t="n">
        <v>9</v>
      </c>
      <c r="AA86" t="n">
        <v>3</v>
      </c>
      <c r="AB86" t="inlineStr">
        <is>
          <t>The student successfully implemented a custom dataset class, created train/test datasets and DataLoaders, applied the required transformations, and displayed sample images with labels. The CNN model includes 5 convolutional layers with batch normalization. Training and validation functions were defined and used to train the model, and the losses and accuracies were plotted. For the bonus task, the student correctly added a residual connection between the second and fourth convolutional layers and retrained the model, plotting the results.</t>
        </is>
      </c>
      <c r="AC86" t="n">
        <v>8.5</v>
      </c>
      <c r="AD86" t="inlineStr">
        <is>
          <t>The student's submission includes most of the required tasks with minor issues. The dataset class is implemented correctly, and the data loaders are set up properly. However, there are some syntax errors in the visualization function. The model class is defined correctly with the specified encoder. The training and validation loops are implemented but contain logical errors in handling the mask dimensions. The training process is executed, and the loss curve is plotted correctly. The predictions are visualized, but there are some issues with the mask handling in the visualization function.</t>
        </is>
      </c>
      <c r="AE86" t="n">
        <v>0</v>
      </c>
      <c r="AF86" t="n">
        <v>0</v>
      </c>
      <c r="AG86" t="inlineStr">
        <is>
          <t>No submission found.</t>
        </is>
      </c>
      <c r="AH86" t="n">
        <v>26</v>
      </c>
      <c r="AI86" t="n">
        <v>6</v>
      </c>
    </row>
    <row r="87">
      <c r="A87" t="n">
        <v>86</v>
      </c>
      <c r="B87" t="inlineStr">
        <is>
          <t>TA_2</t>
        </is>
      </c>
      <c r="C87" t="inlineStr">
        <is>
          <t>TA_12</t>
        </is>
      </c>
      <c r="D87" t="n">
        <v>6.25</v>
      </c>
      <c r="E87" t="n">
        <v>0</v>
      </c>
      <c r="F87" t="n">
        <v>11</v>
      </c>
      <c r="G87" t="n">
        <v>0</v>
      </c>
      <c r="H87" t="n">
        <v>12</v>
      </c>
      <c r="I87" t="n">
        <v>0</v>
      </c>
      <c r="J87" t="n">
        <v>11</v>
      </c>
      <c r="K87" t="n">
        <v>4</v>
      </c>
      <c r="L87" t="n">
        <v>9.5</v>
      </c>
      <c r="M87" t="n">
        <v>0</v>
      </c>
      <c r="N87" t="n">
        <v>10.9</v>
      </c>
      <c r="O87" t="n">
        <v>0</v>
      </c>
      <c r="P87">
        <f>Table1[[#This Row],[TA 1 - Q1 Score]]+Table1[[#This Row],[TA 1 - Q2 Score]]+Table1[[#This Row],[TA 1 - Q3 Score]]</f>
        <v/>
      </c>
      <c r="Q87">
        <f>Table1[[#This Row],[TA 1 - Q1 Bonus]]+Table1[[#This Row],[TA 1 - Q2 Bonus]]+Table1[[#This Row],[TA 1 - Q4 Bonus]]</f>
        <v/>
      </c>
      <c r="R87">
        <f>Table1[[#This Row],[TA 2 - Q1 Score]]+Table1[[#This Row],[TA 2 - Q2 Score]]+Table1[[#This Row],[TA 2 - Q3 Score]]</f>
        <v/>
      </c>
      <c r="S87">
        <f>Table1[[#This Row],[TA 2 - Q1 Bonus]]+Table1[[#This Row],[TA 2 - Q2 Bonus]]+Table1[[#This Row],[TA 2 - Q4 Bonus]]</f>
        <v/>
      </c>
      <c r="T87">
        <f>(Table1[[#This Row],[TA 1 - Total Score (out of 35)]]+Table1[[#This Row],[TA 2 - Total Score (out of 35)]])/2</f>
        <v/>
      </c>
      <c r="U87">
        <f>(Table1[[#This Row],[TA 1 - Total Bonus (out of 13)]]+Table1[[#This Row],[TA 2 - Total Bonus (out of 13)]])/2</f>
        <v/>
      </c>
      <c r="V87">
        <f>Table1[[#This Row],[Average Questions]]/35*20+Table1[[#This Row],[Average Bonus]]/13*5</f>
        <v/>
      </c>
      <c r="W87" t="n">
        <v>8.5</v>
      </c>
      <c r="X87" t="n">
        <v>0</v>
      </c>
      <c r="Y87" t="inlineStr">
        <is>
          <t>The student completed most tasks correctly but made some mistakes. The data loading and preparation were mostly correct, with proper transformations and data loaders. However, the label adjustment was implemented using a custom module instead of directly subtracting 1 in the training and validation loops, leading to a penalty. The model setup and adaptation were correct, with the backbone frozen and the classifier replaced properly. The training and validation loops were implemented correctly, including the label fix within the loops. The bonus task was attempted but incorrectly, as the predictions were averaged incorrectly and the labels were not adjusted in the TTA function.</t>
        </is>
      </c>
      <c r="Z87" t="n">
        <v>8</v>
      </c>
      <c r="AA87" t="n">
        <v>0</v>
      </c>
      <c r="AB87" t="inlineStr">
        <is>
          <t>The student successfully loaded and prepared the data with the correct transformations and displayed sample images. The CNN model was built with 5 convolutional layers and included batch normalization, though the number of channels and fully connected layer sizes differ from the reference solution. The training and validation loops were implemented correctly, and the model was trained and plotted. However, the bonus task was not completed.</t>
        </is>
      </c>
      <c r="AC87" t="n">
        <v>7</v>
      </c>
      <c r="AD87" t="inlineStr">
        <is>
          <t>The student's submission partially completes most tasks but contains several issues. Task 1 is mostly correct with a minor mistake in the dataset splitting method. Task 2 correctly defines the U-Net model with the specified encoder. Task 3 includes both training and validation loops with some syntax errors. Task 4 defines the loss and optimizer correctly but has issues with the learning rate and plotting. Task 5 visualizes predictions but has errors in displaying the predicted masks.</t>
        </is>
      </c>
      <c r="AE87" t="n">
        <v>0</v>
      </c>
      <c r="AF87" t="n">
        <v>0</v>
      </c>
      <c r="AG87" t="inlineStr">
        <is>
          <t>No submission found.</t>
        </is>
      </c>
      <c r="AH87" t="n">
        <v>23.5</v>
      </c>
      <c r="AI87" t="n">
        <v>0</v>
      </c>
    </row>
    <row r="88">
      <c r="A88" t="n">
        <v>87</v>
      </c>
      <c r="B88" t="inlineStr">
        <is>
          <t>TA_2</t>
        </is>
      </c>
      <c r="C88" t="inlineStr">
        <is>
          <t>TA_12</t>
        </is>
      </c>
      <c r="D88" t="n">
        <v>11</v>
      </c>
      <c r="E88" t="n">
        <v>0</v>
      </c>
      <c r="F88" t="n">
        <v>11</v>
      </c>
      <c r="G88" t="n">
        <v>0</v>
      </c>
      <c r="H88" t="n">
        <v>12</v>
      </c>
      <c r="I88" t="n">
        <v>5</v>
      </c>
      <c r="J88" t="n">
        <v>11</v>
      </c>
      <c r="K88" t="n">
        <v>4</v>
      </c>
      <c r="L88" t="n">
        <v>8.75</v>
      </c>
      <c r="M88" t="n">
        <v>3.5</v>
      </c>
      <c r="N88" t="n">
        <v>11.3</v>
      </c>
      <c r="O88" t="n">
        <v>5</v>
      </c>
      <c r="P88">
        <f>Table1[[#This Row],[TA 1 - Q1 Score]]+Table1[[#This Row],[TA 1 - Q2 Score]]+Table1[[#This Row],[TA 1 - Q3 Score]]</f>
        <v/>
      </c>
      <c r="Q88">
        <f>Table1[[#This Row],[TA 1 - Q1 Bonus]]+Table1[[#This Row],[TA 1 - Q2 Bonus]]+Table1[[#This Row],[TA 1 - Q4 Bonus]]</f>
        <v/>
      </c>
      <c r="R88">
        <f>Table1[[#This Row],[TA 2 - Q1 Score]]+Table1[[#This Row],[TA 2 - Q2 Score]]+Table1[[#This Row],[TA 2 - Q3 Score]]</f>
        <v/>
      </c>
      <c r="S88">
        <f>Table1[[#This Row],[TA 2 - Q1 Bonus]]+Table1[[#This Row],[TA 2 - Q2 Bonus]]+Table1[[#This Row],[TA 2 - Q4 Bonus]]</f>
        <v/>
      </c>
      <c r="T88">
        <f>(Table1[[#This Row],[TA 1 - Total Score (out of 35)]]+Table1[[#This Row],[TA 2 - Total Score (out of 35)]])/2</f>
        <v/>
      </c>
      <c r="U88">
        <f>(Table1[[#This Row],[TA 1 - Total Bonus (out of 13)]]+Table1[[#This Row],[TA 2 - Total Bonus (out of 13)]])/2</f>
        <v/>
      </c>
      <c r="V88">
        <f>Table1[[#This Row],[Average Questions]]/35*20+Table1[[#This Row],[Average Bonus]]/13*5</f>
        <v/>
      </c>
      <c r="W88" t="n">
        <v>7</v>
      </c>
      <c r="X88" t="n">
        <v>0</v>
      </c>
      <c r="Y88" t="inlineStr">
        <is>
          <t>The student completed most tasks with minor issues. Transforms were correctly defined, and DataLoaders were set up properly. Sample images were displayed with correct labels. The pretrained EfficientNetV2-Small model was loaded, but the backbone was not frozen correctly; all parameters were frozen instead of just the feature extractor. The classifier head was replaced correctly. Training and validation loops were implemented, but the training loop lacked loss tracking, and the validation loop did not return loss values. Device setup, model, loss function, and optimizer were correctly configured, but the optimizer targeted only the classifier parameters, not all trainable parameters. Training and validation plots were generated, but only accuracy was plotted. Test Time Augmentation was partially implemented, with predictions for original, horizontally flipped, and vertically flipped images averaged, but the function did not return loss values.</t>
        </is>
      </c>
      <c r="Z88" t="n">
        <v>8.5</v>
      </c>
      <c r="AA88" t="n">
        <v>0</v>
      </c>
      <c r="AB88" t="inlineStr">
        <is>
          <t>The student successfully loaded and prepared the data with correct transformations and displayed sample images. The CNN model was built with five convolutional layers and batch normalization, earning full marks for this part. However, the residual connection implementation was incorrect, as it did not properly concatenate the skip connection from the second to the fourth layer. The training and validation functions were implemented correctly, and the model was trained and plotted without issues.</t>
        </is>
      </c>
      <c r="AC88" t="n">
        <v>5</v>
      </c>
      <c r="AD88" t="inlineStr">
        <is>
          <t>The student attempted most tasks but made several mistakes. In Task 1, the dataset class and DataLoader were partially correct, but the display code had errors. Task 2 correctly defined the U-Net model with the specified encoder. Task 3 implemented training and validation loops with minor issues. Task 4 defined the loss and optimizer but trained for only 5 epochs instead of 10 and did not plot both training and validation losses. Task 5 visualized predictions but did not show multiple images.</t>
        </is>
      </c>
      <c r="AE88" t="n">
        <v>0</v>
      </c>
      <c r="AF88" t="n">
        <v>5</v>
      </c>
      <c r="AG88" t="inlineStr">
        <is>
          <t>The student's implementation of the ColorizationDataset class is correct and runs perfectly, producing the expected output. The code follows the optimal logic, including the correct formula for converting RGB to grayscale and returning the correct shapes for both grayscale and color images. The visualization also displays the images correctly.</t>
        </is>
      </c>
      <c r="AH88" t="n">
        <v>20.5</v>
      </c>
      <c r="AI88" t="n">
        <v>5</v>
      </c>
    </row>
    <row r="89">
      <c r="A89" t="n">
        <v>88</v>
      </c>
      <c r="B89" t="inlineStr">
        <is>
          <t>TA_2</t>
        </is>
      </c>
      <c r="C89" t="inlineStr">
        <is>
          <t>TA_12</t>
        </is>
      </c>
      <c r="D89" t="n">
        <v>12</v>
      </c>
      <c r="E89" t="n">
        <v>0</v>
      </c>
      <c r="F89" t="n">
        <v>11</v>
      </c>
      <c r="G89" t="n">
        <v>0</v>
      </c>
      <c r="H89" t="n">
        <v>12</v>
      </c>
      <c r="I89" t="n">
        <v>0</v>
      </c>
      <c r="J89" t="n">
        <v>12</v>
      </c>
      <c r="K89" t="n">
        <v>0</v>
      </c>
      <c r="L89" t="n">
        <v>11</v>
      </c>
      <c r="M89" t="n">
        <v>0</v>
      </c>
      <c r="N89" t="n">
        <v>12</v>
      </c>
      <c r="O89" t="n">
        <v>0</v>
      </c>
      <c r="P89">
        <f>Table1[[#This Row],[TA 1 - Q1 Score]]+Table1[[#This Row],[TA 1 - Q2 Score]]+Table1[[#This Row],[TA 1 - Q3 Score]]</f>
        <v/>
      </c>
      <c r="Q89">
        <f>Table1[[#This Row],[TA 1 - Q1 Bonus]]+Table1[[#This Row],[TA 1 - Q2 Bonus]]+Table1[[#This Row],[TA 1 - Q4 Bonus]]</f>
        <v/>
      </c>
      <c r="R89">
        <f>Table1[[#This Row],[TA 2 - Q1 Score]]+Table1[[#This Row],[TA 2 - Q2 Score]]+Table1[[#This Row],[TA 2 - Q3 Score]]</f>
        <v/>
      </c>
      <c r="S89">
        <f>Table1[[#This Row],[TA 2 - Q1 Bonus]]+Table1[[#This Row],[TA 2 - Q2 Bonus]]+Table1[[#This Row],[TA 2 - Q4 Bonus]]</f>
        <v/>
      </c>
      <c r="T89">
        <f>(Table1[[#This Row],[TA 1 - Total Score (out of 35)]]+Table1[[#This Row],[TA 2 - Total Score (out of 35)]])/2</f>
        <v/>
      </c>
      <c r="U89">
        <f>(Table1[[#This Row],[TA 1 - Total Bonus (out of 13)]]+Table1[[#This Row],[TA 2 - Total Bonus (out of 13)]])/2</f>
        <v/>
      </c>
      <c r="V89">
        <f>Table1[[#This Row],[Average Questions]]/35*20+Table1[[#This Row],[Average Bonus]]/13*5</f>
        <v/>
      </c>
      <c r="W89" t="n">
        <v>8</v>
      </c>
      <c r="X89" t="n">
        <v>0</v>
      </c>
      <c r="Y89" t="inlineStr">
        <is>
          <t>The student completed most tasks with minor issues. Transforms were correctly defined, but the DataLoader batch size was smaller than the reference. Sample images were displayed with correct labels. The pretrained model was loaded and adapted correctly, with the backbone frozen and classifier replaced. Training and validation loops were implemented with label fixing, though the training loop used softmax unnecessarily. The model trained and plotted losses and accuracies. No bonus task was attempted.</t>
        </is>
      </c>
      <c r="Z89" t="n">
        <v>8.5</v>
      </c>
      <c r="AA89" t="n">
        <v>0</v>
      </c>
      <c r="AB89" t="inlineStr">
        <is>
          <t>The student successfully loaded and prepared the data with correct transformations and displayed sample images. The CNN model was built with 5 convolutional layers and batch normalization, though the number of channels and fully connected layer sizes differ from the reference. Training and validation functions were implemented correctly, and the model was trained and plotted. However, the bonus task was not completed.</t>
        </is>
      </c>
      <c r="AC89" t="n">
        <v>8</v>
      </c>
      <c r="AD89" t="inlineStr">
        <is>
          <t>The student successfully created a custom dataset class and used DataLoaders, displaying sample images and masks. The model class was defined correctly with a pretrained U-Net using efficientnet-b1. Training and validation loops were implemented, and the model was trained with defined loss and optimizer, printing training and validation losses. However, the loss curve plot was incomplete, and the visualization of predictions had issues with the colormap and did not follow the reference solution.</t>
        </is>
      </c>
      <c r="AE89" t="n">
        <v>0</v>
      </c>
      <c r="AF89" t="n">
        <v>0</v>
      </c>
      <c r="AG89" t="inlineStr">
        <is>
          <t>No submission found.</t>
        </is>
      </c>
      <c r="AH89" t="n">
        <v>24.5</v>
      </c>
      <c r="AI89" t="n">
        <v>0</v>
      </c>
    </row>
    <row r="90">
      <c r="A90" t="n">
        <v>89</v>
      </c>
      <c r="B90" t="inlineStr">
        <is>
          <t>TA_2</t>
        </is>
      </c>
      <c r="C90" t="inlineStr">
        <is>
          <t>TA_12</t>
        </is>
      </c>
      <c r="D90" t="n">
        <v>6.5</v>
      </c>
      <c r="E90" t="n">
        <v>0</v>
      </c>
      <c r="F90" t="n">
        <v>10</v>
      </c>
      <c r="G90" t="n">
        <v>0</v>
      </c>
      <c r="H90" t="n">
        <v>12</v>
      </c>
      <c r="I90" t="n">
        <v>0</v>
      </c>
      <c r="J90" t="n">
        <v>6.5</v>
      </c>
      <c r="K90" t="n">
        <v>0</v>
      </c>
      <c r="L90" t="n">
        <v>8.5</v>
      </c>
      <c r="M90" t="n">
        <v>0</v>
      </c>
      <c r="N90" t="n">
        <v>8</v>
      </c>
      <c r="O90" t="n">
        <v>0</v>
      </c>
      <c r="P90">
        <f>Table1[[#This Row],[TA 1 - Q1 Score]]+Table1[[#This Row],[TA 1 - Q2 Score]]+Table1[[#This Row],[TA 1 - Q3 Score]]</f>
        <v/>
      </c>
      <c r="Q90">
        <f>Table1[[#This Row],[TA 1 - Q1 Bonus]]+Table1[[#This Row],[TA 1 - Q2 Bonus]]+Table1[[#This Row],[TA 1 - Q4 Bonus]]</f>
        <v/>
      </c>
      <c r="R90">
        <f>Table1[[#This Row],[TA 2 - Q1 Score]]+Table1[[#This Row],[TA 2 - Q2 Score]]+Table1[[#This Row],[TA 2 - Q3 Score]]</f>
        <v/>
      </c>
      <c r="S90">
        <f>Table1[[#This Row],[TA 2 - Q1 Bonus]]+Table1[[#This Row],[TA 2 - Q2 Bonus]]+Table1[[#This Row],[TA 2 - Q4 Bonus]]</f>
        <v/>
      </c>
      <c r="T90">
        <f>(Table1[[#This Row],[TA 1 - Total Score (out of 35)]]+Table1[[#This Row],[TA 2 - Total Score (out of 35)]])/2</f>
        <v/>
      </c>
      <c r="U90">
        <f>(Table1[[#This Row],[TA 1 - Total Bonus (out of 13)]]+Table1[[#This Row],[TA 2 - Total Bonus (out of 13)]])/2</f>
        <v/>
      </c>
      <c r="V90">
        <f>Table1[[#This Row],[Average Questions]]/35*20+Table1[[#This Row],[Average Bonus]]/13*5</f>
        <v/>
      </c>
      <c r="W90" t="n">
        <v>5</v>
      </c>
      <c r="X90" t="n">
        <v>0</v>
      </c>
      <c r="Y90" t="inlineStr">
        <is>
          <t>The student completed the data loading and transformation tasks correctly, including resizing, converting to tensor, and normalizing the images. However, there were issues in creating and displaying the DataLoaders, where the student used incorrect indices and labels in the sample image display. The model loading and adaptation were mostly correct, but the student froze all parameters instead of just the backbone. The training and validation loops were implemented but lacked the label fix, resulting in a penalty. The bonus task was not attempted.</t>
        </is>
      </c>
      <c r="Z90" t="n">
        <v>7</v>
      </c>
      <c r="AA90" t="n">
        <v>0</v>
      </c>
      <c r="AB90" t="inlineStr">
        <is>
          <t>The student successfully loaded and prepared the data with the correct transformations and displayed sample images. The CNN model has 5 convolutional layers but does not include batch normalization, earning partial credit. Both training and validation functions are implemented correctly. The model setup, training, and plotting of losses and accuracies are also correct. However, the bonus task was not attempted.</t>
        </is>
      </c>
      <c r="AC90" t="n">
        <v>6</v>
      </c>
      <c r="AD90" t="inlineStr">
        <is>
          <t>The student's submission partially completes the tasks. The dataset class is implemented correctly, and the DataLoaders are set up properly. Sample images and masks are displayed. However, the model uses 'efficientnet-b1' instead of 'efficientnet-b0'. The training and validation loops contain syntax errors and logical mistakes, particularly in handling the mask data types. The loss and optimizer are defined, but the training loop does not run due to these issues. The loss curve is plotted, but the visualization of predictions is incorrect, using a binary threshold instead of argmax for multi-class segmentation.</t>
        </is>
      </c>
      <c r="AE90" t="n">
        <v>0</v>
      </c>
      <c r="AF90" t="n">
        <v>0</v>
      </c>
      <c r="AG90" t="inlineStr">
        <is>
          <t>No submission found.</t>
        </is>
      </c>
      <c r="AH90" t="n">
        <v>18</v>
      </c>
      <c r="AI90" t="n">
        <v>0</v>
      </c>
    </row>
    <row r="91">
      <c r="A91" t="n">
        <v>90</v>
      </c>
      <c r="B91" t="inlineStr">
        <is>
          <t>TA_2</t>
        </is>
      </c>
      <c r="C91" t="inlineStr">
        <is>
          <t>TA_12</t>
        </is>
      </c>
      <c r="D91" t="n">
        <v>12</v>
      </c>
      <c r="E91" t="n">
        <v>4</v>
      </c>
      <c r="F91" t="n">
        <v>11</v>
      </c>
      <c r="G91" t="n">
        <v>4</v>
      </c>
      <c r="H91" t="n">
        <v>10</v>
      </c>
      <c r="I91" t="n">
        <v>5</v>
      </c>
      <c r="J91" t="n">
        <v>12</v>
      </c>
      <c r="K91" t="n">
        <v>4</v>
      </c>
      <c r="L91" t="n">
        <v>8.75</v>
      </c>
      <c r="M91" t="n">
        <v>3.75</v>
      </c>
      <c r="N91" t="n">
        <v>12</v>
      </c>
      <c r="O91" t="n">
        <v>5</v>
      </c>
      <c r="P91">
        <f>Table1[[#This Row],[TA 1 - Q1 Score]]+Table1[[#This Row],[TA 1 - Q2 Score]]+Table1[[#This Row],[TA 1 - Q3 Score]]</f>
        <v/>
      </c>
      <c r="Q91">
        <f>Table1[[#This Row],[TA 1 - Q1 Bonus]]+Table1[[#This Row],[TA 1 - Q2 Bonus]]+Table1[[#This Row],[TA 1 - Q4 Bonus]]</f>
        <v/>
      </c>
      <c r="R91">
        <f>Table1[[#This Row],[TA 2 - Q1 Score]]+Table1[[#This Row],[TA 2 - Q2 Score]]+Table1[[#This Row],[TA 2 - Q3 Score]]</f>
        <v/>
      </c>
      <c r="S91">
        <f>Table1[[#This Row],[TA 2 - Q1 Bonus]]+Table1[[#This Row],[TA 2 - Q2 Bonus]]+Table1[[#This Row],[TA 2 - Q4 Bonus]]</f>
        <v/>
      </c>
      <c r="T91">
        <f>(Table1[[#This Row],[TA 1 - Total Score (out of 35)]]+Table1[[#This Row],[TA 2 - Total Score (out of 35)]])/2</f>
        <v/>
      </c>
      <c r="U91">
        <f>(Table1[[#This Row],[TA 1 - Total Bonus (out of 13)]]+Table1[[#This Row],[TA 2 - Total Bonus (out of 13)]])/2</f>
        <v/>
      </c>
      <c r="V91">
        <f>Table1[[#This Row],[Average Questions]]/35*20+Table1[[#This Row],[Average Bonus]]/13*5</f>
        <v/>
      </c>
      <c r="W91" t="n">
        <v>8</v>
      </c>
      <c r="X91" t="n">
        <v>0</v>
      </c>
      <c r="Y91" t="inlineStr">
        <is>
          <t>The student completed most tasks with minor issues. Transforms were correctly defined, and DataLoaders were set up properly. Sample images were displayed with correct labels. The pretrained EfficientNetV2-Small model was loaded and adapted correctly, with the backbone frozen and the classifier head replaced. Training and validation loops were implemented with label fixing. However, the learning rate was set too low, and the number of epochs was insufficient. The bonus task was not attempted.</t>
        </is>
      </c>
      <c r="Z91" t="n">
        <v>7</v>
      </c>
      <c r="AA91" t="n">
        <v>0</v>
      </c>
      <c r="AB91" t="inlineStr">
        <is>
          <t>The student successfully loaded and prepared the data with the correct transformations and displayed sample images. The CNN model was built with 5 convolutional layers and batch normalization, though the number of channels in some layers was different from the reference solution. The training and validation loops were implemented correctly, and the model was trained and plotted. However, the bonus task was not completed, and there were minor issues with the model architecture and training epochs.</t>
        </is>
      </c>
      <c r="AC91" t="n">
        <v>8.5</v>
      </c>
      <c r="AD91" t="inlineStr">
        <is>
          <t>The student's submission largely follows the required tasks but contains some minor issues. Task 1 is mostly correct with a small mistake in the mask transformation. Task 2 correctly defines the U-Net model. Task 3 includes both training and validation loops with minor syntax issues. Task 4 defines the loss and optimizer correctly, trains the model, prints losses, and plots the loss curve. Task 5 visualizes predictions but uses grayscale instead of the specified colormap.</t>
        </is>
      </c>
      <c r="AE91" t="n">
        <v>0</v>
      </c>
      <c r="AF91" t="n">
        <v>0</v>
      </c>
      <c r="AG91" t="inlineStr">
        <is>
          <t>The student's implementation contains several errors in the `rgb_to_grayscale` method, where the grayscale conversion formula is incorrectly applied by summing the same channel multiple times instead of using distinct R, G, B channels. Additionally, the variable name `self.cifar_dataset` is used instead of `self.dataset` in the `__init__` method, which could lead to issues. Despite these mistakes, the student attempted the task and provided code for all required methods.</t>
        </is>
      </c>
      <c r="AH91" t="n">
        <v>23.5</v>
      </c>
      <c r="AI91" t="n">
        <v>0</v>
      </c>
    </row>
    <row r="92">
      <c r="A92" t="n">
        <v>91</v>
      </c>
      <c r="B92" t="inlineStr">
        <is>
          <t>TA_2</t>
        </is>
      </c>
      <c r="C92" t="inlineStr">
        <is>
          <t>TA_12</t>
        </is>
      </c>
      <c r="D92" t="n">
        <v>12</v>
      </c>
      <c r="E92" t="n">
        <v>4</v>
      </c>
      <c r="F92" t="n">
        <v>11</v>
      </c>
      <c r="G92" t="n">
        <v>1</v>
      </c>
      <c r="H92" t="n">
        <v>11.5</v>
      </c>
      <c r="I92" t="n">
        <v>5</v>
      </c>
      <c r="J92" t="n">
        <v>12</v>
      </c>
      <c r="K92" t="n">
        <v>1.5</v>
      </c>
      <c r="L92" t="n">
        <v>9</v>
      </c>
      <c r="M92" t="n">
        <v>3</v>
      </c>
      <c r="N92" t="n">
        <v>6.5</v>
      </c>
      <c r="O92" t="n">
        <v>5</v>
      </c>
      <c r="P92">
        <f>Table1[[#This Row],[TA 1 - Q1 Score]]+Table1[[#This Row],[TA 1 - Q2 Score]]+Table1[[#This Row],[TA 1 - Q3 Score]]</f>
        <v/>
      </c>
      <c r="Q92">
        <f>Table1[[#This Row],[TA 1 - Q1 Bonus]]+Table1[[#This Row],[TA 1 - Q2 Bonus]]+Table1[[#This Row],[TA 1 - Q4 Bonus]]</f>
        <v/>
      </c>
      <c r="R92">
        <f>Table1[[#This Row],[TA 2 - Q1 Score]]+Table1[[#This Row],[TA 2 - Q2 Score]]+Table1[[#This Row],[TA 2 - Q3 Score]]</f>
        <v/>
      </c>
      <c r="S92">
        <f>Table1[[#This Row],[TA 2 - Q1 Bonus]]+Table1[[#This Row],[TA 2 - Q2 Bonus]]+Table1[[#This Row],[TA 2 - Q4 Bonus]]</f>
        <v/>
      </c>
      <c r="T92">
        <f>(Table1[[#This Row],[TA 1 - Total Score (out of 35)]]+Table1[[#This Row],[TA 2 - Total Score (out of 35)]])/2</f>
        <v/>
      </c>
      <c r="U92">
        <f>(Table1[[#This Row],[TA 1 - Total Bonus (out of 13)]]+Table1[[#This Row],[TA 2 - Total Bonus (out of 13)]])/2</f>
        <v/>
      </c>
      <c r="V92">
        <f>Table1[[#This Row],[Average Questions]]/35*20+Table1[[#This Row],[Average Bonus]]/13*5</f>
        <v/>
      </c>
      <c r="W92" t="n">
        <v>7</v>
      </c>
      <c r="X92" t="n">
        <v>0</v>
      </c>
      <c r="Y92" t="inlineStr">
        <is>
          <t>The student completed most tasks with minor issues. The data loading and preparation were mostly correct, though the visualization function was unnecessarily complex. The model loading and adaptation were correct, but the student froze all parameters instead of just the backbone. The training and validation loops were implemented with a small mistake in the output squeezing. The plotting of losses and accuracies was correct. The bonus task was incorrectly implemented, with repeated predictions and incorrect averaging.</t>
        </is>
      </c>
      <c r="Z92" t="n">
        <v>8</v>
      </c>
      <c r="AA92" t="n">
        <v>0</v>
      </c>
      <c r="AB92" t="inlineStr">
        <is>
          <t>The student successfully loaded and prepared the data with the correct transformations and displayed sample images. The CNN model was built with 5 convolutional layers, though the number of channels and fully connected layer sizes differ from the reference solution. The training and validation loops were implemented correctly. However, the bonus task was not completed as the residual connection was incorrectly defined and did not follow the specified instructions.</t>
        </is>
      </c>
      <c r="AC92" t="n">
        <v>4</v>
      </c>
      <c r="AD92" t="inlineStr">
        <is>
          <t>The student partially completed the tasks with some syntax and logical errors. The dataset class was implemented but not fully integrated with DataLoaders. Displaying sample images and masks was attempted but incomplete. The model class used the correct encoder but had issues in the training and validation loops. The loss and optimizer were defined, but the training loop contained errors, and validation was not properly implemented. Visualization of predictions was attempted but failed due to incorrect handling of model outputs.</t>
        </is>
      </c>
      <c r="AE92" t="n">
        <v>0</v>
      </c>
      <c r="AF92" t="n">
        <v>0</v>
      </c>
      <c r="AG92" t="inlineStr">
        <is>
          <t>The student's implementation contains several errors. In the `__getitem__` method, the grayscale image is incorrectly computed using a variable `img` instead of `color_image`. Additionally, the visualization section in Cell 6 does not use the correct variables (`gray_img` and `color_img`) for plotting, leading to incorrect visualizations. These issues prevent the code from running correctly and producing the expected output.</t>
        </is>
      </c>
      <c r="AH92" t="n">
        <v>19</v>
      </c>
      <c r="AI92" t="n">
        <v>0</v>
      </c>
    </row>
    <row r="93">
      <c r="A93" t="n">
        <v>92</v>
      </c>
      <c r="B93" t="inlineStr">
        <is>
          <t>TA_2</t>
        </is>
      </c>
      <c r="C93" t="inlineStr">
        <is>
          <t>TA_12</t>
        </is>
      </c>
      <c r="D93" t="n">
        <v>6.5</v>
      </c>
      <c r="E93" t="n">
        <v>0</v>
      </c>
      <c r="F93" t="n">
        <v>11</v>
      </c>
      <c r="G93" t="n">
        <v>0</v>
      </c>
      <c r="H93" t="n">
        <v>10</v>
      </c>
      <c r="I93" t="n">
        <v>0</v>
      </c>
      <c r="J93" t="n">
        <v>6.5</v>
      </c>
      <c r="K93" t="n">
        <v>0</v>
      </c>
      <c r="L93" t="n">
        <v>11</v>
      </c>
      <c r="M93" t="n">
        <v>0</v>
      </c>
      <c r="N93" t="n">
        <v>12</v>
      </c>
      <c r="O93" t="n">
        <v>0</v>
      </c>
      <c r="P93">
        <f>Table1[[#This Row],[TA 1 - Q1 Score]]+Table1[[#This Row],[TA 1 - Q2 Score]]+Table1[[#This Row],[TA 1 - Q3 Score]]</f>
        <v/>
      </c>
      <c r="Q93">
        <f>Table1[[#This Row],[TA 1 - Q1 Bonus]]+Table1[[#This Row],[TA 1 - Q2 Bonus]]+Table1[[#This Row],[TA 1 - Q4 Bonus]]</f>
        <v/>
      </c>
      <c r="R93">
        <f>Table1[[#This Row],[TA 2 - Q1 Score]]+Table1[[#This Row],[TA 2 - Q2 Score]]+Table1[[#This Row],[TA 2 - Q3 Score]]</f>
        <v/>
      </c>
      <c r="S93">
        <f>Table1[[#This Row],[TA 2 - Q1 Bonus]]+Table1[[#This Row],[TA 2 - Q2 Bonus]]+Table1[[#This Row],[TA 2 - Q4 Bonus]]</f>
        <v/>
      </c>
      <c r="T93">
        <f>(Table1[[#This Row],[TA 1 - Total Score (out of 35)]]+Table1[[#This Row],[TA 2 - Total Score (out of 35)]])/2</f>
        <v/>
      </c>
      <c r="U93">
        <f>(Table1[[#This Row],[TA 1 - Total Bonus (out of 13)]]+Table1[[#This Row],[TA 2 - Total Bonus (out of 13)]])/2</f>
        <v/>
      </c>
      <c r="V93">
        <f>Table1[[#This Row],[Average Questions]]/35*20+Table1[[#This Row],[Average Bonus]]/13*5</f>
        <v/>
      </c>
      <c r="W93" t="n">
        <v>8</v>
      </c>
      <c r="X93" t="n">
        <v>0</v>
      </c>
      <c r="Y93" t="inlineStr">
        <is>
          <t>The student completed most tasks with minor issues. The transforms were mostly correct but included an unnecessary custom module for subtracting one from labels. DataLoaders were set up correctly, and sample images were displayed properly. The pretrained model was loaded and adapted correctly, with the backbone frozen and classifier replaced. Training and validation loops were implemented with some unnecessary softmax operations. Labels were not fixed in the loops, resulting in a penalty. The bonus task was not attempted.</t>
        </is>
      </c>
      <c r="Z93" t="n">
        <v>8.5</v>
      </c>
      <c r="AA93" t="n">
        <v>0</v>
      </c>
      <c r="AB93" t="inlineStr">
        <is>
          <t>The student successfully completed most tasks with minor issues. The data loading and preparation were correct, including the use of RandomRotation and resizing to 32x32. The CNN model had 5 convolutional layers with batch normalization, though the number of filters was different from the reference solution. The training and validation loops were implemented correctly, and the model trained for 5 epochs instead of 10. No bonus task was attempted.</t>
        </is>
      </c>
      <c r="AC93" t="n">
        <v>8.5</v>
      </c>
      <c r="AD93" t="inlineStr">
        <is>
          <t>The student's submission demonstrates a good understanding of the tasks but contains some minor issues. Task 1 is mostly correct with a few syntax errors in the DataLoader check. Task 2 is correct with the model definition. Task 3 is partially correct with the training and validation loops implemented but with a small mistake in the DataLoader check. Task 4 is mostly correct with the loss and optimizer defined, and the training process executed, though with fewer epochs. Task 5 is correct with predictions visualized against ground truth.</t>
        </is>
      </c>
      <c r="AE93" t="n">
        <v>0</v>
      </c>
      <c r="AF93" t="n">
        <v>0</v>
      </c>
      <c r="AG93" t="inlineStr">
        <is>
          <t>No submission found.</t>
        </is>
      </c>
      <c r="AH93" t="n">
        <v>25</v>
      </c>
      <c r="AI93" t="n">
        <v>0</v>
      </c>
    </row>
    <row r="94">
      <c r="A94" t="n">
        <v>93</v>
      </c>
      <c r="B94" t="inlineStr">
        <is>
          <t>TA_2</t>
        </is>
      </c>
      <c r="C94" t="inlineStr">
        <is>
          <t>TA_12</t>
        </is>
      </c>
      <c r="D94" t="n">
        <v>11.5</v>
      </c>
      <c r="E94" t="n">
        <v>0</v>
      </c>
      <c r="F94" t="n">
        <v>11</v>
      </c>
      <c r="G94" t="n">
        <v>0</v>
      </c>
      <c r="H94" t="n">
        <v>12</v>
      </c>
      <c r="I94" t="n">
        <v>0</v>
      </c>
      <c r="J94" t="n">
        <v>11</v>
      </c>
      <c r="K94" t="n">
        <v>0</v>
      </c>
      <c r="L94" t="n">
        <v>7.25</v>
      </c>
      <c r="M94" t="n">
        <v>0</v>
      </c>
      <c r="N94" t="n">
        <v>12</v>
      </c>
      <c r="O94" t="n">
        <v>0</v>
      </c>
      <c r="P94">
        <f>Table1[[#This Row],[TA 1 - Q1 Score]]+Table1[[#This Row],[TA 1 - Q2 Score]]+Table1[[#This Row],[TA 1 - Q3 Score]]</f>
        <v/>
      </c>
      <c r="Q94">
        <f>Table1[[#This Row],[TA 1 - Q1 Bonus]]+Table1[[#This Row],[TA 1 - Q2 Bonus]]+Table1[[#This Row],[TA 1 - Q4 Bonus]]</f>
        <v/>
      </c>
      <c r="R94">
        <f>Table1[[#This Row],[TA 2 - Q1 Score]]+Table1[[#This Row],[TA 2 - Q2 Score]]+Table1[[#This Row],[TA 2 - Q3 Score]]</f>
        <v/>
      </c>
      <c r="S94">
        <f>Table1[[#This Row],[TA 2 - Q1 Bonus]]+Table1[[#This Row],[TA 2 - Q2 Bonus]]+Table1[[#This Row],[TA 2 - Q4 Bonus]]</f>
        <v/>
      </c>
      <c r="T94">
        <f>(Table1[[#This Row],[TA 1 - Total Score (out of 35)]]+Table1[[#This Row],[TA 2 - Total Score (out of 35)]])/2</f>
        <v/>
      </c>
      <c r="U94">
        <f>(Table1[[#This Row],[TA 1 - Total Bonus (out of 13)]]+Table1[[#This Row],[TA 2 - Total Bonus (out of 13)]])/2</f>
        <v/>
      </c>
      <c r="V94">
        <f>Table1[[#This Row],[Average Questions]]/35*20+Table1[[#This Row],[Average Bonus]]/13*5</f>
        <v/>
      </c>
      <c r="W94" t="n">
        <v>8.5</v>
      </c>
      <c r="X94" t="n">
        <v>0</v>
      </c>
      <c r="Y94" t="inlineStr">
        <is>
          <t>The student completed most tasks correctly, including defining transforms, creating DataLoaders, displaying sample images, loading and adapting the pretrained model, and setting up training and validation loops. However, there were minor issues such as using a smaller batch size and fewer epochs, which affected the training process. The student did not attempt the bonus task for Test Time Augmentation.</t>
        </is>
      </c>
      <c r="Z94" t="n">
        <v>7</v>
      </c>
      <c r="AA94" t="n">
        <v>0</v>
      </c>
      <c r="AB94" t="inlineStr">
        <is>
          <t>The student completed most tasks with minor issues. The data loading and preparation section had the correct transformations and data loaders but used an incorrect dataset class (EMNIST instead of ImageFolder). The CNN model had 5 convolutional layers and batch normalization, but the number of output classes was incorrectly set to 10. The training and validation loops were mostly correct but included unnecessary softmax operations. The plotting of losses and accuracies was accurate. No bonus task was attempted.</t>
        </is>
      </c>
      <c r="AC94" t="n">
        <v>7</v>
      </c>
      <c r="AD94" t="inlineStr">
        <is>
          <t>The student's submission partially completes most tasks but has some issues. Task 1 is mostly correct with minor syntax errors and missing DataLoader creation. Task 2 correctly defines the U-Net model with the specified encoder. Task 3 implements training and validation loops with slight modifications. Task 4 defines loss and optimizer, trains the model, prints losses, and plots the loss curve. Task 5 visualizes predictions but uses a different colormap and has minor issues in displaying images.</t>
        </is>
      </c>
      <c r="AE94" t="n">
        <v>0</v>
      </c>
      <c r="AF94" t="n">
        <v>0</v>
      </c>
      <c r="AG94" t="inlineStr">
        <is>
          <t>No submission found.</t>
        </is>
      </c>
      <c r="AH94" t="n">
        <v>22.5</v>
      </c>
      <c r="AI94" t="n">
        <v>0</v>
      </c>
    </row>
    <row r="95">
      <c r="A95" t="n">
        <v>94</v>
      </c>
      <c r="B95" t="inlineStr">
        <is>
          <t>TA_2</t>
        </is>
      </c>
      <c r="C95" t="inlineStr">
        <is>
          <t>TA_12</t>
        </is>
      </c>
      <c r="D95" t="n">
        <v>12</v>
      </c>
      <c r="E95" t="n">
        <v>0</v>
      </c>
      <c r="F95" t="n">
        <v>10.5</v>
      </c>
      <c r="G95" t="n">
        <v>0</v>
      </c>
      <c r="H95" t="n">
        <v>12</v>
      </c>
      <c r="I95" t="n">
        <v>0</v>
      </c>
      <c r="J95" t="n">
        <v>12</v>
      </c>
      <c r="K95" t="n">
        <v>0</v>
      </c>
      <c r="L95" t="n">
        <v>11</v>
      </c>
      <c r="M95" t="n">
        <v>0</v>
      </c>
      <c r="N95" t="n">
        <v>12</v>
      </c>
      <c r="O95" t="n">
        <v>0</v>
      </c>
      <c r="P95">
        <f>Table1[[#This Row],[TA 1 - Q1 Score]]+Table1[[#This Row],[TA 1 - Q2 Score]]+Table1[[#This Row],[TA 1 - Q3 Score]]</f>
        <v/>
      </c>
      <c r="Q95">
        <f>Table1[[#This Row],[TA 1 - Q1 Bonus]]+Table1[[#This Row],[TA 1 - Q2 Bonus]]+Table1[[#This Row],[TA 1 - Q4 Bonus]]</f>
        <v/>
      </c>
      <c r="R95">
        <f>Table1[[#This Row],[TA 2 - Q1 Score]]+Table1[[#This Row],[TA 2 - Q2 Score]]+Table1[[#This Row],[TA 2 - Q3 Score]]</f>
        <v/>
      </c>
      <c r="S95">
        <f>Table1[[#This Row],[TA 2 - Q1 Bonus]]+Table1[[#This Row],[TA 2 - Q2 Bonus]]+Table1[[#This Row],[TA 2 - Q4 Bonus]]</f>
        <v/>
      </c>
      <c r="T95">
        <f>(Table1[[#This Row],[TA 1 - Total Score (out of 35)]]+Table1[[#This Row],[TA 2 - Total Score (out of 35)]])/2</f>
        <v/>
      </c>
      <c r="U95">
        <f>(Table1[[#This Row],[TA 1 - Total Bonus (out of 13)]]+Table1[[#This Row],[TA 2 - Total Bonus (out of 13)]])/2</f>
        <v/>
      </c>
      <c r="V95">
        <f>Table1[[#This Row],[Average Questions]]/35*20+Table1[[#This Row],[Average Bonus]]/13*5</f>
        <v/>
      </c>
      <c r="W95" t="n">
        <v>8.5</v>
      </c>
      <c r="X95" t="n">
        <v>0</v>
      </c>
      <c r="Y95" t="inlineStr">
        <is>
          <t>The student completed most tasks correctly, including defining transforms, creating DataLoaders, displaying sample images, loading and adapting the pretrained model, and implementing training and validation loops. However, the model adaptation task had issues with freezing the backbone, and the bonus task was not attempted. The student used an incorrect approach to freeze the backbone by setting `model.requires_grad_(False)` instead of freezing only the feature extractor. The training and validation loops were mostly correct but included unnecessary softmax operations.</t>
        </is>
      </c>
      <c r="Z95" t="n">
        <v>6</v>
      </c>
      <c r="AA95" t="n">
        <v>0</v>
      </c>
      <c r="AB95" t="inlineStr">
        <is>
          <t>The student partially completed the tasks. The data loading and preparation section had issues with incorrect directory paths and incorrect class labels. The CNN model was implemented with 5 convolutional layers and batch normalization, but the architecture deviated significantly from the reference solution. The training and validation loops were correctly implemented, and the model was trained and plotted. However, the bonus task was not attempted.</t>
        </is>
      </c>
      <c r="AC95" t="n">
        <v>8.5</v>
      </c>
      <c r="AD95" t="inlineStr">
        <is>
          <t>The student's submission largely follows the reference solution but has minor issues. Task 1 is mostly correct with a small mistake in the mask transformation. Task 2 correctly defines the U-Net model with the specified encoder. Task 3 implements the training and validation loops accurately. Task 4 defines the loss and optimizer correctly, trains the model, and plots the loss curve, though with fewer epochs than the reference. Task 5 visualizes predictions but uses grayscale for the predicted mask instead of a color map.</t>
        </is>
      </c>
      <c r="AE95" t="n">
        <v>0</v>
      </c>
      <c r="AF95" t="n">
        <v>0</v>
      </c>
      <c r="AG95" t="inlineStr">
        <is>
          <t>No submission found.</t>
        </is>
      </c>
      <c r="AH95" t="n">
        <v>23</v>
      </c>
      <c r="AI95" t="n">
        <v>0</v>
      </c>
    </row>
    <row r="96">
      <c r="A96" t="n">
        <v>95</v>
      </c>
      <c r="B96" t="inlineStr">
        <is>
          <t>TA_2</t>
        </is>
      </c>
      <c r="C96" t="inlineStr">
        <is>
          <t>TA_12</t>
        </is>
      </c>
      <c r="D96" t="n">
        <v>12</v>
      </c>
      <c r="E96" t="n">
        <v>0</v>
      </c>
      <c r="F96" t="n">
        <v>11</v>
      </c>
      <c r="G96" t="n">
        <v>4</v>
      </c>
      <c r="H96" t="n">
        <v>12</v>
      </c>
      <c r="I96" t="n">
        <v>0</v>
      </c>
      <c r="J96" t="n">
        <v>11</v>
      </c>
      <c r="K96" t="n">
        <v>4</v>
      </c>
      <c r="L96" t="n">
        <v>10.65</v>
      </c>
      <c r="M96" t="n">
        <v>2.25</v>
      </c>
      <c r="N96" t="n">
        <v>12</v>
      </c>
      <c r="O96" t="n">
        <v>0</v>
      </c>
      <c r="P96">
        <f>Table1[[#This Row],[TA 1 - Q1 Score]]+Table1[[#This Row],[TA 1 - Q2 Score]]+Table1[[#This Row],[TA 1 - Q3 Score]]</f>
        <v/>
      </c>
      <c r="Q96">
        <f>Table1[[#This Row],[TA 1 - Q1 Bonus]]+Table1[[#This Row],[TA 1 - Q2 Bonus]]+Table1[[#This Row],[TA 1 - Q4 Bonus]]</f>
        <v/>
      </c>
      <c r="R96">
        <f>Table1[[#This Row],[TA 2 - Q1 Score]]+Table1[[#This Row],[TA 2 - Q2 Score]]+Table1[[#This Row],[TA 2 - Q3 Score]]</f>
        <v/>
      </c>
      <c r="S96">
        <f>Table1[[#This Row],[TA 2 - Q1 Bonus]]+Table1[[#This Row],[TA 2 - Q2 Bonus]]+Table1[[#This Row],[TA 2 - Q4 Bonus]]</f>
        <v/>
      </c>
      <c r="T96">
        <f>(Table1[[#This Row],[TA 1 - Total Score (out of 35)]]+Table1[[#This Row],[TA 2 - Total Score (out of 35)]])/2</f>
        <v/>
      </c>
      <c r="U96">
        <f>(Table1[[#This Row],[TA 1 - Total Bonus (out of 13)]]+Table1[[#This Row],[TA 2 - Total Bonus (out of 13)]])/2</f>
        <v/>
      </c>
      <c r="V96">
        <f>Table1[[#This Row],[Average Questions]]/35*20+Table1[[#This Row],[Average Bonus]]/13*5</f>
        <v/>
      </c>
      <c r="W96" t="n">
        <v>7</v>
      </c>
      <c r="X96" t="n">
        <v>0</v>
      </c>
      <c r="Y96" t="inlineStr">
        <is>
          <t>The student completed most tasks with minor issues. The data loading and preparation were mostly correct, though the images appeared rotated or flipped. The model loading and adaptation were partially correct, but the backbone was not properly frozen. The training and validation loops had logical errors in adjusting labels and calculating loss. The plotting of losses and accuracies was correct. No bonus task was attempted.</t>
        </is>
      </c>
      <c r="Z96" t="n">
        <v>6</v>
      </c>
      <c r="AA96" t="n">
        <v>0</v>
      </c>
      <c r="AB96" t="inlineStr">
        <is>
          <t>The student partially completed the tasks. They correctly set up the dataset paths and transformations, but used the wrong directory for the test dataset. The CNN model has 5 convolutional layers with batch normalization, but the architecture differs from the reference solution. The training and validation loops are implemented correctly, but the model was trained for only 5 epochs instead of 10. The plots for losses and accuracies are generated correctly. The bonus task was not attempted.</t>
        </is>
      </c>
      <c r="AC96" t="n">
        <v>8.5</v>
      </c>
      <c r="AD96" t="inlineStr">
        <is>
          <t>The student's submission contains mostly correct code with minor issues. Task 1 is partially correct with a small mistake in the mask transformation order. Task 2 is correct except for the encoder name specified in the model definition. Task 3 is fully correct. Task 4 has a few minor issues, including the choice of optimizer and number of epochs, but the overall approach is correct. Task 5 is mostly correct with a minor issue in the visualization of predicted masks.</t>
        </is>
      </c>
      <c r="AE96" t="n">
        <v>0</v>
      </c>
      <c r="AF96" t="n">
        <v>0</v>
      </c>
      <c r="AG96" t="inlineStr">
        <is>
          <t>The student's implementation contains several errors and does not follow the required approach. The student attempted to use a convolutional layer for grayscale conversion instead of the specified formula, which is incorrect. Additionally, the transformation pipeline is incorrectly defined, and the grayscale conversion method does not produce the correct shape. The visualization and DataLoader tests also do not run as expected due to these issues.</t>
        </is>
      </c>
      <c r="AH96" t="n">
        <v>21.5</v>
      </c>
      <c r="AI96" t="n">
        <v>0</v>
      </c>
    </row>
    <row r="97">
      <c r="A97" t="n">
        <v>96</v>
      </c>
      <c r="B97" t="inlineStr">
        <is>
          <t>TA_2</t>
        </is>
      </c>
      <c r="C97" t="inlineStr">
        <is>
          <t>TA_12</t>
        </is>
      </c>
      <c r="D97" t="n">
        <v>6.5</v>
      </c>
      <c r="E97" t="n">
        <v>0</v>
      </c>
      <c r="F97" t="n">
        <v>6.65</v>
      </c>
      <c r="G97" t="n">
        <v>0</v>
      </c>
      <c r="H97" t="n">
        <v>7</v>
      </c>
      <c r="I97" t="n">
        <v>0</v>
      </c>
      <c r="J97" t="n">
        <v>2.75</v>
      </c>
      <c r="K97" t="n">
        <v>0</v>
      </c>
      <c r="L97" t="n">
        <v>6.75</v>
      </c>
      <c r="M97" t="n">
        <v>0</v>
      </c>
      <c r="N97" t="n">
        <v>3.9</v>
      </c>
      <c r="O97" t="n">
        <v>0</v>
      </c>
      <c r="P97">
        <f>Table1[[#This Row],[TA 1 - Q1 Score]]+Table1[[#This Row],[TA 1 - Q2 Score]]+Table1[[#This Row],[TA 1 - Q3 Score]]</f>
        <v/>
      </c>
      <c r="Q97">
        <f>Table1[[#This Row],[TA 1 - Q1 Bonus]]+Table1[[#This Row],[TA 1 - Q2 Bonus]]+Table1[[#This Row],[TA 1 - Q4 Bonus]]</f>
        <v/>
      </c>
      <c r="R97">
        <f>Table1[[#This Row],[TA 2 - Q1 Score]]+Table1[[#This Row],[TA 2 - Q2 Score]]+Table1[[#This Row],[TA 2 - Q3 Score]]</f>
        <v/>
      </c>
      <c r="S97">
        <f>Table1[[#This Row],[TA 2 - Q1 Bonus]]+Table1[[#This Row],[TA 2 - Q2 Bonus]]+Table1[[#This Row],[TA 2 - Q4 Bonus]]</f>
        <v/>
      </c>
      <c r="T97">
        <f>(Table1[[#This Row],[TA 1 - Total Score (out of 35)]]+Table1[[#This Row],[TA 2 - Total Score (out of 35)]])/2</f>
        <v/>
      </c>
      <c r="U97">
        <f>(Table1[[#This Row],[TA 1 - Total Bonus (out of 13)]]+Table1[[#This Row],[TA 2 - Total Bonus (out of 13)]])/2</f>
        <v/>
      </c>
      <c r="V97">
        <f>Table1[[#This Row],[Average Questions]]/35*20+Table1[[#This Row],[Average Bonus]]/13*5</f>
        <v/>
      </c>
      <c r="W97" t="n">
        <v>5</v>
      </c>
      <c r="X97" t="n">
        <v>0</v>
      </c>
      <c r="Y97" t="inlineStr">
        <is>
          <t>The student completed the data loading and preparation with correct transformations, including resizing, converting to tensor, and normalizing. However, the DataLoader batch size was set to 32 instead of 64, and sample image display was incomplete. The model loading and adaptation were mostly correct, but the backbone was not explicitly frozen. The training and validation loops had issues with label fixing and accuracy calculation, using sigmoid activation incorrectly. The training process did not update the validation loss and accuracy lists correctly, leading to incorrect plotting. No bonus task was attempted.</t>
        </is>
      </c>
      <c r="Z97" t="n">
        <v>2</v>
      </c>
      <c r="AA97" t="n">
        <v>0</v>
      </c>
      <c r="AB97" t="inlineStr">
        <is>
          <t>The student attempted to load and prepare the data using a custom Dataset class and defined appropriate transformations. However, the DataLoader creation was incorrect as it referenced undefined datasets. The CNN model implemented was an AlexNet variant instead of the required 5-layer CNN with batch normalization. The training and validation loops were partially correct but lacked loss tracking. The training section did not plot losses and accuracies as required.</t>
        </is>
      </c>
      <c r="AC97" t="n">
        <v>4</v>
      </c>
      <c r="AD97" t="inlineStr">
        <is>
          <t>The student did not complete Task 1, as the dataset class and DataLoaders were not implemented. Task 2 received 0% because the student implemented a custom U-Net instead of using a pretrained U-Net with an efficientnet-b1 encoder. Task 3 was partially completed with correct training and validation loops but lacked proper implementation details. Task 4 had issues with the training process, including incorrect handling of losses and accuracies, and an incorrect number of epochs. Task 5 was partially completed with visualization code, but it used incorrect methods for displaying predictions.</t>
        </is>
      </c>
      <c r="AE97" t="n">
        <v>0</v>
      </c>
      <c r="AF97" t="n">
        <v>0</v>
      </c>
      <c r="AG97" t="inlineStr">
        <is>
          <t>No submission found.</t>
        </is>
      </c>
      <c r="AH97" t="n">
        <v>11</v>
      </c>
      <c r="AI97" t="n">
        <v>0</v>
      </c>
    </row>
    <row r="98">
      <c r="A98" t="n">
        <v>97</v>
      </c>
      <c r="B98" t="inlineStr">
        <is>
          <t>TA_2</t>
        </is>
      </c>
      <c r="C98" t="inlineStr">
        <is>
          <t>TA_12</t>
        </is>
      </c>
      <c r="D98" t="n">
        <v>12</v>
      </c>
      <c r="E98" t="n">
        <v>3</v>
      </c>
      <c r="F98" t="n">
        <v>11</v>
      </c>
      <c r="G98" t="n">
        <v>1</v>
      </c>
      <c r="H98" t="n">
        <v>11.5</v>
      </c>
      <c r="I98" t="n">
        <v>0</v>
      </c>
      <c r="J98" t="n">
        <v>12</v>
      </c>
      <c r="K98" t="n">
        <v>3.5</v>
      </c>
      <c r="L98" t="n">
        <v>10.5</v>
      </c>
      <c r="M98" t="n">
        <v>0</v>
      </c>
      <c r="N98" t="n">
        <v>11</v>
      </c>
      <c r="O98" t="n">
        <v>0</v>
      </c>
      <c r="P98">
        <f>Table1[[#This Row],[TA 1 - Q1 Score]]+Table1[[#This Row],[TA 1 - Q2 Score]]+Table1[[#This Row],[TA 1 - Q3 Score]]</f>
        <v/>
      </c>
      <c r="Q98">
        <f>Table1[[#This Row],[TA 1 - Q1 Bonus]]+Table1[[#This Row],[TA 1 - Q2 Bonus]]+Table1[[#This Row],[TA 1 - Q4 Bonus]]</f>
        <v/>
      </c>
      <c r="R98">
        <f>Table1[[#This Row],[TA 2 - Q1 Score]]+Table1[[#This Row],[TA 2 - Q2 Score]]+Table1[[#This Row],[TA 2 - Q3 Score]]</f>
        <v/>
      </c>
      <c r="S98">
        <f>Table1[[#This Row],[TA 2 - Q1 Bonus]]+Table1[[#This Row],[TA 2 - Q2 Bonus]]+Table1[[#This Row],[TA 2 - Q4 Bonus]]</f>
        <v/>
      </c>
      <c r="T98">
        <f>(Table1[[#This Row],[TA 1 - Total Score (out of 35)]]+Table1[[#This Row],[TA 2 - Total Score (out of 35)]])/2</f>
        <v/>
      </c>
      <c r="U98">
        <f>(Table1[[#This Row],[TA 1 - Total Bonus (out of 13)]]+Table1[[#This Row],[TA 2 - Total Bonus (out of 13)]])/2</f>
        <v/>
      </c>
      <c r="V98">
        <f>Table1[[#This Row],[Average Questions]]/35*20+Table1[[#This Row],[Average Bonus]]/13*5</f>
        <v/>
      </c>
      <c r="W98" t="n">
        <v>8</v>
      </c>
      <c r="X98" t="n">
        <v>0</v>
      </c>
      <c r="Y98" t="inlineStr">
        <is>
          <t>The student completed most tasks correctly but made some mistakes. The data loading and preparation were mostly accurate, though the DataLoader shuffle setting for the test set was incorrect. The model loading and adaptation were correct, but the student used EfficientNet-B0 instead of EfficientNetV2-Small. The training and validation loops were implemented correctly, including label fixing. However, the bonus task was not correctly implemented as the student averaged the losses instead of the predictions.</t>
        </is>
      </c>
      <c r="Z98" t="n">
        <v>7</v>
      </c>
      <c r="AA98" t="n">
        <v>0</v>
      </c>
      <c r="AB98" t="inlineStr">
        <is>
          <t>The student partially completed the tasks. They correctly set up the dataset and DataLoaders with appropriate transformations, including RandomRotation and resizing to 32x32. However, they made mistakes in the CNN model definition, using fewer than 5 convolutional layers and incorrectly implementing the residual connection. The training and validation loops were mostly correct but included unnecessary softmax calls. The plots for losses and accuracies were correctly implemented.</t>
        </is>
      </c>
      <c r="AC98" t="n">
        <v>8.5</v>
      </c>
      <c r="AD98" t="inlineStr">
        <is>
          <t>The student's submission includes most of the required tasks with minor issues. The dataset class is implemented correctly, and the DataLoaders are set up properly. However, the student did not display sample images and masks, resulting in a deduction. The model class uses the correct encoder, but the dataset class name differs slightly from the reference. The training and validation loops are implemented correctly, and the model is trained and validated with appropriate loss and optimizer. The loss curve is plotted, and predictions are visualized against ground truth, though the visualization could be improved for clarity.</t>
        </is>
      </c>
      <c r="AE98" t="n">
        <v>0</v>
      </c>
      <c r="AF98" t="n">
        <v>0</v>
      </c>
      <c r="AG98" t="inlineStr">
        <is>
          <t>No submission found.</t>
        </is>
      </c>
      <c r="AH98" t="n">
        <v>23.5</v>
      </c>
      <c r="AI98" t="n">
        <v>0</v>
      </c>
    </row>
    <row r="99">
      <c r="A99" t="n">
        <v>98</v>
      </c>
      <c r="B99" t="inlineStr">
        <is>
          <t>TA_2</t>
        </is>
      </c>
      <c r="C99" t="inlineStr">
        <is>
          <t>TA_12</t>
        </is>
      </c>
      <c r="D99" t="n">
        <v>6</v>
      </c>
      <c r="E99" t="n">
        <v>0</v>
      </c>
      <c r="F99" t="n">
        <v>4.5</v>
      </c>
      <c r="G99" t="n">
        <v>0</v>
      </c>
      <c r="H99" t="n">
        <v>3.5</v>
      </c>
      <c r="I99" t="n">
        <v>0</v>
      </c>
      <c r="J99" t="n">
        <v>3.25</v>
      </c>
      <c r="K99" t="n">
        <v>0</v>
      </c>
      <c r="L99" t="n">
        <v>2.75</v>
      </c>
      <c r="M99" t="n">
        <v>0</v>
      </c>
      <c r="N99" t="n">
        <v>0.4</v>
      </c>
      <c r="O99" t="n">
        <v>0</v>
      </c>
      <c r="P99">
        <f>Table1[[#This Row],[TA 1 - Q1 Score]]+Table1[[#This Row],[TA 1 - Q2 Score]]+Table1[[#This Row],[TA 1 - Q3 Score]]</f>
        <v/>
      </c>
      <c r="Q99">
        <f>Table1[[#This Row],[TA 1 - Q1 Bonus]]+Table1[[#This Row],[TA 1 - Q2 Bonus]]+Table1[[#This Row],[TA 1 - Q4 Bonus]]</f>
        <v/>
      </c>
      <c r="R99">
        <f>Table1[[#This Row],[TA 2 - Q1 Score]]+Table1[[#This Row],[TA 2 - Q2 Score]]+Table1[[#This Row],[TA 2 - Q3 Score]]</f>
        <v/>
      </c>
      <c r="S99">
        <f>Table1[[#This Row],[TA 2 - Q1 Bonus]]+Table1[[#This Row],[TA 2 - Q2 Bonus]]+Table1[[#This Row],[TA 2 - Q4 Bonus]]</f>
        <v/>
      </c>
      <c r="T99">
        <f>(Table1[[#This Row],[TA 1 - Total Score (out of 35)]]+Table1[[#This Row],[TA 2 - Total Score (out of 35)]])/2</f>
        <v/>
      </c>
      <c r="U99">
        <f>(Table1[[#This Row],[TA 1 - Total Bonus (out of 13)]]+Table1[[#This Row],[TA 2 - Total Bonus (out of 13)]])/2</f>
        <v/>
      </c>
      <c r="V99">
        <f>Table1[[#This Row],[Average Questions]]/35*20+Table1[[#This Row],[Average Bonus]]/13*5</f>
        <v/>
      </c>
      <c r="W99" t="n">
        <v>5</v>
      </c>
      <c r="X99" t="n">
        <v>0</v>
      </c>
      <c r="Y99" t="inlineStr">
        <is>
          <t>The student completed the data loading and transformation steps correctly, including resizing, converting to tensor, and normalizing the images. However, there were issues with the number of classes being set to 25 instead of 26. The DataLoaders were created but with a smaller batch size and more workers than the reference solution. The model loading and adaptation were mostly correct, but the backbone was not explicitly frozen. The training and validation loops had syntax errors, such as squeezing the model outputs and using an incorrect learning rate. The bonus task was not attempted.</t>
        </is>
      </c>
      <c r="Z99" t="n">
        <v>2</v>
      </c>
      <c r="AA99" t="n">
        <v>0</v>
      </c>
      <c r="AB99" t="inlineStr">
        <is>
          <t>The student attempted to load and prepare the data, create a custom dataset class, and define transformations. However, there were several issues: the dataset class incorrectly used the MNIST dataset instead of the Potato Disease dataset, and the transformations were applied inconsistently. The CNN model was incorrectly defined with only one convolutional layer repeated multiple times, and the training and validation functions were partially implemented but not fully integrated with the dataset. No residual connection was added, and the plotting of losses and accuracies was not attempted.</t>
        </is>
      </c>
      <c r="AC99" t="n">
        <v>2</v>
      </c>
      <c r="AD99" t="inlineStr">
        <is>
          <t>The student attempted Task 1 by creating a custom dataset class and defining data loaders, but the dataset class incorrectly uses a CSV file for paths instead of directly listing image and mask files. Task 2 is incomplete as the student did not define the pretrained U-Net model. Tasks 3, 4, and 5 were not attempted.</t>
        </is>
      </c>
      <c r="AE99" t="n">
        <v>0</v>
      </c>
      <c r="AF99" t="n">
        <v>0</v>
      </c>
      <c r="AG99" t="inlineStr">
        <is>
          <t>The student did not implement the required methods in the `ColorizationDataset` class. The `__init__`, `__len__`, `rgb_to_grayscale`, and `__getitem__` methods were left unimplemented with only placeholders. Additionally, the `transform` parameter in the CIFAR-10 dataset loading was incorrectly specified, which would cause an error.</t>
        </is>
      </c>
      <c r="AH99" t="n">
        <v>9</v>
      </c>
      <c r="AI99" t="n">
        <v>0</v>
      </c>
    </row>
    <row r="100">
      <c r="A100" t="n">
        <v>99</v>
      </c>
      <c r="B100" t="inlineStr">
        <is>
          <t>TA_2</t>
        </is>
      </c>
      <c r="C100" t="inlineStr">
        <is>
          <t>TA_12</t>
        </is>
      </c>
      <c r="D100" t="n">
        <v>10</v>
      </c>
      <c r="E100" t="n">
        <v>0</v>
      </c>
      <c r="F100" t="n">
        <v>11</v>
      </c>
      <c r="G100" t="n">
        <v>0</v>
      </c>
      <c r="H100" t="n">
        <v>2</v>
      </c>
      <c r="I100" t="n">
        <v>5</v>
      </c>
      <c r="J100" t="n">
        <v>11</v>
      </c>
      <c r="K100" t="n">
        <v>4</v>
      </c>
      <c r="L100" t="n">
        <v>10</v>
      </c>
      <c r="M100" t="n">
        <v>0</v>
      </c>
      <c r="N100" t="n">
        <v>0</v>
      </c>
      <c r="O100" t="n">
        <v>5</v>
      </c>
      <c r="P100">
        <f>Table1[[#This Row],[TA 1 - Q1 Score]]+Table1[[#This Row],[TA 1 - Q2 Score]]+Table1[[#This Row],[TA 1 - Q3 Score]]</f>
        <v/>
      </c>
      <c r="Q100">
        <f>Table1[[#This Row],[TA 1 - Q1 Bonus]]+Table1[[#This Row],[TA 1 - Q2 Bonus]]+Table1[[#This Row],[TA 1 - Q4 Bonus]]</f>
        <v/>
      </c>
      <c r="R100">
        <f>Table1[[#This Row],[TA 2 - Q1 Score]]+Table1[[#This Row],[TA 2 - Q2 Score]]+Table1[[#This Row],[TA 2 - Q3 Score]]</f>
        <v/>
      </c>
      <c r="S100">
        <f>Table1[[#This Row],[TA 2 - Q1 Bonus]]+Table1[[#This Row],[TA 2 - Q2 Bonus]]+Table1[[#This Row],[TA 2 - Q4 Bonus]]</f>
        <v/>
      </c>
      <c r="T100">
        <f>(Table1[[#This Row],[TA 1 - Total Score (out of 35)]]+Table1[[#This Row],[TA 2 - Total Score (out of 35)]])/2</f>
        <v/>
      </c>
      <c r="U100">
        <f>(Table1[[#This Row],[TA 1 - Total Bonus (out of 13)]]+Table1[[#This Row],[TA 2 - Total Bonus (out of 13)]])/2</f>
        <v/>
      </c>
      <c r="V100">
        <f>Table1[[#This Row],[Average Questions]]/35*20+Table1[[#This Row],[Average Bonus]]/13*5</f>
        <v/>
      </c>
      <c r="W100" t="n">
        <v>10.5</v>
      </c>
      <c r="X100" t="n">
        <v>3</v>
      </c>
      <c r="Y100" t="inlineStr">
        <is>
          <t>The student completed most tasks correctly. The transforms were defined properly, and the DataLoaders were set up with a batch size of 128. Sample images were displayed correctly. The pretrained EfficientNetV2-Small model was loaded and adapted with the backbone frozen and the classifier replaced for 26 classes. The training and validation loops were implemented correctly, including label fixing. The model was trained and plotted accurately. In the bonus task, the student correctly defined three predictions (original, h flip, v flip) and averaged them, though the optimizer was incorrectly set to only update the classifier parameters.</t>
        </is>
      </c>
      <c r="Z100" t="n">
        <v>8.5</v>
      </c>
      <c r="AA100" t="n">
        <v>0</v>
      </c>
      <c r="AB100" t="inlineStr">
        <is>
          <t>The student successfully completed most tasks with minor issues. The data loading and preparation section was mostly correct, with the exception of using a batch size of 64 instead of 32. The CNN model had 5 convolutional layers with batch normalization, but the fifth layer had an incorrect number of input channels. The training and validation functions were implemented correctly, and the model trained and plotted the results. However, the bonus task was not attempted.</t>
        </is>
      </c>
      <c r="AC100" t="n">
        <v>0.5</v>
      </c>
      <c r="AD100" t="inlineStr">
        <is>
          <t>The student has started the dataset class implementation but did not complete it. The DataLoader creation and sample display are missing. The model class, training and validation loops, running training, and visualizing predictions tasks are entirely absent.</t>
        </is>
      </c>
      <c r="AE100" t="n">
        <v>0</v>
      </c>
      <c r="AF100" t="n">
        <v>5</v>
      </c>
      <c r="AG100" t="inlineStr">
        <is>
          <t>The student's implementation of the ColorizationDataset class is correct and runs perfectly, producing the expected output and following the optimal logic. The code includes all required methods (__init__, __len__, rgb_to_grayscale, __getitem__) and the visualization step is also correctly implemented. Therefore, the student receives full bonus points for this task.</t>
        </is>
      </c>
      <c r="AH100" t="n">
        <v>19.5</v>
      </c>
      <c r="AI100" t="n">
        <v>8</v>
      </c>
    </row>
    <row r="101">
      <c r="A101" t="n">
        <v>100</v>
      </c>
      <c r="B101" t="inlineStr">
        <is>
          <t>TA_2</t>
        </is>
      </c>
      <c r="C101" t="inlineStr">
        <is>
          <t>TA_12</t>
        </is>
      </c>
      <c r="D101" t="n">
        <v>8.5</v>
      </c>
      <c r="E101" t="n">
        <v>1</v>
      </c>
      <c r="F101" t="n">
        <v>10.5</v>
      </c>
      <c r="G101" t="n">
        <v>1</v>
      </c>
      <c r="H101" t="n">
        <v>12</v>
      </c>
      <c r="I101" t="n">
        <v>0</v>
      </c>
      <c r="J101" t="n">
        <v>5.5</v>
      </c>
      <c r="K101" t="n">
        <v>0.5</v>
      </c>
      <c r="L101" t="n">
        <v>10</v>
      </c>
      <c r="M101" t="n">
        <v>0</v>
      </c>
      <c r="N101" t="n">
        <v>11.9</v>
      </c>
      <c r="O101" t="n">
        <v>0</v>
      </c>
      <c r="P101">
        <f>Table1[[#This Row],[TA 1 - Q1 Score]]+Table1[[#This Row],[TA 1 - Q2 Score]]+Table1[[#This Row],[TA 1 - Q3 Score]]</f>
        <v/>
      </c>
      <c r="Q101">
        <f>Table1[[#This Row],[TA 1 - Q1 Bonus]]+Table1[[#This Row],[TA 1 - Q2 Bonus]]+Table1[[#This Row],[TA 1 - Q4 Bonus]]</f>
        <v/>
      </c>
      <c r="R101">
        <f>Table1[[#This Row],[TA 2 - Q1 Score]]+Table1[[#This Row],[TA 2 - Q2 Score]]+Table1[[#This Row],[TA 2 - Q3 Score]]</f>
        <v/>
      </c>
      <c r="S101">
        <f>Table1[[#This Row],[TA 2 - Q1 Bonus]]+Table1[[#This Row],[TA 2 - Q2 Bonus]]+Table1[[#This Row],[TA 2 - Q4 Bonus]]</f>
        <v/>
      </c>
      <c r="T101">
        <f>(Table1[[#This Row],[TA 1 - Total Score (out of 35)]]+Table1[[#This Row],[TA 2 - Total Score (out of 35)]])/2</f>
        <v/>
      </c>
      <c r="U101">
        <f>(Table1[[#This Row],[TA 1 - Total Bonus (out of 13)]]+Table1[[#This Row],[TA 2 - Total Bonus (out of 13)]])/2</f>
        <v/>
      </c>
      <c r="V101">
        <f>Table1[[#This Row],[Average Questions]]/35*20+Table1[[#This Row],[Average Bonus]]/13*5</f>
        <v/>
      </c>
      <c r="W101" t="n">
        <v>5</v>
      </c>
      <c r="X101" t="n">
        <v>0</v>
      </c>
      <c r="Y101" t="inlineStr">
        <is>
          <t>The student completed the data loading and transformation steps correctly, including resizing, converting to tensor, and normalizing with ImageNet statistics. However, the DataLoader creation and sample image display had issues. The model loading and adaptation were partially correct, but the classifier head was incorrectly set to 27 classes instead of 26. The training and validation loops were mostly correct but did not adjust labels to be 0-indexed, resulting in a penalty. The bonus task was not attempted.</t>
        </is>
      </c>
      <c r="Z101" t="n">
        <v>6</v>
      </c>
      <c r="AA101" t="n">
        <v>0</v>
      </c>
      <c r="AB101" t="inlineStr">
        <is>
          <t>The student successfully loaded and prepared the data with correct transformations and displayed sample images. However, the CNN model has incorrect architecture with only 5 convolutional layers but with fewer filters and incorrect fully connected layer sizes. The training and validation functions are mostly correct but contain unnecessary softmax operations. The model setup and training loop are correct, and the loss and accuracy plots are generated properly. The bonus task was not completed as the student attempted to implement skip connections incorrectly, resembling an autoencoder structure instead.</t>
        </is>
      </c>
      <c r="AC101" t="n">
        <v>8.5</v>
      </c>
      <c r="AD101" t="inlineStr">
        <is>
          <t>The student's submission largely follows the reference solution but contains minor issues. Task 1 is mostly correct with a small redundancy in defining transformations. Task 2 correctly defines the U-Net model with the specified encoder. Task 3 implements training and validation loops accurately. Task 4 defines the loss and optimizer correctly but trains for only 2 epochs instead of 10, and the learning rate is different. Task 5 visualizes predictions correctly but uses a different colormap for masks.</t>
        </is>
      </c>
      <c r="AE101" t="n">
        <v>0</v>
      </c>
      <c r="AF101" t="n">
        <v>0</v>
      </c>
      <c r="AG101" t="inlineStr">
        <is>
          <t>The student did not implement any of the required methods in the `ColorizationDataset` class. The `__init__`, `__len__`, `rgb_to_grayscale`, and `__getitem__` methods were left unimplemented with only placeholder comments. As a result, the code does not run and fails to produce the expected output.</t>
        </is>
      </c>
      <c r="AH101" t="n">
        <v>19.5</v>
      </c>
      <c r="AI101" t="n">
        <v>0</v>
      </c>
    </row>
    <row r="102">
      <c r="A102" t="n">
        <v>101</v>
      </c>
      <c r="B102" t="inlineStr">
        <is>
          <t>TA_2</t>
        </is>
      </c>
      <c r="C102" t="inlineStr">
        <is>
          <t>TA_12</t>
        </is>
      </c>
      <c r="D102" t="n">
        <v>6.7</v>
      </c>
      <c r="E102" t="n">
        <v>0</v>
      </c>
      <c r="F102" t="n">
        <v>8</v>
      </c>
      <c r="G102" t="n">
        <v>0</v>
      </c>
      <c r="H102" t="n">
        <v>12</v>
      </c>
      <c r="I102" t="n">
        <v>0</v>
      </c>
      <c r="J102" t="n">
        <v>6.5</v>
      </c>
      <c r="K102" t="n">
        <v>0</v>
      </c>
      <c r="L102" t="n">
        <v>3.6</v>
      </c>
      <c r="M102" t="n">
        <v>0</v>
      </c>
      <c r="N102" t="n">
        <v>11.8</v>
      </c>
      <c r="O102" t="n">
        <v>0</v>
      </c>
      <c r="P102">
        <f>Table1[[#This Row],[TA 1 - Q1 Score]]+Table1[[#This Row],[TA 1 - Q2 Score]]+Table1[[#This Row],[TA 1 - Q3 Score]]</f>
        <v/>
      </c>
      <c r="Q102">
        <f>Table1[[#This Row],[TA 1 - Q1 Bonus]]+Table1[[#This Row],[TA 1 - Q2 Bonus]]+Table1[[#This Row],[TA 1 - Q4 Bonus]]</f>
        <v/>
      </c>
      <c r="R102">
        <f>Table1[[#This Row],[TA 2 - Q1 Score]]+Table1[[#This Row],[TA 2 - Q2 Score]]+Table1[[#This Row],[TA 2 - Q3 Score]]</f>
        <v/>
      </c>
      <c r="S102">
        <f>Table1[[#This Row],[TA 2 - Q1 Bonus]]+Table1[[#This Row],[TA 2 - Q2 Bonus]]+Table1[[#This Row],[TA 2 - Q4 Bonus]]</f>
        <v/>
      </c>
      <c r="T102">
        <f>(Table1[[#This Row],[TA 1 - Total Score (out of 35)]]+Table1[[#This Row],[TA 2 - Total Score (out of 35)]])/2</f>
        <v/>
      </c>
      <c r="U102">
        <f>(Table1[[#This Row],[TA 1 - Total Bonus (out of 13)]]+Table1[[#This Row],[TA 2 - Total Bonus (out of 13)]])/2</f>
        <v/>
      </c>
      <c r="V102">
        <f>Table1[[#This Row],[Average Questions]]/35*20+Table1[[#This Row],[Average Bonus]]/13*5</f>
        <v/>
      </c>
      <c r="W102" t="n">
        <v>7</v>
      </c>
      <c r="X102" t="n">
        <v>0</v>
      </c>
      <c r="Y102" t="inlineStr">
        <is>
          <t>The student completed most tasks with minor issues. Transforms were mostly correct but lacked comments indicating completion. DataLoaders were created but with incorrect shuffling for the test set. Sample images were displayed without labels. The pretrained model was loaded and adapted correctly. Training and validation loops were implemented with some unnecessary squeezing and softmax operations. Labels were not adjusted for 0-indexing, resulting in a penalty. The training process ran with an unusually high learning rate and many epochs, but the core logic was correct. No bonus task was attempted.</t>
        </is>
      </c>
      <c r="Z102" t="n">
        <v>2.5</v>
      </c>
      <c r="AA102" t="n">
        <v>0</v>
      </c>
      <c r="AB102" t="inlineStr">
        <is>
          <t>The student partially completed several tasks but made significant errors. They correctly defined the dataset class and applied transformations, including RandomRotation, but used an incorrect dataset split method. The CNN model was defined with 5 convolutional layers but had incorrect channel sizes and a missing argument in BatchNorm. No training or validation functions were implemented, and the model was not trained or evaluated.</t>
        </is>
      </c>
      <c r="AC102" t="n">
        <v>8</v>
      </c>
      <c r="AD102" t="inlineStr">
        <is>
          <t>The student successfully implemented a custom dataset class, created DataLoaders, and displayed sample images and masks, earning full points for Task 1. They correctly defined a pretrained U-Net model with an efficientnet-b1 encoder in Task 2. However, in Task 3, the training and validation loops were partially correct but contained minor issues, such as not using the correct device for tensors. In Task 4, the student defined the loss and optimizer, trained the model, printed the training and validation losses, and plotted the loss curve, but used a different learning rate and optimizer (AdamW instead of Adam). Task 5 was mostly correct, but the predicted masks were visualized in grayscale instead of using a colormap. Overall, the submission was well-structured and ran end-to-end with minor issues.</t>
        </is>
      </c>
      <c r="AE102" t="n">
        <v>0</v>
      </c>
      <c r="AF102" t="n">
        <v>0</v>
      </c>
      <c r="AG102" t="inlineStr">
        <is>
          <t>No submission found.</t>
        </is>
      </c>
      <c r="AH102" t="n">
        <v>17.5</v>
      </c>
      <c r="AI102" t="n">
        <v>0</v>
      </c>
    </row>
    <row r="103">
      <c r="A103" t="n">
        <v>102</v>
      </c>
      <c r="B103" t="inlineStr">
        <is>
          <t>TA_2</t>
        </is>
      </c>
      <c r="C103" t="inlineStr">
        <is>
          <t>TA_12</t>
        </is>
      </c>
      <c r="D103" t="n">
        <v>5.5</v>
      </c>
      <c r="E103" t="n">
        <v>0</v>
      </c>
      <c r="F103" t="n">
        <v>9</v>
      </c>
      <c r="G103" t="n">
        <v>3</v>
      </c>
      <c r="H103" t="n">
        <v>12</v>
      </c>
      <c r="I103" t="n">
        <v>0</v>
      </c>
      <c r="J103" t="n">
        <v>4.75</v>
      </c>
      <c r="K103" t="n">
        <v>0</v>
      </c>
      <c r="L103" t="n">
        <v>8</v>
      </c>
      <c r="M103" t="n">
        <v>0</v>
      </c>
      <c r="N103" t="n">
        <v>4.65</v>
      </c>
      <c r="O103" t="n">
        <v>0</v>
      </c>
      <c r="P103">
        <f>Table1[[#This Row],[TA 1 - Q1 Score]]+Table1[[#This Row],[TA 1 - Q2 Score]]+Table1[[#This Row],[TA 1 - Q3 Score]]</f>
        <v/>
      </c>
      <c r="Q103">
        <f>Table1[[#This Row],[TA 1 - Q1 Bonus]]+Table1[[#This Row],[TA 1 - Q2 Bonus]]+Table1[[#This Row],[TA 1 - Q4 Bonus]]</f>
        <v/>
      </c>
      <c r="R103">
        <f>Table1[[#This Row],[TA 2 - Q1 Score]]+Table1[[#This Row],[TA 2 - Q2 Score]]+Table1[[#This Row],[TA 2 - Q3 Score]]</f>
        <v/>
      </c>
      <c r="S103">
        <f>Table1[[#This Row],[TA 2 - Q1 Bonus]]+Table1[[#This Row],[TA 2 - Q2 Bonus]]+Table1[[#This Row],[TA 2 - Q4 Bonus]]</f>
        <v/>
      </c>
      <c r="T103">
        <f>(Table1[[#This Row],[TA 1 - Total Score (out of 35)]]+Table1[[#This Row],[TA 2 - Total Score (out of 35)]])/2</f>
        <v/>
      </c>
      <c r="U103">
        <f>(Table1[[#This Row],[TA 1 - Total Bonus (out of 13)]]+Table1[[#This Row],[TA 2 - Total Bonus (out of 13)]])/2</f>
        <v/>
      </c>
      <c r="V103">
        <f>Table1[[#This Row],[Average Questions]]/35*20+Table1[[#This Row],[Average Bonus]]/13*5</f>
        <v/>
      </c>
      <c r="W103" t="n">
        <v>4</v>
      </c>
      <c r="X103" t="n">
        <v>0</v>
      </c>
      <c r="Y103" t="inlineStr">
        <is>
          <t>The student partially completed several tasks but made significant errors. The data loading and preparation section had issues with the target transformations and incorrect DataLoader usage. The model adaptation section froze the entire model instead of just the backbone. The training and validation loops were implemented but did not adjust the labels correctly. The plotting of losses and accuracies was not included. No bonus task was attempted.</t>
        </is>
      </c>
      <c r="Z103" t="n">
        <v>6</v>
      </c>
      <c r="AA103" t="n">
        <v>0</v>
      </c>
      <c r="AB103" t="inlineStr">
        <is>
          <t>The student implemented a custom dataset class and used ImageFolder for loading datasets, achieving partial credit for both. The transformations were correctly applied, including RandomRotation and resizing to 32x32, earning full marks for this part. However, the CNN model had incorrect layer definitions and lacked BatchNormalization, resulting in partial credit. The training and validation loops were correctly implemented, earning full marks. The bonus task was not completed as the student defined a U-Net model instead of adding a residual connection to the CNN.</t>
        </is>
      </c>
      <c r="AC103" t="n">
        <v>4</v>
      </c>
      <c r="AD103" t="inlineStr">
        <is>
          <t>The student attempted most tasks but made significant errors. In Task 1, the dataset class was partially implemented with missing sorting of paths and incorrect usage of ImageFolder. DataLoader creation was incorrect due to separate datasets for images and masks. Task 2 used the wrong number of classes. Task 3 had incomplete training and validation loops with incorrect handling of masks. Task 4 used BCEWithLogitsLoss instead of CrossEntropyLoss and had issues with mask dimensions. Task 5 had incorrect visualization code with mismatched dimensions and titles.</t>
        </is>
      </c>
      <c r="AE103" t="n">
        <v>0</v>
      </c>
      <c r="AF103" t="n">
        <v>0</v>
      </c>
      <c r="AG103" t="inlineStr">
        <is>
          <t>No submission found.</t>
        </is>
      </c>
      <c r="AH103" t="n">
        <v>14</v>
      </c>
      <c r="AI103" t="n">
        <v>0</v>
      </c>
    </row>
    <row r="104">
      <c r="A104" t="n">
        <v>103</v>
      </c>
      <c r="B104" t="inlineStr">
        <is>
          <t>TA_2</t>
        </is>
      </c>
      <c r="C104" t="inlineStr">
        <is>
          <t>TA_12</t>
        </is>
      </c>
      <c r="D104" t="n">
        <v>11</v>
      </c>
      <c r="E104" t="n">
        <v>4</v>
      </c>
      <c r="F104" t="n">
        <v>10.5</v>
      </c>
      <c r="G104" t="n">
        <v>3</v>
      </c>
      <c r="H104" t="n">
        <v>12</v>
      </c>
      <c r="I104" t="n">
        <v>5</v>
      </c>
      <c r="J104" t="n">
        <v>12</v>
      </c>
      <c r="K104" t="n">
        <v>4</v>
      </c>
      <c r="L104" t="n">
        <v>10</v>
      </c>
      <c r="M104" t="n">
        <v>4</v>
      </c>
      <c r="N104" t="n">
        <v>11.8</v>
      </c>
      <c r="O104" t="n">
        <v>5</v>
      </c>
      <c r="P104">
        <f>Table1[[#This Row],[TA 1 - Q1 Score]]+Table1[[#This Row],[TA 1 - Q2 Score]]+Table1[[#This Row],[TA 1 - Q3 Score]]</f>
        <v/>
      </c>
      <c r="Q104">
        <f>Table1[[#This Row],[TA 1 - Q1 Bonus]]+Table1[[#This Row],[TA 1 - Q2 Bonus]]+Table1[[#This Row],[TA 1 - Q4 Bonus]]</f>
        <v/>
      </c>
      <c r="R104">
        <f>Table1[[#This Row],[TA 2 - Q1 Score]]+Table1[[#This Row],[TA 2 - Q2 Score]]+Table1[[#This Row],[TA 2 - Q3 Score]]</f>
        <v/>
      </c>
      <c r="S104">
        <f>Table1[[#This Row],[TA 2 - Q1 Bonus]]+Table1[[#This Row],[TA 2 - Q2 Bonus]]+Table1[[#This Row],[TA 2 - Q4 Bonus]]</f>
        <v/>
      </c>
      <c r="T104">
        <f>(Table1[[#This Row],[TA 1 - Total Score (out of 35)]]+Table1[[#This Row],[TA 2 - Total Score (out of 35)]])/2</f>
        <v/>
      </c>
      <c r="U104">
        <f>(Table1[[#This Row],[TA 1 - Total Bonus (out of 13)]]+Table1[[#This Row],[TA 2 - Total Bonus (out of 13)]])/2</f>
        <v/>
      </c>
      <c r="V104">
        <f>Table1[[#This Row],[Average Questions]]/35*20+Table1[[#This Row],[Average Bonus]]/13*5</f>
        <v/>
      </c>
      <c r="W104" t="n">
        <v>11</v>
      </c>
      <c r="X104" t="n">
        <v>4</v>
      </c>
      <c r="Y104" t="inlineStr">
        <is>
          <t>The student's submission is mostly correct and runs end-to-end. They completed all required tasks with minor issues. In Part 1, the transforms and DataLoaders were correctly implemented, and sample images were displayed. In Part 2, the pretrained EfficientNetV2-Small model was loaded, the backbone was frozen, and the classifier head was replaced correctly. In Part 3, both training and validation loops were defined, and label fixing was done properly. In Part 4, the model was set up, trained, and the training and validation losses and accuracies were plotted. For the bonus task in Part 5, the student correctly implemented Test Time Augmentation by averaging predictions from original, horizontally flipped, and vertically flipped images.</t>
        </is>
      </c>
      <c r="Z104" t="n">
        <v>8.5</v>
      </c>
      <c r="AA104" t="n">
        <v>1</v>
      </c>
      <c r="AB104" t="inlineStr">
        <is>
          <t>The student successfully loaded and prepared the data with the correct transformations and displayed sample images. The CNN model was built with five convolutional layers and batch normalization, though the final fully connected layer had an incorrect input size. Training and validation functions were implemented correctly, and the model trained and plotted losses and accuracies. For the bonus task, the student added a residual connection but incorrectly downsized the skip connection, leading to a mismatch in dimensions. Despite this, the model still ran and plotted the results.</t>
        </is>
      </c>
      <c r="AC104" t="n">
        <v>8</v>
      </c>
      <c r="AD104" t="inlineStr">
        <is>
          <t>The student's submission includes most of the required tasks with minor issues. The dataset class is implemented correctly, but the DataLoader does not include shuffling for the test set. The model class uses the correct encoder, but the training and validation loops contain logical errors, such as not squeezing the masks for the CrossEntropyLoss. The training process runs for only 5 epochs instead of 10, and the validation loop uses the train_loader instead of the test_loader. The visualization of predictions is mostly correct but uses grayscale for the predicted masks instead of a color map.</t>
        </is>
      </c>
      <c r="AE104" t="n">
        <v>0</v>
      </c>
      <c r="AF104" t="n">
        <v>5</v>
      </c>
      <c r="AG104" t="inlineStr">
        <is>
          <t>The student's implementation of the `ColorizationDataset` class is correct and runs perfectly, producing the expected output. The `__init__`, `__len__`, `rgb_to_grayscale`, and `__getitem__` methods are all implemented accurately. The visualization code also works as intended, displaying the grayscale and color images correctly. Therefore, the student receives full bonus points for this task.</t>
        </is>
      </c>
      <c r="AH104" t="n">
        <v>27.5</v>
      </c>
      <c r="AI104" t="n">
        <v>10</v>
      </c>
    </row>
    <row r="105">
      <c r="A105" t="n">
        <v>104</v>
      </c>
      <c r="B105" t="inlineStr">
        <is>
          <t>TA_2</t>
        </is>
      </c>
      <c r="C105" t="inlineStr">
        <is>
          <t>TA_12</t>
        </is>
      </c>
      <c r="D105" t="n">
        <v>11.5</v>
      </c>
      <c r="E105" t="n">
        <v>4</v>
      </c>
      <c r="F105" t="n">
        <v>11</v>
      </c>
      <c r="G105" t="n">
        <v>1</v>
      </c>
      <c r="H105" t="n">
        <v>12</v>
      </c>
      <c r="I105" t="n">
        <v>0</v>
      </c>
      <c r="J105" t="n">
        <v>12</v>
      </c>
      <c r="K105" t="n">
        <v>4</v>
      </c>
      <c r="L105" t="n">
        <v>11</v>
      </c>
      <c r="M105" t="n">
        <v>0</v>
      </c>
      <c r="N105" t="n">
        <v>12</v>
      </c>
      <c r="O105" t="n">
        <v>0</v>
      </c>
      <c r="P105">
        <f>Table1[[#This Row],[TA 1 - Q1 Score]]+Table1[[#This Row],[TA 1 - Q2 Score]]+Table1[[#This Row],[TA 1 - Q3 Score]]</f>
        <v/>
      </c>
      <c r="Q105">
        <f>Table1[[#This Row],[TA 1 - Q1 Bonus]]+Table1[[#This Row],[TA 1 - Q2 Bonus]]+Table1[[#This Row],[TA 1 - Q4 Bonus]]</f>
        <v/>
      </c>
      <c r="R105">
        <f>Table1[[#This Row],[TA 2 - Q1 Score]]+Table1[[#This Row],[TA 2 - Q2 Score]]+Table1[[#This Row],[TA 2 - Q3 Score]]</f>
        <v/>
      </c>
      <c r="S105">
        <f>Table1[[#This Row],[TA 2 - Q1 Bonus]]+Table1[[#This Row],[TA 2 - Q2 Bonus]]+Table1[[#This Row],[TA 2 - Q4 Bonus]]</f>
        <v/>
      </c>
      <c r="T105">
        <f>(Table1[[#This Row],[TA 1 - Total Score (out of 35)]]+Table1[[#This Row],[TA 2 - Total Score (out of 35)]])/2</f>
        <v/>
      </c>
      <c r="U105">
        <f>(Table1[[#This Row],[TA 1 - Total Bonus (out of 13)]]+Table1[[#This Row],[TA 2 - Total Bonus (out of 13)]])/2</f>
        <v/>
      </c>
      <c r="V105">
        <f>Table1[[#This Row],[Average Questions]]/35*20+Table1[[#This Row],[Average Bonus]]/13*5</f>
        <v/>
      </c>
      <c r="W105" t="n">
        <v>11</v>
      </c>
      <c r="X105" t="n">
        <v>4</v>
      </c>
      <c r="Y105" t="inlineStr">
        <is>
          <t>The student completed all required tasks with minor issues. The data loading and preparation were mostly correct, with a slight mistake in displaying sample images. The model loading and adaptation were accurate, and the training and validation loops were implemented correctly with proper label fixing. The plots for training and validation metrics were also correctly generated. For the bonus task, the student successfully implemented test time augmentation, averaging predictions from original, horizontally flipped, and vertically flipped images.</t>
        </is>
      </c>
      <c r="Z105" t="n">
        <v>9</v>
      </c>
      <c r="AA105" t="n">
        <v>3</v>
      </c>
      <c r="AB105" t="inlineStr">
        <is>
          <t>The student successfully completed most tasks, including loading and preparing the data, building the CNN model with batch normalization, defining training and validation loops, and training the model. However, there were minor issues such as incorrect resizing dimensions in the fully connected layer and a slight mistake in the number of epochs for the initial training. The bonus task was partially correct, with a proper residual connection defined, but the student used an incorrect dataset path and did not plot both training and validation metrics for comparison.</t>
        </is>
      </c>
      <c r="AC105" t="n">
        <v>10</v>
      </c>
      <c r="AD105" t="inlineStr">
        <is>
          <t>The student's submission is mostly correct and runs end-to-end. They built a custom dataset class, created DataLoaders, displayed sample images and masks, defined a pretrained U-Net with efficientnet-b1 encoder, implemented training and validation loops, defined loss and optimizer, trained the model, printed training and validation losses, plotted the loss curve, and visualized predictions. Minor issues include using a different directory path format and a slightly different learning rate, but these do not affect the overall correctness of the implementation.</t>
        </is>
      </c>
      <c r="AE105" t="n">
        <v>0</v>
      </c>
      <c r="AF105" t="n">
        <v>0</v>
      </c>
      <c r="AG105" t="inlineStr">
        <is>
          <t>No submission found.</t>
        </is>
      </c>
      <c r="AH105" t="n">
        <v>30</v>
      </c>
      <c r="AI105" t="n">
        <v>7</v>
      </c>
    </row>
    <row r="106">
      <c r="A106" t="n">
        <v>105</v>
      </c>
      <c r="B106" t="inlineStr">
        <is>
          <t>TA_2</t>
        </is>
      </c>
      <c r="C106" t="inlineStr">
        <is>
          <t>TA_12</t>
        </is>
      </c>
      <c r="D106" t="n">
        <v>3</v>
      </c>
      <c r="E106" t="n">
        <v>0</v>
      </c>
      <c r="F106" t="n">
        <v>8</v>
      </c>
      <c r="G106" t="n">
        <v>0</v>
      </c>
      <c r="H106" t="n">
        <v>0</v>
      </c>
      <c r="I106" t="n">
        <v>0</v>
      </c>
      <c r="J106" t="n">
        <v>0.75</v>
      </c>
      <c r="K106" t="n">
        <v>0</v>
      </c>
      <c r="L106" t="n">
        <v>5.25</v>
      </c>
      <c r="M106" t="n">
        <v>0</v>
      </c>
      <c r="N106" t="n">
        <v>0</v>
      </c>
      <c r="O106" t="n">
        <v>0</v>
      </c>
      <c r="P106">
        <f>Table1[[#This Row],[TA 1 - Q1 Score]]+Table1[[#This Row],[TA 1 - Q2 Score]]+Table1[[#This Row],[TA 1 - Q3 Score]]</f>
        <v/>
      </c>
      <c r="Q106">
        <f>Table1[[#This Row],[TA 1 - Q1 Bonus]]+Table1[[#This Row],[TA 1 - Q2 Bonus]]+Table1[[#This Row],[TA 1 - Q4 Bonus]]</f>
        <v/>
      </c>
      <c r="R106">
        <f>Table1[[#This Row],[TA 2 - Q1 Score]]+Table1[[#This Row],[TA 2 - Q2 Score]]+Table1[[#This Row],[TA 2 - Q3 Score]]</f>
        <v/>
      </c>
      <c r="S106">
        <f>Table1[[#This Row],[TA 2 - Q1 Bonus]]+Table1[[#This Row],[TA 2 - Q2 Bonus]]+Table1[[#This Row],[TA 2 - Q4 Bonus]]</f>
        <v/>
      </c>
      <c r="T106">
        <f>(Table1[[#This Row],[TA 1 - Total Score (out of 35)]]+Table1[[#This Row],[TA 2 - Total Score (out of 35)]])/2</f>
        <v/>
      </c>
      <c r="U106">
        <f>(Table1[[#This Row],[TA 1 - Total Bonus (out of 13)]]+Table1[[#This Row],[TA 2 - Total Bonus (out of 13)]])/2</f>
        <v/>
      </c>
      <c r="V106">
        <f>Table1[[#This Row],[Average Questions]]/35*20+Table1[[#This Row],[Average Bonus]]/13*5</f>
        <v/>
      </c>
      <c r="W106" t="n">
        <v>2</v>
      </c>
      <c r="X106" t="n">
        <v>0</v>
      </c>
      <c r="Y106" t="inlineStr">
        <is>
          <t>The student partially completed the data loading and preparation tasks but failed to implement the necessary transformations and did not display sample images correctly. The model loading and adaptation section was incorrectly implemented, with the student defining a custom model instead of using EfficientNetV2-Small. The training and validation loops were attempted but contained several errors, including incorrect handling of device placement and label adjustments. The training process used an incorrect dataloader and did not plot the required metrics. No bonus tasks were attempted.</t>
        </is>
      </c>
      <c r="Z106" t="n">
        <v>4</v>
      </c>
      <c r="AA106" t="n">
        <v>0</v>
      </c>
      <c r="AB106" t="inlineStr">
        <is>
          <t>The student partially completed the tasks. They correctly set up the dataset paths and transformations, including resizing to 32x32 and random rotation. However, they used incorrect paths for the datasets and added normalization without justification. The CNN model has 5 convolutional layers but does not include batch normalization. The training and validation functions are mostly correct but contain minor issues like missing `.to(device)` for labels. The training loop incorrectly uses `train_dataset` instead of `train_loader`. No bonus task was attempted.</t>
        </is>
      </c>
      <c r="AC106" t="n">
        <v>0</v>
      </c>
      <c r="AD106" t="inlineStr">
        <is>
          <t>The student did not provide any code for Tasks 1 through 5. The submission is incomplete and lacks any implementation for the required tasks, resulting in a score of 0.</t>
        </is>
      </c>
      <c r="AE106" t="n">
        <v>0</v>
      </c>
      <c r="AF106" t="n">
        <v>0</v>
      </c>
      <c r="AG106" t="inlineStr">
        <is>
          <t>No submission found.</t>
        </is>
      </c>
      <c r="AH106" t="n">
        <v>6</v>
      </c>
      <c r="AI106" t="n">
        <v>0</v>
      </c>
    </row>
    <row r="107">
      <c r="A107" t="n">
        <v>106</v>
      </c>
      <c r="B107" t="inlineStr">
        <is>
          <t>TA_2</t>
        </is>
      </c>
      <c r="C107" t="inlineStr">
        <is>
          <t>TA_12</t>
        </is>
      </c>
      <c r="D107" t="n">
        <v>12</v>
      </c>
      <c r="E107" t="n">
        <v>4</v>
      </c>
      <c r="F107" t="n">
        <v>6.5</v>
      </c>
      <c r="G107" t="n">
        <v>0</v>
      </c>
      <c r="H107" t="n">
        <v>12</v>
      </c>
      <c r="I107" t="n">
        <v>5</v>
      </c>
      <c r="J107" t="n">
        <v>12</v>
      </c>
      <c r="K107" t="n">
        <v>4</v>
      </c>
      <c r="L107" t="n">
        <v>7.85</v>
      </c>
      <c r="M107" t="n">
        <v>3</v>
      </c>
      <c r="N107" t="n">
        <v>11.4</v>
      </c>
      <c r="O107" t="n">
        <v>5</v>
      </c>
      <c r="P107">
        <f>Table1[[#This Row],[TA 1 - Q1 Score]]+Table1[[#This Row],[TA 1 - Q2 Score]]+Table1[[#This Row],[TA 1 - Q3 Score]]</f>
        <v/>
      </c>
      <c r="Q107">
        <f>Table1[[#This Row],[TA 1 - Q1 Bonus]]+Table1[[#This Row],[TA 1 - Q2 Bonus]]+Table1[[#This Row],[TA 1 - Q4 Bonus]]</f>
        <v/>
      </c>
      <c r="R107">
        <f>Table1[[#This Row],[TA 2 - Q1 Score]]+Table1[[#This Row],[TA 2 - Q2 Score]]+Table1[[#This Row],[TA 2 - Q3 Score]]</f>
        <v/>
      </c>
      <c r="S107">
        <f>Table1[[#This Row],[TA 2 - Q1 Bonus]]+Table1[[#This Row],[TA 2 - Q2 Bonus]]+Table1[[#This Row],[TA 2 - Q4 Bonus]]</f>
        <v/>
      </c>
      <c r="T107">
        <f>(Table1[[#This Row],[TA 1 - Total Score (out of 35)]]+Table1[[#This Row],[TA 2 - Total Score (out of 35)]])/2</f>
        <v/>
      </c>
      <c r="U107">
        <f>(Table1[[#This Row],[TA 1 - Total Bonus (out of 13)]]+Table1[[#This Row],[TA 2 - Total Bonus (out of 13)]])/2</f>
        <v/>
      </c>
      <c r="V107">
        <f>Table1[[#This Row],[Average Questions]]/35*20+Table1[[#This Row],[Average Bonus]]/13*5</f>
        <v/>
      </c>
      <c r="W107" t="n">
        <v>10.5</v>
      </c>
      <c r="X107" t="n">
        <v>4</v>
      </c>
      <c r="Y107" t="inlineStr">
        <is>
          <t>The student completed all base tasks with minor issues. The transforms were correctly defined, and the DataLoaders were set up properly. Sample images were displayed accurately. The pretrained EfficientNetV2-Small model was loaded and adapted correctly, with the backbone frozen and the classifier head replaced. The training and validation loops were implemented with label adjustments, and the model trained and validated without errors. Training and validation losses and accuracies were plotted. For the bonus task, the student correctly implemented test time augmentation by averaging predictions from original, horizontally flipped, and vertically flipped images.</t>
        </is>
      </c>
      <c r="Z107" t="n">
        <v>8.5</v>
      </c>
      <c r="AA107" t="n">
        <v>0</v>
      </c>
      <c r="AB107" t="inlineStr">
        <is>
          <t>The student successfully loaded and prepared the data with the correct transformations and displayed sample images. The CNN model was built with five convolutional layers and batch normalization, earning full marks for this part. However, the training and validation functions contained minor issues with the calculation of average loss and accuracy, resulting in partial credit. The training setup and execution were correct, but no plots were generated, leading to a deduction. The bonus task was not completed as the residual connection implementation was incorrect and no retraining or plotting was done.</t>
        </is>
      </c>
      <c r="AC107" t="n">
        <v>8</v>
      </c>
      <c r="AD107" t="inlineStr">
        <is>
          <t>The student's submission includes most of the required tasks with minor issues. The dataset class is implemented correctly, but the mask transformation has unnecessary steps. DataLoaders and sample displays are functional. The model class uses the correct encoder, but the training and validation loops contain logical errors, such as not squeezing the mask tensor for cross-entropy loss. The training process defines loss and optimizer correctly but uses the same DataLoader for both training and validation, which is incorrect. The visualization of predictions is mostly correct but uses a different dataset instance unnecessarily.</t>
        </is>
      </c>
      <c r="AE107" t="n">
        <v>0</v>
      </c>
      <c r="AF107" t="n">
        <v>5</v>
      </c>
      <c r="AG107" t="inlineStr">
        <is>
          <t>The student's implementation of the ColorizationDataset class is correct and runs perfectly, producing the expected output and following the optimal logic. The code includes all required methods (__init__, __len__, rgb_to_grayscale, __getitem__) and provides correct visualizations. No mistakes were found in the implementation.</t>
        </is>
      </c>
      <c r="AH107" t="n">
        <v>27</v>
      </c>
      <c r="AI107" t="n">
        <v>9</v>
      </c>
    </row>
    <row r="108">
      <c r="A108" t="n">
        <v>107</v>
      </c>
      <c r="B108" t="inlineStr">
        <is>
          <t>TA_2</t>
        </is>
      </c>
      <c r="C108" t="inlineStr">
        <is>
          <t>TA_12</t>
        </is>
      </c>
      <c r="D108" t="n">
        <v>6</v>
      </c>
      <c r="E108" t="n">
        <v>0</v>
      </c>
      <c r="F108" t="n">
        <v>6</v>
      </c>
      <c r="G108" t="n">
        <v>0</v>
      </c>
      <c r="H108" t="n">
        <v>10</v>
      </c>
      <c r="I108" t="n">
        <v>0</v>
      </c>
      <c r="J108" t="n">
        <v>6</v>
      </c>
      <c r="K108" t="n">
        <v>0</v>
      </c>
      <c r="L108" t="n">
        <v>7</v>
      </c>
      <c r="M108" t="n">
        <v>0</v>
      </c>
      <c r="N108" t="n">
        <v>2.25</v>
      </c>
      <c r="O108" t="n">
        <v>0</v>
      </c>
      <c r="P108">
        <f>Table1[[#This Row],[TA 1 - Q1 Score]]+Table1[[#This Row],[TA 1 - Q2 Score]]+Table1[[#This Row],[TA 1 - Q3 Score]]</f>
        <v/>
      </c>
      <c r="Q108">
        <f>Table1[[#This Row],[TA 1 - Q1 Bonus]]+Table1[[#This Row],[TA 1 - Q2 Bonus]]+Table1[[#This Row],[TA 1 - Q4 Bonus]]</f>
        <v/>
      </c>
      <c r="R108">
        <f>Table1[[#This Row],[TA 2 - Q1 Score]]+Table1[[#This Row],[TA 2 - Q2 Score]]+Table1[[#This Row],[TA 2 - Q3 Score]]</f>
        <v/>
      </c>
      <c r="S108">
        <f>Table1[[#This Row],[TA 2 - Q1 Bonus]]+Table1[[#This Row],[TA 2 - Q2 Bonus]]+Table1[[#This Row],[TA 2 - Q4 Bonus]]</f>
        <v/>
      </c>
      <c r="T108">
        <f>(Table1[[#This Row],[TA 1 - Total Score (out of 35)]]+Table1[[#This Row],[TA 2 - Total Score (out of 35)]])/2</f>
        <v/>
      </c>
      <c r="U108">
        <f>(Table1[[#This Row],[TA 1 - Total Bonus (out of 13)]]+Table1[[#This Row],[TA 2 - Total Bonus (out of 13)]])/2</f>
        <v/>
      </c>
      <c r="V108">
        <f>Table1[[#This Row],[Average Questions]]/35*20+Table1[[#This Row],[Average Bonus]]/13*5</f>
        <v/>
      </c>
      <c r="W108" t="n">
        <v>8</v>
      </c>
      <c r="X108" t="n">
        <v>0</v>
      </c>
      <c r="Y108" t="inlineStr">
        <is>
          <t>The student completed most tasks correctly but made several minor mistakes. In Part 1, the transforms were mostly correct but the student did not freeze the backbone in Part 2, resulting in all parameters being trainable. In Part 3, the student did not adjust the labels to be 0-indexed, leading to a penalty. The training and validation loops were implemented correctly, and the plots were generated properly. No bonus tasks were attempted.</t>
        </is>
      </c>
      <c r="Z108" t="n">
        <v>7</v>
      </c>
      <c r="AA108" t="n">
        <v>0</v>
      </c>
      <c r="AB108" t="inlineStr">
        <is>
          <t>The student partially completed the tasks. They correctly set up the dataset and DataLoaders with the required transformations, including RandomRotation and resizing to 32x32. However, they made mistakes in defining the CNN model, such as reusing layer names and incorrect dimensions in the fully connected layer. The training and validation loops were implemented correctly, and the model was trained and plotted. The bonus task was not attempted.</t>
        </is>
      </c>
      <c r="AC108" t="n">
        <v>3</v>
      </c>
      <c r="AD108" t="inlineStr">
        <is>
          <t>The student attempted most tasks but made significant errors. In Task 1, the dataset class was incorrectly implemented using a CSV file instead of directly accessing image and mask files. Task 2 used an incorrect number of output classes (1 instead of 8). Task 3 had incorrect loss functions and data types for masks. Task 4 trained for only one epoch and used an inappropriate loss function. Task 5 visualized predictions but did not correctly handle multi-class masks.</t>
        </is>
      </c>
      <c r="AE108" t="n">
        <v>0</v>
      </c>
      <c r="AF108" t="n">
        <v>0</v>
      </c>
      <c r="AG108" t="inlineStr">
        <is>
          <t>No submission found.</t>
        </is>
      </c>
      <c r="AH108" t="n">
        <v>18</v>
      </c>
      <c r="AI108" t="n">
        <v>0</v>
      </c>
    </row>
    <row r="109">
      <c r="A109" t="n">
        <v>108</v>
      </c>
      <c r="B109" t="inlineStr">
        <is>
          <t>TA_2</t>
        </is>
      </c>
      <c r="C109" t="inlineStr">
        <is>
          <t>TA_12</t>
        </is>
      </c>
      <c r="D109" t="n">
        <v>11</v>
      </c>
      <c r="E109" t="n">
        <v>3.5</v>
      </c>
      <c r="F109" t="n">
        <v>10.5</v>
      </c>
      <c r="G109" t="n">
        <v>4</v>
      </c>
      <c r="H109" t="n">
        <v>12</v>
      </c>
      <c r="I109" t="n">
        <v>5</v>
      </c>
      <c r="J109" t="n">
        <v>12</v>
      </c>
      <c r="K109" t="n">
        <v>4</v>
      </c>
      <c r="L109" t="n">
        <v>10.5</v>
      </c>
      <c r="M109" t="n">
        <v>3</v>
      </c>
      <c r="N109" t="n">
        <v>12</v>
      </c>
      <c r="O109" t="n">
        <v>5</v>
      </c>
      <c r="P109">
        <f>Table1[[#This Row],[TA 1 - Q1 Score]]+Table1[[#This Row],[TA 1 - Q2 Score]]+Table1[[#This Row],[TA 1 - Q3 Score]]</f>
        <v/>
      </c>
      <c r="Q109">
        <f>Table1[[#This Row],[TA 1 - Q1 Bonus]]+Table1[[#This Row],[TA 1 - Q2 Bonus]]+Table1[[#This Row],[TA 1 - Q4 Bonus]]</f>
        <v/>
      </c>
      <c r="R109">
        <f>Table1[[#This Row],[TA 2 - Q1 Score]]+Table1[[#This Row],[TA 2 - Q2 Score]]+Table1[[#This Row],[TA 2 - Q3 Score]]</f>
        <v/>
      </c>
      <c r="S109">
        <f>Table1[[#This Row],[TA 2 - Q1 Bonus]]+Table1[[#This Row],[TA 2 - Q2 Bonus]]+Table1[[#This Row],[TA 2 - Q4 Bonus]]</f>
        <v/>
      </c>
      <c r="T109">
        <f>(Table1[[#This Row],[TA 1 - Total Score (out of 35)]]+Table1[[#This Row],[TA 2 - Total Score (out of 35)]])/2</f>
        <v/>
      </c>
      <c r="U109">
        <f>(Table1[[#This Row],[TA 1 - Total Bonus (out of 13)]]+Table1[[#This Row],[TA 2 - Total Bonus (out of 13)]])/2</f>
        <v/>
      </c>
      <c r="V109">
        <f>Table1[[#This Row],[Average Questions]]/35*20+Table1[[#This Row],[Average Bonus]]/13*5</f>
        <v/>
      </c>
      <c r="W109" t="n">
        <v>8.5</v>
      </c>
      <c r="X109" t="n">
        <v>0</v>
      </c>
      <c r="Y109" t="inlineStr">
        <is>
          <t>The student completed most tasks correctly but made some minor mistakes. The data loading and preparation were mostly correct, with the exception of using a smaller batch size and a different set of indices for displaying images. The model loading and adaptation were correct, but the student froze the entire model instead of just the backbone. The training and validation loops were implemented correctly, including fixing the labels. However, the student used SGD instead of Adam for optimization. The plotting of losses and accuracies was correct, but the number of epochs was reduced. The bonus task was not completed due to incorrect usage of the torch.avg function.</t>
        </is>
      </c>
      <c r="Z109" t="n">
        <v>5</v>
      </c>
      <c r="AA109" t="n">
        <v>0</v>
      </c>
      <c r="AB109" t="inlineStr">
        <is>
          <t>The student partially completed the tasks. They correctly set up the dataset paths and transformations, but used incorrect paths and did not display sample images with labels. The CNN model was defined with more layers than required and had incorrect dimensions, earning partial credit. The training and validation loops were implemented correctly, but the model was not trained for the specified number of epochs. No residual connection was added, so no bonus points were awarded.</t>
        </is>
      </c>
      <c r="AC109" t="n">
        <v>8</v>
      </c>
      <c r="AD109" t="inlineStr">
        <is>
          <t>The student's submission includes most of the required tasks with minor issues. The dataset class is implemented correctly, and the DataLoaders are set up properly. However, the display of sample images and masks has a typo in the title and does not match the reference solution. The model class uses the correct encoder but differs slightly in implementation details. The training and validation loops are mostly correct but have minor syntax issues. The training process is executed with a reduced number of epochs due to GPU limitations, and the loss plotting is accurate. The visualization of predictions is attempted but has a minor issue with the colormap used for predicted masks.</t>
        </is>
      </c>
      <c r="AE109" t="n">
        <v>0</v>
      </c>
      <c r="AF109" t="n">
        <v>0</v>
      </c>
      <c r="AG109" t="inlineStr">
        <is>
          <t>The student's implementation contains several issues that prevent it from being fully correct. The `__getitem__` method incorrectly adds an extra dimension to the grayscale image, resulting in a shape of (1, 1, H, W) instead of (1, H, W). Additionally, the `rgb_to_grayscale` method is correct, but the `__getitem__` method does not properly handle the grayscale image's shape, leading to incorrect output shapes during visualization and data loading. These errors prevent the code from running perfectly and producing the correct output.</t>
        </is>
      </c>
      <c r="AH109" t="n">
        <v>21.5</v>
      </c>
      <c r="AI109" t="n">
        <v>0</v>
      </c>
    </row>
    <row r="110">
      <c r="A110" t="n">
        <v>109</v>
      </c>
      <c r="B110" t="inlineStr">
        <is>
          <t>TA_2</t>
        </is>
      </c>
      <c r="C110" t="inlineStr">
        <is>
          <t>TA_12</t>
        </is>
      </c>
      <c r="D110" t="n">
        <v>12</v>
      </c>
      <c r="E110" t="n">
        <v>4</v>
      </c>
      <c r="F110" t="n">
        <v>11</v>
      </c>
      <c r="G110" t="n">
        <v>0</v>
      </c>
      <c r="H110" t="n">
        <v>12</v>
      </c>
      <c r="I110" t="n">
        <v>5</v>
      </c>
      <c r="J110" t="n">
        <v>12</v>
      </c>
      <c r="K110" t="n">
        <v>4</v>
      </c>
      <c r="L110" t="n">
        <v>11</v>
      </c>
      <c r="M110" t="n">
        <v>0</v>
      </c>
      <c r="N110" t="n">
        <v>12</v>
      </c>
      <c r="O110" t="n">
        <v>5</v>
      </c>
      <c r="P110">
        <f>Table1[[#This Row],[TA 1 - Q1 Score]]+Table1[[#This Row],[TA 1 - Q2 Score]]+Table1[[#This Row],[TA 1 - Q3 Score]]</f>
        <v/>
      </c>
      <c r="Q110">
        <f>Table1[[#This Row],[TA 1 - Q1 Bonus]]+Table1[[#This Row],[TA 1 - Q2 Bonus]]+Table1[[#This Row],[TA 1 - Q4 Bonus]]</f>
        <v/>
      </c>
      <c r="R110">
        <f>Table1[[#This Row],[TA 2 - Q1 Score]]+Table1[[#This Row],[TA 2 - Q2 Score]]+Table1[[#This Row],[TA 2 - Q3 Score]]</f>
        <v/>
      </c>
      <c r="S110">
        <f>Table1[[#This Row],[TA 2 - Q1 Bonus]]+Table1[[#This Row],[TA 2 - Q2 Bonus]]+Table1[[#This Row],[TA 2 - Q4 Bonus]]</f>
        <v/>
      </c>
      <c r="T110">
        <f>(Table1[[#This Row],[TA 1 - Total Score (out of 35)]]+Table1[[#This Row],[TA 2 - Total Score (out of 35)]])/2</f>
        <v/>
      </c>
      <c r="U110">
        <f>(Table1[[#This Row],[TA 1 - Total Bonus (out of 13)]]+Table1[[#This Row],[TA 2 - Total Bonus (out of 13)]])/2</f>
        <v/>
      </c>
      <c r="V110">
        <f>Table1[[#This Row],[Average Questions]]/35*20+Table1[[#This Row],[Average Bonus]]/13*5</f>
        <v/>
      </c>
      <c r="W110" t="n">
        <v>10.5</v>
      </c>
      <c r="X110" t="n">
        <v>4</v>
      </c>
      <c r="Y110" t="inlineStr">
        <is>
          <t>The student completed all required tasks with minor issues. The data loading and preparation were mostly correct, with a small mistake in displaying images. The model loading and adaptation were accurate, and the training and validation loops were implemented correctly with label fixing. The bonus task for test time augmentation was fully and correctly implemented.</t>
        </is>
      </c>
      <c r="Z110" t="n">
        <v>9</v>
      </c>
      <c r="AA110" t="n">
        <v>0</v>
      </c>
      <c r="AB110" t="inlineStr">
        <is>
          <t>The student successfully completed most tasks with minor issues. The data loading and preparation section included correct transformations and displayed sample images. The CNN model had 5 convolutional layers with batch normalization, but the fully connected layer input size was incorrectly set to 512 * 1 * 1 instead of 512 * 4 * 4. The training and validation functions were implemented correctly, and the model trained and plotted losses and accuracies. However, the bonus task was not attempted.</t>
        </is>
      </c>
      <c r="AC110" t="n">
        <v>8.5</v>
      </c>
      <c r="AD110" t="inlineStr">
        <is>
          <t>The student's submission includes most of the required tasks with some minor issues. The dataset class is implemented correctly but has a small mistake in the mask transformation. DataLoaders and sample displays are mostly correct. The model class uses the correct architecture but with a different encoder than specified. Training and validation loops are implemented but contain logical errors in handling mask dimensions. Loss plotting is correct. Prediction visualization is attempted but has minor issues. No bonus tasks were attempted.</t>
        </is>
      </c>
      <c r="AE110" t="n">
        <v>0</v>
      </c>
      <c r="AF110" t="n">
        <v>5</v>
      </c>
      <c r="AG110" t="inlineStr">
        <is>
          <t>The student's implementation of the ColorizationDataset class is correct and runs perfectly, producing the expected output and following the optimal logic. The code includes all required methods (__init__, __len__, rgb_to_grayscale, __getitem__) and provides correct visualizations. The dataset loading and DataLoader testing also work as intended.</t>
        </is>
      </c>
      <c r="AH110" t="n">
        <v>28</v>
      </c>
      <c r="AI110" t="n">
        <v>9</v>
      </c>
    </row>
    <row r="111">
      <c r="A111" t="n">
        <v>110</v>
      </c>
      <c r="B111" t="inlineStr">
        <is>
          <t>TA_2</t>
        </is>
      </c>
      <c r="C111" t="inlineStr">
        <is>
          <t>TA_12</t>
        </is>
      </c>
      <c r="D111" t="n">
        <v>10.5</v>
      </c>
      <c r="E111" t="n">
        <v>0</v>
      </c>
      <c r="F111" t="n">
        <v>8</v>
      </c>
      <c r="G111" t="n">
        <v>0</v>
      </c>
      <c r="H111" t="n">
        <v>11.5</v>
      </c>
      <c r="I111" t="n">
        <v>0</v>
      </c>
      <c r="J111" t="n">
        <v>10.6</v>
      </c>
      <c r="K111" t="n">
        <v>0</v>
      </c>
      <c r="L111" t="n">
        <v>10.25</v>
      </c>
      <c r="M111" t="n">
        <v>0</v>
      </c>
      <c r="N111" t="n">
        <v>8.75</v>
      </c>
      <c r="O111" t="n">
        <v>0</v>
      </c>
      <c r="P111">
        <f>Table1[[#This Row],[TA 1 - Q1 Score]]+Table1[[#This Row],[TA 1 - Q2 Score]]+Table1[[#This Row],[TA 1 - Q3 Score]]</f>
        <v/>
      </c>
      <c r="Q111">
        <f>Table1[[#This Row],[TA 1 - Q1 Bonus]]+Table1[[#This Row],[TA 1 - Q2 Bonus]]+Table1[[#This Row],[TA 1 - Q4 Bonus]]</f>
        <v/>
      </c>
      <c r="R111">
        <f>Table1[[#This Row],[TA 2 - Q1 Score]]+Table1[[#This Row],[TA 2 - Q2 Score]]+Table1[[#This Row],[TA 2 - Q3 Score]]</f>
        <v/>
      </c>
      <c r="S111">
        <f>Table1[[#This Row],[TA 2 - Q1 Bonus]]+Table1[[#This Row],[TA 2 - Q2 Bonus]]+Table1[[#This Row],[TA 2 - Q4 Bonus]]</f>
        <v/>
      </c>
      <c r="T111">
        <f>(Table1[[#This Row],[TA 1 - Total Score (out of 35)]]+Table1[[#This Row],[TA 2 - Total Score (out of 35)]])/2</f>
        <v/>
      </c>
      <c r="U111">
        <f>(Table1[[#This Row],[TA 1 - Total Bonus (out of 13)]]+Table1[[#This Row],[TA 2 - Total Bonus (out of 13)]])/2</f>
        <v/>
      </c>
      <c r="V111">
        <f>Table1[[#This Row],[Average Questions]]/35*20+Table1[[#This Row],[Average Bonus]]/13*5</f>
        <v/>
      </c>
      <c r="W111" t="n">
        <v>8</v>
      </c>
      <c r="X111" t="n">
        <v>0</v>
      </c>
      <c r="Y111" t="inlineStr">
        <is>
          <t>The student completed most tasks correctly but made some minor mistakes. The data loading and preparation were mostly correct, though the batch size was smaller than in the reference solution. The model loading and adaptation were accurate, but the student used a different optimizer (AdamW instead of Adam). The training and validation loops were implemented correctly, including the label adjustment, but there were unnecessary softmax and squeeze operations. The plotting of losses and accuracies was omitted. No bonus task was attempted.</t>
        </is>
      </c>
      <c r="Z111" t="n">
        <v>6</v>
      </c>
      <c r="AA111" t="n">
        <v>0</v>
      </c>
      <c r="AB111" t="inlineStr">
        <is>
          <t>The student successfully loaded and prepared the data with the correct transformations and displayed sample images. The CNN model was defined with five convolutional layers and batch normalization, though the architecture had some issues like incorrect channel sizes in later layers. The training and validation functions were implemented correctly, and the model was trained and plotted. However, the bonus task was not completed.</t>
        </is>
      </c>
      <c r="AC111" t="n">
        <v>8.5</v>
      </c>
      <c r="AD111" t="inlineStr">
        <is>
          <t>The student's submission mostly follows the reference solution but has some issues. Task 1 is partially correct with a minor mistake in the dataset class initialization. Task 2 is correct with the specified encoder. Task 3 is mostly correct with a small issue in the validation loop. Task 4 is mostly correct but uses AdamW instead of Adam and has a minor issue in the prediction threshold. Task 5 has a significant error in converting the predicted mask to a binary mask, which affects the visualization.</t>
        </is>
      </c>
      <c r="AE111" t="n">
        <v>0</v>
      </c>
      <c r="AF111" t="n">
        <v>0</v>
      </c>
      <c r="AG111" t="inlineStr">
        <is>
          <t>No submission found.</t>
        </is>
      </c>
      <c r="AH111" t="n">
        <v>22.5</v>
      </c>
      <c r="AI111" t="n">
        <v>0</v>
      </c>
    </row>
    <row r="112">
      <c r="A112" t="n">
        <v>111</v>
      </c>
      <c r="B112" t="inlineStr">
        <is>
          <t>TA_2</t>
        </is>
      </c>
      <c r="C112" t="inlineStr">
        <is>
          <t>TA_12</t>
        </is>
      </c>
      <c r="D112" t="n">
        <v>6.5</v>
      </c>
      <c r="E112" t="n">
        <v>0</v>
      </c>
      <c r="F112" t="n">
        <v>8.5</v>
      </c>
      <c r="G112" t="n">
        <v>0</v>
      </c>
      <c r="H112" t="n">
        <v>11.5</v>
      </c>
      <c r="I112" t="n">
        <v>0</v>
      </c>
      <c r="J112" t="n">
        <v>6</v>
      </c>
      <c r="K112" t="n">
        <v>0</v>
      </c>
      <c r="L112" t="n">
        <v>4.75</v>
      </c>
      <c r="M112" t="n">
        <v>0</v>
      </c>
      <c r="N112" t="n">
        <v>8.5</v>
      </c>
      <c r="O112" t="n">
        <v>0</v>
      </c>
      <c r="P112">
        <f>Table1[[#This Row],[TA 1 - Q1 Score]]+Table1[[#This Row],[TA 1 - Q2 Score]]+Table1[[#This Row],[TA 1 - Q3 Score]]</f>
        <v/>
      </c>
      <c r="Q112">
        <f>Table1[[#This Row],[TA 1 - Q1 Bonus]]+Table1[[#This Row],[TA 1 - Q2 Bonus]]+Table1[[#This Row],[TA 1 - Q4 Bonus]]</f>
        <v/>
      </c>
      <c r="R112">
        <f>Table1[[#This Row],[TA 2 - Q1 Score]]+Table1[[#This Row],[TA 2 - Q2 Score]]+Table1[[#This Row],[TA 2 - Q3 Score]]</f>
        <v/>
      </c>
      <c r="S112">
        <f>Table1[[#This Row],[TA 2 - Q1 Bonus]]+Table1[[#This Row],[TA 2 - Q2 Bonus]]+Table1[[#This Row],[TA 2 - Q4 Bonus]]</f>
        <v/>
      </c>
      <c r="T112">
        <f>(Table1[[#This Row],[TA 1 - Total Score (out of 35)]]+Table1[[#This Row],[TA 2 - Total Score (out of 35)]])/2</f>
        <v/>
      </c>
      <c r="U112">
        <f>(Table1[[#This Row],[TA 1 - Total Bonus (out of 13)]]+Table1[[#This Row],[TA 2 - Total Bonus (out of 13)]])/2</f>
        <v/>
      </c>
      <c r="V112">
        <f>Table1[[#This Row],[Average Questions]]/35*20+Table1[[#This Row],[Average Bonus]]/13*5</f>
        <v/>
      </c>
      <c r="W112" t="n">
        <v>7</v>
      </c>
      <c r="X112" t="n">
        <v>0</v>
      </c>
      <c r="Y112" t="inlineStr">
        <is>
          <t>The student completed most tasks with minor issues. The data loading and preparation were mostly correct, but the DataLoader used a different batch size and included num_workers, which was not specified in the reference. The model loading and adaptation were partially correct, but the student loaded EfficientNet-B0 instead of EfficientNetV2-Small and incorrectly set the number of classes to 27. The training and validation loops were implemented with some syntax errors, such as unnecessary softmax operations. The student did not attempt the bonus task.</t>
        </is>
      </c>
      <c r="Z112" t="n">
        <v>6</v>
      </c>
      <c r="AA112" t="n">
        <v>0</v>
      </c>
      <c r="AB112" t="inlineStr">
        <is>
          <t>The student implemented a custom dataset class and used the correct transformations, including RandomRotation and resizing to 32x32. However, the CNN model has incorrect layer sizes and lacks BatchNormalization. The training and validation loops are mostly correct but use an incorrect learning rate and an incorrect number of output classes. No bonus task was attempted.</t>
        </is>
      </c>
      <c r="AC112" t="n">
        <v>8</v>
      </c>
      <c r="AD112" t="inlineStr">
        <is>
          <t>The student's submission includes most of the required tasks with minor issues. The dataset class is implemented correctly, and the DataLoaders are set up properly. However, the mask transformation is missing normalization, which could affect performance. The model class uses the correct architecture but with a different encoder (efficientnet-b1 instead of efficientnet-b0). The training and validation loops are mostly correct but include unnecessary accuracy calculations. The training process defines the loss and optimizer correctly and prints the losses, but the learning rate is higher than in the reference solution. The visualization of predictions is attempted but incorrectly converts the predicted mask to a binary mask, which is not suitable for multi-class segmentation.</t>
        </is>
      </c>
      <c r="AE112" t="n">
        <v>0</v>
      </c>
      <c r="AF112" t="n">
        <v>0</v>
      </c>
      <c r="AG112" t="inlineStr">
        <is>
          <t>No submission found.</t>
        </is>
      </c>
      <c r="AH112" t="n">
        <v>21</v>
      </c>
      <c r="AI112" t="n">
        <v>0</v>
      </c>
    </row>
    <row r="113">
      <c r="A113" t="n">
        <v>112</v>
      </c>
      <c r="B113" t="inlineStr">
        <is>
          <t>TA_2</t>
        </is>
      </c>
      <c r="C113" t="inlineStr">
        <is>
          <t>TA_12</t>
        </is>
      </c>
      <c r="D113" t="n">
        <v>9.5</v>
      </c>
      <c r="E113" t="n">
        <v>0</v>
      </c>
      <c r="F113" t="n">
        <v>11</v>
      </c>
      <c r="G113" t="n">
        <v>0</v>
      </c>
      <c r="H113" t="n">
        <v>8.5</v>
      </c>
      <c r="I113" t="n">
        <v>0</v>
      </c>
      <c r="J113" t="n">
        <v>9.25</v>
      </c>
      <c r="K113" t="n">
        <v>0</v>
      </c>
      <c r="L113" t="n">
        <v>11</v>
      </c>
      <c r="M113" t="n">
        <v>0</v>
      </c>
      <c r="N113" t="n">
        <v>5.75</v>
      </c>
      <c r="O113" t="n">
        <v>0</v>
      </c>
      <c r="P113">
        <f>Table1[[#This Row],[TA 1 - Q1 Score]]+Table1[[#This Row],[TA 1 - Q2 Score]]+Table1[[#This Row],[TA 1 - Q3 Score]]</f>
        <v/>
      </c>
      <c r="Q113">
        <f>Table1[[#This Row],[TA 1 - Q1 Bonus]]+Table1[[#This Row],[TA 1 - Q2 Bonus]]+Table1[[#This Row],[TA 1 - Q4 Bonus]]</f>
        <v/>
      </c>
      <c r="R113">
        <f>Table1[[#This Row],[TA 2 - Q1 Score]]+Table1[[#This Row],[TA 2 - Q2 Score]]+Table1[[#This Row],[TA 2 - Q3 Score]]</f>
        <v/>
      </c>
      <c r="S113">
        <f>Table1[[#This Row],[TA 2 - Q1 Bonus]]+Table1[[#This Row],[TA 2 - Q2 Bonus]]+Table1[[#This Row],[TA 2 - Q4 Bonus]]</f>
        <v/>
      </c>
      <c r="T113">
        <f>(Table1[[#This Row],[TA 1 - Total Score (out of 35)]]+Table1[[#This Row],[TA 2 - Total Score (out of 35)]])/2</f>
        <v/>
      </c>
      <c r="U113">
        <f>(Table1[[#This Row],[TA 1 - Total Bonus (out of 13)]]+Table1[[#This Row],[TA 2 - Total Bonus (out of 13)]])/2</f>
        <v/>
      </c>
      <c r="V113">
        <f>Table1[[#This Row],[Average Questions]]/35*20+Table1[[#This Row],[Average Bonus]]/13*5</f>
        <v/>
      </c>
      <c r="W113" t="n">
        <v>10</v>
      </c>
      <c r="X113" t="n">
        <v>0</v>
      </c>
      <c r="Y113" t="inlineStr">
        <is>
          <t>The student completed all base tasks with minor issues. The transforms were correctly defined, and DataLoaders were set up properly. Sample images were displayed with correct labels. The pretrained EfficientNetV2-Small model was loaded and adapted correctly, with the backbone frozen and the classifier head replaced. The training and validation loops were implemented with a small mistake in the validation loop where labels were not adjusted (penalty of -2.0). The model was trained, and losses and accuracies were plotted. No bonus task was attempted.</t>
        </is>
      </c>
      <c r="Z113" t="n">
        <v>5</v>
      </c>
      <c r="AA113" t="n">
        <v>0</v>
      </c>
      <c r="AB113" t="inlineStr">
        <is>
          <t>The student's submission contains several issues. In Part 1, the train and test directories are incorrectly swapped, leading to incorrect data loading. The transformations are correct, but the dataset classes are hardcoded instead of being dynamically fetched. In Part 2, the CNN model does not meet the requirement of having exactly 5 convolutional layers with batch normalization; instead, it has more layers and a different architecture. In Part 3, the training and validation loops are mostly correct but contain unnecessary softmax operations. In Part 4, the model setup and training process are correct, but the incorrect dataset directories affect the results. No bonus task was attempted.</t>
        </is>
      </c>
      <c r="AC113" t="n">
        <v>5</v>
      </c>
      <c r="AD113" t="inlineStr">
        <is>
          <t>The student's submission partially completes several tasks but contains significant errors. Task 1 is mostly correct with a minor issue in the mask transformation. Task 2 correctly defines the U-Net model but uses 'efficientnet-b1' instead of 'efficientnet-b0'. Task 3 has incorrect training and validation loops due to the use of BCEWithLogitsLoss and float masks, which are incompatible with CrossEntropyLoss and integer masks. Task 4 defines the loss and optimizer incorrectly and does not plot the loss curve. Task 5 is not completed.</t>
        </is>
      </c>
      <c r="AE113" t="n">
        <v>0</v>
      </c>
      <c r="AF113" t="n">
        <v>0</v>
      </c>
      <c r="AG113" t="inlineStr">
        <is>
          <t>No submission found.</t>
        </is>
      </c>
      <c r="AH113" t="n">
        <v>20</v>
      </c>
      <c r="AI113" t="n">
        <v>0</v>
      </c>
    </row>
    <row r="114">
      <c r="A114" t="n">
        <v>113</v>
      </c>
      <c r="B114" t="inlineStr">
        <is>
          <t>TA_2</t>
        </is>
      </c>
      <c r="C114" t="inlineStr">
        <is>
          <t>TA_12</t>
        </is>
      </c>
      <c r="D114" t="n">
        <v>7.5</v>
      </c>
      <c r="E114" t="n">
        <v>0</v>
      </c>
      <c r="F114" t="n">
        <v>6</v>
      </c>
      <c r="G114" t="n">
        <v>0</v>
      </c>
      <c r="H114" t="n">
        <v>12</v>
      </c>
      <c r="I114" t="n">
        <v>0</v>
      </c>
      <c r="J114" t="n">
        <v>3.75</v>
      </c>
      <c r="K114" t="n">
        <v>0</v>
      </c>
      <c r="L114" t="n">
        <v>6.1</v>
      </c>
      <c r="M114" t="n">
        <v>0</v>
      </c>
      <c r="N114" t="n">
        <v>2.9</v>
      </c>
      <c r="O114" t="n">
        <v>0</v>
      </c>
      <c r="P114">
        <f>Table1[[#This Row],[TA 1 - Q1 Score]]+Table1[[#This Row],[TA 1 - Q2 Score]]+Table1[[#This Row],[TA 1 - Q3 Score]]</f>
        <v/>
      </c>
      <c r="Q114">
        <f>Table1[[#This Row],[TA 1 - Q1 Bonus]]+Table1[[#This Row],[TA 1 - Q2 Bonus]]+Table1[[#This Row],[TA 1 - Q4 Bonus]]</f>
        <v/>
      </c>
      <c r="R114">
        <f>Table1[[#This Row],[TA 2 - Q1 Score]]+Table1[[#This Row],[TA 2 - Q2 Score]]+Table1[[#This Row],[TA 2 - Q3 Score]]</f>
        <v/>
      </c>
      <c r="S114">
        <f>Table1[[#This Row],[TA 2 - Q1 Bonus]]+Table1[[#This Row],[TA 2 - Q2 Bonus]]+Table1[[#This Row],[TA 2 - Q4 Bonus]]</f>
        <v/>
      </c>
      <c r="T114">
        <f>(Table1[[#This Row],[TA 1 - Total Score (out of 35)]]+Table1[[#This Row],[TA 2 - Total Score (out of 35)]])/2</f>
        <v/>
      </c>
      <c r="U114">
        <f>(Table1[[#This Row],[TA 1 - Total Bonus (out of 13)]]+Table1[[#This Row],[TA 2 - Total Bonus (out of 13)]])/2</f>
        <v/>
      </c>
      <c r="V114">
        <f>Table1[[#This Row],[Average Questions]]/35*20+Table1[[#This Row],[Average Bonus]]/13*5</f>
        <v/>
      </c>
      <c r="W114" t="n">
        <v>5</v>
      </c>
      <c r="X114" t="n">
        <v>0</v>
      </c>
      <c r="Y114" t="inlineStr">
        <is>
          <t>The student completed the data loading and preparation with minor issues, such as using a different variable name for the test dataset and incorrect normalization parameters for the test set. The model loading and adaptation were partially correct, but the student used EfficientNet-B0 instead of EfficientNetV2-Small. The training and validation loops contained significant errors, including incorrect handling of model outputs and loss computation. The plotting of losses and accuracies was mostly correct, but the training loop did not adjust labels to be 0-indexed. No bonus task was attempted.</t>
        </is>
      </c>
      <c r="Z114" t="n">
        <v>8</v>
      </c>
      <c r="AA114" t="n">
        <v>0</v>
      </c>
      <c r="AB114" t="inlineStr">
        <is>
          <t>The student implemented a custom Dataset class and used appropriate transformations including RandomRotation and resizing to 32x32. The DataLoader setup is correct, though the test set is shuffled unnecessarily. The CNN model has 5 convolutional layers, but the number of channels and fully connected layers differ from the reference solution. The training and validation loops are implemented correctly, and the loss and accuracy plots are generated. However, the bonus task was not completed.</t>
        </is>
      </c>
      <c r="AC114" t="n">
        <v>4</v>
      </c>
      <c r="AD114" t="inlineStr">
        <is>
          <t>The student attempted most tasks but made significant errors. Task 1 had issues with dataset paths and incorrect implementation of the dataset class. Task 2 used the wrong encoder weights. Task 3 had incorrect loss functions and data handling. Task 4 and 5 had visualization issues and incorrect model evaluation.</t>
        </is>
      </c>
      <c r="AE114" t="n">
        <v>0</v>
      </c>
      <c r="AF114" t="n">
        <v>0</v>
      </c>
      <c r="AG114" t="inlineStr">
        <is>
          <t>No submission found.</t>
        </is>
      </c>
      <c r="AH114" t="n">
        <v>17</v>
      </c>
      <c r="AI114" t="n">
        <v>0</v>
      </c>
    </row>
    <row r="115">
      <c r="A115" t="n">
        <v>114</v>
      </c>
      <c r="B115" t="inlineStr">
        <is>
          <t>TA_2</t>
        </is>
      </c>
      <c r="C115" t="inlineStr">
        <is>
          <t>TA_12</t>
        </is>
      </c>
      <c r="D115" t="n">
        <v>11.5</v>
      </c>
      <c r="E115" t="n">
        <v>0</v>
      </c>
      <c r="F115" t="n">
        <v>11</v>
      </c>
      <c r="G115" t="n">
        <v>0</v>
      </c>
      <c r="H115" t="n">
        <v>9.5</v>
      </c>
      <c r="I115" t="n">
        <v>0</v>
      </c>
      <c r="J115" t="n">
        <v>11</v>
      </c>
      <c r="K115" t="n">
        <v>0</v>
      </c>
      <c r="L115" t="n">
        <v>9</v>
      </c>
      <c r="M115" t="n">
        <v>0</v>
      </c>
      <c r="N115" t="n">
        <v>4</v>
      </c>
      <c r="O115" t="n">
        <v>0</v>
      </c>
      <c r="P115">
        <f>Table1[[#This Row],[TA 1 - Q1 Score]]+Table1[[#This Row],[TA 1 - Q2 Score]]+Table1[[#This Row],[TA 1 - Q3 Score]]</f>
        <v/>
      </c>
      <c r="Q115">
        <f>Table1[[#This Row],[TA 1 - Q1 Bonus]]+Table1[[#This Row],[TA 1 - Q2 Bonus]]+Table1[[#This Row],[TA 1 - Q4 Bonus]]</f>
        <v/>
      </c>
      <c r="R115">
        <f>Table1[[#This Row],[TA 2 - Q1 Score]]+Table1[[#This Row],[TA 2 - Q2 Score]]+Table1[[#This Row],[TA 2 - Q3 Score]]</f>
        <v/>
      </c>
      <c r="S115">
        <f>Table1[[#This Row],[TA 2 - Q1 Bonus]]+Table1[[#This Row],[TA 2 - Q2 Bonus]]+Table1[[#This Row],[TA 2 - Q4 Bonus]]</f>
        <v/>
      </c>
      <c r="T115">
        <f>(Table1[[#This Row],[TA 1 - Total Score (out of 35)]]+Table1[[#This Row],[TA 2 - Total Score (out of 35)]])/2</f>
        <v/>
      </c>
      <c r="U115">
        <f>(Table1[[#This Row],[TA 1 - Total Bonus (out of 13)]]+Table1[[#This Row],[TA 2 - Total Bonus (out of 13)]])/2</f>
        <v/>
      </c>
      <c r="V115">
        <f>Table1[[#This Row],[Average Questions]]/35*20+Table1[[#This Row],[Average Bonus]]/13*5</f>
        <v/>
      </c>
      <c r="W115" t="n">
        <v>8.5</v>
      </c>
      <c r="X115" t="n">
        <v>0</v>
      </c>
      <c r="Y115" t="inlineStr">
        <is>
          <t>The student completed most tasks correctly but made some minor mistakes. The data loading and preparation were mostly correct, though the batch size was smaller than in the reference solution. The model loading and adaptation were accurate, with the classifier head correctly modified for 26 classes. The training and validation loops were implemented correctly, with label fixing applied. However, there were issues in the visualization part where the images were not denormalized properly, leading to incorrect display. The bonus task was not attempted.</t>
        </is>
      </c>
      <c r="Z115" t="n">
        <v>8.5</v>
      </c>
      <c r="AA115" t="n">
        <v>0</v>
      </c>
      <c r="AB115" t="inlineStr">
        <is>
          <t>The student successfully loaded and prepared the data with the correct transformations and displayed sample images. The CNN model was built with 5 convolutional layers, though the number of channels and fully connected layer sizes differ from the reference solution. The training and validation functions were implemented correctly, and the model was trained and plotted. However, there was an error in the class labels used for displaying images, and the bonus task was not completed.</t>
        </is>
      </c>
      <c r="AC115" t="n">
        <v>2</v>
      </c>
      <c r="AD115" t="inlineStr">
        <is>
          <t>The student attempted most tasks but made significant errors. The dataset class is incomplete and incorrectly implemented, missing essential parts like loading images and masks from file paths. The model class is correctly defined, but the training and validation loops contain logical errors, such as converting masks to float for cross-entropy loss. Visualization of predictions also has issues, including incorrect thresholding and mask handling.</t>
        </is>
      </c>
      <c r="AE115" t="n">
        <v>0</v>
      </c>
      <c r="AF115" t="n">
        <v>0</v>
      </c>
      <c r="AG115" t="inlineStr">
        <is>
          <t>No submission found.</t>
        </is>
      </c>
      <c r="AH115" t="n">
        <v>19</v>
      </c>
      <c r="AI115" t="n">
        <v>0</v>
      </c>
    </row>
    <row r="116">
      <c r="A116" t="n">
        <v>115</v>
      </c>
      <c r="B116" t="inlineStr">
        <is>
          <t>TA_2</t>
        </is>
      </c>
      <c r="C116" t="inlineStr">
        <is>
          <t>TA_12</t>
        </is>
      </c>
      <c r="D116" t="n">
        <v>7</v>
      </c>
      <c r="E116" t="n">
        <v>0</v>
      </c>
      <c r="F116" t="n">
        <v>9</v>
      </c>
      <c r="G116" t="n">
        <v>0</v>
      </c>
      <c r="H116" t="n">
        <v>12</v>
      </c>
      <c r="I116" t="n">
        <v>0</v>
      </c>
      <c r="J116" t="n">
        <v>6.75</v>
      </c>
      <c r="K116" t="n">
        <v>0</v>
      </c>
      <c r="L116" t="n">
        <v>9</v>
      </c>
      <c r="M116" t="n">
        <v>0</v>
      </c>
      <c r="N116" t="n">
        <v>12</v>
      </c>
      <c r="O116" t="n">
        <v>0</v>
      </c>
      <c r="P116">
        <f>Table1[[#This Row],[TA 1 - Q1 Score]]+Table1[[#This Row],[TA 1 - Q2 Score]]+Table1[[#This Row],[TA 1 - Q3 Score]]</f>
        <v/>
      </c>
      <c r="Q116">
        <f>Table1[[#This Row],[TA 1 - Q1 Bonus]]+Table1[[#This Row],[TA 1 - Q2 Bonus]]+Table1[[#This Row],[TA 1 - Q4 Bonus]]</f>
        <v/>
      </c>
      <c r="R116">
        <f>Table1[[#This Row],[TA 2 - Q1 Score]]+Table1[[#This Row],[TA 2 - Q2 Score]]+Table1[[#This Row],[TA 2 - Q3 Score]]</f>
        <v/>
      </c>
      <c r="S116">
        <f>Table1[[#This Row],[TA 2 - Q1 Bonus]]+Table1[[#This Row],[TA 2 - Q2 Bonus]]+Table1[[#This Row],[TA 2 - Q4 Bonus]]</f>
        <v/>
      </c>
      <c r="T116">
        <f>(Table1[[#This Row],[TA 1 - Total Score (out of 35)]]+Table1[[#This Row],[TA 2 - Total Score (out of 35)]])/2</f>
        <v/>
      </c>
      <c r="U116">
        <f>(Table1[[#This Row],[TA 1 - Total Bonus (out of 13)]]+Table1[[#This Row],[TA 2 - Total Bonus (out of 13)]])/2</f>
        <v/>
      </c>
      <c r="V116">
        <f>Table1[[#This Row],[Average Questions]]/35*20+Table1[[#This Row],[Average Bonus]]/13*5</f>
        <v/>
      </c>
      <c r="W116" t="n">
        <v>7</v>
      </c>
      <c r="X116" t="n">
        <v>0</v>
      </c>
      <c r="Y116" t="inlineStr">
        <is>
          <t>The student completed most tasks with minor issues. The transforms were mostly correct but included an undefined `SubtractOne()` transform. DataLoaders were created with a batch size of 32, and sample images were displayed correctly. The model was loaded and adapted properly, but all parameters were frozen instead of just the backbone. Training and validation loops were implemented with syntax errors in the label adjustment step. The plots were generated correctly, but the bonus task was not attempted.</t>
        </is>
      </c>
      <c r="Z116" t="n">
        <v>7</v>
      </c>
      <c r="AA116" t="n">
        <v>0</v>
      </c>
      <c r="AB116" t="inlineStr">
        <is>
          <t>The student partially completed the tasks. They correctly set up the dataset and DataLoaders with the specified transformations, but mistakenly used the test set as the training set and vice versa. The CNN model has 5 convolutional layers but does not include batch normalization. The training and validation loops are mostly correct but use softmax and argmax unnecessarily. The plots for losses and accuracies are correctly implemented. No bonus tasks were attempted.</t>
        </is>
      </c>
      <c r="AC116" t="n">
        <v>10</v>
      </c>
      <c r="AD116" t="inlineStr">
        <is>
          <t>The student's submission largely follows the reference solution, with minor differences. The dataset class is correctly implemented and used to create DataLoaders, and sample images and masks are displayed. The model class uses the correct pretrained U-Net with efficientnet-b1 encoder. Training and validation loops are implemented correctly, and the model is trained for 10 epochs with loss printed and plotted. Predictions are visualized against ground truth for multiple images. The only discrepancy is the use of AdamW optimizer instead of Adam, which does not affect the overall correctness of the implementation.</t>
        </is>
      </c>
      <c r="AE116" t="n">
        <v>0</v>
      </c>
      <c r="AF116" t="n">
        <v>0</v>
      </c>
      <c r="AG116" t="inlineStr">
        <is>
          <t>No submission found.</t>
        </is>
      </c>
      <c r="AH116" t="n">
        <v>24</v>
      </c>
      <c r="AI116" t="n">
        <v>0</v>
      </c>
    </row>
    <row r="117">
      <c r="A117" t="n">
        <v>116</v>
      </c>
      <c r="B117" t="inlineStr">
        <is>
          <t>TA_3</t>
        </is>
      </c>
      <c r="C117" t="inlineStr">
        <is>
          <t>TA_13</t>
        </is>
      </c>
      <c r="D117" t="n">
        <v>2</v>
      </c>
      <c r="E117" t="n">
        <v>0</v>
      </c>
      <c r="F117" t="n">
        <v>3</v>
      </c>
      <c r="G117" t="n">
        <v>0</v>
      </c>
      <c r="H117" t="n">
        <v>2.5</v>
      </c>
      <c r="I117" t="n">
        <v>0</v>
      </c>
      <c r="J117" t="n">
        <v>5</v>
      </c>
      <c r="K117" t="n">
        <v>0</v>
      </c>
      <c r="L117" t="n">
        <v>0</v>
      </c>
      <c r="M117" t="n">
        <v>0</v>
      </c>
      <c r="N117" t="n">
        <v>0</v>
      </c>
      <c r="O117" t="n">
        <v>0</v>
      </c>
      <c r="P117">
        <f>Table1[[#This Row],[TA 1 - Q1 Score]]+Table1[[#This Row],[TA 1 - Q2 Score]]+Table1[[#This Row],[TA 1 - Q3 Score]]</f>
        <v/>
      </c>
      <c r="Q117">
        <f>Table1[[#This Row],[TA 1 - Q1 Bonus]]+Table1[[#This Row],[TA 1 - Q2 Bonus]]+Table1[[#This Row],[TA 1 - Q4 Bonus]]</f>
        <v/>
      </c>
      <c r="R117">
        <f>Table1[[#This Row],[TA 2 - Q1 Score]]+Table1[[#This Row],[TA 2 - Q2 Score]]+Table1[[#This Row],[TA 2 - Q3 Score]]</f>
        <v/>
      </c>
      <c r="S117">
        <f>Table1[[#This Row],[TA 2 - Q1 Bonus]]+Table1[[#This Row],[TA 2 - Q2 Bonus]]+Table1[[#This Row],[TA 2 - Q4 Bonus]]</f>
        <v/>
      </c>
      <c r="T117">
        <f>(Table1[[#This Row],[TA 1 - Total Score (out of 35)]]+Table1[[#This Row],[TA 2 - Total Score (out of 35)]])/2</f>
        <v/>
      </c>
      <c r="U117">
        <f>(Table1[[#This Row],[TA 1 - Total Bonus (out of 13)]]+Table1[[#This Row],[TA 2 - Total Bonus (out of 13)]])/2</f>
        <v/>
      </c>
      <c r="V117">
        <f>Table1[[#This Row],[Average Questions]]/35*20+Table1[[#This Row],[Average Bonus]]/13*5</f>
        <v/>
      </c>
      <c r="W117" t="n">
        <v>4</v>
      </c>
      <c r="X117" t="n">
        <v>0</v>
      </c>
      <c r="Y117" t="inlineStr">
        <is>
          <t>The student completed the data loading and transformation tasks correctly, including resizing, converting to tensor, and normalizing the images. However, the DataLoader creation had a mistake in setting shuffle to True for the test set. The model loading and adaptation were partially correct, but the student froze all parameters instead of just the backbone. The training and validation loops contained significant errors, such as using BCEWithLogitsLoss and sigmoid activation, which are inappropriate for multi-class classification. The bonus task was not attempted.</t>
        </is>
      </c>
      <c r="Z117" t="n">
        <v>5</v>
      </c>
      <c r="AA117" t="n">
        <v>0</v>
      </c>
      <c r="AB117" t="inlineStr">
        <is>
          <t>The student partially completed the tasks. They created a custom Dataset class and set up DataLoaders with the correct transformations, earning 2.5 points. However, they used incorrect paths for the dataset, leading to potential runtime errors. The CNN model had fewer convolutional layers and incorrect fully connected layer sizes, earning 1.0 point. Training and validation loops were implemented correctly, earning 1.0 point. The bonus task was not attempted.</t>
        </is>
      </c>
      <c r="AC117" t="n">
        <v>4</v>
      </c>
      <c r="AD117" t="inlineStr">
        <is>
          <t>The student attempted most tasks but made several mistakes. In Task 1, the dataset class was partially correct but used incorrect variable names and did not sort the image and mask paths. The DataLoader creation was mostly correct but used a large batch size of 32 without justification. Task 2 had an incorrect number of classes set to 1 instead of 8. Task 3 contained syntax errors and logical mistakes in the training and validation loops, using BCEWithLogitsLoss which is not suitable for multi-class segmentation. Task 4 had issues with the loss function and optimizer, and Task 5 was not attempted.</t>
        </is>
      </c>
      <c r="AE117" t="n">
        <v>0</v>
      </c>
      <c r="AF117" t="n">
        <v>0</v>
      </c>
      <c r="AG117" t="inlineStr">
        <is>
          <t>No submission found.</t>
        </is>
      </c>
      <c r="AH117" t="n">
        <v>13</v>
      </c>
      <c r="AI117" t="n">
        <v>0</v>
      </c>
    </row>
    <row r="118">
      <c r="A118" t="n">
        <v>117</v>
      </c>
      <c r="B118" t="inlineStr">
        <is>
          <t>TA_3</t>
        </is>
      </c>
      <c r="C118" t="inlineStr">
        <is>
          <t>TA_13</t>
        </is>
      </c>
      <c r="D118" t="n">
        <v>4</v>
      </c>
      <c r="E118" t="n">
        <v>0</v>
      </c>
      <c r="F118" t="n">
        <v>7.5</v>
      </c>
      <c r="G118" t="n">
        <v>0</v>
      </c>
      <c r="H118" t="n">
        <v>10.5</v>
      </c>
      <c r="I118" t="n">
        <v>0</v>
      </c>
      <c r="J118" t="n">
        <v>6.5</v>
      </c>
      <c r="K118" t="n">
        <v>0</v>
      </c>
      <c r="L118" t="n">
        <v>11</v>
      </c>
      <c r="M118" t="n">
        <v>0</v>
      </c>
      <c r="N118" t="n">
        <v>10.5</v>
      </c>
      <c r="O118" t="n">
        <v>0</v>
      </c>
      <c r="P118">
        <f>Table1[[#This Row],[TA 1 - Q1 Score]]+Table1[[#This Row],[TA 1 - Q2 Score]]+Table1[[#This Row],[TA 1 - Q3 Score]]</f>
        <v/>
      </c>
      <c r="Q118">
        <f>Table1[[#This Row],[TA 1 - Q1 Bonus]]+Table1[[#This Row],[TA 1 - Q2 Bonus]]+Table1[[#This Row],[TA 1 - Q4 Bonus]]</f>
        <v/>
      </c>
      <c r="R118">
        <f>Table1[[#This Row],[TA 2 - Q1 Score]]+Table1[[#This Row],[TA 2 - Q2 Score]]+Table1[[#This Row],[TA 2 - Q3 Score]]</f>
        <v/>
      </c>
      <c r="S118">
        <f>Table1[[#This Row],[TA 2 - Q1 Bonus]]+Table1[[#This Row],[TA 2 - Q2 Bonus]]+Table1[[#This Row],[TA 2 - Q4 Bonus]]</f>
        <v/>
      </c>
      <c r="T118">
        <f>(Table1[[#This Row],[TA 1 - Total Score (out of 35)]]+Table1[[#This Row],[TA 2 - Total Score (out of 35)]])/2</f>
        <v/>
      </c>
      <c r="U118">
        <f>(Table1[[#This Row],[TA 1 - Total Bonus (out of 13)]]+Table1[[#This Row],[TA 2 - Total Bonus (out of 13)]])/2</f>
        <v/>
      </c>
      <c r="V118">
        <f>Table1[[#This Row],[Average Questions]]/35*20+Table1[[#This Row],[Average Bonus]]/13*5</f>
        <v/>
      </c>
      <c r="W118" t="n">
        <v>5</v>
      </c>
      <c r="X118" t="n">
        <v>0</v>
      </c>
      <c r="Y118" t="inlineStr">
        <is>
          <t>The student completed the data loading and transformation tasks correctly, including resizing, converting to tensor, and normalizing the images. However, there were issues in creating and displaying sample images, where the indices used for sampling were hardcoded and may not exist in the dataset. The model loading and adaptation were mostly correct, but the student froze all layers instead of just the backbone. The training and validation loops had syntax errors, such as squeezing the model outputs unnecessarily, and the validation loop used an undefined 'valid_loader'. The bonus task was not attempted.</t>
        </is>
      </c>
      <c r="Z118" t="n">
        <v>8</v>
      </c>
      <c r="AA118" t="n">
        <v>0</v>
      </c>
      <c r="AB118" t="inlineStr">
        <is>
          <t>The student successfully implemented a custom dataset class and used ImageFolder for loading datasets, achieving full marks for Part 1. The CNN model includes five convolutional layers with batch normalization, earning full marks for Part 2. The training and validation loops are correctly defined and executed, securing full marks for Part 3. However, the model's fully connected layer input size is incorrect due to the resize transformation set to 32x32, resulting in a deduction for Part 4. No bonus task was attempted.</t>
        </is>
      </c>
      <c r="AC118" t="n">
        <v>8.5</v>
      </c>
      <c r="AD118" t="inlineStr">
        <is>
          <t>The student's submission largely follows the reference solution but contains minor issues. Task 1 is mostly correct with a small mistake in the mask transformation. Task 2 correctly defines the U-Net model with the specified encoder. Task 3 implements the training and validation loops accurately. Task 4 defines the loss and optimizer correctly, trains the model, and plots the loss curve. Task 5 visualizes predictions but uses grayscale for the predicted mask instead of a color map. Overall, the code runs and attempts all tasks with minor errors.</t>
        </is>
      </c>
      <c r="AE118" t="n">
        <v>0</v>
      </c>
      <c r="AF118" t="n">
        <v>0</v>
      </c>
      <c r="AG118" t="inlineStr">
        <is>
          <t>No submission found.</t>
        </is>
      </c>
      <c r="AH118" t="n">
        <v>21.5</v>
      </c>
      <c r="AI118" t="n">
        <v>0</v>
      </c>
    </row>
    <row r="119">
      <c r="A119" t="n">
        <v>118</v>
      </c>
      <c r="B119" t="inlineStr">
        <is>
          <t>TA_3</t>
        </is>
      </c>
      <c r="C119" t="inlineStr">
        <is>
          <t>TA_13</t>
        </is>
      </c>
      <c r="D119" t="n">
        <v>9</v>
      </c>
      <c r="E119" t="n">
        <v>4</v>
      </c>
      <c r="F119" t="n">
        <v>11</v>
      </c>
      <c r="G119" t="n">
        <v>0</v>
      </c>
      <c r="H119" t="n">
        <v>6.5</v>
      </c>
      <c r="I119" t="n">
        <v>5</v>
      </c>
      <c r="J119" t="n">
        <v>10.5</v>
      </c>
      <c r="K119" t="n">
        <v>4</v>
      </c>
      <c r="L119" t="n">
        <v>11</v>
      </c>
      <c r="M119" t="n">
        <v>0</v>
      </c>
      <c r="N119" t="n">
        <v>6.5</v>
      </c>
      <c r="O119" t="n">
        <v>5</v>
      </c>
      <c r="P119">
        <f>Table1[[#This Row],[TA 1 - Q1 Score]]+Table1[[#This Row],[TA 1 - Q2 Score]]+Table1[[#This Row],[TA 1 - Q3 Score]]</f>
        <v/>
      </c>
      <c r="Q119">
        <f>Table1[[#This Row],[TA 1 - Q1 Bonus]]+Table1[[#This Row],[TA 1 - Q2 Bonus]]+Table1[[#This Row],[TA 1 - Q4 Bonus]]</f>
        <v/>
      </c>
      <c r="R119">
        <f>Table1[[#This Row],[TA 2 - Q1 Score]]+Table1[[#This Row],[TA 2 - Q2 Score]]+Table1[[#This Row],[TA 2 - Q3 Score]]</f>
        <v/>
      </c>
      <c r="S119">
        <f>Table1[[#This Row],[TA 2 - Q1 Bonus]]+Table1[[#This Row],[TA 2 - Q2 Bonus]]+Table1[[#This Row],[TA 2 - Q4 Bonus]]</f>
        <v/>
      </c>
      <c r="T119">
        <f>(Table1[[#This Row],[TA 1 - Total Score (out of 35)]]+Table1[[#This Row],[TA 2 - Total Score (out of 35)]])/2</f>
        <v/>
      </c>
      <c r="U119">
        <f>(Table1[[#This Row],[TA 1 - Total Bonus (out of 13)]]+Table1[[#This Row],[TA 2 - Total Bonus (out of 13)]])/2</f>
        <v/>
      </c>
      <c r="V119">
        <f>Table1[[#This Row],[Average Questions]]/35*20+Table1[[#This Row],[Average Bonus]]/13*5</f>
        <v/>
      </c>
      <c r="W119" t="n">
        <v>8.5</v>
      </c>
      <c r="X119" t="n">
        <v>3</v>
      </c>
      <c r="Y119" t="inlineStr">
        <is>
          <t>The student completed most tasks correctly, including defining transforms, creating DataLoaders, displaying sample images, loading and adapting the EfficientNetV2-Small model, and implementing training and validation loops. However, the model was not frozen, and the training loop used only the classifier parameters for optimization. The student implemented Test Time Augmentation correctly, averaging predictions from original, horizontally flipped, and vertically flipped images.</t>
        </is>
      </c>
      <c r="Z119" t="n">
        <v>7</v>
      </c>
      <c r="AA119" t="n">
        <v>0</v>
      </c>
      <c r="AB119" t="inlineStr">
        <is>
          <t>The student successfully loaded and prepared the data with correct transformations and displayed sample images. The CNN model was built with five convolutional layers and batch normalization, earning full marks for these tasks. However, the residual connection implementation was incorrect, and the model was not retrained with this modification. The training and validation loops were implemented correctly, but the residual connection part was not completed as required.</t>
        </is>
      </c>
      <c r="AC119" t="n">
        <v>8.5</v>
      </c>
      <c r="AD119" t="inlineStr">
        <is>
          <t>The student successfully implemented a custom dataset class, created DataLoaders, and displayed sample images and masks, earning full points for Task 1. In Task 2, the student correctly defined a pretrained U-Net model with the specified encoder, receiving full points. Task 3 was partially completed with correct training and validation loops, but the implementation could be optimized, earning 0.5 points. Task 4 included defining loss and optimizer, training the model, printing losses, and plotting the loss curve, all correctly, earning full points. Task 5 was not fully completed as no visualization code was provided, resulting in 0 points.</t>
        </is>
      </c>
      <c r="AE119" t="n">
        <v>0</v>
      </c>
      <c r="AF119" t="n">
        <v>5</v>
      </c>
      <c r="AG119" t="inlineStr">
        <is>
          <t>The student's implementation of the ColorizationDataset class is correct and runs perfectly, producing the expected output and following the optimal logic. The code includes all required methods (__init__, __len__, rgb_to_grayscale, __getitem__) and the visualization is accurate. No mistakes were found in the implementation.</t>
        </is>
      </c>
      <c r="AH119" t="n">
        <v>24</v>
      </c>
      <c r="AI119" t="n">
        <v>8</v>
      </c>
    </row>
    <row r="120">
      <c r="A120" t="n">
        <v>119</v>
      </c>
      <c r="B120" t="inlineStr">
        <is>
          <t>TA_3</t>
        </is>
      </c>
      <c r="C120" t="inlineStr">
        <is>
          <t>TA_13</t>
        </is>
      </c>
      <c r="D120" t="n">
        <v>10.5</v>
      </c>
      <c r="E120" t="n">
        <v>4</v>
      </c>
      <c r="F120" t="n">
        <v>11</v>
      </c>
      <c r="G120" t="n">
        <v>4</v>
      </c>
      <c r="H120" t="n">
        <v>11</v>
      </c>
      <c r="I120" t="n">
        <v>5</v>
      </c>
      <c r="J120" t="n">
        <v>12</v>
      </c>
      <c r="K120" t="n">
        <v>4</v>
      </c>
      <c r="L120" t="n">
        <v>11</v>
      </c>
      <c r="M120" t="n">
        <v>4</v>
      </c>
      <c r="N120" t="n">
        <v>12</v>
      </c>
      <c r="O120" t="n">
        <v>5</v>
      </c>
      <c r="P120">
        <f>Table1[[#This Row],[TA 1 - Q1 Score]]+Table1[[#This Row],[TA 1 - Q2 Score]]+Table1[[#This Row],[TA 1 - Q3 Score]]</f>
        <v/>
      </c>
      <c r="Q120">
        <f>Table1[[#This Row],[TA 1 - Q1 Bonus]]+Table1[[#This Row],[TA 1 - Q2 Bonus]]+Table1[[#This Row],[TA 1 - Q4 Bonus]]</f>
        <v/>
      </c>
      <c r="R120">
        <f>Table1[[#This Row],[TA 2 - Q1 Score]]+Table1[[#This Row],[TA 2 - Q2 Score]]+Table1[[#This Row],[TA 2 - Q3 Score]]</f>
        <v/>
      </c>
      <c r="S120">
        <f>Table1[[#This Row],[TA 2 - Q1 Bonus]]+Table1[[#This Row],[TA 2 - Q2 Bonus]]+Table1[[#This Row],[TA 2 - Q4 Bonus]]</f>
        <v/>
      </c>
      <c r="T120">
        <f>(Table1[[#This Row],[TA 1 - Total Score (out of 35)]]+Table1[[#This Row],[TA 2 - Total Score (out of 35)]])/2</f>
        <v/>
      </c>
      <c r="U120">
        <f>(Table1[[#This Row],[TA 1 - Total Bonus (out of 13)]]+Table1[[#This Row],[TA 2 - Total Bonus (out of 13)]])/2</f>
        <v/>
      </c>
      <c r="V120">
        <f>Table1[[#This Row],[Average Questions]]/35*20+Table1[[#This Row],[Average Bonus]]/13*5</f>
        <v/>
      </c>
      <c r="W120" t="n">
        <v>8.5</v>
      </c>
      <c r="X120" t="n">
        <v>0</v>
      </c>
      <c r="Y120" t="inlineStr">
        <is>
          <t>The student completed most tasks correctly but made some minor mistakes. The data loading and preparation were mostly accurate, though the batch size was smaller than in the reference solution. The model loading and adaptation were correct, but the student froze all parameters instead of just the backbone. The training and validation loops were implemented with some unnecessary squeezing of outputs, which could cause issues. The plotting of losses and accuracies was correct. The bonus task was not attempted.</t>
        </is>
      </c>
      <c r="Z120" t="n">
        <v>7</v>
      </c>
      <c r="AA120" t="n">
        <v>0</v>
      </c>
      <c r="AB120" t="inlineStr">
        <is>
          <t>The student successfully loaded and prepared the data with the correct transformations and displayed sample images. The CNN model was built with 5 convolutional layers and batch normalization, though the number of channels in the layers differs from the reference solution. The training and validation functions were implemented correctly, and the model was trained and plotted. However, the bonus task was not completed, and there were minor issues with the number of epochs and the inclusion of redundant code cells.</t>
        </is>
      </c>
      <c r="AC120" t="n">
        <v>8.5</v>
      </c>
      <c r="AD120" t="inlineStr">
        <is>
          <t>The student's submission largely follows the required tasks but has some issues. Task 1 is mostly correct with a minor mistake in the dataset path. Task 2 is correct with the specified encoder. Task 3 is correct with proper training and validation loops. Task 4 has a lower learning rate and fewer epochs, which is acceptable but not optimal. Task 5 visualizes predictions correctly but uses a different colormap, which is not a significant issue.</t>
        </is>
      </c>
      <c r="AE120" t="n">
        <v>0</v>
      </c>
      <c r="AF120" t="n">
        <v>0</v>
      </c>
      <c r="AG120" t="inlineStr">
        <is>
          <t>The student's implementation contains several issues. The CIFAR-10 dataset is incorrectly transformed to 28x28 pixels, which does not match the required 32x32 dimensions. Additionally, the `rgb_to_grayscale` method does not add a channel dimension, resulting in incorrect tensor shapes. The visualization section also shows discrepancies in expected image dimensions. While the student attempted the task, these critical errors prevent the code from running correctly and producing the expected output.</t>
        </is>
      </c>
      <c r="AH120" t="n">
        <v>24</v>
      </c>
      <c r="AI120" t="n">
        <v>0</v>
      </c>
    </row>
    <row r="121">
      <c r="A121" t="n">
        <v>120</v>
      </c>
      <c r="B121" t="inlineStr">
        <is>
          <t>TA_3</t>
        </is>
      </c>
      <c r="C121" t="inlineStr">
        <is>
          <t>TA_13</t>
        </is>
      </c>
      <c r="D121" t="n">
        <v>7</v>
      </c>
      <c r="E121" t="n">
        <v>0</v>
      </c>
      <c r="F121" t="n">
        <v>8.5</v>
      </c>
      <c r="G121" t="n">
        <v>0</v>
      </c>
      <c r="H121" t="n">
        <v>6.5</v>
      </c>
      <c r="I121" t="n">
        <v>0</v>
      </c>
      <c r="J121" t="n">
        <v>7</v>
      </c>
      <c r="K121" t="n">
        <v>0</v>
      </c>
      <c r="L121" t="n">
        <v>9</v>
      </c>
      <c r="M121" t="n">
        <v>0</v>
      </c>
      <c r="N121" t="n">
        <v>10.5</v>
      </c>
      <c r="O121" t="n">
        <v>0</v>
      </c>
      <c r="P121">
        <f>Table1[[#This Row],[TA 1 - Q1 Score]]+Table1[[#This Row],[TA 1 - Q2 Score]]+Table1[[#This Row],[TA 1 - Q3 Score]]</f>
        <v/>
      </c>
      <c r="Q121">
        <f>Table1[[#This Row],[TA 1 - Q1 Bonus]]+Table1[[#This Row],[TA 1 - Q2 Bonus]]+Table1[[#This Row],[TA 1 - Q4 Bonus]]</f>
        <v/>
      </c>
      <c r="R121">
        <f>Table1[[#This Row],[TA 2 - Q1 Score]]+Table1[[#This Row],[TA 2 - Q2 Score]]+Table1[[#This Row],[TA 2 - Q3 Score]]</f>
        <v/>
      </c>
      <c r="S121">
        <f>Table1[[#This Row],[TA 2 - Q1 Bonus]]+Table1[[#This Row],[TA 2 - Q2 Bonus]]+Table1[[#This Row],[TA 2 - Q4 Bonus]]</f>
        <v/>
      </c>
      <c r="T121">
        <f>(Table1[[#This Row],[TA 1 - Total Score (out of 35)]]+Table1[[#This Row],[TA 2 - Total Score (out of 35)]])/2</f>
        <v/>
      </c>
      <c r="U121">
        <f>(Table1[[#This Row],[TA 1 - Total Bonus (out of 13)]]+Table1[[#This Row],[TA 2 - Total Bonus (out of 13)]])/2</f>
        <v/>
      </c>
      <c r="V121">
        <f>Table1[[#This Row],[Average Questions]]/35*20+Table1[[#This Row],[Average Bonus]]/13*5</f>
        <v/>
      </c>
      <c r="W121" t="n">
        <v>6</v>
      </c>
      <c r="X121" t="n">
        <v>0</v>
      </c>
      <c r="Y121" t="inlineStr">
        <is>
          <t>The student completed the data loading and preparation with minor issues, such as incorrect batch size and hardcoded image indices. The model loading and adaptation were partially correct, but the student froze the entire model instead of just the backbone. The training and validation loops had syntax errors, particularly with the .squeeze() method, which is unnecessary and causes dimension mismatches. The plotting of losses and accuracies was correct, but the bonus task was not attempted.</t>
        </is>
      </c>
      <c r="Z121" t="n">
        <v>8.5</v>
      </c>
      <c r="AA121" t="n">
        <v>0</v>
      </c>
      <c r="AB121" t="inlineStr">
        <is>
          <t>The student successfully completed most tasks with minor issues. The data loading and preparation section had a small mistake in the test transform, which included RandomRotation, but this did not significantly impact the functionality. The CNN model was built with 5 convolutional layers but used different channel sizes compared to the reference solution. Batch normalization was not added, resulting in a deduction. The training and validation loops were implemented correctly, and the model was trained and plotted. The bonus task was not attempted.</t>
        </is>
      </c>
      <c r="AC121" t="n">
        <v>4</v>
      </c>
      <c r="AD121" t="inlineStr">
        <is>
          <t>The student attempted most tasks but made significant errors. In Task 1, the dataset class and DataLoaders were correctly implemented, but the mask transformation was incorrect due to missing normalization. Task 2 had an error in defining the U-Net model with the wrong number of classes. Task 3 was partially correct with syntax issues in the training and validation loops. Task 4 used an incorrect loss function and optimizer, and only ran for one epoch. Task 5 visualized predictions but did not follow the reference solution's approach.</t>
        </is>
      </c>
      <c r="AE121" t="n">
        <v>0</v>
      </c>
      <c r="AF121" t="n">
        <v>0</v>
      </c>
      <c r="AG121" t="inlineStr">
        <is>
          <t>The student did not implement the required methods in the `ColorizationDataset` class. The `__init__`, `__len__`, `rgb_to_grayscale`, and `__getitem__` methods were either left unimplemented or incorrectly implemented. Specifically, the `__len__` method incorrectly used `self.cifar_dataset.size` instead of `len(self.cifar_dataset)`. The `rgb_to_grayscale` and `__getitem__` methods were not implemented at all, resulting in a non-functional dataset class.</t>
        </is>
      </c>
      <c r="AH121" t="n">
        <v>18.5</v>
      </c>
      <c r="AI121" t="n">
        <v>0</v>
      </c>
    </row>
    <row r="122">
      <c r="A122" t="n">
        <v>121</v>
      </c>
      <c r="B122" t="inlineStr">
        <is>
          <t>TA_3</t>
        </is>
      </c>
      <c r="C122" t="inlineStr">
        <is>
          <t>TA_13</t>
        </is>
      </c>
      <c r="D122" t="n">
        <v>10</v>
      </c>
      <c r="E122" t="n">
        <v>0</v>
      </c>
      <c r="F122" t="n">
        <v>10</v>
      </c>
      <c r="G122" t="n">
        <v>0</v>
      </c>
      <c r="H122" t="n">
        <v>11</v>
      </c>
      <c r="I122" t="n">
        <v>0</v>
      </c>
      <c r="J122" t="n">
        <v>11</v>
      </c>
      <c r="K122" t="n">
        <v>0</v>
      </c>
      <c r="L122" t="n">
        <v>10.5</v>
      </c>
      <c r="M122" t="n">
        <v>4</v>
      </c>
      <c r="N122" t="n">
        <v>11.5</v>
      </c>
      <c r="O122" t="n">
        <v>0</v>
      </c>
      <c r="P122">
        <f>Table1[[#This Row],[TA 1 - Q1 Score]]+Table1[[#This Row],[TA 1 - Q2 Score]]+Table1[[#This Row],[TA 1 - Q3 Score]]</f>
        <v/>
      </c>
      <c r="Q122">
        <f>Table1[[#This Row],[TA 1 - Q1 Bonus]]+Table1[[#This Row],[TA 1 - Q2 Bonus]]+Table1[[#This Row],[TA 1 - Q4 Bonus]]</f>
        <v/>
      </c>
      <c r="R122">
        <f>Table1[[#This Row],[TA 2 - Q1 Score]]+Table1[[#This Row],[TA 2 - Q2 Score]]+Table1[[#This Row],[TA 2 - Q3 Score]]</f>
        <v/>
      </c>
      <c r="S122">
        <f>Table1[[#This Row],[TA 2 - Q1 Bonus]]+Table1[[#This Row],[TA 2 - Q2 Bonus]]+Table1[[#This Row],[TA 2 - Q4 Bonus]]</f>
        <v/>
      </c>
      <c r="T122">
        <f>(Table1[[#This Row],[TA 1 - Total Score (out of 35)]]+Table1[[#This Row],[TA 2 - Total Score (out of 35)]])/2</f>
        <v/>
      </c>
      <c r="U122">
        <f>(Table1[[#This Row],[TA 1 - Total Bonus (out of 13)]]+Table1[[#This Row],[TA 2 - Total Bonus (out of 13)]])/2</f>
        <v/>
      </c>
      <c r="V122">
        <f>Table1[[#This Row],[Average Questions]]/35*20+Table1[[#This Row],[Average Bonus]]/13*5</f>
        <v/>
      </c>
      <c r="W122" t="n">
        <v>8</v>
      </c>
      <c r="X122" t="n">
        <v>0</v>
      </c>
      <c r="Y122" t="inlineStr">
        <is>
          <t>The student completed most tasks correctly but made minor mistakes. In Part 1, the transforms were correctly defined, and DataLoaders were created with appropriate batch sizes. Sample images were displayed, though with hardcoded indices. In Part 2, the model was loaded and adapted correctly, but the student used 'models.efficientnet_v2_s' instead of 'efficientnet_v2_s'. In Part 3, both training and validation loops were implemented correctly, and label fixing was done properly. In Part 4, the model was set up and trained, and losses and accuracies were plotted. However, the student did not attempt the bonus task.</t>
        </is>
      </c>
      <c r="Z122" t="n">
        <v>8.5</v>
      </c>
      <c r="AA122" t="n">
        <v>1</v>
      </c>
      <c r="AB122" t="inlineStr">
        <is>
          <t>The student successfully loaded and prepared the data with the correct transformations, including resizing to 32x32 and random rotation. They displayed sample images with labels, though the function used was not part of the required tasks. The CNN model was built with five convolutional layers and batch normalization, earning full marks. The training and validation functions were implemented correctly. However, the training loop used a learning rate of 1e-4 instead of the specified 0.001, and only two epochs were run for the residual model instead of ten. The residual connection was correctly defined and implemented, and the model was retrained and plotted, earning partial bonus points.</t>
        </is>
      </c>
      <c r="AC122" t="n">
        <v>10</v>
      </c>
      <c r="AD122" t="inlineStr">
        <is>
          <t>The student's submission is mostly correct and runs end-to-end. The dataset class is implemented properly with transformations and data loading. The model class uses the correct pretrained U-Net with efficientnet-b1 encoder. Training and validation loops are correctly defined and executed, with loss calculation and optimization steps. The training process prints and plots the loss curve accurately. Predictions are visualized against ground truth for multiple images. Minor issues include a small typo in the dataset download path and a slightly different learning rate, but these do not affect the overall correctness of the implementation.</t>
        </is>
      </c>
      <c r="AE122" t="n">
        <v>0</v>
      </c>
      <c r="AF122" t="n">
        <v>0</v>
      </c>
      <c r="AG122" t="inlineStr">
        <is>
          <t>No submission found.</t>
        </is>
      </c>
      <c r="AH122" t="n">
        <v>26.5</v>
      </c>
      <c r="AI122" t="n">
        <v>1</v>
      </c>
    </row>
    <row r="123">
      <c r="A123" t="n">
        <v>122</v>
      </c>
      <c r="B123" t="inlineStr">
        <is>
          <t>TA_3</t>
        </is>
      </c>
      <c r="C123" t="inlineStr">
        <is>
          <t>TA_13</t>
        </is>
      </c>
      <c r="D123" t="n">
        <v>7</v>
      </c>
      <c r="E123" t="n">
        <v>0</v>
      </c>
      <c r="F123" t="n">
        <v>7</v>
      </c>
      <c r="G123" t="n">
        <v>0</v>
      </c>
      <c r="H123" t="n">
        <v>6</v>
      </c>
      <c r="I123" t="n">
        <v>0</v>
      </c>
      <c r="J123" t="n">
        <v>10.5</v>
      </c>
      <c r="K123" t="n">
        <v>0</v>
      </c>
      <c r="L123" t="n">
        <v>7.75</v>
      </c>
      <c r="M123" t="n">
        <v>0</v>
      </c>
      <c r="N123" t="n">
        <v>7.5</v>
      </c>
      <c r="O123" t="n">
        <v>0</v>
      </c>
      <c r="P123">
        <f>Table1[[#This Row],[TA 1 - Q1 Score]]+Table1[[#This Row],[TA 1 - Q2 Score]]+Table1[[#This Row],[TA 1 - Q3 Score]]</f>
        <v/>
      </c>
      <c r="Q123">
        <f>Table1[[#This Row],[TA 1 - Q1 Bonus]]+Table1[[#This Row],[TA 1 - Q2 Bonus]]+Table1[[#This Row],[TA 1 - Q4 Bonus]]</f>
        <v/>
      </c>
      <c r="R123">
        <f>Table1[[#This Row],[TA 2 - Q1 Score]]+Table1[[#This Row],[TA 2 - Q2 Score]]+Table1[[#This Row],[TA 2 - Q3 Score]]</f>
        <v/>
      </c>
      <c r="S123">
        <f>Table1[[#This Row],[TA 2 - Q1 Bonus]]+Table1[[#This Row],[TA 2 - Q2 Bonus]]+Table1[[#This Row],[TA 2 - Q4 Bonus]]</f>
        <v/>
      </c>
      <c r="T123">
        <f>(Table1[[#This Row],[TA 1 - Total Score (out of 35)]]+Table1[[#This Row],[TA 2 - Total Score (out of 35)]])/2</f>
        <v/>
      </c>
      <c r="U123">
        <f>(Table1[[#This Row],[TA 1 - Total Bonus (out of 13)]]+Table1[[#This Row],[TA 2 - Total Bonus (out of 13)]])/2</f>
        <v/>
      </c>
      <c r="V123">
        <f>Table1[[#This Row],[Average Questions]]/35*20+Table1[[#This Row],[Average Bonus]]/13*5</f>
        <v/>
      </c>
      <c r="W123" t="n">
        <v>4</v>
      </c>
      <c r="X123" t="n">
        <v>0</v>
      </c>
      <c r="Y123" t="inlineStr">
        <is>
          <t>The student partially completed several tasks but made significant errors. The resize transformation was incorrectly set to 224x224 instead of 28x28. The DataLoader creation was mostly correct but used an incorrect batch size and included unnecessary workers. Sample image display had issues with denormalization and label mapping. The model loading and adaptation were partially correct, but the backbone freezing was incomplete. The training and validation loops contained syntax errors and logical mistakes, such as incorrect label adjustments and unnecessary transformations. No bonus task was attempted.</t>
        </is>
      </c>
      <c r="Z123" t="n">
        <v>7.5</v>
      </c>
      <c r="AA123" t="n">
        <v>0</v>
      </c>
      <c r="AB123" t="inlineStr">
        <is>
          <t>The student successfully implemented a custom Dataset class, created train and test datasets with the correct transformations, and displayed sample images. However, there were issues with the CNN model architecture, where the output layer had incorrect dimensions. The training and validation functions were mostly correct but had minor issues. The model was trained and plotted, but the bonus task was not attempted.</t>
        </is>
      </c>
      <c r="AC123" t="n">
        <v>7</v>
      </c>
      <c r="AD123" t="inlineStr">
        <is>
          <t>The student's submission contains mostly correct code but has several issues. The dataset class and data loaders are correctly implemented, and sample images and masks are displayed. However, the model uses 'efficientnet-b1' instead of 'efficientnet-b0' as specified. The training and validation loops are mostly correct but use a different number of classes (5 instead of 8) and epochs (5 instead of 10). The loss and optimizer are defined correctly, and the training process runs, printing the losses. The loss curve is plotted, but the visualization of predictions is missing.</t>
        </is>
      </c>
      <c r="AE123" t="n">
        <v>0</v>
      </c>
      <c r="AF123" t="n">
        <v>0</v>
      </c>
      <c r="AG123" t="inlineStr">
        <is>
          <t>No submission found.</t>
        </is>
      </c>
      <c r="AH123" t="n">
        <v>18.5</v>
      </c>
      <c r="AI123" t="n">
        <v>0</v>
      </c>
    </row>
    <row r="124">
      <c r="A124" t="n">
        <v>123</v>
      </c>
      <c r="B124" t="inlineStr">
        <is>
          <t>TA_3</t>
        </is>
      </c>
      <c r="C124" t="inlineStr">
        <is>
          <t>TA_13</t>
        </is>
      </c>
      <c r="D124" t="n">
        <v>9</v>
      </c>
      <c r="E124" t="n">
        <v>0</v>
      </c>
      <c r="F124" t="n">
        <v>8</v>
      </c>
      <c r="G124" t="n">
        <v>0</v>
      </c>
      <c r="H124" t="n">
        <v>8</v>
      </c>
      <c r="I124" t="n">
        <v>0</v>
      </c>
      <c r="J124" t="n">
        <v>11</v>
      </c>
      <c r="K124" t="n">
        <v>0</v>
      </c>
      <c r="L124" t="n">
        <v>10</v>
      </c>
      <c r="M124" t="n">
        <v>0</v>
      </c>
      <c r="N124" t="n">
        <v>11.75</v>
      </c>
      <c r="O124" t="n">
        <v>0</v>
      </c>
      <c r="P124">
        <f>Table1[[#This Row],[TA 1 - Q1 Score]]+Table1[[#This Row],[TA 1 - Q2 Score]]+Table1[[#This Row],[TA 1 - Q3 Score]]</f>
        <v/>
      </c>
      <c r="Q124">
        <f>Table1[[#This Row],[TA 1 - Q1 Bonus]]+Table1[[#This Row],[TA 1 - Q2 Bonus]]+Table1[[#This Row],[TA 1 - Q4 Bonus]]</f>
        <v/>
      </c>
      <c r="R124">
        <f>Table1[[#This Row],[TA 2 - Q1 Score]]+Table1[[#This Row],[TA 2 - Q2 Score]]+Table1[[#This Row],[TA 2 - Q3 Score]]</f>
        <v/>
      </c>
      <c r="S124">
        <f>Table1[[#This Row],[TA 2 - Q1 Bonus]]+Table1[[#This Row],[TA 2 - Q2 Bonus]]+Table1[[#This Row],[TA 2 - Q4 Bonus]]</f>
        <v/>
      </c>
      <c r="T124">
        <f>(Table1[[#This Row],[TA 1 - Total Score (out of 35)]]+Table1[[#This Row],[TA 2 - Total Score (out of 35)]])/2</f>
        <v/>
      </c>
      <c r="U124">
        <f>(Table1[[#This Row],[TA 1 - Total Bonus (out of 13)]]+Table1[[#This Row],[TA 2 - Total Bonus (out of 13)]])/2</f>
        <v/>
      </c>
      <c r="V124">
        <f>Table1[[#This Row],[Average Questions]]/35*20+Table1[[#This Row],[Average Bonus]]/13*5</f>
        <v/>
      </c>
      <c r="W124" t="n">
        <v>10.5</v>
      </c>
      <c r="X124" t="n">
        <v>0</v>
      </c>
      <c r="Y124" t="inlineStr">
        <is>
          <t>The student completed most tasks correctly. The transforms were properly defined, and the DataLoaders were set up with appropriate batch sizes. Sample images were displayed correctly. The pretrained EfficientNetV2-Small model was loaded and adapted with the backbone frozen and the classifier head replaced. The training and validation loops were implemented with label adjustments. However, there were minor issues: the validation loop did not subtract 1 from labels, resulting in a penalty of -2 points. The bonus task was not attempted.</t>
        </is>
      </c>
      <c r="Z124" t="n">
        <v>5</v>
      </c>
      <c r="AA124" t="n">
        <v>0</v>
      </c>
      <c r="AB124" t="inlineStr">
        <is>
          <t>The student partially completed the tasks with some syntax and logical errors. The data loading and preparation section had correct transformations but incorrect class labels. The CNN model was defined with fewer layers and incorrect batch normalization usage. The training and validation loops were mostly correct but included unnecessary squeezing of outputs. The bonus task was not attempted.</t>
        </is>
      </c>
      <c r="AC124" t="n">
        <v>8</v>
      </c>
      <c r="AD124" t="inlineStr">
        <is>
          <t>The student's submission contains mostly correct code with minor issues. Task 1 is partially correct with missing test DataLoader and sample mask display. Task 2 correctly defines the U-Net model with the specified encoder. Task 3 includes both training and validation loops with minor syntax issues. Task 4 defines the loss and optimizer but only prints training loss without validation loss and plots only training loss. Task 5 visualizes predictions but uses the training dataset instead of a separate test dataset.</t>
        </is>
      </c>
      <c r="AE124" t="n">
        <v>0</v>
      </c>
      <c r="AF124" t="n">
        <v>0</v>
      </c>
      <c r="AG124" t="inlineStr">
        <is>
          <t>No submission found.</t>
        </is>
      </c>
      <c r="AH124" t="n">
        <v>23.5</v>
      </c>
      <c r="AI124" t="n">
        <v>0</v>
      </c>
    </row>
    <row r="125">
      <c r="A125" t="n">
        <v>124</v>
      </c>
      <c r="B125" t="inlineStr">
        <is>
          <t>TA_3</t>
        </is>
      </c>
      <c r="C125" t="inlineStr">
        <is>
          <t>TA_13</t>
        </is>
      </c>
      <c r="D125" t="n">
        <v>3.5</v>
      </c>
      <c r="E125" t="n">
        <v>0</v>
      </c>
      <c r="F125" t="n">
        <v>7</v>
      </c>
      <c r="G125" t="n">
        <v>0</v>
      </c>
      <c r="H125" t="n">
        <v>7</v>
      </c>
      <c r="I125" t="n">
        <v>0</v>
      </c>
      <c r="J125" t="n">
        <v>6</v>
      </c>
      <c r="K125" t="n">
        <v>0</v>
      </c>
      <c r="L125" t="n">
        <v>9.5</v>
      </c>
      <c r="M125" t="n">
        <v>0</v>
      </c>
      <c r="N125" t="n">
        <v>9.75</v>
      </c>
      <c r="O125" t="n">
        <v>0</v>
      </c>
      <c r="P125">
        <f>Table1[[#This Row],[TA 1 - Q1 Score]]+Table1[[#This Row],[TA 1 - Q2 Score]]+Table1[[#This Row],[TA 1 - Q3 Score]]</f>
        <v/>
      </c>
      <c r="Q125">
        <f>Table1[[#This Row],[TA 1 - Q1 Bonus]]+Table1[[#This Row],[TA 1 - Q2 Bonus]]+Table1[[#This Row],[TA 1 - Q4 Bonus]]</f>
        <v/>
      </c>
      <c r="R125">
        <f>Table1[[#This Row],[TA 2 - Q1 Score]]+Table1[[#This Row],[TA 2 - Q2 Score]]+Table1[[#This Row],[TA 2 - Q3 Score]]</f>
        <v/>
      </c>
      <c r="S125">
        <f>Table1[[#This Row],[TA 2 - Q1 Bonus]]+Table1[[#This Row],[TA 2 - Q2 Bonus]]+Table1[[#This Row],[TA 2 - Q4 Bonus]]</f>
        <v/>
      </c>
      <c r="T125">
        <f>(Table1[[#This Row],[TA 1 - Total Score (out of 35)]]+Table1[[#This Row],[TA 2 - Total Score (out of 35)]])/2</f>
        <v/>
      </c>
      <c r="U125">
        <f>(Table1[[#This Row],[TA 1 - Total Bonus (out of 13)]]+Table1[[#This Row],[TA 2 - Total Bonus (out of 13)]])/2</f>
        <v/>
      </c>
      <c r="V125">
        <f>Table1[[#This Row],[Average Questions]]/35*20+Table1[[#This Row],[Average Bonus]]/13*5</f>
        <v/>
      </c>
      <c r="W125" t="n">
        <v>4</v>
      </c>
      <c r="X125" t="n">
        <v>0</v>
      </c>
      <c r="Y125" t="inlineStr">
        <is>
          <t>The student partially completed several tasks but made significant errors. The data loading and preparation section had incomplete code with incorrect batch sizes and missing sample image display. The model loading and adaptation section used the wrong model (EfficientNet-B0 instead of EfficientNetV2-Small) and incorrectly froze all parameters. The training and validation loops contained logical errors, such as using binary classification logic for a multi-class problem. No bonus task was attempted.</t>
        </is>
      </c>
      <c r="Z125" t="n">
        <v>6</v>
      </c>
      <c r="AA125" t="n">
        <v>0</v>
      </c>
      <c r="AB125" t="inlineStr">
        <is>
          <t>The student implemented a custom dataset class and used DataLoaders correctly, earning full marks for Part 1. The CNN model has 5 convolutional layers with Batch Normalization, earning full marks for Part 2. However, there were issues in the training and validation loops, particularly in handling predictions and labels, resulting in partial credit for Part 3. The training setup and execution were mostly correct, but the plotting of losses and accuracies was missing, leading to partial credit for Part 4. No bonus task was attempted.</t>
        </is>
      </c>
      <c r="AC125" t="n">
        <v>6</v>
      </c>
      <c r="AD125" t="inlineStr">
        <is>
          <t>The student partially completed the tasks with some syntax and logical errors. Task 1 was mostly correct but had issues with dataset loading and filtering. Task 2 was correctly implemented with the specified U-Net model. Task 3 had syntax errors in the training and validation loops. Task 4 had issues with the training loop and undefined variables. Task 5 was mostly correct but used incorrect plotting methods.</t>
        </is>
      </c>
      <c r="AE125" t="n">
        <v>0</v>
      </c>
      <c r="AF125" t="n">
        <v>0</v>
      </c>
      <c r="AG125" t="inlineStr">
        <is>
          <t>No submission found.</t>
        </is>
      </c>
      <c r="AH125" t="n">
        <v>16</v>
      </c>
      <c r="AI125" t="n">
        <v>0</v>
      </c>
    </row>
    <row r="126">
      <c r="A126" t="n">
        <v>125</v>
      </c>
      <c r="B126" t="inlineStr">
        <is>
          <t>TA_3</t>
        </is>
      </c>
      <c r="C126" t="inlineStr">
        <is>
          <t>TA_13</t>
        </is>
      </c>
      <c r="D126" t="n">
        <v>7</v>
      </c>
      <c r="E126" t="n">
        <v>0</v>
      </c>
      <c r="F126" t="n">
        <v>8.5</v>
      </c>
      <c r="G126" t="n">
        <v>0</v>
      </c>
      <c r="H126" t="n">
        <v>6</v>
      </c>
      <c r="I126" t="n">
        <v>0</v>
      </c>
      <c r="J126" t="n">
        <v>7.5</v>
      </c>
      <c r="K126" t="n">
        <v>0</v>
      </c>
      <c r="L126" t="n">
        <v>8</v>
      </c>
      <c r="M126" t="n">
        <v>0</v>
      </c>
      <c r="N126" t="n">
        <v>10</v>
      </c>
      <c r="O126" t="n">
        <v>0</v>
      </c>
      <c r="P126">
        <f>Table1[[#This Row],[TA 1 - Q1 Score]]+Table1[[#This Row],[TA 1 - Q2 Score]]+Table1[[#This Row],[TA 1 - Q3 Score]]</f>
        <v/>
      </c>
      <c r="Q126">
        <f>Table1[[#This Row],[TA 1 - Q1 Bonus]]+Table1[[#This Row],[TA 1 - Q2 Bonus]]+Table1[[#This Row],[TA 1 - Q4 Bonus]]</f>
        <v/>
      </c>
      <c r="R126">
        <f>Table1[[#This Row],[TA 2 - Q1 Score]]+Table1[[#This Row],[TA 2 - Q2 Score]]+Table1[[#This Row],[TA 2 - Q3 Score]]</f>
        <v/>
      </c>
      <c r="S126">
        <f>Table1[[#This Row],[TA 2 - Q1 Bonus]]+Table1[[#This Row],[TA 2 - Q2 Bonus]]+Table1[[#This Row],[TA 2 - Q4 Bonus]]</f>
        <v/>
      </c>
      <c r="T126">
        <f>(Table1[[#This Row],[TA 1 - Total Score (out of 35)]]+Table1[[#This Row],[TA 2 - Total Score (out of 35)]])/2</f>
        <v/>
      </c>
      <c r="U126">
        <f>(Table1[[#This Row],[TA 1 - Total Bonus (out of 13)]]+Table1[[#This Row],[TA 2 - Total Bonus (out of 13)]])/2</f>
        <v/>
      </c>
      <c r="V126">
        <f>Table1[[#This Row],[Average Questions]]/35*20+Table1[[#This Row],[Average Bonus]]/13*5</f>
        <v/>
      </c>
      <c r="W126" t="n">
        <v>4</v>
      </c>
      <c r="X126" t="n">
        <v>0</v>
      </c>
      <c r="Y126" t="inlineStr">
        <is>
          <t>The student partially completed several tasks but made significant errors. The data loading and preparation section had missing label adjustments and incorrect DataLoader creation. The model setup included an incorrect model type (EfficientNet-B0 instead of EfficientNetV2-Small) and improper freezing of layers. The training and validation loops contained errors in label handling and used an unnecessary remap function. No bonus task was attempted.</t>
        </is>
      </c>
      <c r="Z126" t="n">
        <v>7</v>
      </c>
      <c r="AA126" t="n">
        <v>0</v>
      </c>
      <c r="AB126" t="inlineStr">
        <is>
          <t>The student successfully loaded and prepared the data with ImageFolder and applied transformations, including resizing. However, the random rotation was missing. The CNN model was built with 5 convolutional layers but did not include batch normalization. The training and validation loops were implemented correctly, and the model was trained and plotted. The bonus task was not attempted.</t>
        </is>
      </c>
      <c r="AC126" t="n">
        <v>5</v>
      </c>
      <c r="AD126" t="inlineStr">
        <is>
          <t>The student attempted most tasks but made several mistakes. The dataset class and DataLoader creation were partially correct but had issues with manual data splitting and incorrect mask paths. The model definition used the correct architecture but was initialized on CPU instead of GPU. Training and validation loops were implemented but contained errors in handling masks and calculating accuracy. Visualization of predictions was attempted but did not correctly display the predicted masks.</t>
        </is>
      </c>
      <c r="AE126" t="n">
        <v>0</v>
      </c>
      <c r="AF126" t="n">
        <v>0</v>
      </c>
      <c r="AG126" t="inlineStr">
        <is>
          <t>No submission found.</t>
        </is>
      </c>
      <c r="AH126" t="n">
        <v>16</v>
      </c>
      <c r="AI126" t="n">
        <v>0</v>
      </c>
    </row>
    <row r="127">
      <c r="A127" t="n">
        <v>126</v>
      </c>
      <c r="B127" t="inlineStr">
        <is>
          <t>TA_3</t>
        </is>
      </c>
      <c r="C127" t="inlineStr">
        <is>
          <t>TA_13</t>
        </is>
      </c>
      <c r="D127" t="n">
        <v>6</v>
      </c>
      <c r="E127" t="n">
        <v>0</v>
      </c>
      <c r="F127" t="n">
        <v>9</v>
      </c>
      <c r="G127" t="n">
        <v>0</v>
      </c>
      <c r="H127" t="n">
        <v>6</v>
      </c>
      <c r="I127" t="n">
        <v>0</v>
      </c>
      <c r="J127" t="n">
        <v>11.5</v>
      </c>
      <c r="K127" t="n">
        <v>0</v>
      </c>
      <c r="L127" t="n">
        <v>9</v>
      </c>
      <c r="M127" t="n">
        <v>0</v>
      </c>
      <c r="N127" t="n">
        <v>9</v>
      </c>
      <c r="O127" t="n">
        <v>0</v>
      </c>
      <c r="P127">
        <f>Table1[[#This Row],[TA 1 - Q1 Score]]+Table1[[#This Row],[TA 1 - Q2 Score]]+Table1[[#This Row],[TA 1 - Q3 Score]]</f>
        <v/>
      </c>
      <c r="Q127">
        <f>Table1[[#This Row],[TA 1 - Q1 Bonus]]+Table1[[#This Row],[TA 1 - Q2 Bonus]]+Table1[[#This Row],[TA 1 - Q4 Bonus]]</f>
        <v/>
      </c>
      <c r="R127">
        <f>Table1[[#This Row],[TA 2 - Q1 Score]]+Table1[[#This Row],[TA 2 - Q2 Score]]+Table1[[#This Row],[TA 2 - Q3 Score]]</f>
        <v/>
      </c>
      <c r="S127">
        <f>Table1[[#This Row],[TA 2 - Q1 Bonus]]+Table1[[#This Row],[TA 2 - Q2 Bonus]]+Table1[[#This Row],[TA 2 - Q4 Bonus]]</f>
        <v/>
      </c>
      <c r="T127">
        <f>(Table1[[#This Row],[TA 1 - Total Score (out of 35)]]+Table1[[#This Row],[TA 2 - Total Score (out of 35)]])/2</f>
        <v/>
      </c>
      <c r="U127">
        <f>(Table1[[#This Row],[TA 1 - Total Bonus (out of 13)]]+Table1[[#This Row],[TA 2 - Total Bonus (out of 13)]])/2</f>
        <v/>
      </c>
      <c r="V127">
        <f>Table1[[#This Row],[Average Questions]]/35*20+Table1[[#This Row],[Average Bonus]]/13*5</f>
        <v/>
      </c>
      <c r="W127" t="n">
        <v>8</v>
      </c>
      <c r="X127" t="n">
        <v>0</v>
      </c>
      <c r="Y127" t="inlineStr">
        <is>
          <t>The student completed most tasks with minor issues. In Part 1, the image resizing was incorrect (224x224 instead of 28x28), resulting in a partial score. DataLoaders were created correctly, and sample images were displayed properly. In Part 2, the model was loaded and adapted correctly, but the backbone was not explicitly frozen, leading to a partial score. In Part 3, both training and validation loops were implemented correctly, and label fixing was done accurately. In Part 4, the setup was mostly correct, but the model was not trained due to the incorrect image size, preventing the plots from being generated. No bonus tasks were attempted.</t>
        </is>
      </c>
      <c r="Z127" t="n">
        <v>8</v>
      </c>
      <c r="AA127" t="n">
        <v>0</v>
      </c>
      <c r="AB127" t="inlineStr">
        <is>
          <t>The student successfully loaded and prepared the data with the correct transformations and displayed sample images. The CNN model was built with 5 convolutional layers, though the number of channels was different from the reference solution. Batch normalization was not added, resulting in a deduction. The training and validation loops were correctly implemented, and the model was trained and plotted. However, the bonus task was not completed.</t>
        </is>
      </c>
      <c r="AC127" t="n">
        <v>4</v>
      </c>
      <c r="AD127" t="inlineStr">
        <is>
          <t>The student attempted most tasks but made significant errors. The dataset class has issues with file path handling and mask remapping. DataLoaders were incorrectly implemented, leading to improper splitting and loading. The model class used an incorrect number of output classes. Training and validation loops had type mismatches between model outputs and loss functions. Visualization of predictions was flawed due to incorrect mask processing.</t>
        </is>
      </c>
      <c r="AE127" t="n">
        <v>0</v>
      </c>
      <c r="AF127" t="n">
        <v>0</v>
      </c>
      <c r="AG127" t="inlineStr">
        <is>
          <t>No submission found.</t>
        </is>
      </c>
      <c r="AH127" t="n">
        <v>20</v>
      </c>
      <c r="AI127" t="n">
        <v>0</v>
      </c>
    </row>
    <row r="128">
      <c r="A128" t="n">
        <v>127</v>
      </c>
      <c r="B128" t="inlineStr">
        <is>
          <t>TA_3</t>
        </is>
      </c>
      <c r="C128" t="inlineStr">
        <is>
          <t>TA_13</t>
        </is>
      </c>
      <c r="D128" t="n">
        <v>4</v>
      </c>
      <c r="E128" t="n">
        <v>0</v>
      </c>
      <c r="F128" t="n">
        <v>7</v>
      </c>
      <c r="G128" t="n">
        <v>0</v>
      </c>
      <c r="H128" t="n">
        <v>0</v>
      </c>
      <c r="I128" t="n">
        <v>0</v>
      </c>
      <c r="J128" t="n">
        <v>11</v>
      </c>
      <c r="K128" t="n">
        <v>0</v>
      </c>
      <c r="L128" t="n">
        <v>10</v>
      </c>
      <c r="M128" t="n">
        <v>0</v>
      </c>
      <c r="N128" t="n">
        <v>0</v>
      </c>
      <c r="O128" t="n">
        <v>0</v>
      </c>
      <c r="P128">
        <f>Table1[[#This Row],[TA 1 - Q1 Score]]+Table1[[#This Row],[TA 1 - Q2 Score]]+Table1[[#This Row],[TA 1 - Q3 Score]]</f>
        <v/>
      </c>
      <c r="Q128">
        <f>Table1[[#This Row],[TA 1 - Q1 Bonus]]+Table1[[#This Row],[TA 1 - Q2 Bonus]]+Table1[[#This Row],[TA 1 - Q4 Bonus]]</f>
        <v/>
      </c>
      <c r="R128">
        <f>Table1[[#This Row],[TA 2 - Q1 Score]]+Table1[[#This Row],[TA 2 - Q2 Score]]+Table1[[#This Row],[TA 2 - Q3 Score]]</f>
        <v/>
      </c>
      <c r="S128">
        <f>Table1[[#This Row],[TA 2 - Q1 Bonus]]+Table1[[#This Row],[TA 2 - Q2 Bonus]]+Table1[[#This Row],[TA 2 - Q4 Bonus]]</f>
        <v/>
      </c>
      <c r="T128">
        <f>(Table1[[#This Row],[TA 1 - Total Score (out of 35)]]+Table1[[#This Row],[TA 2 - Total Score (out of 35)]])/2</f>
        <v/>
      </c>
      <c r="U128">
        <f>(Table1[[#This Row],[TA 1 - Total Bonus (out of 13)]]+Table1[[#This Row],[TA 2 - Total Bonus (out of 13)]])/2</f>
        <v/>
      </c>
      <c r="V128">
        <f>Table1[[#This Row],[Average Questions]]/35*20+Table1[[#This Row],[Average Bonus]]/13*5</f>
        <v/>
      </c>
      <c r="W128" t="n">
        <v>8.5</v>
      </c>
      <c r="X128" t="n">
        <v>0</v>
      </c>
      <c r="Y128" t="inlineStr">
        <is>
          <t>The student completed most tasks correctly, including defining the transforms, creating DataLoaders, loading and adapting the pretrained model, and implementing training and validation loops. However, there were issues in displaying sample images, where the label indexing was incorrect, leading to a penalty. The bonus task was not attempted.</t>
        </is>
      </c>
      <c r="Z128" t="n">
        <v>5</v>
      </c>
      <c r="AA128" t="n">
        <v>0</v>
      </c>
      <c r="AB128" t="inlineStr">
        <is>
          <t>The student partially completed the tasks. They correctly set up the dataset and DataLoaders with the required transformations, including RandomRotation and resizing to 32x32. However, the CNN model architecture deviated significantly from the required specifications, using a different number of layers and different hyperparameters. The training and validation functions were implemented correctly, but the loss function BCEWithLogitsLoss was incorrectly used instead of CrossEntropyLoss. The student did not attempt the bonus task.</t>
        </is>
      </c>
      <c r="AC128" t="n">
        <v>2</v>
      </c>
      <c r="AD128" t="inlineStr">
        <is>
          <t>The student attempted Task 1 by creating a custom dataset class but used an incorrect approach by relying on a CSV file for image paths instead of directly accessing the directory. Task 2 was partially completed with the correct model definition but incorrectly set for binary segmentation. Tasks 3, 4, and 5 were not attempted, resulting in no code for these sections.</t>
        </is>
      </c>
      <c r="AE128" t="n">
        <v>0</v>
      </c>
      <c r="AF128" t="n">
        <v>0</v>
      </c>
      <c r="AG128" t="inlineStr">
        <is>
          <t>The student did not implement the required methods in the `ColorizationDataset` class. The `__init__`, `__len__`, `rgb_to_grayscale`, and `__getitem__` methods were either left unimplemented or incorrectly implemented. Specifically, the `__init__` method does not store the dataset, `__len__` references undefined attributes, `rgb_to_grayscale` is not implemented, and `__getitem__` incorrectly attempts to read images from file paths instead of using the provided dataset.</t>
        </is>
      </c>
      <c r="AH128" t="n">
        <v>15.5</v>
      </c>
      <c r="AI128" t="n">
        <v>0</v>
      </c>
    </row>
    <row r="129">
      <c r="A129" t="n">
        <v>128</v>
      </c>
      <c r="B129" t="inlineStr">
        <is>
          <t>TA_3</t>
        </is>
      </c>
      <c r="C129" t="inlineStr">
        <is>
          <t>TA_13</t>
        </is>
      </c>
      <c r="D129" t="n">
        <v>5.5</v>
      </c>
      <c r="E129" t="n">
        <v>0</v>
      </c>
      <c r="F129" t="n">
        <v>6</v>
      </c>
      <c r="G129" t="n">
        <v>0</v>
      </c>
      <c r="H129" t="n">
        <v>2</v>
      </c>
      <c r="I129" t="n">
        <v>0</v>
      </c>
      <c r="J129" t="n">
        <v>6</v>
      </c>
      <c r="K129" t="n">
        <v>0</v>
      </c>
      <c r="L129" t="n">
        <v>8.5</v>
      </c>
      <c r="M129" t="n">
        <v>0</v>
      </c>
      <c r="N129" t="n">
        <v>1.5</v>
      </c>
      <c r="O129" t="n">
        <v>0</v>
      </c>
      <c r="P129">
        <f>Table1[[#This Row],[TA 1 - Q1 Score]]+Table1[[#This Row],[TA 1 - Q2 Score]]+Table1[[#This Row],[TA 1 - Q3 Score]]</f>
        <v/>
      </c>
      <c r="Q129">
        <f>Table1[[#This Row],[TA 1 - Q1 Bonus]]+Table1[[#This Row],[TA 1 - Q2 Bonus]]+Table1[[#This Row],[TA 1 - Q4 Bonus]]</f>
        <v/>
      </c>
      <c r="R129">
        <f>Table1[[#This Row],[TA 2 - Q1 Score]]+Table1[[#This Row],[TA 2 - Q2 Score]]+Table1[[#This Row],[TA 2 - Q3 Score]]</f>
        <v/>
      </c>
      <c r="S129">
        <f>Table1[[#This Row],[TA 2 - Q1 Bonus]]+Table1[[#This Row],[TA 2 - Q2 Bonus]]+Table1[[#This Row],[TA 2 - Q4 Bonus]]</f>
        <v/>
      </c>
      <c r="T129">
        <f>(Table1[[#This Row],[TA 1 - Total Score (out of 35)]]+Table1[[#This Row],[TA 2 - Total Score (out of 35)]])/2</f>
        <v/>
      </c>
      <c r="U129">
        <f>(Table1[[#This Row],[TA 1 - Total Bonus (out of 13)]]+Table1[[#This Row],[TA 2 - Total Bonus (out of 13)]])/2</f>
        <v/>
      </c>
      <c r="V129">
        <f>Table1[[#This Row],[Average Questions]]/35*20+Table1[[#This Row],[Average Bonus]]/13*5</f>
        <v/>
      </c>
      <c r="W129" t="n">
        <v>4</v>
      </c>
      <c r="X129" t="n">
        <v>0</v>
      </c>
      <c r="Y129" t="inlineStr">
        <is>
          <t>The student partially completed several tasks but made significant errors. The data loading and preparation section had issues with the order of transformations and missing DataLoader creation. Sample image display was attempted but used hardcoded indices and incorrect tensor handling. The model loading and adaptation section incorrectly loaded EfficientNet-B0 instead of EfficientNetV2-Small. Training and validation loops contained mistakes such as squeezing outputs and incorrect label handling. The bonus task was not attempted.</t>
        </is>
      </c>
      <c r="Z129" t="n">
        <v>7</v>
      </c>
      <c r="AA129" t="n">
        <v>0</v>
      </c>
      <c r="AB129" t="inlineStr">
        <is>
          <t>The student implemented a custom dataset class and used the correct transformations, including RandomRotation and resizing to 32x32. Sample images were displayed with labels. However, the CNN model had only 5 layers but did not meet the requirement of 5 convolutional layers with specified channel sizes and lacked Batch Normalization. The training and validation loops were implemented correctly, and the model was trained and plotted. The bonus task was not attempted.</t>
        </is>
      </c>
      <c r="AC129" t="n">
        <v>2</v>
      </c>
      <c r="AD129" t="inlineStr">
        <is>
          <t>The student attempted most tasks but made significant errors. The dataset class was partially implemented with redundant definitions and incorrect parameters. DataLoaders were correctly set up, but the dataset paths were incorrectly specified. The model class used an incorrect number of input channels and classes. Training and validation loops were attempted but contained logical errors, such as using BCEWithLogitsLoss for multi-class segmentation. Visualization of predictions was not attempted.</t>
        </is>
      </c>
      <c r="AE129" t="n">
        <v>0</v>
      </c>
      <c r="AF129" t="n">
        <v>0</v>
      </c>
      <c r="AG129" t="inlineStr">
        <is>
          <t>No submission found.</t>
        </is>
      </c>
      <c r="AH129" t="n">
        <v>13</v>
      </c>
      <c r="AI129" t="n">
        <v>0</v>
      </c>
    </row>
    <row r="130">
      <c r="A130" t="n">
        <v>129</v>
      </c>
      <c r="B130" t="inlineStr">
        <is>
          <t>TA_3</t>
        </is>
      </c>
      <c r="C130" t="inlineStr">
        <is>
          <t>TA_13</t>
        </is>
      </c>
      <c r="D130" t="n">
        <v>9</v>
      </c>
      <c r="E130" t="n">
        <v>4</v>
      </c>
      <c r="F130" t="n">
        <v>7</v>
      </c>
      <c r="G130" t="n">
        <v>0</v>
      </c>
      <c r="H130" t="n">
        <v>8</v>
      </c>
      <c r="I130" t="n">
        <v>5</v>
      </c>
      <c r="J130" t="n">
        <v>10.5</v>
      </c>
      <c r="K130" t="n">
        <v>4</v>
      </c>
      <c r="L130" t="n">
        <v>11</v>
      </c>
      <c r="M130" t="n">
        <v>3</v>
      </c>
      <c r="N130" t="n">
        <v>11</v>
      </c>
      <c r="O130" t="n">
        <v>5</v>
      </c>
      <c r="P130">
        <f>Table1[[#This Row],[TA 1 - Q1 Score]]+Table1[[#This Row],[TA 1 - Q2 Score]]+Table1[[#This Row],[TA 1 - Q3 Score]]</f>
        <v/>
      </c>
      <c r="Q130">
        <f>Table1[[#This Row],[TA 1 - Q1 Bonus]]+Table1[[#This Row],[TA 1 - Q2 Bonus]]+Table1[[#This Row],[TA 1 - Q4 Bonus]]</f>
        <v/>
      </c>
      <c r="R130">
        <f>Table1[[#This Row],[TA 2 - Q1 Score]]+Table1[[#This Row],[TA 2 - Q2 Score]]+Table1[[#This Row],[TA 2 - Q3 Score]]</f>
        <v/>
      </c>
      <c r="S130">
        <f>Table1[[#This Row],[TA 2 - Q1 Bonus]]+Table1[[#This Row],[TA 2 - Q2 Bonus]]+Table1[[#This Row],[TA 2 - Q4 Bonus]]</f>
        <v/>
      </c>
      <c r="T130">
        <f>(Table1[[#This Row],[TA 1 - Total Score (out of 35)]]+Table1[[#This Row],[TA 2 - Total Score (out of 35)]])/2</f>
        <v/>
      </c>
      <c r="U130">
        <f>(Table1[[#This Row],[TA 1 - Total Bonus (out of 13)]]+Table1[[#This Row],[TA 2 - Total Bonus (out of 13)]])/2</f>
        <v/>
      </c>
      <c r="V130">
        <f>Table1[[#This Row],[Average Questions]]/35*20+Table1[[#This Row],[Average Bonus]]/13*5</f>
        <v/>
      </c>
      <c r="W130" t="n">
        <v>8.5</v>
      </c>
      <c r="X130" t="n">
        <v>3</v>
      </c>
      <c r="Y130" t="inlineStr">
        <is>
          <t>The student completed most tasks correctly. In Part 1, the transforms were correctly defined and applied, and sample images were displayed. In Part 2, the pretrained EfficientNetV2-Small model was loaded, and the backbone was frozen. However, the classifier head was incorrectly modified by freezing all parameters instead of just the backbone. In Part 3, both training and validation loops were implemented correctly, and label fixing was done properly. In Part 4, the model was set up and trained, and the losses and accuracies were plotted. For the bonus task, the student correctly implemented test time augmentation by averaging predictions from original, horizontally flipped, and vertically flipped images.</t>
        </is>
      </c>
      <c r="Z130" t="n">
        <v>8.5</v>
      </c>
      <c r="AA130" t="n">
        <v>0</v>
      </c>
      <c r="AB130" t="inlineStr">
        <is>
          <t>The student successfully loaded and prepared the data with correct transformations and displayed sample images. The CNN model was built with five convolutional layers and batch normalization, earning full marks for this part. However, there were issues in the training and validation functions where the accuracy calculation was incorrect due to the use of '.eq()' instead of '=='. The training loop and plotting of losses and accuracies were mostly correct but did not fully match the reference solution. The bonus task was attempted but the residual connection implementation was incorrect, leading to a non-functional model.</t>
        </is>
      </c>
      <c r="AC130" t="n">
        <v>8</v>
      </c>
      <c r="AD130" t="inlineStr">
        <is>
          <t>The student's submission includes most of the required tasks with some minor issues. The dataset class is implemented correctly but uses a different directory search method. DataLoaders are created, but the mask transformation is applied within the __getitem__ method instead of using a separate target_transform. Sample images and masks are displayed, though the print statement has a typo. The model class uses the correct encoder but the learning rate is lower than specified in the reference solution. Training and validation loops are implemented, and the model trains for 5 epochs instead of 10. Losses are printed and plotted. Predictions are visualized against ground truth, but the images are taken from the train_loader instead of the test_loader.</t>
        </is>
      </c>
      <c r="AE130" t="n">
        <v>0</v>
      </c>
      <c r="AF130" t="n">
        <v>5</v>
      </c>
      <c r="AG130" t="inlineStr">
        <is>
          <t>The student's implementation of the `ColorizationDataset` class is correct and runs perfectly, producing the expected output. The `__init__`, `__len__`, `rgb_to_grayscale`, and `__getitem__` methods are all implemented accurately. The visualization also displays the grayscale and color images correctly. Therefore, the student receives full bonus points for this task.</t>
        </is>
      </c>
      <c r="AH130" t="n">
        <v>25</v>
      </c>
      <c r="AI130" t="n">
        <v>8</v>
      </c>
    </row>
    <row r="131">
      <c r="A131" t="n">
        <v>130</v>
      </c>
      <c r="B131" t="inlineStr">
        <is>
          <t>TA_3</t>
        </is>
      </c>
      <c r="C131" t="inlineStr">
        <is>
          <t>TA_13</t>
        </is>
      </c>
      <c r="D131" t="n">
        <v>10.5</v>
      </c>
      <c r="E131" t="n">
        <v>4</v>
      </c>
      <c r="F131" t="n">
        <v>10</v>
      </c>
      <c r="G131" t="n">
        <v>4</v>
      </c>
      <c r="H131" t="n">
        <v>12</v>
      </c>
      <c r="I131" t="n">
        <v>5</v>
      </c>
      <c r="J131" t="n">
        <v>12</v>
      </c>
      <c r="K131" t="n">
        <v>4</v>
      </c>
      <c r="L131" t="n">
        <v>8.5</v>
      </c>
      <c r="M131" t="n">
        <v>3</v>
      </c>
      <c r="N131" t="n">
        <v>12</v>
      </c>
      <c r="O131" t="n">
        <v>5</v>
      </c>
      <c r="P131">
        <f>Table1[[#This Row],[TA 1 - Q1 Score]]+Table1[[#This Row],[TA 1 - Q2 Score]]+Table1[[#This Row],[TA 1 - Q3 Score]]</f>
        <v/>
      </c>
      <c r="Q131">
        <f>Table1[[#This Row],[TA 1 - Q1 Bonus]]+Table1[[#This Row],[TA 1 - Q2 Bonus]]+Table1[[#This Row],[TA 1 - Q4 Bonus]]</f>
        <v/>
      </c>
      <c r="R131">
        <f>Table1[[#This Row],[TA 2 - Q1 Score]]+Table1[[#This Row],[TA 2 - Q2 Score]]+Table1[[#This Row],[TA 2 - Q3 Score]]</f>
        <v/>
      </c>
      <c r="S131">
        <f>Table1[[#This Row],[TA 2 - Q1 Bonus]]+Table1[[#This Row],[TA 2 - Q2 Bonus]]+Table1[[#This Row],[TA 2 - Q4 Bonus]]</f>
        <v/>
      </c>
      <c r="T131">
        <f>(Table1[[#This Row],[TA 1 - Total Score (out of 35)]]+Table1[[#This Row],[TA 2 - Total Score (out of 35)]])/2</f>
        <v/>
      </c>
      <c r="U131">
        <f>(Table1[[#This Row],[TA 1 - Total Bonus (out of 13)]]+Table1[[#This Row],[TA 2 - Total Bonus (out of 13)]])/2</f>
        <v/>
      </c>
      <c r="V131">
        <f>Table1[[#This Row],[Average Questions]]/35*20+Table1[[#This Row],[Average Bonus]]/13*5</f>
        <v/>
      </c>
      <c r="W131" t="n">
        <v>8.5</v>
      </c>
      <c r="X131" t="n">
        <v>0</v>
      </c>
      <c r="Y131" t="inlineStr">
        <is>
          <t>The student completed most tasks correctly but made some minor mistakes. The data loading and preparation were mostly correct, though the batch size was smaller than in the reference. The model loading and adaptation were accurate, but the student froze all parameters instead of just the backbone. The training and validation loops were implemented correctly, including label fixing. However, the bonus task for test time augmentation had logical errors in averaging predictions.</t>
        </is>
      </c>
      <c r="Z131" t="n">
        <v>6</v>
      </c>
      <c r="AA131" t="n">
        <v>0</v>
      </c>
      <c r="AB131" t="inlineStr">
        <is>
          <t>The student partially completed the tasks. They created a custom dataset class and data loaders with transformations, but the transformations did not include RandomRotation and resizing to 32x32. The CNN model was built with 5 convolutional layers and batch normalization, but the final fully connected layer had incorrect input dimensions. The training and validation loops were implemented correctly, but the model was trained for only 4 epochs with a very low learning rate. No residual connection was defined or implemented, so no bonus points were awarded.</t>
        </is>
      </c>
      <c r="AC131" t="n">
        <v>8.5</v>
      </c>
      <c r="AD131" t="inlineStr">
        <is>
          <t>The student's submission demonstrates a good understanding of the tasks but contains some minor issues. Task 1 is mostly correct with a small mistake in mask conversion (using 'P' instead of 'L'). Task 2 correctly defines the U-Net model with the specified encoder. Task 3 includes correct training and validation loops. Task 4 defines the loss and optimizer correctly, trains the model, and plots the loss curve, though with fewer epochs than required. Task 5 visualizes predictions accurately. Overall, the code runs and achieves the desired outcomes with some minor adjustments needed.</t>
        </is>
      </c>
      <c r="AE131" t="n">
        <v>0</v>
      </c>
      <c r="AF131" t="n">
        <v>5</v>
      </c>
      <c r="AG131" t="inlineStr">
        <is>
          <t>The student's implementation of the `ColorizationDataset` class is correct and runs perfectly, producing the expected output and following the optimal logic. The code includes all required methods (`__init__`, `__len__`, `rgb_to_grayscale`, `__getitem__`) and provides correct visualizations. Therefore, the bonus task is fully completed.</t>
        </is>
      </c>
      <c r="AH131" t="n">
        <v>23</v>
      </c>
      <c r="AI131" t="n">
        <v>5</v>
      </c>
    </row>
    <row r="132">
      <c r="A132" t="n">
        <v>131</v>
      </c>
      <c r="B132" t="inlineStr">
        <is>
          <t>TA_3</t>
        </is>
      </c>
      <c r="C132" t="inlineStr">
        <is>
          <t>TA_13</t>
        </is>
      </c>
      <c r="D132" t="n">
        <v>11</v>
      </c>
      <c r="E132" t="n">
        <v>4</v>
      </c>
      <c r="F132" t="n">
        <v>9.5</v>
      </c>
      <c r="G132" t="n">
        <v>0</v>
      </c>
      <c r="H132" t="n">
        <v>12</v>
      </c>
      <c r="I132" t="n">
        <v>0</v>
      </c>
      <c r="J132" t="n">
        <v>12</v>
      </c>
      <c r="K132" t="n">
        <v>2</v>
      </c>
      <c r="L132" t="n">
        <v>11</v>
      </c>
      <c r="M132" t="n">
        <v>0</v>
      </c>
      <c r="N132" t="n">
        <v>12</v>
      </c>
      <c r="O132" t="n">
        <v>0</v>
      </c>
      <c r="P132">
        <f>Table1[[#This Row],[TA 1 - Q1 Score]]+Table1[[#This Row],[TA 1 - Q2 Score]]+Table1[[#This Row],[TA 1 - Q3 Score]]</f>
        <v/>
      </c>
      <c r="Q132">
        <f>Table1[[#This Row],[TA 1 - Q1 Bonus]]+Table1[[#This Row],[TA 1 - Q2 Bonus]]+Table1[[#This Row],[TA 1 - Q4 Bonus]]</f>
        <v/>
      </c>
      <c r="R132">
        <f>Table1[[#This Row],[TA 2 - Q1 Score]]+Table1[[#This Row],[TA 2 - Q2 Score]]+Table1[[#This Row],[TA 2 - Q3 Score]]</f>
        <v/>
      </c>
      <c r="S132">
        <f>Table1[[#This Row],[TA 2 - Q1 Bonus]]+Table1[[#This Row],[TA 2 - Q2 Bonus]]+Table1[[#This Row],[TA 2 - Q4 Bonus]]</f>
        <v/>
      </c>
      <c r="T132">
        <f>(Table1[[#This Row],[TA 1 - Total Score (out of 35)]]+Table1[[#This Row],[TA 2 - Total Score (out of 35)]])/2</f>
        <v/>
      </c>
      <c r="U132">
        <f>(Table1[[#This Row],[TA 1 - Total Bonus (out of 13)]]+Table1[[#This Row],[TA 2 - Total Bonus (out of 13)]])/2</f>
        <v/>
      </c>
      <c r="V132">
        <f>Table1[[#This Row],[Average Questions]]/35*20+Table1[[#This Row],[Average Bonus]]/13*5</f>
        <v/>
      </c>
      <c r="W132" t="n">
        <v>7.5</v>
      </c>
      <c r="X132" t="n">
        <v>0</v>
      </c>
      <c r="Y132" t="inlineStr">
        <is>
          <t>The student completed most tasks with minor issues. The data loading and preparation were mostly correct, but the image display had a logical mistake in label assignment. The model loading and adaptation were correct, but the student did not freeze the backbone properly. The training and validation loops were implemented with some unnecessary softmax operations. The training process and plotting were correct. The bonus task was not completed due to a logical error in the validation function.</t>
        </is>
      </c>
      <c r="Z132" t="n">
        <v>6</v>
      </c>
      <c r="AA132" t="n">
        <v>0</v>
      </c>
      <c r="AB132" t="inlineStr">
        <is>
          <t>The student successfully loaded and prepared the data with the correct transformations and displayed sample images. The CNN model was built with five convolutional layers and batch normalization, though the architecture differs from the reference solution. The training and validation loops were implemented correctly, and the model was trained and plotted. However, the bonus task was not attempted.</t>
        </is>
      </c>
      <c r="AC132" t="n">
        <v>8.5</v>
      </c>
      <c r="AD132" t="inlineStr">
        <is>
          <t>The student's submission largely follows the reference solution but contains minor issues. The dataset class is correctly implemented, and the DataLoaders are set up properly. Sample images and masks are displayed correctly. The model class uses the correct U-Net architecture with the specified encoder. Training and validation loops are implemented with minor syntax issues. The loss and optimizer are defined, and the model trains for the specified number of epochs with loss printed and plotted. Predictions are visualized against ground truth, though the colormap could be improved for better visualization.</t>
        </is>
      </c>
      <c r="AE132" t="n">
        <v>0</v>
      </c>
      <c r="AF132" t="n">
        <v>0</v>
      </c>
      <c r="AG132" t="inlineStr">
        <is>
          <t>No submission found.</t>
        </is>
      </c>
      <c r="AH132" t="n">
        <v>22</v>
      </c>
      <c r="AI132" t="n">
        <v>0</v>
      </c>
    </row>
    <row r="133">
      <c r="A133" t="n">
        <v>132</v>
      </c>
      <c r="B133" t="inlineStr">
        <is>
          <t>TA_3</t>
        </is>
      </c>
      <c r="C133" t="inlineStr">
        <is>
          <t>TA_13</t>
        </is>
      </c>
      <c r="D133" t="n">
        <v>11</v>
      </c>
      <c r="E133" t="n">
        <v>4</v>
      </c>
      <c r="F133" t="n">
        <v>11</v>
      </c>
      <c r="G133" t="n">
        <v>0</v>
      </c>
      <c r="H133" t="n">
        <v>9</v>
      </c>
      <c r="I133" t="n">
        <v>5</v>
      </c>
      <c r="J133" t="n">
        <v>11</v>
      </c>
      <c r="K133" t="n">
        <v>4</v>
      </c>
      <c r="L133" t="n">
        <v>9</v>
      </c>
      <c r="M133" t="n">
        <v>0</v>
      </c>
      <c r="N133" t="n">
        <v>11</v>
      </c>
      <c r="O133" t="n">
        <v>5</v>
      </c>
      <c r="P133">
        <f>Table1[[#This Row],[TA 1 - Q1 Score]]+Table1[[#This Row],[TA 1 - Q2 Score]]+Table1[[#This Row],[TA 1 - Q3 Score]]</f>
        <v/>
      </c>
      <c r="Q133">
        <f>Table1[[#This Row],[TA 1 - Q1 Bonus]]+Table1[[#This Row],[TA 1 - Q2 Bonus]]+Table1[[#This Row],[TA 1 - Q4 Bonus]]</f>
        <v/>
      </c>
      <c r="R133">
        <f>Table1[[#This Row],[TA 2 - Q1 Score]]+Table1[[#This Row],[TA 2 - Q2 Score]]+Table1[[#This Row],[TA 2 - Q3 Score]]</f>
        <v/>
      </c>
      <c r="S133">
        <f>Table1[[#This Row],[TA 2 - Q1 Bonus]]+Table1[[#This Row],[TA 2 - Q2 Bonus]]+Table1[[#This Row],[TA 2 - Q4 Bonus]]</f>
        <v/>
      </c>
      <c r="T133">
        <f>(Table1[[#This Row],[TA 1 - Total Score (out of 35)]]+Table1[[#This Row],[TA 2 - Total Score (out of 35)]])/2</f>
        <v/>
      </c>
      <c r="U133">
        <f>(Table1[[#This Row],[TA 1 - Total Bonus (out of 13)]]+Table1[[#This Row],[TA 2 - Total Bonus (out of 13)]])/2</f>
        <v/>
      </c>
      <c r="V133">
        <f>Table1[[#This Row],[Average Questions]]/35*20+Table1[[#This Row],[Average Bonus]]/13*5</f>
        <v/>
      </c>
      <c r="W133" t="n">
        <v>8.5</v>
      </c>
      <c r="X133" t="n">
        <v>3</v>
      </c>
      <c r="Y133" t="inlineStr">
        <is>
          <t>The student completed most tasks correctly. The data loading and preparation were mostly accurate, with minor issues in displaying sample images. The model loading and adaptation were correct, including freezing the backbone and replacing the classifier head. The training and validation loops were implemented properly, with label fixing applied. However, the training used only one epoch, which is less than ideal. The bonus task for Test Time Augmentation was correctly implemented, averaging predictions from original, horizontally flipped, and vertically flipped images.</t>
        </is>
      </c>
      <c r="Z133" t="n">
        <v>8.5</v>
      </c>
      <c r="AA133" t="n">
        <v>0</v>
      </c>
      <c r="AB133" t="inlineStr">
        <is>
          <t>The student successfully loaded and prepared the data with correct transformations and displayed sample images. The CNN model was built with five convolutional layers and batch normalization, though the final layer had an incorrect number of output features. Training and validation functions were implemented correctly, and the model was trained and plotted. However, the bonus task was not completed as the residual connection was incorrectly defined and not retrained.</t>
        </is>
      </c>
      <c r="AC133" t="n">
        <v>8.5</v>
      </c>
      <c r="AD133" t="inlineStr">
        <is>
          <t>The student's submission largely follows the reference solution but contains minor issues. Task 1 is mostly correct with a small mistake in the image directory path. Task 2 correctly defines the U-Net model with the specified encoder. Task 3 implements training and validation loops with slight differences in implementation details. Task 4 defines the loss and optimizer correctly, trains the model, and plots the loss curve. Task 5 visualizes predictions effectively. Overall, the code runs and produces the expected results with minor adjustments needed.</t>
        </is>
      </c>
      <c r="AE133" t="n">
        <v>0</v>
      </c>
      <c r="AF133" t="n">
        <v>0</v>
      </c>
      <c r="AG133" t="inlineStr">
        <is>
          <t>The student's implementation contains several issues that prevent it from being fully correct. In the `rgb_to_grayscale` method, the slicing of the image tensor is incorrect, which would result in incorrect grayscale conversion. Additionally, the `pass` statements in the methods indicate incomplete or unattempted code, which does not meet the criteria for partial credit. The visualization and DataLoader tests also suggest that the implementation is not functioning as intended.</t>
        </is>
      </c>
      <c r="AH133" t="n">
        <v>25.5</v>
      </c>
      <c r="AI133" t="n">
        <v>3</v>
      </c>
    </row>
    <row r="134">
      <c r="A134" t="n">
        <v>133</v>
      </c>
      <c r="B134" t="inlineStr">
        <is>
          <t>TA_3</t>
        </is>
      </c>
      <c r="C134" t="inlineStr">
        <is>
          <t>TA_13</t>
        </is>
      </c>
      <c r="D134" t="n">
        <v>10.5</v>
      </c>
      <c r="E134" t="n">
        <v>0</v>
      </c>
      <c r="F134" t="n">
        <v>11</v>
      </c>
      <c r="G134" t="n">
        <v>0</v>
      </c>
      <c r="H134" t="n">
        <v>12</v>
      </c>
      <c r="I134" t="n">
        <v>0</v>
      </c>
      <c r="J134" t="n">
        <v>9.5</v>
      </c>
      <c r="K134" t="n">
        <v>0</v>
      </c>
      <c r="L134" t="n">
        <v>11</v>
      </c>
      <c r="M134" t="n">
        <v>0</v>
      </c>
      <c r="N134" t="n">
        <v>12</v>
      </c>
      <c r="O134" t="n">
        <v>0</v>
      </c>
      <c r="P134">
        <f>Table1[[#This Row],[TA 1 - Q1 Score]]+Table1[[#This Row],[TA 1 - Q2 Score]]+Table1[[#This Row],[TA 1 - Q3 Score]]</f>
        <v/>
      </c>
      <c r="Q134">
        <f>Table1[[#This Row],[TA 1 - Q1 Bonus]]+Table1[[#This Row],[TA 1 - Q2 Bonus]]+Table1[[#This Row],[TA 1 - Q4 Bonus]]</f>
        <v/>
      </c>
      <c r="R134">
        <f>Table1[[#This Row],[TA 2 - Q1 Score]]+Table1[[#This Row],[TA 2 - Q2 Score]]+Table1[[#This Row],[TA 2 - Q3 Score]]</f>
        <v/>
      </c>
      <c r="S134">
        <f>Table1[[#This Row],[TA 2 - Q1 Bonus]]+Table1[[#This Row],[TA 2 - Q2 Bonus]]+Table1[[#This Row],[TA 2 - Q4 Bonus]]</f>
        <v/>
      </c>
      <c r="T134">
        <f>(Table1[[#This Row],[TA 1 - Total Score (out of 35)]]+Table1[[#This Row],[TA 2 - Total Score (out of 35)]])/2</f>
        <v/>
      </c>
      <c r="U134">
        <f>(Table1[[#This Row],[TA 1 - Total Bonus (out of 13)]]+Table1[[#This Row],[TA 2 - Total Bonus (out of 13)]])/2</f>
        <v/>
      </c>
      <c r="V134">
        <f>Table1[[#This Row],[Average Questions]]/35*20+Table1[[#This Row],[Average Bonus]]/13*5</f>
        <v/>
      </c>
      <c r="W134" t="n">
        <v>5</v>
      </c>
      <c r="X134" t="n">
        <v>0</v>
      </c>
      <c r="Y134" t="inlineStr">
        <is>
          <t>The student attempted most tasks but made several mistakes. In Part 1, the SubtractOne class was incorrectly used in the transform pipeline, causing errors. Part 2 had issues with freezing the model layers and replacing the classifier. Part 3's training and validation loops were mostly correct but contained syntax errors (e.g., calling undefined functions). Part 4 had setup issues with the optimizer and incorrect calls to training/validation functions. No bonus tasks were attempted.</t>
        </is>
      </c>
      <c r="Z134" t="n">
        <v>7</v>
      </c>
      <c r="AA134" t="n">
        <v>0</v>
      </c>
      <c r="AB134" t="inlineStr">
        <is>
          <t>The student implemented a custom dataset class with correct transformations and displayed sample images. However, the CNN model deviated significantly from the required architecture, using more layers and different parameters. The training and validation loops were correctly implemented, and the model was trained and plotted. No bonus task was attempted.</t>
        </is>
      </c>
      <c r="AC134" t="n">
        <v>8.5</v>
      </c>
      <c r="AD134" t="inlineStr">
        <is>
          <t>The student's submission includes most of the required tasks with minor issues. Task 1 is mostly complete with a custom dataset class and DataLoaders, though the image size is different from the reference solution. Task 2 is correct with the U-Net model definition. Task 3 has both training and validation loops implemented correctly. Task 4 defines the loss and optimizer, trains the model, and plots the loss curve, but the learning rate and number of epochs differ from the reference. Task 5 visualizes predictions but uses a different colormap and does not follow the exact structure of the reference solution.</t>
        </is>
      </c>
      <c r="AE134" t="n">
        <v>0</v>
      </c>
      <c r="AF134" t="n">
        <v>0</v>
      </c>
      <c r="AG134" t="inlineStr">
        <is>
          <t>No submission found.</t>
        </is>
      </c>
      <c r="AH134" t="n">
        <v>20.5</v>
      </c>
      <c r="AI134" t="n">
        <v>0</v>
      </c>
    </row>
    <row r="135">
      <c r="A135" t="n">
        <v>134</v>
      </c>
      <c r="B135" t="inlineStr">
        <is>
          <t>TA_3</t>
        </is>
      </c>
      <c r="C135" t="inlineStr">
        <is>
          <t>TA_13</t>
        </is>
      </c>
      <c r="D135" t="n">
        <v>3</v>
      </c>
      <c r="E135" t="n">
        <v>0</v>
      </c>
      <c r="F135" t="n">
        <v>3.5</v>
      </c>
      <c r="G135" t="n">
        <v>0</v>
      </c>
      <c r="H135" t="n">
        <v>0</v>
      </c>
      <c r="I135" t="n">
        <v>0</v>
      </c>
      <c r="J135" t="n">
        <v>8.5</v>
      </c>
      <c r="K135" t="n">
        <v>0</v>
      </c>
      <c r="L135" t="n">
        <v>7</v>
      </c>
      <c r="M135" t="n">
        <v>0</v>
      </c>
      <c r="N135" t="n">
        <v>0</v>
      </c>
      <c r="O135" t="n">
        <v>0</v>
      </c>
      <c r="P135">
        <f>Table1[[#This Row],[TA 1 - Q1 Score]]+Table1[[#This Row],[TA 1 - Q2 Score]]+Table1[[#This Row],[TA 1 - Q3 Score]]</f>
        <v/>
      </c>
      <c r="Q135">
        <f>Table1[[#This Row],[TA 1 - Q1 Bonus]]+Table1[[#This Row],[TA 1 - Q2 Bonus]]+Table1[[#This Row],[TA 1 - Q4 Bonus]]</f>
        <v/>
      </c>
      <c r="R135">
        <f>Table1[[#This Row],[TA 2 - Q1 Score]]+Table1[[#This Row],[TA 2 - Q2 Score]]+Table1[[#This Row],[TA 2 - Q3 Score]]</f>
        <v/>
      </c>
      <c r="S135">
        <f>Table1[[#This Row],[TA 2 - Q1 Bonus]]+Table1[[#This Row],[TA 2 - Q2 Bonus]]+Table1[[#This Row],[TA 2 - Q4 Bonus]]</f>
        <v/>
      </c>
      <c r="T135">
        <f>(Table1[[#This Row],[TA 1 - Total Score (out of 35)]]+Table1[[#This Row],[TA 2 - Total Score (out of 35)]])/2</f>
        <v/>
      </c>
      <c r="U135">
        <f>(Table1[[#This Row],[TA 1 - Total Bonus (out of 13)]]+Table1[[#This Row],[TA 2 - Total Bonus (out of 13)]])/2</f>
        <v/>
      </c>
      <c r="V135">
        <f>Table1[[#This Row],[Average Questions]]/35*20+Table1[[#This Row],[Average Bonus]]/13*5</f>
        <v/>
      </c>
      <c r="W135" t="n">
        <v>5.5</v>
      </c>
      <c r="X135" t="n">
        <v>0</v>
      </c>
      <c r="Y135" t="inlineStr">
        <is>
          <t>The student completed the data loading and preparation tasks correctly, including resizing, converting to tensor, normalizing, and displaying sample images. However, the model adaptation task was incorrect as the student defined a custom model class instead of modifying the EfficientNetV2-Small model. The training and validation loops were implemented but did not adjust the labels to be 0-indexed, resulting in a penalty. The bonus task was not attempted.</t>
        </is>
      </c>
      <c r="Z135" t="n">
        <v>5</v>
      </c>
      <c r="AA135" t="n">
        <v>0</v>
      </c>
      <c r="AB135" t="inlineStr">
        <is>
          <t>The student partially completed the tasks. They implemented a custom dataset class with correct image loading and labeling, but used incorrect paths for the datasets. The CNN model has 5 convolutional layers but does not include batch normalization. The training and validation loops are mostly correct but incorrectly passed datasets instead of DataLoaders. The training setup and execution were attempted but failed due to the incorrect DataLoader usage. No bonus tasks were attempted.</t>
        </is>
      </c>
      <c r="AC135" t="n">
        <v>0.5</v>
      </c>
      <c r="AD135" t="inlineStr">
        <is>
          <t>The student attempted to create a custom dataset class but used a CSV file for metadata, which was not specified in the task. The dataset initialization and DataLoader creation were partially correct but contained errors. No code was provided for displaying sample images and masks, defining the model, training and validation loops, running training, or visualizing predictions.</t>
        </is>
      </c>
      <c r="AE135" t="n">
        <v>0</v>
      </c>
      <c r="AF135" t="n">
        <v>0</v>
      </c>
      <c r="AG135" t="inlineStr">
        <is>
          <t>No submission found.</t>
        </is>
      </c>
      <c r="AH135" t="n">
        <v>11</v>
      </c>
      <c r="AI135" t="n">
        <v>0</v>
      </c>
    </row>
    <row r="136">
      <c r="A136" t="n">
        <v>135</v>
      </c>
      <c r="B136" t="inlineStr">
        <is>
          <t>TA_3</t>
        </is>
      </c>
      <c r="C136" t="inlineStr">
        <is>
          <t>TA_13</t>
        </is>
      </c>
      <c r="D136" t="n">
        <v>6.5</v>
      </c>
      <c r="E136" t="n">
        <v>0</v>
      </c>
      <c r="F136" t="n">
        <v>6</v>
      </c>
      <c r="G136" t="n">
        <v>0</v>
      </c>
      <c r="H136" t="n">
        <v>2</v>
      </c>
      <c r="I136" t="n">
        <v>0</v>
      </c>
      <c r="J136" t="n">
        <v>5.5</v>
      </c>
      <c r="K136" t="n">
        <v>3</v>
      </c>
      <c r="L136" t="n">
        <v>4.5</v>
      </c>
      <c r="M136" t="n">
        <v>0</v>
      </c>
      <c r="N136" t="n">
        <v>0</v>
      </c>
      <c r="O136" t="n">
        <v>0</v>
      </c>
      <c r="P136">
        <f>Table1[[#This Row],[TA 1 - Q1 Score]]+Table1[[#This Row],[TA 1 - Q2 Score]]+Table1[[#This Row],[TA 1 - Q3 Score]]</f>
        <v/>
      </c>
      <c r="Q136">
        <f>Table1[[#This Row],[TA 1 - Q1 Bonus]]+Table1[[#This Row],[TA 1 - Q2 Bonus]]+Table1[[#This Row],[TA 1 - Q4 Bonus]]</f>
        <v/>
      </c>
      <c r="R136">
        <f>Table1[[#This Row],[TA 2 - Q1 Score]]+Table1[[#This Row],[TA 2 - Q2 Score]]+Table1[[#This Row],[TA 2 - Q3 Score]]</f>
        <v/>
      </c>
      <c r="S136">
        <f>Table1[[#This Row],[TA 2 - Q1 Bonus]]+Table1[[#This Row],[TA 2 - Q2 Bonus]]+Table1[[#This Row],[TA 2 - Q4 Bonus]]</f>
        <v/>
      </c>
      <c r="T136">
        <f>(Table1[[#This Row],[TA 1 - Total Score (out of 35)]]+Table1[[#This Row],[TA 2 - Total Score (out of 35)]])/2</f>
        <v/>
      </c>
      <c r="U136">
        <f>(Table1[[#This Row],[TA 1 - Total Bonus (out of 13)]]+Table1[[#This Row],[TA 2 - Total Bonus (out of 13)]])/2</f>
        <v/>
      </c>
      <c r="V136">
        <f>Table1[[#This Row],[Average Questions]]/35*20+Table1[[#This Row],[Average Bonus]]/13*5</f>
        <v/>
      </c>
      <c r="W136" t="n">
        <v>4</v>
      </c>
      <c r="X136" t="n">
        <v>0</v>
      </c>
      <c r="Y136" t="inlineStr">
        <is>
          <t>The student attempted most tasks but made several mistakes. In Part 1, the resize transformation was incorrectly set to 240x240 instead of 28x28. The sample image display had issues with denormalization and label mapping. In Part 2, the model was incorrectly loaded as EfficientNetV2-M instead of EfficientNetV2-S, and the classifier was not properly adapted. In Part 3, the training and validation loops did not adjust labels to be 0-indexed, resulting in a penalty. Part 4 was partially correct but used an incorrect model setup. The bonus task was not attempted.</t>
        </is>
      </c>
      <c r="Z136" t="n">
        <v>5</v>
      </c>
      <c r="AA136" t="n">
        <v>0</v>
      </c>
      <c r="AB136" t="inlineStr">
        <is>
          <t>The student implemented a custom dataset class and used ImageFolder correctly, achieving full points for Part 1. The CNN model has 5 convolutional layers with Batch Normalization, earning full points for Part 2. However, the model's fully connected layers have incorrect input dimensions and output classes, leading to errors. The training and validation loops are mostly correct but contain syntax errors and logical issues, resulting in partial credit for Part 3. The training setup and execution are partially correct but fail due to the model's issues, earning partial credit for Part 4. No bonus task was attempted.</t>
        </is>
      </c>
      <c r="AC136" t="n">
        <v>4</v>
      </c>
      <c r="AD136" t="inlineStr">
        <is>
          <t>The student attempted most tasks but made significant errors. The dataset class was partially implemented but not fully integrated with DataLoaders. The model class used the wrong number of classes. Training and validation loops were mostly correct but not executed due to incomplete setup. Loss and optimizer were defined correctly, but training did not run due to missing DataLoader definitions. Prediction visualization was attempted but failed due to incorrect mask handling and DataLoader issues.</t>
        </is>
      </c>
      <c r="AE136" t="n">
        <v>0</v>
      </c>
      <c r="AF136" t="n">
        <v>0</v>
      </c>
      <c r="AG136" t="inlineStr">
        <is>
          <t>No submission found.</t>
        </is>
      </c>
      <c r="AH136" t="n">
        <v>13</v>
      </c>
      <c r="AI136" t="n">
        <v>0</v>
      </c>
    </row>
    <row r="137">
      <c r="A137" t="n">
        <v>136</v>
      </c>
      <c r="B137" t="inlineStr">
        <is>
          <t>TA_3</t>
        </is>
      </c>
      <c r="C137" t="inlineStr">
        <is>
          <t>TA_13</t>
        </is>
      </c>
      <c r="D137" t="n">
        <v>7</v>
      </c>
      <c r="E137" t="n">
        <v>0</v>
      </c>
      <c r="F137" t="n">
        <v>10</v>
      </c>
      <c r="G137" t="n">
        <v>0</v>
      </c>
      <c r="H137" t="n">
        <v>6</v>
      </c>
      <c r="I137" t="n">
        <v>0</v>
      </c>
      <c r="J137" t="n">
        <v>8</v>
      </c>
      <c r="K137" t="n">
        <v>2</v>
      </c>
      <c r="L137" t="n">
        <v>11</v>
      </c>
      <c r="M137" t="n">
        <v>0</v>
      </c>
      <c r="N137" t="n">
        <v>10.5</v>
      </c>
      <c r="O137" t="n">
        <v>0</v>
      </c>
      <c r="P137">
        <f>Table1[[#This Row],[TA 1 - Q1 Score]]+Table1[[#This Row],[TA 1 - Q2 Score]]+Table1[[#This Row],[TA 1 - Q3 Score]]</f>
        <v/>
      </c>
      <c r="Q137">
        <f>Table1[[#This Row],[TA 1 - Q1 Bonus]]+Table1[[#This Row],[TA 1 - Q2 Bonus]]+Table1[[#This Row],[TA 1 - Q4 Bonus]]</f>
        <v/>
      </c>
      <c r="R137">
        <f>Table1[[#This Row],[TA 2 - Q1 Score]]+Table1[[#This Row],[TA 2 - Q2 Score]]+Table1[[#This Row],[TA 2 - Q3 Score]]</f>
        <v/>
      </c>
      <c r="S137">
        <f>Table1[[#This Row],[TA 2 - Q1 Bonus]]+Table1[[#This Row],[TA 2 - Q2 Bonus]]+Table1[[#This Row],[TA 2 - Q4 Bonus]]</f>
        <v/>
      </c>
      <c r="T137">
        <f>(Table1[[#This Row],[TA 1 - Total Score (out of 35)]]+Table1[[#This Row],[TA 2 - Total Score (out of 35)]])/2</f>
        <v/>
      </c>
      <c r="U137">
        <f>(Table1[[#This Row],[TA 1 - Total Bonus (out of 13)]]+Table1[[#This Row],[TA 2 - Total Bonus (out of 13)]])/2</f>
        <v/>
      </c>
      <c r="V137">
        <f>Table1[[#This Row],[Average Questions]]/35*20+Table1[[#This Row],[Average Bonus]]/13*5</f>
        <v/>
      </c>
      <c r="W137" t="n">
        <v>5</v>
      </c>
      <c r="X137" t="n">
        <v>0</v>
      </c>
      <c r="Y137" t="inlineStr">
        <is>
          <t>The student partially completed several tasks but made significant errors. The transforms were mostly correct but included an unnecessary custom module for label adjustment. DataLoaders were created but did not display sample images. The model loading and adaptation were mostly correct, but the classifier replacement had a typo. The training and validation loops were implemented but contained errors in label handling and used incorrect loss functions. The training process did not plot validation metrics. The bonus task was not correctly implemented.</t>
        </is>
      </c>
      <c r="Z137" t="n">
        <v>7</v>
      </c>
      <c r="AA137" t="n">
        <v>0</v>
      </c>
      <c r="AB137" t="inlineStr">
        <is>
          <t>The student successfully loaded and prepared the data with correct transformations and displayed sample images. The CNN model was built with 5 convolutional layers and batch normalization, though the number of channels and kernel sizes differ from the reference. The training and validation loops were implemented correctly. However, the bonus task was not completed as the residual connection was not properly defined or implemented.</t>
        </is>
      </c>
      <c r="AC137" t="n">
        <v>4</v>
      </c>
      <c r="AD137" t="inlineStr">
        <is>
          <t>The student attempted most tasks but made significant errors. In Task 1, the dataset class and data loaders were partially correct but the image and mask paths were incorrectly collected, leading to mismatched data. Task 2 had an incorrect number of output classes set to 1 instead of 8. Task 3 was not fully implemented due to incorrect loss functions and data types. Task 4 had issues with the loss function and data handling, preventing proper training. Task 5 attempted visualization but used incorrect mask processing and displayed binary masks instead of multi-class predictions.</t>
        </is>
      </c>
      <c r="AE137" t="n">
        <v>0</v>
      </c>
      <c r="AF137" t="n">
        <v>0</v>
      </c>
      <c r="AG137" t="inlineStr">
        <is>
          <t>The student's implementation contains multiple errors and incomplete code. The `__init__` method incorrectly attempts to gather image paths and labels, which is unnecessary since the CIFAR-10 dataset is already loaded. The `__len__` method incorrectly references `self.image_paths` instead of `self.cifar_dataset`. The `rgb_to_grayscale` method is not implemented, and the `__getitem__` method contains syntax errors and incorrect logic. The visualization and DataLoader tests are not functional due to these issues.</t>
        </is>
      </c>
      <c r="AH137" t="n">
        <v>16</v>
      </c>
      <c r="AI137" t="n">
        <v>0</v>
      </c>
    </row>
    <row r="138">
      <c r="A138" t="n">
        <v>137</v>
      </c>
      <c r="B138" t="inlineStr">
        <is>
          <t>TA_3</t>
        </is>
      </c>
      <c r="C138" t="inlineStr">
        <is>
          <t>TA_13</t>
        </is>
      </c>
      <c r="D138" t="n">
        <v>4.5</v>
      </c>
      <c r="E138" t="n">
        <v>0</v>
      </c>
      <c r="F138" t="n">
        <v>1</v>
      </c>
      <c r="G138" t="n">
        <v>0</v>
      </c>
      <c r="H138" t="n">
        <v>0</v>
      </c>
      <c r="I138" t="n">
        <v>0</v>
      </c>
      <c r="J138" t="n">
        <v>7.5</v>
      </c>
      <c r="K138" t="n">
        <v>0</v>
      </c>
      <c r="L138" t="n">
        <v>3</v>
      </c>
      <c r="M138" t="n">
        <v>0</v>
      </c>
      <c r="N138" t="n">
        <v>0</v>
      </c>
      <c r="O138" t="n">
        <v>0</v>
      </c>
      <c r="P138">
        <f>Table1[[#This Row],[TA 1 - Q1 Score]]+Table1[[#This Row],[TA 1 - Q2 Score]]+Table1[[#This Row],[TA 1 - Q3 Score]]</f>
        <v/>
      </c>
      <c r="Q138">
        <f>Table1[[#This Row],[TA 1 - Q1 Bonus]]+Table1[[#This Row],[TA 1 - Q2 Bonus]]+Table1[[#This Row],[TA 1 - Q4 Bonus]]</f>
        <v/>
      </c>
      <c r="R138">
        <f>Table1[[#This Row],[TA 2 - Q1 Score]]+Table1[[#This Row],[TA 2 - Q2 Score]]+Table1[[#This Row],[TA 2 - Q3 Score]]</f>
        <v/>
      </c>
      <c r="S138">
        <f>Table1[[#This Row],[TA 2 - Q1 Bonus]]+Table1[[#This Row],[TA 2 - Q2 Bonus]]+Table1[[#This Row],[TA 2 - Q4 Bonus]]</f>
        <v/>
      </c>
      <c r="T138">
        <f>(Table1[[#This Row],[TA 1 - Total Score (out of 35)]]+Table1[[#This Row],[TA 2 - Total Score (out of 35)]])/2</f>
        <v/>
      </c>
      <c r="U138">
        <f>(Table1[[#This Row],[TA 1 - Total Bonus (out of 13)]]+Table1[[#This Row],[TA 2 - Total Bonus (out of 13)]])/2</f>
        <v/>
      </c>
      <c r="V138">
        <f>Table1[[#This Row],[Average Questions]]/35*20+Table1[[#This Row],[Average Bonus]]/13*5</f>
        <v/>
      </c>
      <c r="W138" t="n">
        <v>5</v>
      </c>
      <c r="X138" t="n">
        <v>0</v>
      </c>
      <c r="Y138" t="inlineStr">
        <is>
          <t>The student completed the data loading and preparation with minor issues, such as defining a separate test transform unnecessarily. The model loading and adaptation section had significant errors, including incorrect freezing of layers and improper handling of the classifier. The training and validation loops contained logical mistakes, particularly in the handling of outputs and loss calculation. The plotting of losses and accuracies was not implemented. No bonus task was attempted.</t>
        </is>
      </c>
      <c r="Z138" t="n">
        <v>2</v>
      </c>
      <c r="AA138" t="n">
        <v>0</v>
      </c>
      <c r="AB138" t="inlineStr">
        <is>
          <t>The student partially completed Part 1 by defining the correct transformations and creating DataLoaders, but used incorrect paths for the dataset. Part 2 was partially implemented with only two convolutional layers instead of five, and the input channel was incorrectly set to 1. Parts 3, 4, and the bonus were not attempted.</t>
        </is>
      </c>
      <c r="AC138" t="n">
        <v>2</v>
      </c>
      <c r="AD138" t="inlineStr">
        <is>
          <t>The student attempted most tasks but made significant errors. The dataset class was partially correct but used a CSV file for paths instead of directly listing files, leading to potential issues. DataLoaders were correctly defined. The model class used the wrong number of output classes (1 instead of 8). Training and validation loops had incorrect loss functions and mask handling. The student did not plot the loss curve or visualize predictions.</t>
        </is>
      </c>
      <c r="AE138" t="n">
        <v>0</v>
      </c>
      <c r="AF138" t="n">
        <v>0</v>
      </c>
      <c r="AG138" t="inlineStr">
        <is>
          <t>No submission found.</t>
        </is>
      </c>
      <c r="AH138" t="n">
        <v>9</v>
      </c>
      <c r="AI138" t="n">
        <v>0</v>
      </c>
    </row>
    <row r="139">
      <c r="A139" t="n">
        <v>138</v>
      </c>
      <c r="B139" t="inlineStr">
        <is>
          <t>TA_3</t>
        </is>
      </c>
      <c r="C139" t="inlineStr">
        <is>
          <t>TA_13</t>
        </is>
      </c>
      <c r="D139" t="n">
        <v>12</v>
      </c>
      <c r="E139" t="n">
        <v>0</v>
      </c>
      <c r="F139" t="n">
        <v>11</v>
      </c>
      <c r="G139" t="n">
        <v>0</v>
      </c>
      <c r="H139" t="n">
        <v>8.5</v>
      </c>
      <c r="I139" t="n">
        <v>0</v>
      </c>
      <c r="J139" t="n">
        <v>12</v>
      </c>
      <c r="K139" t="n">
        <v>0</v>
      </c>
      <c r="L139" t="n">
        <v>11</v>
      </c>
      <c r="M139" t="n">
        <v>0</v>
      </c>
      <c r="N139" t="n">
        <v>8.5</v>
      </c>
      <c r="O139" t="n">
        <v>0</v>
      </c>
      <c r="P139">
        <f>Table1[[#This Row],[TA 1 - Q1 Score]]+Table1[[#This Row],[TA 1 - Q2 Score]]+Table1[[#This Row],[TA 1 - Q3 Score]]</f>
        <v/>
      </c>
      <c r="Q139">
        <f>Table1[[#This Row],[TA 1 - Q1 Bonus]]+Table1[[#This Row],[TA 1 - Q2 Bonus]]+Table1[[#This Row],[TA 1 - Q4 Bonus]]</f>
        <v/>
      </c>
      <c r="R139">
        <f>Table1[[#This Row],[TA 2 - Q1 Score]]+Table1[[#This Row],[TA 2 - Q2 Score]]+Table1[[#This Row],[TA 2 - Q3 Score]]</f>
        <v/>
      </c>
      <c r="S139">
        <f>Table1[[#This Row],[TA 2 - Q1 Bonus]]+Table1[[#This Row],[TA 2 - Q2 Bonus]]+Table1[[#This Row],[TA 2 - Q4 Bonus]]</f>
        <v/>
      </c>
      <c r="T139">
        <f>(Table1[[#This Row],[TA 1 - Total Score (out of 35)]]+Table1[[#This Row],[TA 2 - Total Score (out of 35)]])/2</f>
        <v/>
      </c>
      <c r="U139">
        <f>(Table1[[#This Row],[TA 1 - Total Bonus (out of 13)]]+Table1[[#This Row],[TA 2 - Total Bonus (out of 13)]])/2</f>
        <v/>
      </c>
      <c r="V139">
        <f>Table1[[#This Row],[Average Questions]]/35*20+Table1[[#This Row],[Average Bonus]]/13*5</f>
        <v/>
      </c>
      <c r="W139" t="n">
        <v>8</v>
      </c>
      <c r="X139" t="n">
        <v>0</v>
      </c>
      <c r="Y139" t="inlineStr">
        <is>
          <t>The student completed most tasks correctly but made some minor mistakes. The data loading and preparation were mostly correct, with proper transformations and DataLoader setup. Sample images were displayed correctly. The pretrained EfficientNetV2-Small model was loaded and adapted properly, with the backbone frozen and the classifier head replaced. However, there were issues in the training and validation loops, including unnecessary softmax operations and incorrect device handling. The training and validation processes ran, but the plots were not generated due to missing code. No bonus task was attempted.</t>
        </is>
      </c>
      <c r="Z139" t="n">
        <v>8.5</v>
      </c>
      <c r="AA139" t="n">
        <v>0</v>
      </c>
      <c r="AB139" t="inlineStr">
        <is>
          <t>The student successfully completed most tasks with minor issues. The dataset loading and preparation were mostly correct, with the exception of displaying only the first five classes instead of all. The CNN model had 5 convolutional layers with batch normalization, but the number of channels was different from the reference solution. The training and validation loops were implemented correctly, and the plots were generated properly. However, the bonus task was not attempted.</t>
        </is>
      </c>
      <c r="AC139" t="n">
        <v>8</v>
      </c>
      <c r="AD139" t="inlineStr">
        <is>
          <t>The student's submission includes most of the required tasks with some minor issues. Task 1 is partially correct, using a DataFrame for data management instead of sorting file paths directly, which is less optimal but functional. Task 2 is mostly correct with a small mistake in the number of classes. Task 3 is fully implemented. Task 4 has a few issues, including a different learning rate and fewer epochs, but the core logic is correct. Task 5 is not fully implemented, missing the visualization of predictions against ground truth.</t>
        </is>
      </c>
      <c r="AE139" t="n">
        <v>0</v>
      </c>
      <c r="AF139" t="n">
        <v>0</v>
      </c>
      <c r="AG139" t="inlineStr">
        <is>
          <t>No submission found.</t>
        </is>
      </c>
      <c r="AH139" t="n">
        <v>24.5</v>
      </c>
      <c r="AI139" t="n">
        <v>0</v>
      </c>
    </row>
    <row r="140">
      <c r="A140" t="n">
        <v>139</v>
      </c>
      <c r="B140" t="inlineStr">
        <is>
          <t>TA_3</t>
        </is>
      </c>
      <c r="C140" t="inlineStr">
        <is>
          <t>TA_13</t>
        </is>
      </c>
      <c r="D140" t="n">
        <v>5.5</v>
      </c>
      <c r="E140" t="n">
        <v>0</v>
      </c>
      <c r="F140" t="n">
        <v>7.5</v>
      </c>
      <c r="G140" t="n">
        <v>0</v>
      </c>
      <c r="H140" t="n">
        <v>7.5</v>
      </c>
      <c r="I140" t="n">
        <v>0</v>
      </c>
      <c r="J140" t="n">
        <v>8.5</v>
      </c>
      <c r="K140" t="n">
        <v>0</v>
      </c>
      <c r="L140" t="n">
        <v>8.5</v>
      </c>
      <c r="M140" t="n">
        <v>0</v>
      </c>
      <c r="N140" t="n">
        <v>0</v>
      </c>
      <c r="O140" t="n">
        <v>0</v>
      </c>
      <c r="P140">
        <f>Table1[[#This Row],[TA 1 - Q1 Score]]+Table1[[#This Row],[TA 1 - Q2 Score]]+Table1[[#This Row],[TA 1 - Q3 Score]]</f>
        <v/>
      </c>
      <c r="Q140">
        <f>Table1[[#This Row],[TA 1 - Q1 Bonus]]+Table1[[#This Row],[TA 1 - Q2 Bonus]]+Table1[[#This Row],[TA 1 - Q4 Bonus]]</f>
        <v/>
      </c>
      <c r="R140">
        <f>Table1[[#This Row],[TA 2 - Q1 Score]]+Table1[[#This Row],[TA 2 - Q2 Score]]+Table1[[#This Row],[TA 2 - Q3 Score]]</f>
        <v/>
      </c>
      <c r="S140">
        <f>Table1[[#This Row],[TA 2 - Q1 Bonus]]+Table1[[#This Row],[TA 2 - Q2 Bonus]]+Table1[[#This Row],[TA 2 - Q4 Bonus]]</f>
        <v/>
      </c>
      <c r="T140">
        <f>(Table1[[#This Row],[TA 1 - Total Score (out of 35)]]+Table1[[#This Row],[TA 2 - Total Score (out of 35)]])/2</f>
        <v/>
      </c>
      <c r="U140">
        <f>(Table1[[#This Row],[TA 1 - Total Bonus (out of 13)]]+Table1[[#This Row],[TA 2 - Total Bonus (out of 13)]])/2</f>
        <v/>
      </c>
      <c r="V140">
        <f>Table1[[#This Row],[Average Questions]]/35*20+Table1[[#This Row],[Average Bonus]]/13*5</f>
        <v/>
      </c>
      <c r="W140" t="n">
        <v>4</v>
      </c>
      <c r="X140" t="n">
        <v>0</v>
      </c>
      <c r="Y140" t="inlineStr">
        <is>
          <t>The student completed the data loading and transformation tasks correctly, including resizing, converting to tensor, and normalizing the images. However, the DataLoader creation had a mistake in displaying labels and the sample images were not shown with their corresponding labels. The model loading and adaptation section had issues, as the student froze only the last two blocks of the model instead of the entire backbone and incorrectly set the classifier to output a single class. The training and validation loops were partially correct but contained errors such as squeezing the outputs and using an incorrect learning rate. The plotting of losses and accuracies was done correctly, but no bonus task was attempted.</t>
        </is>
      </c>
      <c r="Z140" t="n">
        <v>7</v>
      </c>
      <c r="AA140" t="n">
        <v>0</v>
      </c>
      <c r="AB140" t="inlineStr">
        <is>
          <t>The student partially completed the tasks. They correctly set up the dataset and DataLoaders with the specified transformations, including resizing to 32x32 and random rotation, though the rotation parameter was incorrectly used as RandomHorizontalFlip instead of RandomRotation. The CNN model was defined with five convolutional layers but did not include batch normalization. The training and validation loops were implemented correctly, and the model was trained and plotted. However, the bonus task was not attempted.</t>
        </is>
      </c>
      <c r="AC140" t="n">
        <v>5</v>
      </c>
      <c r="AD140" t="inlineStr">
        <is>
          <t>The student partially completed the tasks with some syntax and logical errors. The dataset class and DataLoader creation were mostly correct but had issues with mask transformation. The model definition used the wrong number of classes. Training and validation loops were implemented correctly but the model was not trained due to incorrect DataLoader usage. Loss plotting was attempted but failed due to undefined variables.</t>
        </is>
      </c>
      <c r="AE140" t="n">
        <v>0</v>
      </c>
      <c r="AF140" t="n">
        <v>0</v>
      </c>
      <c r="AG140" t="inlineStr">
        <is>
          <t>No submission found.</t>
        </is>
      </c>
      <c r="AH140" t="n">
        <v>16</v>
      </c>
      <c r="AI140" t="n">
        <v>0</v>
      </c>
    </row>
    <row r="141">
      <c r="A141" t="n">
        <v>140</v>
      </c>
      <c r="B141" t="inlineStr">
        <is>
          <t>TA_3</t>
        </is>
      </c>
      <c r="C141" t="inlineStr">
        <is>
          <t>TA_13</t>
        </is>
      </c>
      <c r="D141" t="n">
        <v>8</v>
      </c>
      <c r="E141" t="n">
        <v>0</v>
      </c>
      <c r="F141" t="n">
        <v>10.5</v>
      </c>
      <c r="G141" t="n">
        <v>0</v>
      </c>
      <c r="H141" t="n">
        <v>1</v>
      </c>
      <c r="I141" t="n">
        <v>0</v>
      </c>
      <c r="J141" t="n">
        <v>10.5</v>
      </c>
      <c r="K141" t="n">
        <v>0</v>
      </c>
      <c r="L141" t="n">
        <v>11</v>
      </c>
      <c r="M141" t="n">
        <v>0</v>
      </c>
      <c r="N141" t="n">
        <v>0</v>
      </c>
      <c r="O141" t="n">
        <v>0</v>
      </c>
      <c r="P141">
        <f>Table1[[#This Row],[TA 1 - Q1 Score]]+Table1[[#This Row],[TA 1 - Q2 Score]]+Table1[[#This Row],[TA 1 - Q3 Score]]</f>
        <v/>
      </c>
      <c r="Q141">
        <f>Table1[[#This Row],[TA 1 - Q1 Bonus]]+Table1[[#This Row],[TA 1 - Q2 Bonus]]+Table1[[#This Row],[TA 1 - Q4 Bonus]]</f>
        <v/>
      </c>
      <c r="R141">
        <f>Table1[[#This Row],[TA 2 - Q1 Score]]+Table1[[#This Row],[TA 2 - Q2 Score]]+Table1[[#This Row],[TA 2 - Q3 Score]]</f>
        <v/>
      </c>
      <c r="S141">
        <f>Table1[[#This Row],[TA 2 - Q1 Bonus]]+Table1[[#This Row],[TA 2 - Q2 Bonus]]+Table1[[#This Row],[TA 2 - Q4 Bonus]]</f>
        <v/>
      </c>
      <c r="T141">
        <f>(Table1[[#This Row],[TA 1 - Total Score (out of 35)]]+Table1[[#This Row],[TA 2 - Total Score (out of 35)]])/2</f>
        <v/>
      </c>
      <c r="U141">
        <f>(Table1[[#This Row],[TA 1 - Total Bonus (out of 13)]]+Table1[[#This Row],[TA 2 - Total Bonus (out of 13)]])/2</f>
        <v/>
      </c>
      <c r="V141">
        <f>Table1[[#This Row],[Average Questions]]/35*20+Table1[[#This Row],[Average Bonus]]/13*5</f>
        <v/>
      </c>
      <c r="W141" t="n">
        <v>7</v>
      </c>
      <c r="X141" t="n">
        <v>0</v>
      </c>
      <c r="Y141" t="inlineStr">
        <is>
          <t>The student completed the data loading and preparation with minor issues in the DataLoader setup. The model loading and adaptation were partially correct but used a custom class definition instead of modifying the pretrained model directly. The training and validation loops were implemented with logical errors in the accuracy calculation. The plots were generated correctly, but the bonus task was not attempted.</t>
        </is>
      </c>
      <c r="Z141" t="n">
        <v>7</v>
      </c>
      <c r="AA141" t="n">
        <v>0</v>
      </c>
      <c r="AB141" t="inlineStr">
        <is>
          <t>The student successfully loaded and prepared the data with the correct transformations and displayed sample images. However, the CNN model does not meet the requirement of having exactly 5 convolutional layers with batch normalization, instead using a different architecture. The training and validation functions are implemented correctly, and the model is trained and plotted. No bonus task was attempted.</t>
        </is>
      </c>
      <c r="AC141" t="n">
        <v>3</v>
      </c>
      <c r="AD141" t="inlineStr">
        <is>
          <t>The student has completed Task 1 by building a custom dataset class, creating DataLoaders, and displaying sample images and masks. However, the transformations used do not match the reference solution, which may affect the model's performance. Tasks 2 through 5 are not addressed in the submission.</t>
        </is>
      </c>
      <c r="AE141" t="n">
        <v>0</v>
      </c>
      <c r="AF141" t="n">
        <v>0</v>
      </c>
      <c r="AG141" t="inlineStr">
        <is>
          <t>The student did not implement any of the required methods in the `ColorizationDataset` class. The `__init__`, `__len__`, `rgb_to_grayscale`, and `__getitem__` methods were left unimplemented with only placeholder comments. As a result, the code does not run and fails to produce the expected output.</t>
        </is>
      </c>
      <c r="AH141" t="n">
        <v>17</v>
      </c>
      <c r="AI141" t="n">
        <v>0</v>
      </c>
    </row>
    <row r="142">
      <c r="A142" t="n">
        <v>141</v>
      </c>
      <c r="B142" t="inlineStr">
        <is>
          <t>TA_3</t>
        </is>
      </c>
      <c r="C142" t="inlineStr">
        <is>
          <t>TA_13</t>
        </is>
      </c>
      <c r="D142" t="n">
        <v>10.5</v>
      </c>
      <c r="E142" t="n">
        <v>4</v>
      </c>
      <c r="F142" t="n">
        <v>11</v>
      </c>
      <c r="G142" t="n">
        <v>0</v>
      </c>
      <c r="H142" t="n">
        <v>8</v>
      </c>
      <c r="I142" t="n">
        <v>5</v>
      </c>
      <c r="J142" t="n">
        <v>11.5</v>
      </c>
      <c r="K142" t="n">
        <v>0</v>
      </c>
      <c r="L142" t="n">
        <v>11</v>
      </c>
      <c r="M142" t="n">
        <v>4</v>
      </c>
      <c r="N142" t="n">
        <v>9</v>
      </c>
      <c r="O142" t="n">
        <v>5</v>
      </c>
      <c r="P142">
        <f>Table1[[#This Row],[TA 1 - Q1 Score]]+Table1[[#This Row],[TA 1 - Q2 Score]]+Table1[[#This Row],[TA 1 - Q3 Score]]</f>
        <v/>
      </c>
      <c r="Q142">
        <f>Table1[[#This Row],[TA 1 - Q1 Bonus]]+Table1[[#This Row],[TA 1 - Q2 Bonus]]+Table1[[#This Row],[TA 1 - Q4 Bonus]]</f>
        <v/>
      </c>
      <c r="R142">
        <f>Table1[[#This Row],[TA 2 - Q1 Score]]+Table1[[#This Row],[TA 2 - Q2 Score]]+Table1[[#This Row],[TA 2 - Q3 Score]]</f>
        <v/>
      </c>
      <c r="S142">
        <f>Table1[[#This Row],[TA 2 - Q1 Bonus]]+Table1[[#This Row],[TA 2 - Q2 Bonus]]+Table1[[#This Row],[TA 2 - Q4 Bonus]]</f>
        <v/>
      </c>
      <c r="T142">
        <f>(Table1[[#This Row],[TA 1 - Total Score (out of 35)]]+Table1[[#This Row],[TA 2 - Total Score (out of 35)]])/2</f>
        <v/>
      </c>
      <c r="U142">
        <f>(Table1[[#This Row],[TA 1 - Total Bonus (out of 13)]]+Table1[[#This Row],[TA 2 - Total Bonus (out of 13)]])/2</f>
        <v/>
      </c>
      <c r="V142">
        <f>Table1[[#This Row],[Average Questions]]/35*20+Table1[[#This Row],[Average Bonus]]/13*5</f>
        <v/>
      </c>
      <c r="W142" t="n">
        <v>11.5</v>
      </c>
      <c r="X142" t="n">
        <v>4</v>
      </c>
      <c r="Y142" t="inlineStr">
        <is>
          <t>The student completed all required tasks with minor issues. The transforms were correctly defined, and the DataLoaders were set up properly. Sample images were displayed with correct labels. The pretrained EfficientNetV2-Small model was loaded and adapted correctly, with the backbone frozen and the classifier head replaced. The training and validation loops were implemented accurately, including the label fix. The model was trained, and the training and validation losses and accuracies were plotted. For the bonus task, the student correctly implemented test time augmentation by averaging predictions from original, horizontally flipped, and vertically flipped images.</t>
        </is>
      </c>
      <c r="Z142" t="n">
        <v>10</v>
      </c>
      <c r="AA142" t="n">
        <v>3</v>
      </c>
      <c r="AB142" t="inlineStr">
        <is>
          <t>The student successfully completed all base tasks, including loading and preparing the data, building the CNN model with batch normalization, defining training and validation functions, setting up the device, model, loss, and optimizer, and plotting the losses and accuracies. For the bonus task, the student correctly defined a residual connection from the second to the fourth convolutional layer and retrained the model, though the plots were not included.</t>
        </is>
      </c>
      <c r="AC142" t="n">
        <v>8</v>
      </c>
      <c r="AD142" t="inlineStr">
        <is>
          <t>The student successfully implemented a custom dataset class, created DataLoaders, and displayed sample images and masks with minor issues in normalization. The model class was correctly defined using a pretrained U-Net with efficientnet-b1 encoder. The training and validation loops were partially correct but contained logical errors in handling masks. The training process was executed with proper loss and optimizer definitions, and the loss curve was plotted. However, the visualization of predictions was missing.</t>
        </is>
      </c>
      <c r="AE142" t="n">
        <v>0</v>
      </c>
      <c r="AF142" t="n">
        <v>5</v>
      </c>
      <c r="AG142" t="inlineStr">
        <is>
          <t>The student's implementation of the ColorizationDataset class is correct and runs perfectly, producing the expected output and following the optimal logic. The code includes all required methods (__init__, __len__, rgb_to_grayscale, __getitem__) and the visualization is accurate.</t>
        </is>
      </c>
      <c r="AH142" t="n">
        <v>29.5</v>
      </c>
      <c r="AI142" t="n">
        <v>12</v>
      </c>
    </row>
    <row r="143">
      <c r="A143" t="n">
        <v>142</v>
      </c>
      <c r="B143" t="inlineStr">
        <is>
          <t>TA_3</t>
        </is>
      </c>
      <c r="C143" t="inlineStr">
        <is>
          <t>TA_13</t>
        </is>
      </c>
      <c r="D143" t="n">
        <v>3.5</v>
      </c>
      <c r="E143" t="n">
        <v>0</v>
      </c>
      <c r="F143" t="n">
        <v>4.5</v>
      </c>
      <c r="G143" t="n">
        <v>0</v>
      </c>
      <c r="H143" t="n">
        <v>6.5</v>
      </c>
      <c r="I143" t="n">
        <v>0</v>
      </c>
      <c r="J143" t="n">
        <v>6</v>
      </c>
      <c r="K143" t="n">
        <v>0</v>
      </c>
      <c r="L143" t="n">
        <v>5</v>
      </c>
      <c r="M143" t="n">
        <v>0</v>
      </c>
      <c r="N143" t="n">
        <v>9</v>
      </c>
      <c r="O143" t="n">
        <v>0</v>
      </c>
      <c r="P143">
        <f>Table1[[#This Row],[TA 1 - Q1 Score]]+Table1[[#This Row],[TA 1 - Q2 Score]]+Table1[[#This Row],[TA 1 - Q3 Score]]</f>
        <v/>
      </c>
      <c r="Q143">
        <f>Table1[[#This Row],[TA 1 - Q1 Bonus]]+Table1[[#This Row],[TA 1 - Q2 Bonus]]+Table1[[#This Row],[TA 1 - Q4 Bonus]]</f>
        <v/>
      </c>
      <c r="R143">
        <f>Table1[[#This Row],[TA 2 - Q1 Score]]+Table1[[#This Row],[TA 2 - Q2 Score]]+Table1[[#This Row],[TA 2 - Q3 Score]]</f>
        <v/>
      </c>
      <c r="S143">
        <f>Table1[[#This Row],[TA 2 - Q1 Bonus]]+Table1[[#This Row],[TA 2 - Q2 Bonus]]+Table1[[#This Row],[TA 2 - Q4 Bonus]]</f>
        <v/>
      </c>
      <c r="T143">
        <f>(Table1[[#This Row],[TA 1 - Total Score (out of 35)]]+Table1[[#This Row],[TA 2 - Total Score (out of 35)]])/2</f>
        <v/>
      </c>
      <c r="U143">
        <f>(Table1[[#This Row],[TA 1 - Total Bonus (out of 13)]]+Table1[[#This Row],[TA 2 - Total Bonus (out of 13)]])/2</f>
        <v/>
      </c>
      <c r="V143">
        <f>Table1[[#This Row],[Average Questions]]/35*20+Table1[[#This Row],[Average Bonus]]/13*5</f>
        <v/>
      </c>
      <c r="W143" t="n">
        <v>2</v>
      </c>
      <c r="X143" t="n">
        <v>0</v>
      </c>
      <c r="Y143" t="inlineStr">
        <is>
          <t>The student partially completed the tasks with some syntax and logical errors. The data loading and preparation section had missing parts filled correctly, but the DataLoader batch size was too small. The model loading and adaptation section froze all parameters instead of just the backbone. The training and validation loops contained errors in loss calculation and accuracy tracking. The bonus task was not attempted.</t>
        </is>
      </c>
      <c r="Z143" t="n">
        <v>3</v>
      </c>
      <c r="AA143" t="n">
        <v>0</v>
      </c>
      <c r="AB143" t="inlineStr">
        <is>
          <t>The student attempted most tasks but made several mistakes. In Part 1, the dataset loading and transformation were partially correct but lacked the specified RandomRotation and resizing to 32x32. In Part 2, the CNN model had syntax errors and logical issues, such as incorrect fully connected layer dimensions and misplaced code. Part 3 was mostly correct but contained redundant softmax calls. Part 4 was incomplete, with only 5 epochs trained and no plotting of losses and accuracies. No bonus task was attempted.</t>
        </is>
      </c>
      <c r="AC143" t="n">
        <v>7</v>
      </c>
      <c r="AD143" t="inlineStr">
        <is>
          <t>The student's submission contains mostly correct code but has some issues. In Task 1, the dataset class and DataLoaders are correctly implemented, but the paths to the dataset are incorrect, leading to potential runtime errors. Task 2 has a mistake in defining the model, using 'efficientnet-b1' instead of 'efficientnet-b0'. Task 3 is partially correct with the training and validation loops, but the model is not moved to the correct device. Task 4 defines the loss and optimizer correctly but uses a different learning rate and optimizer type. Task 5 is missing, so no visualization of predictions is provided.</t>
        </is>
      </c>
      <c r="AE143" t="n">
        <v>0</v>
      </c>
      <c r="AF143" t="n">
        <v>0</v>
      </c>
      <c r="AG143" t="inlineStr">
        <is>
          <t>No submission found.</t>
        </is>
      </c>
      <c r="AH143" t="n">
        <v>12</v>
      </c>
      <c r="AI143" t="n">
        <v>0</v>
      </c>
    </row>
    <row r="144">
      <c r="A144" t="n">
        <v>143</v>
      </c>
      <c r="B144" t="inlineStr">
        <is>
          <t>TA_3</t>
        </is>
      </c>
      <c r="C144" t="inlineStr">
        <is>
          <t>TA_13</t>
        </is>
      </c>
      <c r="D144" t="n">
        <v>10.5</v>
      </c>
      <c r="E144" t="n">
        <v>0</v>
      </c>
      <c r="F144" t="n">
        <v>10</v>
      </c>
      <c r="G144" t="n">
        <v>0</v>
      </c>
      <c r="H144" t="n">
        <v>11</v>
      </c>
      <c r="I144" t="n">
        <v>5</v>
      </c>
      <c r="J144" t="n">
        <v>12</v>
      </c>
      <c r="K144" t="n">
        <v>0</v>
      </c>
      <c r="L144" t="n">
        <v>11</v>
      </c>
      <c r="M144" t="n">
        <v>1</v>
      </c>
      <c r="N144" t="n">
        <v>12</v>
      </c>
      <c r="O144" t="n">
        <v>5</v>
      </c>
      <c r="P144">
        <f>Table1[[#This Row],[TA 1 - Q1 Score]]+Table1[[#This Row],[TA 1 - Q2 Score]]+Table1[[#This Row],[TA 1 - Q3 Score]]</f>
        <v/>
      </c>
      <c r="Q144">
        <f>Table1[[#This Row],[TA 1 - Q1 Bonus]]+Table1[[#This Row],[TA 1 - Q2 Bonus]]+Table1[[#This Row],[TA 1 - Q4 Bonus]]</f>
        <v/>
      </c>
      <c r="R144">
        <f>Table1[[#This Row],[TA 2 - Q1 Score]]+Table1[[#This Row],[TA 2 - Q2 Score]]+Table1[[#This Row],[TA 2 - Q3 Score]]</f>
        <v/>
      </c>
      <c r="S144">
        <f>Table1[[#This Row],[TA 2 - Q1 Bonus]]+Table1[[#This Row],[TA 2 - Q2 Bonus]]+Table1[[#This Row],[TA 2 - Q4 Bonus]]</f>
        <v/>
      </c>
      <c r="T144">
        <f>(Table1[[#This Row],[TA 1 - Total Score (out of 35)]]+Table1[[#This Row],[TA 2 - Total Score (out of 35)]])/2</f>
        <v/>
      </c>
      <c r="U144">
        <f>(Table1[[#This Row],[TA 1 - Total Bonus (out of 13)]]+Table1[[#This Row],[TA 2 - Total Bonus (out of 13)]])/2</f>
        <v/>
      </c>
      <c r="V144">
        <f>Table1[[#This Row],[Average Questions]]/35*20+Table1[[#This Row],[Average Bonus]]/13*5</f>
        <v/>
      </c>
      <c r="W144" t="n">
        <v>8.5</v>
      </c>
      <c r="X144" t="n">
        <v>0</v>
      </c>
      <c r="Y144" t="inlineStr">
        <is>
          <t>The student completed most tasks correctly, including defining transforms, creating DataLoaders, loading and adapting the pretrained model, and implementing training and validation loops. However, there were minor issues such as incorrect batch sizes in DataLoaders, unnecessary imports, and a slightly inefficient way of calculating predictions in the training and validation loops. The bonus task was not attempted.</t>
        </is>
      </c>
      <c r="Z144" t="n">
        <v>7</v>
      </c>
      <c r="AA144" t="n">
        <v>0</v>
      </c>
      <c r="AB144" t="inlineStr">
        <is>
          <t>The student successfully created a custom dataset class and used it to load and prepare the data with the required transformations. However, there were issues with the CNN model architecture, particularly in the number of convolutional layers and the residual connection implementation. The training and validation loops were implemented correctly, and the model was trained and plotted. The bonus task was not completed due to incorrect residual connection logic.</t>
        </is>
      </c>
      <c r="AC144" t="n">
        <v>8</v>
      </c>
      <c r="AD144" t="inlineStr">
        <is>
          <t>The student's submission contains mostly correct code with some minor issues. Task 1 is partially correct with syntax errors in the DataLoader creation and incorrect image resizing dimensions. Task 2 is correct with the specified U-Net model. Task 3 is correct with proper training and validation loops. Task 4 has correct loss and optimizer definitions but uses a high batch size and many epochs, which may lead to resource issues. Task 5 is mostly correct with visualization issues due to incorrect colormap usage.</t>
        </is>
      </c>
      <c r="AE144" t="n">
        <v>0</v>
      </c>
      <c r="AF144" t="n">
        <v>0</v>
      </c>
      <c r="AG144" t="inlineStr">
        <is>
          <t>The student did not fully implement the required methods in the `ColorizationDataset` class. Specifically, the `rgb_to_grayscale` method was not properly defined, and the `__getitem__` method incorrectly returns the grayscale image without adding a channel dimension. Additionally, the student included unnecessary cells and comments that do not contribute to the task completion.</t>
        </is>
      </c>
      <c r="AH144" t="n">
        <v>23.5</v>
      </c>
      <c r="AI144" t="n">
        <v>0</v>
      </c>
    </row>
    <row r="145">
      <c r="A145" t="n">
        <v>144</v>
      </c>
      <c r="B145" t="inlineStr">
        <is>
          <t>TA_3</t>
        </is>
      </c>
      <c r="C145" t="inlineStr">
        <is>
          <t>TA_13</t>
        </is>
      </c>
      <c r="D145" t="n">
        <v>8</v>
      </c>
      <c r="E145" t="n">
        <v>0</v>
      </c>
      <c r="F145" t="n">
        <v>10</v>
      </c>
      <c r="G145" t="n">
        <v>0</v>
      </c>
      <c r="H145" t="n">
        <v>7</v>
      </c>
      <c r="I145" t="n">
        <v>0</v>
      </c>
      <c r="J145" t="n">
        <v>9</v>
      </c>
      <c r="K145" t="n">
        <v>1.5</v>
      </c>
      <c r="L145" t="n">
        <v>10.5</v>
      </c>
      <c r="M145" t="n">
        <v>0</v>
      </c>
      <c r="N145" t="n">
        <v>10.5</v>
      </c>
      <c r="O145" t="n">
        <v>0</v>
      </c>
      <c r="P145">
        <f>Table1[[#This Row],[TA 1 - Q1 Score]]+Table1[[#This Row],[TA 1 - Q2 Score]]+Table1[[#This Row],[TA 1 - Q3 Score]]</f>
        <v/>
      </c>
      <c r="Q145">
        <f>Table1[[#This Row],[TA 1 - Q1 Bonus]]+Table1[[#This Row],[TA 1 - Q2 Bonus]]+Table1[[#This Row],[TA 1 - Q4 Bonus]]</f>
        <v/>
      </c>
      <c r="R145">
        <f>Table1[[#This Row],[TA 2 - Q1 Score]]+Table1[[#This Row],[TA 2 - Q2 Score]]+Table1[[#This Row],[TA 2 - Q3 Score]]</f>
        <v/>
      </c>
      <c r="S145">
        <f>Table1[[#This Row],[TA 2 - Q1 Bonus]]+Table1[[#This Row],[TA 2 - Q2 Bonus]]+Table1[[#This Row],[TA 2 - Q4 Bonus]]</f>
        <v/>
      </c>
      <c r="T145">
        <f>(Table1[[#This Row],[TA 1 - Total Score (out of 35)]]+Table1[[#This Row],[TA 2 - Total Score (out of 35)]])/2</f>
        <v/>
      </c>
      <c r="U145">
        <f>(Table1[[#This Row],[TA 1 - Total Bonus (out of 13)]]+Table1[[#This Row],[TA 2 - Total Bonus (out of 13)]])/2</f>
        <v/>
      </c>
      <c r="V145">
        <f>Table1[[#This Row],[Average Questions]]/35*20+Table1[[#This Row],[Average Bonus]]/13*5</f>
        <v/>
      </c>
      <c r="W145" t="n">
        <v>7</v>
      </c>
      <c r="X145" t="n">
        <v>0</v>
      </c>
      <c r="Y145" t="inlineStr">
        <is>
          <t>The student completed the data loading and preparation tasks correctly, including resizing, converting to tensor, normalizing, and displaying sample images. The model loading and adaptation were mostly correct, but the student froze all parameters instead of just the backbone. The training and validation loops were implemented with a mistake in adjusting labels, subtracting 1 from the loss instead of the labels themselves. The training process was set up correctly, but the bonus task for test time augmentation was not fully implemented, as the labels were still incorrectly adjusted.</t>
        </is>
      </c>
      <c r="Z145" t="n">
        <v>6</v>
      </c>
      <c r="AA145" t="n">
        <v>0</v>
      </c>
      <c r="AB145" t="inlineStr">
        <is>
          <t>The student correctly implemented the dataset loading and preparation with ImageFolder and applied the required transformations, including RandomRotation and resizing to 32x32. Sample images were displayed with labels. However, the CNN model deviated significantly from the required specifications, using a different architecture with more layers and different parameters. The training and validation loops were implemented correctly, and the model was trained and plotted. No bonus task was attempted.</t>
        </is>
      </c>
      <c r="AC145" t="n">
        <v>6</v>
      </c>
      <c r="AD145" t="inlineStr">
        <is>
          <t>The student's submission partially completes the tasks. The dataset class is implemented correctly, but the image and mask resizing dimensions differ from the reference solution. The DataLoader creation is correct. The model class uses the wrong number of output classes (1 instead of 8). The training and validation loops are implemented but contain logical errors in calculating accuracy, which is not required. The training process defines the loss and optimizer correctly but trains for fewer epochs. The visualization of predictions is mostly correct but uses grayscale for masks instead of a colormap.</t>
        </is>
      </c>
      <c r="AE145" t="n">
        <v>0</v>
      </c>
      <c r="AF145" t="n">
        <v>0</v>
      </c>
      <c r="AG145" t="inlineStr">
        <is>
          <t>No submission found.</t>
        </is>
      </c>
      <c r="AH145" t="n">
        <v>19</v>
      </c>
      <c r="AI145" t="n">
        <v>0</v>
      </c>
    </row>
    <row r="146">
      <c r="A146" t="n">
        <v>145</v>
      </c>
      <c r="B146" t="inlineStr">
        <is>
          <t>TA_3</t>
        </is>
      </c>
      <c r="C146" t="inlineStr">
        <is>
          <t>TA_13</t>
        </is>
      </c>
      <c r="D146" t="n">
        <v>10</v>
      </c>
      <c r="E146" t="n">
        <v>0</v>
      </c>
      <c r="F146" t="n">
        <v>10</v>
      </c>
      <c r="G146" t="n">
        <v>0</v>
      </c>
      <c r="H146" t="n">
        <v>11</v>
      </c>
      <c r="I146" t="n">
        <v>5</v>
      </c>
      <c r="J146" t="n">
        <v>10</v>
      </c>
      <c r="K146" t="n">
        <v>2</v>
      </c>
      <c r="L146" t="n">
        <v>11</v>
      </c>
      <c r="M146" t="n">
        <v>4</v>
      </c>
      <c r="N146" t="n">
        <v>12</v>
      </c>
      <c r="O146" t="n">
        <v>5</v>
      </c>
      <c r="P146">
        <f>Table1[[#This Row],[TA 1 - Q1 Score]]+Table1[[#This Row],[TA 1 - Q2 Score]]+Table1[[#This Row],[TA 1 - Q3 Score]]</f>
        <v/>
      </c>
      <c r="Q146">
        <f>Table1[[#This Row],[TA 1 - Q1 Bonus]]+Table1[[#This Row],[TA 1 - Q2 Bonus]]+Table1[[#This Row],[TA 1 - Q4 Bonus]]</f>
        <v/>
      </c>
      <c r="R146">
        <f>Table1[[#This Row],[TA 2 - Q1 Score]]+Table1[[#This Row],[TA 2 - Q2 Score]]+Table1[[#This Row],[TA 2 - Q3 Score]]</f>
        <v/>
      </c>
      <c r="S146">
        <f>Table1[[#This Row],[TA 2 - Q1 Bonus]]+Table1[[#This Row],[TA 2 - Q2 Bonus]]+Table1[[#This Row],[TA 2 - Q4 Bonus]]</f>
        <v/>
      </c>
      <c r="T146">
        <f>(Table1[[#This Row],[TA 1 - Total Score (out of 35)]]+Table1[[#This Row],[TA 2 - Total Score (out of 35)]])/2</f>
        <v/>
      </c>
      <c r="U146">
        <f>(Table1[[#This Row],[TA 1 - Total Bonus (out of 13)]]+Table1[[#This Row],[TA 2 - Total Bonus (out of 13)]])/2</f>
        <v/>
      </c>
      <c r="V146">
        <f>Table1[[#This Row],[Average Questions]]/35*20+Table1[[#This Row],[Average Bonus]]/13*5</f>
        <v/>
      </c>
      <c r="W146" t="n">
        <v>5</v>
      </c>
      <c r="X146" t="n">
        <v>0</v>
      </c>
      <c r="Y146" t="inlineStr">
        <is>
          <t>The student completed the data loading and preparation with correct transformations and displayed sample images. However, they used the wrong model (EfficientNet-B0 instead of EfficientNetV2-Small) and did not freeze the backbone. The training and validation loops were implemented correctly, but the bonus task for Test Time Augmentation was incorrect, with improper handling of image flips and predictions.</t>
        </is>
      </c>
      <c r="Z146" t="n">
        <v>8.5</v>
      </c>
      <c r="AA146" t="n">
        <v>0</v>
      </c>
      <c r="AB146" t="inlineStr">
        <is>
          <t>The student successfully loaded and prepared the data with the correct transformations, including RandomRotation and resizing to 32x32. They displayed sample images with labels. The CNN model was built with five convolutional layers and batch normalization, though the final fully connected layer had an incorrect input size. The training and validation loops were implemented correctly, and the model was trained and plotted. However, the bonus task was not completed as the residual connection was incorrectly defined and the model was not retrained or plotted.</t>
        </is>
      </c>
      <c r="AC146" t="n">
        <v>8.5</v>
      </c>
      <c r="AD146" t="inlineStr">
        <is>
          <t>The student's submission largely follows the reference solution but contains minor issues. Task 1 is mostly correct with a few redundant imports and incorrect root directory usage. Task 2 correctly defines the U-Net model with the specified encoder. Task 3 implements training and validation loops accurately. Task 4 defines the loss and optimizer correctly, trains the model, prints losses, and plots the loss curve. Task 5 visualizes predictions but uses grayscale for the predicted mask instead of the 'tab10' colormap. Overall, the submission is well-structured and functional, earning partial credit where appropriate.</t>
        </is>
      </c>
      <c r="AE146" t="n">
        <v>0</v>
      </c>
      <c r="AF146" t="n">
        <v>0</v>
      </c>
      <c r="AG146" t="inlineStr">
        <is>
          <t>The student's implementation contains several issues. In the `__len__` method, the student incorrectly references `self.images` instead of `self.dataset`. The `rgb_to_grayscale` method incorrectly assigns attributes to `self`, which is unnecessary and causes errors. The visualization and DataLoader tests do not run due to these issues, resulting in no fully correct implementation.</t>
        </is>
      </c>
      <c r="AH146" t="n">
        <v>22</v>
      </c>
      <c r="AI146" t="n">
        <v>0</v>
      </c>
    </row>
    <row r="147">
      <c r="A147" t="n">
        <v>146</v>
      </c>
      <c r="B147" t="inlineStr">
        <is>
          <t>TA_3</t>
        </is>
      </c>
      <c r="C147" t="inlineStr">
        <is>
          <t>TA_13</t>
        </is>
      </c>
      <c r="D147" t="n">
        <v>10</v>
      </c>
      <c r="E147" t="n">
        <v>0</v>
      </c>
      <c r="F147" t="n">
        <v>10</v>
      </c>
      <c r="G147" t="n">
        <v>0</v>
      </c>
      <c r="H147" t="n">
        <v>11</v>
      </c>
      <c r="I147" t="n">
        <v>0</v>
      </c>
      <c r="J147" t="n">
        <v>12</v>
      </c>
      <c r="K147" t="n">
        <v>3</v>
      </c>
      <c r="L147" t="n">
        <v>10</v>
      </c>
      <c r="M147" t="n">
        <v>2</v>
      </c>
      <c r="N147" t="n">
        <v>11</v>
      </c>
      <c r="O147" t="n">
        <v>0</v>
      </c>
      <c r="P147">
        <f>Table1[[#This Row],[TA 1 - Q1 Score]]+Table1[[#This Row],[TA 1 - Q2 Score]]+Table1[[#This Row],[TA 1 - Q3 Score]]</f>
        <v/>
      </c>
      <c r="Q147">
        <f>Table1[[#This Row],[TA 1 - Q1 Bonus]]+Table1[[#This Row],[TA 1 - Q2 Bonus]]+Table1[[#This Row],[TA 1 - Q4 Bonus]]</f>
        <v/>
      </c>
      <c r="R147">
        <f>Table1[[#This Row],[TA 2 - Q1 Score]]+Table1[[#This Row],[TA 2 - Q2 Score]]+Table1[[#This Row],[TA 2 - Q3 Score]]</f>
        <v/>
      </c>
      <c r="S147">
        <f>Table1[[#This Row],[TA 2 - Q1 Bonus]]+Table1[[#This Row],[TA 2 - Q2 Bonus]]+Table1[[#This Row],[TA 2 - Q4 Bonus]]</f>
        <v/>
      </c>
      <c r="T147">
        <f>(Table1[[#This Row],[TA 1 - Total Score (out of 35)]]+Table1[[#This Row],[TA 2 - Total Score (out of 35)]])/2</f>
        <v/>
      </c>
      <c r="U147">
        <f>(Table1[[#This Row],[TA 1 - Total Bonus (out of 13)]]+Table1[[#This Row],[TA 2 - Total Bonus (out of 13)]])/2</f>
        <v/>
      </c>
      <c r="V147">
        <f>Table1[[#This Row],[Average Questions]]/35*20+Table1[[#This Row],[Average Bonus]]/13*5</f>
        <v/>
      </c>
      <c r="W147" t="n">
        <v>7</v>
      </c>
      <c r="X147" t="n">
        <v>0</v>
      </c>
      <c r="Y147" t="inlineStr">
        <is>
          <t>The student completed most tasks with some syntax and logical errors. The data loading and preparation section had issues with displaying sample images, using incorrect labels, and improper plotting. The model adaptation section correctly loaded and modified the EfficientNetV2-Small model. The training and validation loops were mostly correct but contained minor issues like unnecessary softmax usage and incorrect flipping in TTA. The bonus task was not fully implemented correctly, missing vertical flip averaging.</t>
        </is>
      </c>
      <c r="Z147" t="n">
        <v>8</v>
      </c>
      <c r="AA147" t="n">
        <v>0</v>
      </c>
      <c r="AB147" t="inlineStr">
        <is>
          <t>The student successfully loaded and prepared the data with the correct transformations and displayed sample images. The CNN model was built with 5 convolutional layers and batch normalization, though the number of channels and pooling strategy differed from the reference. The training and validation loops were implemented correctly, and the model was trained and plotted. However, the bonus task was not completed as the residual connection was incorrectly defined and the model was not retrained with it.</t>
        </is>
      </c>
      <c r="AC147" t="n">
        <v>7</v>
      </c>
      <c r="AD147" t="inlineStr">
        <is>
          <t>The student's submission partially completes most tasks but contains several issues. Task 1 has a custom dataset class with logical errors in splitting the dataset and displaying images. Task 2 correctly defines the U-Net model with the specified encoder. Task 3 includes training and validation loops with minor syntax issues. Task 4 defines the loss and optimizer but trains for fewer epochs and uses a smaller image size, affecting performance. Task 5 visualizes predictions but has issues with mask shapes and normalization.</t>
        </is>
      </c>
      <c r="AE147" t="n">
        <v>0</v>
      </c>
      <c r="AF147" t="n">
        <v>0</v>
      </c>
      <c r="AG147" t="inlineStr">
        <is>
          <t>No submission found.</t>
        </is>
      </c>
      <c r="AH147" t="n">
        <v>22</v>
      </c>
      <c r="AI147" t="n">
        <v>0</v>
      </c>
    </row>
    <row r="148">
      <c r="A148" t="n">
        <v>147</v>
      </c>
      <c r="B148" t="inlineStr">
        <is>
          <t>TA_3</t>
        </is>
      </c>
      <c r="C148" t="inlineStr">
        <is>
          <t>TA_13</t>
        </is>
      </c>
      <c r="D148" t="n">
        <v>5.5</v>
      </c>
      <c r="E148" t="n">
        <v>0</v>
      </c>
      <c r="F148" t="n">
        <v>8.5</v>
      </c>
      <c r="G148" t="n">
        <v>0</v>
      </c>
      <c r="H148" t="n">
        <v>7.5</v>
      </c>
      <c r="I148" t="n">
        <v>0</v>
      </c>
      <c r="J148" t="n">
        <v>9.5</v>
      </c>
      <c r="K148" t="n">
        <v>0</v>
      </c>
      <c r="L148" t="n">
        <v>8.5</v>
      </c>
      <c r="M148" t="n">
        <v>0</v>
      </c>
      <c r="N148" t="n">
        <v>0</v>
      </c>
      <c r="O148" t="n">
        <v>0</v>
      </c>
      <c r="P148">
        <f>Table1[[#This Row],[TA 1 - Q1 Score]]+Table1[[#This Row],[TA 1 - Q2 Score]]+Table1[[#This Row],[TA 1 - Q3 Score]]</f>
        <v/>
      </c>
      <c r="Q148">
        <f>Table1[[#This Row],[TA 1 - Q1 Bonus]]+Table1[[#This Row],[TA 1 - Q2 Bonus]]+Table1[[#This Row],[TA 1 - Q4 Bonus]]</f>
        <v/>
      </c>
      <c r="R148">
        <f>Table1[[#This Row],[TA 2 - Q1 Score]]+Table1[[#This Row],[TA 2 - Q2 Score]]+Table1[[#This Row],[TA 2 - Q3 Score]]</f>
        <v/>
      </c>
      <c r="S148">
        <f>Table1[[#This Row],[TA 2 - Q1 Bonus]]+Table1[[#This Row],[TA 2 - Q2 Bonus]]+Table1[[#This Row],[TA 2 - Q4 Bonus]]</f>
        <v/>
      </c>
      <c r="T148">
        <f>(Table1[[#This Row],[TA 1 - Total Score (out of 35)]]+Table1[[#This Row],[TA 2 - Total Score (out of 35)]])/2</f>
        <v/>
      </c>
      <c r="U148">
        <f>(Table1[[#This Row],[TA 1 - Total Bonus (out of 13)]]+Table1[[#This Row],[TA 2 - Total Bonus (out of 13)]])/2</f>
        <v/>
      </c>
      <c r="V148">
        <f>Table1[[#This Row],[Average Questions]]/35*20+Table1[[#This Row],[Average Bonus]]/13*5</f>
        <v/>
      </c>
      <c r="W148" t="n">
        <v>4</v>
      </c>
      <c r="X148" t="n">
        <v>0</v>
      </c>
      <c r="Y148" t="inlineStr">
        <is>
          <t>The student partially completed several tasks but made significant errors. The data loading and preparation section had issues with displaying sample images, using incorrect indices and not following the reference solution. The model loading and adaptation section incorrectly used a different model import method and did not freeze the backbone. The training and validation loops contained logical errors, such as using sigmoid activation and binary classification loss for a multi-class problem. No bonus task was attempted.</t>
        </is>
      </c>
      <c r="Z148" t="n">
        <v>8</v>
      </c>
      <c r="AA148" t="n">
        <v>0</v>
      </c>
      <c r="AB148" t="inlineStr">
        <is>
          <t>The student implemented a custom dataset class and used ImageFolder for loading datasets, achieving full points for Part 1. The transformations were correctly applied, including RandomRotation and resizing to 32x32. Sample images were displayed with labels. In Part 2, the CNN model was built with 5 convolutional layers, earning full points, but Batch Normalization was not added, resulting in a deduction. The training and validation loops were correctly defined in Part 3. The model was set up, trained, and plotted in Part 4, earning full points. No bonus task was attempted.</t>
        </is>
      </c>
      <c r="AC148" t="n">
        <v>4</v>
      </c>
      <c r="AD148" t="inlineStr">
        <is>
          <t>The student attempted most tasks but made significant errors. In Task 1, the dataset class incorrectly used labels and had issues with mask transformations. Task 2 correctly defined the U-Net model. Task 3 had incorrect training and validation loops due to improper handling of mask data types. Task 4 used BCEWithLogitsLoss instead of CrossEntropyLoss and had issues with mask data types. Task 5 visualized predictions but did not handle multi-class masks correctly.</t>
        </is>
      </c>
      <c r="AE148" t="n">
        <v>0</v>
      </c>
      <c r="AF148" t="n">
        <v>0</v>
      </c>
      <c r="AG148" t="inlineStr">
        <is>
          <t>No submission found.</t>
        </is>
      </c>
      <c r="AH148" t="n">
        <v>16</v>
      </c>
      <c r="AI148" t="n">
        <v>0</v>
      </c>
    </row>
    <row r="149">
      <c r="A149" t="n">
        <v>148</v>
      </c>
      <c r="B149" t="inlineStr">
        <is>
          <t>TA_3</t>
        </is>
      </c>
      <c r="C149" t="inlineStr">
        <is>
          <t>TA_13</t>
        </is>
      </c>
      <c r="D149" t="n">
        <v>4</v>
      </c>
      <c r="E149" t="n">
        <v>0</v>
      </c>
      <c r="F149" t="n">
        <v>8</v>
      </c>
      <c r="G149" t="n">
        <v>0</v>
      </c>
      <c r="H149" t="n">
        <v>4.5</v>
      </c>
      <c r="I149" t="n">
        <v>0</v>
      </c>
      <c r="J149" t="n">
        <v>6</v>
      </c>
      <c r="K149" t="n">
        <v>0</v>
      </c>
      <c r="L149" t="n">
        <v>9</v>
      </c>
      <c r="M149" t="n">
        <v>0</v>
      </c>
      <c r="N149" t="n">
        <v>0</v>
      </c>
      <c r="O149" t="n">
        <v>0</v>
      </c>
      <c r="P149">
        <f>Table1[[#This Row],[TA 1 - Q1 Score]]+Table1[[#This Row],[TA 1 - Q2 Score]]+Table1[[#This Row],[TA 1 - Q3 Score]]</f>
        <v/>
      </c>
      <c r="Q149">
        <f>Table1[[#This Row],[TA 1 - Q1 Bonus]]+Table1[[#This Row],[TA 1 - Q2 Bonus]]+Table1[[#This Row],[TA 1 - Q4 Bonus]]</f>
        <v/>
      </c>
      <c r="R149">
        <f>Table1[[#This Row],[TA 2 - Q1 Score]]+Table1[[#This Row],[TA 2 - Q2 Score]]+Table1[[#This Row],[TA 2 - Q3 Score]]</f>
        <v/>
      </c>
      <c r="S149">
        <f>Table1[[#This Row],[TA 2 - Q1 Bonus]]+Table1[[#This Row],[TA 2 - Q2 Bonus]]+Table1[[#This Row],[TA 2 - Q4 Bonus]]</f>
        <v/>
      </c>
      <c r="T149">
        <f>(Table1[[#This Row],[TA 1 - Total Score (out of 35)]]+Table1[[#This Row],[TA 2 - Total Score (out of 35)]])/2</f>
        <v/>
      </c>
      <c r="U149">
        <f>(Table1[[#This Row],[TA 1 - Total Bonus (out of 13)]]+Table1[[#This Row],[TA 2 - Total Bonus (out of 13)]])/2</f>
        <v/>
      </c>
      <c r="V149">
        <f>Table1[[#This Row],[Average Questions]]/35*20+Table1[[#This Row],[Average Bonus]]/13*5</f>
        <v/>
      </c>
      <c r="W149" t="n">
        <v>2</v>
      </c>
      <c r="X149" t="n">
        <v>0</v>
      </c>
      <c r="Y149" t="inlineStr">
        <is>
          <t>The student completed the data loading and transformation tasks correctly, including resizing, converting to tensor, and normalizing the images. However, the DataLoader creation had a mistake with shuffling the test set, and the sample image display did not adjust labels correctly. The model loading and adaptation were incorrect, with the classifier being replaced for a single class instead of 26. The training and validation loops contained significant errors, including incorrect handling of labels and binary classification assumptions. No bonus task was attempted.</t>
        </is>
      </c>
      <c r="Z149" t="n">
        <v>7</v>
      </c>
      <c r="AA149" t="n">
        <v>0</v>
      </c>
      <c r="AB149" t="inlineStr">
        <is>
          <t>The student implemented a custom dataset class and used the correct transformations, including RandomRotation and resizing to 32x32, earning full marks for Part 1. The CNN model has 5 convolutional layers but does not include batch normalization, resulting in 50% for Part 2. Both training and validation loops are correctly defined, earning full marks for Part 3. The model setup, training, and plotting of losses and accuracies are also correct, earning full marks for Part 4. No bonus task was attempted.</t>
        </is>
      </c>
      <c r="AC149" t="n">
        <v>2</v>
      </c>
      <c r="AD149" t="inlineStr">
        <is>
          <t>The student attempted most tasks but made significant errors. The dataset class has issues with file path handling and missing attributes. DataLoaders were not correctly implemented due to incorrect usage of train_test_split. The model class used the wrong number of classes and an inappropriate loss function. Training and validation loops were partially correct but contained syntax errors. Visualization of predictions was attempted but failed due to incorrect handling of model outputs.</t>
        </is>
      </c>
      <c r="AE149" t="n">
        <v>0</v>
      </c>
      <c r="AF149" t="n">
        <v>0</v>
      </c>
      <c r="AG149" t="inlineStr">
        <is>
          <t>No submission found.</t>
        </is>
      </c>
      <c r="AH149" t="n">
        <v>11</v>
      </c>
      <c r="AI149" t="n">
        <v>0</v>
      </c>
    </row>
    <row r="150">
      <c r="A150" t="n">
        <v>149</v>
      </c>
      <c r="B150" t="inlineStr">
        <is>
          <t>TA_3</t>
        </is>
      </c>
      <c r="C150" t="inlineStr">
        <is>
          <t>TA_13</t>
        </is>
      </c>
      <c r="D150" t="n">
        <v>7</v>
      </c>
      <c r="E150" t="n">
        <v>0</v>
      </c>
      <c r="F150" t="n">
        <v>8</v>
      </c>
      <c r="G150" t="n">
        <v>0</v>
      </c>
      <c r="H150" t="n">
        <v>6</v>
      </c>
      <c r="I150" t="n">
        <v>0</v>
      </c>
      <c r="J150" t="n">
        <v>7.5</v>
      </c>
      <c r="K150" t="n">
        <v>0</v>
      </c>
      <c r="L150" t="n">
        <v>5.25</v>
      </c>
      <c r="M150" t="n">
        <v>0</v>
      </c>
      <c r="N150" t="n">
        <v>0.5</v>
      </c>
      <c r="O150" t="n">
        <v>0</v>
      </c>
      <c r="P150">
        <f>Table1[[#This Row],[TA 1 - Q1 Score]]+Table1[[#This Row],[TA 1 - Q2 Score]]+Table1[[#This Row],[TA 1 - Q3 Score]]</f>
        <v/>
      </c>
      <c r="Q150">
        <f>Table1[[#This Row],[TA 1 - Q1 Bonus]]+Table1[[#This Row],[TA 1 - Q2 Bonus]]+Table1[[#This Row],[TA 1 - Q4 Bonus]]</f>
        <v/>
      </c>
      <c r="R150">
        <f>Table1[[#This Row],[TA 2 - Q1 Score]]+Table1[[#This Row],[TA 2 - Q2 Score]]+Table1[[#This Row],[TA 2 - Q3 Score]]</f>
        <v/>
      </c>
      <c r="S150">
        <f>Table1[[#This Row],[TA 2 - Q1 Bonus]]+Table1[[#This Row],[TA 2 - Q2 Bonus]]+Table1[[#This Row],[TA 2 - Q4 Bonus]]</f>
        <v/>
      </c>
      <c r="T150">
        <f>(Table1[[#This Row],[TA 1 - Total Score (out of 35)]]+Table1[[#This Row],[TA 2 - Total Score (out of 35)]])/2</f>
        <v/>
      </c>
      <c r="U150">
        <f>(Table1[[#This Row],[TA 1 - Total Bonus (out of 13)]]+Table1[[#This Row],[TA 2 - Total Bonus (out of 13)]])/2</f>
        <v/>
      </c>
      <c r="V150">
        <f>Table1[[#This Row],[Average Questions]]/35*20+Table1[[#This Row],[Average Bonus]]/13*5</f>
        <v/>
      </c>
      <c r="W150" t="n">
        <v>5</v>
      </c>
      <c r="X150" t="n">
        <v>0</v>
      </c>
      <c r="Y150" t="inlineStr">
        <is>
          <t>The student completed the data loading and preparation with minor issues, such as using a batch size of 32 instead of 64 and not fixing the labels to be 0-indexed. The model loading and adaptation were partially correct, but the student used EfficientNetV2-M instead of EfficientNetV2-Small. The training and validation loops were implemented with logical errors, particularly in the label adjustment and the use of softmax for predictions. No bonus task was attempted.</t>
        </is>
      </c>
      <c r="Z150" t="n">
        <v>3</v>
      </c>
      <c r="AA150" t="n">
        <v>0</v>
      </c>
      <c r="AB150" t="inlineStr">
        <is>
          <t>The student partially completed several tasks but made significant errors. The data loading and preparation section had issues with inconsistent transformations and incorrect dataset splits. The CNN model was defined with incorrect dimensions and lacked batch normalization. The training and validation loops were mostly correct but used an incorrect number of output classes and an inappropriate model. The bonus task was not attempted.</t>
        </is>
      </c>
      <c r="AC150" t="n">
        <v>2</v>
      </c>
      <c r="AD150" t="inlineStr">
        <is>
          <t>The student attempted most tasks but made significant errors. In Task 1, the dataset class and DataLoaders were incorrectly implemented using ImageFolder, which is not suitable for segmentation tasks. The transformations also used inconsistent sizes. Task 2 had a critical error where the model was defined for binary segmentation instead of multi-class segmentation. Tasks 3 and 4 were partially correct but contained logical issues, such as using BCEWithLogitsLoss for multi-class segmentation. Task 5 was mostly correct but used a binary threshold for predictions.</t>
        </is>
      </c>
      <c r="AE150" t="n">
        <v>0</v>
      </c>
      <c r="AF150" t="n">
        <v>0</v>
      </c>
      <c r="AG150" t="inlineStr">
        <is>
          <t>No submission found.</t>
        </is>
      </c>
      <c r="AH150" t="n">
        <v>10</v>
      </c>
      <c r="AI150" t="n">
        <v>0</v>
      </c>
    </row>
    <row r="151">
      <c r="A151" t="n">
        <v>150</v>
      </c>
      <c r="B151" t="inlineStr">
        <is>
          <t>TA_3</t>
        </is>
      </c>
      <c r="C151" t="inlineStr">
        <is>
          <t>TA_13</t>
        </is>
      </c>
      <c r="D151" t="n">
        <v>11</v>
      </c>
      <c r="E151" t="n">
        <v>0</v>
      </c>
      <c r="F151" t="n">
        <v>9</v>
      </c>
      <c r="G151" t="n">
        <v>0</v>
      </c>
      <c r="H151" t="n">
        <v>12</v>
      </c>
      <c r="I151" t="n">
        <v>0</v>
      </c>
      <c r="J151" t="n">
        <v>11.5</v>
      </c>
      <c r="K151" t="n">
        <v>3</v>
      </c>
      <c r="L151" t="n">
        <v>9</v>
      </c>
      <c r="M151" t="n">
        <v>2</v>
      </c>
      <c r="N151" t="n">
        <v>12</v>
      </c>
      <c r="O151" t="n">
        <v>0</v>
      </c>
      <c r="P151">
        <f>Table1[[#This Row],[TA 1 - Q1 Score]]+Table1[[#This Row],[TA 1 - Q2 Score]]+Table1[[#This Row],[TA 1 - Q3 Score]]</f>
        <v/>
      </c>
      <c r="Q151">
        <f>Table1[[#This Row],[TA 1 - Q1 Bonus]]+Table1[[#This Row],[TA 1 - Q2 Bonus]]+Table1[[#This Row],[TA 1 - Q4 Bonus]]</f>
        <v/>
      </c>
      <c r="R151">
        <f>Table1[[#This Row],[TA 2 - Q1 Score]]+Table1[[#This Row],[TA 2 - Q2 Score]]+Table1[[#This Row],[TA 2 - Q3 Score]]</f>
        <v/>
      </c>
      <c r="S151">
        <f>Table1[[#This Row],[TA 2 - Q1 Bonus]]+Table1[[#This Row],[TA 2 - Q2 Bonus]]+Table1[[#This Row],[TA 2 - Q4 Bonus]]</f>
        <v/>
      </c>
      <c r="T151">
        <f>(Table1[[#This Row],[TA 1 - Total Score (out of 35)]]+Table1[[#This Row],[TA 2 - Total Score (out of 35)]])/2</f>
        <v/>
      </c>
      <c r="U151">
        <f>(Table1[[#This Row],[TA 1 - Total Bonus (out of 13)]]+Table1[[#This Row],[TA 2 - Total Bonus (out of 13)]])/2</f>
        <v/>
      </c>
      <c r="V151">
        <f>Table1[[#This Row],[Average Questions]]/35*20+Table1[[#This Row],[Average Bonus]]/13*5</f>
        <v/>
      </c>
      <c r="W151" t="n">
        <v>5</v>
      </c>
      <c r="X151" t="n">
        <v>0</v>
      </c>
      <c r="Y151" t="inlineStr">
        <is>
          <t>The student partially completed the tasks with some syntax and logical errors. The data loading and preparation section had incorrect resizing dimensions and missing tensor conversion. DataLoaders were created but not used correctly in the display function. The model loading and adaptation were mostly correct but the freezing of the backbone was incorrectly implemented. The training and validation loops were attempted but contained unnecessary softmax operations. The bonus task was not fully implemented correctly, with incorrect averaging of predictions.</t>
        </is>
      </c>
      <c r="Z151" t="n">
        <v>6</v>
      </c>
      <c r="AA151" t="n">
        <v>0</v>
      </c>
      <c r="AB151" t="inlineStr">
        <is>
          <t>The student partially completed the tasks. They correctly set up the dataset and DataLoaders with the required transformations, including RandomRotation and resizing to 32x32. However, they made mistakes in displaying sample images, using incorrect labels and shapes. The CNN model was defined with 5 convolutional layers but did not include Batch Normalization. The training and validation loops were implemented correctly, and the model was trained and plotted. The bonus task was not attempted correctly, with an incorrect model definition and no retraining or plotting.</t>
        </is>
      </c>
      <c r="AC151" t="n">
        <v>8</v>
      </c>
      <c r="AD151" t="inlineStr">
        <is>
          <t>The student's submission includes most of the required tasks with some minor issues. Task 1 is mostly complete with a custom dataset class and DataLoaders, though the initial dataset loading section is incomplete. Task 2 correctly defines a pretrained U-Net model with the specified encoder. Task 3 includes both training and validation loops, which are implemented correctly. Task 4 defines the loss and optimizer, trains the model, and plots the loss curve, though the number of epochs is reduced to 4. Task 5 visualizes predictions, but the colormap used for masks is gray instead of tab10. Overall, the submission is functional with some minor deviations from the reference solution.</t>
        </is>
      </c>
      <c r="AE151" t="n">
        <v>0</v>
      </c>
      <c r="AF151" t="n">
        <v>0</v>
      </c>
      <c r="AG151" t="inlineStr">
        <is>
          <t>No submission found.</t>
        </is>
      </c>
      <c r="AH151" t="n">
        <v>19</v>
      </c>
      <c r="AI151" t="n">
        <v>0</v>
      </c>
    </row>
    <row r="152">
      <c r="A152" t="n">
        <v>151</v>
      </c>
      <c r="B152" t="inlineStr">
        <is>
          <t>TA_3</t>
        </is>
      </c>
      <c r="C152" t="inlineStr">
        <is>
          <t>TA_13</t>
        </is>
      </c>
      <c r="D152" t="n">
        <v>0</v>
      </c>
      <c r="E152" t="n">
        <v>0</v>
      </c>
      <c r="F152" t="n">
        <v>0</v>
      </c>
      <c r="G152" t="n">
        <v>0</v>
      </c>
      <c r="H152" t="n">
        <v>0</v>
      </c>
      <c r="I152" t="n">
        <v>0</v>
      </c>
      <c r="J152" t="n">
        <v>12</v>
      </c>
      <c r="K152" t="n">
        <v>0</v>
      </c>
      <c r="L152" t="n">
        <v>0</v>
      </c>
      <c r="M152" t="n">
        <v>0</v>
      </c>
      <c r="N152" t="n">
        <v>0</v>
      </c>
      <c r="O152" t="n">
        <v>0</v>
      </c>
      <c r="P152">
        <f>Table1[[#This Row],[TA 1 - Q1 Score]]+Table1[[#This Row],[TA 1 - Q2 Score]]+Table1[[#This Row],[TA 1 - Q3 Score]]</f>
        <v/>
      </c>
      <c r="Q152">
        <f>Table1[[#This Row],[TA 1 - Q1 Bonus]]+Table1[[#This Row],[TA 1 - Q2 Bonus]]+Table1[[#This Row],[TA 1 - Q4 Bonus]]</f>
        <v/>
      </c>
      <c r="R152">
        <f>Table1[[#This Row],[TA 2 - Q1 Score]]+Table1[[#This Row],[TA 2 - Q2 Score]]+Table1[[#This Row],[TA 2 - Q3 Score]]</f>
        <v/>
      </c>
      <c r="S152">
        <f>Table1[[#This Row],[TA 2 - Q1 Bonus]]+Table1[[#This Row],[TA 2 - Q2 Bonus]]+Table1[[#This Row],[TA 2 - Q4 Bonus]]</f>
        <v/>
      </c>
      <c r="T152">
        <f>(Table1[[#This Row],[TA 1 - Total Score (out of 35)]]+Table1[[#This Row],[TA 2 - Total Score (out of 35)]])/2</f>
        <v/>
      </c>
      <c r="U152">
        <f>(Table1[[#This Row],[TA 1 - Total Bonus (out of 13)]]+Table1[[#This Row],[TA 2 - Total Bonus (out of 13)]])/2</f>
        <v/>
      </c>
      <c r="V152">
        <f>Table1[[#This Row],[Average Questions]]/35*20+Table1[[#This Row],[Average Bonus]]/13*5</f>
        <v/>
      </c>
      <c r="W152" t="n">
        <v>10.5</v>
      </c>
      <c r="X152" t="n">
        <v>0</v>
      </c>
      <c r="Y152" t="inlineStr">
        <is>
          <t>The student completed most tasks correctly, including loading and preparing data, loading and adapting the pretrained model, defining training and validation loops, setting up the device, model, loss, and optimizer, and training the model. However, the student did not implement the bonus task for Test Time Augmentation. The code runs and produces the correct output, but there were minor issues such as redundant transform definitions and a typo in the model loading section.</t>
        </is>
      </c>
      <c r="Z152" t="n">
        <v>0</v>
      </c>
      <c r="AA152" t="n">
        <v>0</v>
      </c>
      <c r="AB152" t="inlineStr">
        <is>
          <t>No submission found.</t>
        </is>
      </c>
      <c r="AC152" t="n">
        <v>0</v>
      </c>
      <c r="AD152" t="inlineStr">
        <is>
          <t>No submission found.</t>
        </is>
      </c>
      <c r="AE152" t="n">
        <v>0</v>
      </c>
      <c r="AF152" t="n">
        <v>0</v>
      </c>
      <c r="AG152" t="inlineStr">
        <is>
          <t>No submission found.</t>
        </is>
      </c>
      <c r="AH152" t="n">
        <v>10.5</v>
      </c>
      <c r="AI152" t="n">
        <v>0</v>
      </c>
    </row>
    <row r="153">
      <c r="A153" t="n">
        <v>152</v>
      </c>
      <c r="B153" t="inlineStr">
        <is>
          <t>TA_3</t>
        </is>
      </c>
      <c r="C153" t="inlineStr">
        <is>
          <t>TA_13</t>
        </is>
      </c>
      <c r="D153" t="n">
        <v>10.5</v>
      </c>
      <c r="E153" t="n">
        <v>0</v>
      </c>
      <c r="F153" t="n">
        <v>11</v>
      </c>
      <c r="G153" t="n">
        <v>0</v>
      </c>
      <c r="H153" t="n">
        <v>12</v>
      </c>
      <c r="I153" t="n">
        <v>0</v>
      </c>
      <c r="J153" t="n">
        <v>11.5</v>
      </c>
      <c r="K153" t="n">
        <v>0</v>
      </c>
      <c r="L153" t="n">
        <v>11</v>
      </c>
      <c r="M153" t="n">
        <v>0</v>
      </c>
      <c r="N153" t="n">
        <v>12</v>
      </c>
      <c r="O153" t="n">
        <v>0</v>
      </c>
      <c r="P153">
        <f>Table1[[#This Row],[TA 1 - Q1 Score]]+Table1[[#This Row],[TA 1 - Q2 Score]]+Table1[[#This Row],[TA 1 - Q3 Score]]</f>
        <v/>
      </c>
      <c r="Q153">
        <f>Table1[[#This Row],[TA 1 - Q1 Bonus]]+Table1[[#This Row],[TA 1 - Q2 Bonus]]+Table1[[#This Row],[TA 1 - Q4 Bonus]]</f>
        <v/>
      </c>
      <c r="R153">
        <f>Table1[[#This Row],[TA 2 - Q1 Score]]+Table1[[#This Row],[TA 2 - Q2 Score]]+Table1[[#This Row],[TA 2 - Q3 Score]]</f>
        <v/>
      </c>
      <c r="S153">
        <f>Table1[[#This Row],[TA 2 - Q1 Bonus]]+Table1[[#This Row],[TA 2 - Q2 Bonus]]+Table1[[#This Row],[TA 2 - Q4 Bonus]]</f>
        <v/>
      </c>
      <c r="T153">
        <f>(Table1[[#This Row],[TA 1 - Total Score (out of 35)]]+Table1[[#This Row],[TA 2 - Total Score (out of 35)]])/2</f>
        <v/>
      </c>
      <c r="U153">
        <f>(Table1[[#This Row],[TA 1 - Total Bonus (out of 13)]]+Table1[[#This Row],[TA 2 - Total Bonus (out of 13)]])/2</f>
        <v/>
      </c>
      <c r="V153">
        <f>Table1[[#This Row],[Average Questions]]/35*20+Table1[[#This Row],[Average Bonus]]/13*5</f>
        <v/>
      </c>
      <c r="W153" t="n">
        <v>7</v>
      </c>
      <c r="X153" t="n">
        <v>0</v>
      </c>
      <c r="Y153" t="inlineStr">
        <is>
          <t>The student partially completed the tasks with some syntax and logical errors. The data loading and preparation section had incorrect image resizing dimensions (224x224 instead of 28x28) and used an incorrect batch size (128 instead of 64). The model loading and adaptation section froze all parameters instead of just the backbone. The training and validation loops were mostly correct but included unnecessary softmax operations. The plotting section was correct. No bonus tasks were attempted.</t>
        </is>
      </c>
      <c r="Z153" t="n">
        <v>8.5</v>
      </c>
      <c r="AA153" t="n">
        <v>0</v>
      </c>
      <c r="AB153" t="inlineStr">
        <is>
          <t>The student successfully completed most tasks, including loading and preparing the data, building the CNN model with batch normalization, defining training and validation loops, setting up the device, model, loss, and optimizer, and plotting losses and accuracies. However, the student did not implement the residual connection as required in the bonus task, resulting in no bonus points. The student also included normalization in the data transformations, which was not specified in the task requirements.</t>
        </is>
      </c>
      <c r="AC153" t="n">
        <v>10</v>
      </c>
      <c r="AD153" t="inlineStr">
        <is>
          <t>The student's submission is mostly correct and runs end-to-end. They built a custom dataset class, created DataLoaders, displayed sample images and masks, defined a pretrained U-Net with efficientnet-b1 encoder, implemented training and validation loops, defined loss and optimizer, trained the model, printed training and validation losses, plotted the loss curve, and visualized predictions. Minor issues include using AdamW instead of Adam for optimization and a slightly higher learning rate, but these do not significantly impact the overall correctness of the implementation.</t>
        </is>
      </c>
      <c r="AE153" t="n">
        <v>0</v>
      </c>
      <c r="AF153" t="n">
        <v>0</v>
      </c>
      <c r="AG153" t="inlineStr">
        <is>
          <t>No submission found.</t>
        </is>
      </c>
      <c r="AH153" t="n">
        <v>25.5</v>
      </c>
      <c r="AI153" t="n">
        <v>0</v>
      </c>
    </row>
    <row r="154">
      <c r="A154" t="n">
        <v>153</v>
      </c>
      <c r="B154" t="inlineStr">
        <is>
          <t>TA_3</t>
        </is>
      </c>
      <c r="C154" t="inlineStr">
        <is>
          <t>TA_13</t>
        </is>
      </c>
      <c r="D154" t="n">
        <v>8</v>
      </c>
      <c r="E154" t="n">
        <v>0</v>
      </c>
      <c r="F154" t="n">
        <v>7</v>
      </c>
      <c r="G154" t="n">
        <v>0</v>
      </c>
      <c r="H154" t="n">
        <v>2.5</v>
      </c>
      <c r="I154" t="n">
        <v>0</v>
      </c>
      <c r="J154" t="n">
        <v>8.5</v>
      </c>
      <c r="K154" t="n">
        <v>0</v>
      </c>
      <c r="L154" t="n">
        <v>7</v>
      </c>
      <c r="M154" t="n">
        <v>0</v>
      </c>
      <c r="N154" t="n">
        <v>0</v>
      </c>
      <c r="O154" t="n">
        <v>0</v>
      </c>
      <c r="P154">
        <f>Table1[[#This Row],[TA 1 - Q1 Score]]+Table1[[#This Row],[TA 1 - Q2 Score]]+Table1[[#This Row],[TA 1 - Q3 Score]]</f>
        <v/>
      </c>
      <c r="Q154">
        <f>Table1[[#This Row],[TA 1 - Q1 Bonus]]+Table1[[#This Row],[TA 1 - Q2 Bonus]]+Table1[[#This Row],[TA 1 - Q4 Bonus]]</f>
        <v/>
      </c>
      <c r="R154">
        <f>Table1[[#This Row],[TA 2 - Q1 Score]]+Table1[[#This Row],[TA 2 - Q2 Score]]+Table1[[#This Row],[TA 2 - Q3 Score]]</f>
        <v/>
      </c>
      <c r="S154">
        <f>Table1[[#This Row],[TA 2 - Q1 Bonus]]+Table1[[#This Row],[TA 2 - Q2 Bonus]]+Table1[[#This Row],[TA 2 - Q4 Bonus]]</f>
        <v/>
      </c>
      <c r="T154">
        <f>(Table1[[#This Row],[TA 1 - Total Score (out of 35)]]+Table1[[#This Row],[TA 2 - Total Score (out of 35)]])/2</f>
        <v/>
      </c>
      <c r="U154">
        <f>(Table1[[#This Row],[TA 1 - Total Bonus (out of 13)]]+Table1[[#This Row],[TA 2 - Total Bonus (out of 13)]])/2</f>
        <v/>
      </c>
      <c r="V154">
        <f>Table1[[#This Row],[Average Questions]]/35*20+Table1[[#This Row],[Average Bonus]]/13*5</f>
        <v/>
      </c>
      <c r="W154" t="n">
        <v>6</v>
      </c>
      <c r="X154" t="n">
        <v>0</v>
      </c>
      <c r="Y154" t="inlineStr">
        <is>
          <t>The student completed the data loading and preparation with correct transformations, including resizing, converting to tensor, and normalizing. DataLoaders were created and sample images were displayed. However, the model setup had issues: the backbone was not properly frozen, and the classifier head replacement was incorrect. The training and validation loops were attempted but contained logical errors, such as missing accuracy calculation in the training loop and incorrect loss function definition. No bonus tasks were attempted.</t>
        </is>
      </c>
      <c r="Z154" t="n">
        <v>6</v>
      </c>
      <c r="AA154" t="n">
        <v>0</v>
      </c>
      <c r="AB154" t="inlineStr">
        <is>
          <t>The student implemented a custom dataset class and used the correct transformations, achieving full marks for Part 1. However, the CNN model in Part 2 has incorrect architecture with only 4 convolutional layers instead of 5, and the fully connected layers have incorrect input dimensions, resulting in partial credit. The training and validation loops in Part 3 are mostly correct but contain unnecessary softmax operations, earning partial credit. Part 4 is executed with correct setup but the model does not run due to architectural issues, so no points are awarded. No bonus tasks were attempted.</t>
        </is>
      </c>
      <c r="AC154" t="n">
        <v>2</v>
      </c>
      <c r="AD154" t="inlineStr">
        <is>
          <t>The student attempted most tasks but made significant errors. In Task 1, the dataset class implementation is flawed, incorrectly loading images and masks, and the DataLoader setup is incorrect. Task 2 has a mistake in defining the U-Net model with only one class instead of eight. Task 3 is partially correct with training and validation loops, but the loss function and optimizer in Task 4 are inappropriate for multi-class segmentation. Task 5 visualizes predictions but does not correctly handle multi-class masks.</t>
        </is>
      </c>
      <c r="AE154" t="n">
        <v>0</v>
      </c>
      <c r="AF154" t="n">
        <v>0</v>
      </c>
      <c r="AG154" t="inlineStr">
        <is>
          <t>No submission found.</t>
        </is>
      </c>
      <c r="AH154" t="n">
        <v>14</v>
      </c>
      <c r="AI154" t="n">
        <v>0</v>
      </c>
    </row>
    <row r="155">
      <c r="A155" t="n">
        <v>154</v>
      </c>
      <c r="B155" t="inlineStr">
        <is>
          <t>TA_3</t>
        </is>
      </c>
      <c r="C155" t="inlineStr">
        <is>
          <t>TA_13</t>
        </is>
      </c>
      <c r="D155" t="n">
        <v>11.5</v>
      </c>
      <c r="E155" t="n">
        <v>0</v>
      </c>
      <c r="F155" t="n">
        <v>10</v>
      </c>
      <c r="G155" t="n">
        <v>0</v>
      </c>
      <c r="H155" t="n">
        <v>11.75</v>
      </c>
      <c r="I155" t="n">
        <v>0</v>
      </c>
      <c r="J155" t="n">
        <v>11.5</v>
      </c>
      <c r="K155" t="n">
        <v>0</v>
      </c>
      <c r="L155" t="n">
        <v>10</v>
      </c>
      <c r="M155" t="n">
        <v>0</v>
      </c>
      <c r="N155" t="n">
        <v>11.75</v>
      </c>
      <c r="O155" t="n">
        <v>5</v>
      </c>
      <c r="P155">
        <f>Table1[[#This Row],[TA 1 - Q1 Score]]+Table1[[#This Row],[TA 1 - Q2 Score]]+Table1[[#This Row],[TA 1 - Q3 Score]]</f>
        <v/>
      </c>
      <c r="Q155">
        <f>Table1[[#This Row],[TA 1 - Q1 Bonus]]+Table1[[#This Row],[TA 1 - Q2 Bonus]]+Table1[[#This Row],[TA 1 - Q4 Bonus]]</f>
        <v/>
      </c>
      <c r="R155">
        <f>Table1[[#This Row],[TA 2 - Q1 Score]]+Table1[[#This Row],[TA 2 - Q2 Score]]+Table1[[#This Row],[TA 2 - Q3 Score]]</f>
        <v/>
      </c>
      <c r="S155">
        <f>Table1[[#This Row],[TA 2 - Q1 Bonus]]+Table1[[#This Row],[TA 2 - Q2 Bonus]]+Table1[[#This Row],[TA 2 - Q4 Bonus]]</f>
        <v/>
      </c>
      <c r="T155">
        <f>(Table1[[#This Row],[TA 1 - Total Score (out of 35)]]+Table1[[#This Row],[TA 2 - Total Score (out of 35)]])/2</f>
        <v/>
      </c>
      <c r="U155">
        <f>(Table1[[#This Row],[TA 1 - Total Bonus (out of 13)]]+Table1[[#This Row],[TA 2 - Total Bonus (out of 13)]])/2</f>
        <v/>
      </c>
      <c r="V155">
        <f>Table1[[#This Row],[Average Questions]]/35*20+Table1[[#This Row],[Average Bonus]]/13*5</f>
        <v/>
      </c>
      <c r="W155" t="n">
        <v>7</v>
      </c>
      <c r="X155" t="n">
        <v>0</v>
      </c>
      <c r="Y155" t="inlineStr">
        <is>
          <t>The student completed most tasks with minor issues. Transforms were correctly defined, and DataLoaders were set up properly. Sample images were displayed, though with hardcoded indices. The pretrained model was loaded, but the wrong model (EfficientNetB0 instead of EfficientNetV2-Small) was used, and the backbone was incorrectly frozen. The training and validation loops were mostly correct, with proper label adjustment, but the initial incorrect model choice affected performance. No bonus task was attempted.</t>
        </is>
      </c>
      <c r="Z155" t="n">
        <v>6</v>
      </c>
      <c r="AA155" t="n">
        <v>0</v>
      </c>
      <c r="AB155" t="inlineStr">
        <is>
          <t>The student attempted all required tasks but made several mistakes. In Part 1, the dataset class was incorrectly named and used CSV files instead of directories. The transformations were applied correctly, but the dataset loading used ImageFolder instead of the custom class. In Part 2, the CNN model had only 5 convolutional layers but with incorrect channel sizes and output dimensions. Part 3 and Part 4 were mostly correct, with proper training and validation loops and plotting functions. No bonus task was attempted.</t>
        </is>
      </c>
      <c r="AC155" t="n">
        <v>8</v>
      </c>
      <c r="AD155" t="inlineStr">
        <is>
          <t>The student's submission includes most of the required tasks with some issues. The dataset class is implemented but uses a DataFrame for metadata, which is not explicitly prohibited. The DataLoader creation and sample display are mostly correct. The model class uses the correct U-Net architecture with efficientnet-b0 encoder. Training and validation loops are implemented correctly, and the loss and optimizer are defined properly. However, the remapping function for masks is incorrect, and the visualization section has some issues with mask handling.</t>
        </is>
      </c>
      <c r="AE155" t="n">
        <v>0</v>
      </c>
      <c r="AF155" t="n">
        <v>5</v>
      </c>
      <c r="AG155" t="inlineStr">
        <is>
          <t>The student's implementation of the ColorizationDataset class is correct and runs perfectly, producing the expected output and following the optimal logic. The code includes all required methods (__init__, __len__, rgb_to_grayscale, __getitem__) with correct formulas and dimensions. The visualization also works as intended, showing both grayscale and color images correctly.</t>
        </is>
      </c>
      <c r="AH155" t="n">
        <v>21</v>
      </c>
      <c r="AI155" t="n">
        <v>5</v>
      </c>
    </row>
    <row r="156">
      <c r="A156" t="n">
        <v>155</v>
      </c>
      <c r="B156" t="inlineStr">
        <is>
          <t>TA_3</t>
        </is>
      </c>
      <c r="C156" t="inlineStr">
        <is>
          <t>TA_13</t>
        </is>
      </c>
      <c r="D156" t="n">
        <v>10</v>
      </c>
      <c r="E156" t="n">
        <v>0</v>
      </c>
      <c r="F156" t="n">
        <v>7.5</v>
      </c>
      <c r="G156" t="n">
        <v>0</v>
      </c>
      <c r="H156" t="n">
        <v>8.5</v>
      </c>
      <c r="I156" t="n">
        <v>0</v>
      </c>
      <c r="J156" t="n">
        <v>12</v>
      </c>
      <c r="K156" t="n">
        <v>0</v>
      </c>
      <c r="L156" t="n">
        <v>6.5</v>
      </c>
      <c r="M156" t="n">
        <v>0</v>
      </c>
      <c r="N156" t="n">
        <v>8.5</v>
      </c>
      <c r="O156" t="n">
        <v>0</v>
      </c>
      <c r="P156">
        <f>Table1[[#This Row],[TA 1 - Q1 Score]]+Table1[[#This Row],[TA 1 - Q2 Score]]+Table1[[#This Row],[TA 1 - Q3 Score]]</f>
        <v/>
      </c>
      <c r="Q156">
        <f>Table1[[#This Row],[TA 1 - Q1 Bonus]]+Table1[[#This Row],[TA 1 - Q2 Bonus]]+Table1[[#This Row],[TA 1 - Q4 Bonus]]</f>
        <v/>
      </c>
      <c r="R156">
        <f>Table1[[#This Row],[TA 2 - Q1 Score]]+Table1[[#This Row],[TA 2 - Q2 Score]]+Table1[[#This Row],[TA 2 - Q3 Score]]</f>
        <v/>
      </c>
      <c r="S156">
        <f>Table1[[#This Row],[TA 2 - Q1 Bonus]]+Table1[[#This Row],[TA 2 - Q2 Bonus]]+Table1[[#This Row],[TA 2 - Q4 Bonus]]</f>
        <v/>
      </c>
      <c r="T156">
        <f>(Table1[[#This Row],[TA 1 - Total Score (out of 35)]]+Table1[[#This Row],[TA 2 - Total Score (out of 35)]])/2</f>
        <v/>
      </c>
      <c r="U156">
        <f>(Table1[[#This Row],[TA 1 - Total Bonus (out of 13)]]+Table1[[#This Row],[TA 2 - Total Bonus (out of 13)]])/2</f>
        <v/>
      </c>
      <c r="V156">
        <f>Table1[[#This Row],[Average Questions]]/35*20+Table1[[#This Row],[Average Bonus]]/13*5</f>
        <v/>
      </c>
      <c r="W156" t="n">
        <v>7</v>
      </c>
      <c r="X156" t="n">
        <v>0</v>
      </c>
      <c r="Y156" t="inlineStr">
        <is>
          <t>The student completed most tasks with minor issues. The data loading and preparation section was mostly correct, though the batch size was smaller than the reference. The model loading and adaptation were correct, but the student froze all parameters instead of just the backbone. The training and validation loops were implemented with some syntax errors, such as unnecessary squeezing of outputs. The plotting of losses and accuracies was correct. The bonus task was not attempted.</t>
        </is>
      </c>
      <c r="Z156" t="n">
        <v>5</v>
      </c>
      <c r="AA156" t="n">
        <v>0</v>
      </c>
      <c r="AB156" t="inlineStr">
        <is>
          <t>The student partially completed the required tasks. They implemented a custom dataset class and used the correct transformations, including RandomRotation and resizing to 32x32. However, the CNN model had incorrect architecture with only 5 convolutional layers but fewer filters and incorrect fully connected layer sizes. The training and validation loops were mostly correct but included unnecessary softmax calls. The student did not attempt the bonus task and instead experimented with a pretrained model, which is not allowed.</t>
        </is>
      </c>
      <c r="AC156" t="n">
        <v>8</v>
      </c>
      <c r="AD156" t="inlineStr">
        <is>
          <t>The student's submission includes most of the required tasks with some minor issues. The dataset class is implemented correctly, and the DataLoaders are set up properly. However, the student used a different dataset path format and did not display sample images and masks. The model class is defined with the correct encoder, but the training and validation loops contain syntax errors. The loss and optimizer are defined, and the model trains for 10 epochs, printing the losses. The loss curve is plotted correctly. Visualization of predictions is missing.</t>
        </is>
      </c>
      <c r="AE156" t="n">
        <v>0</v>
      </c>
      <c r="AF156" t="n">
        <v>0</v>
      </c>
      <c r="AG156" t="inlineStr">
        <is>
          <t>No submission found.</t>
        </is>
      </c>
      <c r="AH156" t="n">
        <v>20</v>
      </c>
      <c r="AI156" t="n">
        <v>0</v>
      </c>
    </row>
    <row r="157">
      <c r="A157" t="n">
        <v>156</v>
      </c>
      <c r="B157" t="inlineStr">
        <is>
          <t>TA_3</t>
        </is>
      </c>
      <c r="C157" t="inlineStr">
        <is>
          <t>TA_13</t>
        </is>
      </c>
      <c r="D157" t="n">
        <v>7.5</v>
      </c>
      <c r="E157" t="n">
        <v>0</v>
      </c>
      <c r="F157" t="n">
        <v>8</v>
      </c>
      <c r="G157" t="n">
        <v>0</v>
      </c>
      <c r="H157" t="n">
        <v>11.5</v>
      </c>
      <c r="I157" t="n">
        <v>0</v>
      </c>
      <c r="J157" t="n">
        <v>8.5</v>
      </c>
      <c r="K157" t="n">
        <v>0</v>
      </c>
      <c r="L157" t="n">
        <v>9</v>
      </c>
      <c r="M157" t="n">
        <v>0</v>
      </c>
      <c r="N157" t="n">
        <v>12</v>
      </c>
      <c r="O157" t="n">
        <v>0</v>
      </c>
      <c r="P157">
        <f>Table1[[#This Row],[TA 1 - Q1 Score]]+Table1[[#This Row],[TA 1 - Q2 Score]]+Table1[[#This Row],[TA 1 - Q3 Score]]</f>
        <v/>
      </c>
      <c r="Q157">
        <f>Table1[[#This Row],[TA 1 - Q1 Bonus]]+Table1[[#This Row],[TA 1 - Q2 Bonus]]+Table1[[#This Row],[TA 1 - Q4 Bonus]]</f>
        <v/>
      </c>
      <c r="R157">
        <f>Table1[[#This Row],[TA 2 - Q1 Score]]+Table1[[#This Row],[TA 2 - Q2 Score]]+Table1[[#This Row],[TA 2 - Q3 Score]]</f>
        <v/>
      </c>
      <c r="S157">
        <f>Table1[[#This Row],[TA 2 - Q1 Bonus]]+Table1[[#This Row],[TA 2 - Q2 Bonus]]+Table1[[#This Row],[TA 2 - Q4 Bonus]]</f>
        <v/>
      </c>
      <c r="T157">
        <f>(Table1[[#This Row],[TA 1 - Total Score (out of 35)]]+Table1[[#This Row],[TA 2 - Total Score (out of 35)]])/2</f>
        <v/>
      </c>
      <c r="U157">
        <f>(Table1[[#This Row],[TA 1 - Total Bonus (out of 13)]]+Table1[[#This Row],[TA 2 - Total Bonus (out of 13)]])/2</f>
        <v/>
      </c>
      <c r="V157">
        <f>Table1[[#This Row],[Average Questions]]/35*20+Table1[[#This Row],[Average Bonus]]/13*5</f>
        <v/>
      </c>
      <c r="W157" t="n">
        <v>7</v>
      </c>
      <c r="X157" t="n">
        <v>0</v>
      </c>
      <c r="Y157" t="inlineStr">
        <is>
          <t>The student completed most tasks with minor issues. The data loading and preparation section was mostly correct, but the image display used incorrect class labels. The model loading and adaptation were accurate, but the student mistakenly loaded EfficientNet-B0 instead of EfficientNetV2-Small. The training and validation loops were implemented correctly, but the student did not adjust the labels to be 0-indexed, resulting in a penalty. The bonus task was not completed correctly due to syntax errors and incorrect implementation.</t>
        </is>
      </c>
      <c r="Z157" t="n">
        <v>7</v>
      </c>
      <c r="AA157" t="n">
        <v>0</v>
      </c>
      <c r="AB157" t="inlineStr">
        <is>
          <t>The student successfully loaded and prepared the data with the correct transformations and displayed sample images. The CNN model was built with five convolutional layers, but Batch Normalization was incorrectly implemented. The training and validation functions were defined and used correctly, and the model was trained and plotted. However, the bonus task was not completed.</t>
        </is>
      </c>
      <c r="AC157" t="n">
        <v>10</v>
      </c>
      <c r="AD157" t="inlineStr">
        <is>
          <t>The student's submission is mostly correct and runs end-to-end. The dataset class is implemented correctly, including the DataLoader creation and sample image/mask display. The model class uses the correct pretrained U-Net with efficientnet-b1 encoder. The training and validation loops are implemented properly, and the model is trained and validated with loss printed and plotted. The predictions are visualized correctly against the ground truth. Minor issues include the use of a different dataset path variable name and a slightly different approach to splitting the dataset, but these do not affect the correctness of the implementation.</t>
        </is>
      </c>
      <c r="AE157" t="n">
        <v>0</v>
      </c>
      <c r="AF157" t="n">
        <v>0</v>
      </c>
      <c r="AG157" t="inlineStr">
        <is>
          <t>No submission found.</t>
        </is>
      </c>
      <c r="AH157" t="n">
        <v>24</v>
      </c>
      <c r="AI157" t="n">
        <v>0</v>
      </c>
    </row>
    <row r="158">
      <c r="A158" t="n">
        <v>157</v>
      </c>
      <c r="B158" t="inlineStr">
        <is>
          <t>TA_3</t>
        </is>
      </c>
      <c r="C158" t="inlineStr">
        <is>
          <t>TA_13</t>
        </is>
      </c>
      <c r="D158" t="n">
        <v>12</v>
      </c>
      <c r="E158" t="n">
        <v>0</v>
      </c>
      <c r="F158" t="n">
        <v>11</v>
      </c>
      <c r="G158" t="n">
        <v>0</v>
      </c>
      <c r="H158" t="n">
        <v>12</v>
      </c>
      <c r="I158" t="n">
        <v>5</v>
      </c>
      <c r="J158" t="n">
        <v>12</v>
      </c>
      <c r="K158" t="n">
        <v>0</v>
      </c>
      <c r="L158" t="n">
        <v>10.75</v>
      </c>
      <c r="M158" t="n">
        <v>0</v>
      </c>
      <c r="N158" t="n">
        <v>12</v>
      </c>
      <c r="O158" t="n">
        <v>5</v>
      </c>
      <c r="P158">
        <f>Table1[[#This Row],[TA 1 - Q1 Score]]+Table1[[#This Row],[TA 1 - Q2 Score]]+Table1[[#This Row],[TA 1 - Q3 Score]]</f>
        <v/>
      </c>
      <c r="Q158">
        <f>Table1[[#This Row],[TA 1 - Q1 Bonus]]+Table1[[#This Row],[TA 1 - Q2 Bonus]]+Table1[[#This Row],[TA 1 - Q4 Bonus]]</f>
        <v/>
      </c>
      <c r="R158">
        <f>Table1[[#This Row],[TA 2 - Q1 Score]]+Table1[[#This Row],[TA 2 - Q2 Score]]+Table1[[#This Row],[TA 2 - Q3 Score]]</f>
        <v/>
      </c>
      <c r="S158">
        <f>Table1[[#This Row],[TA 2 - Q1 Bonus]]+Table1[[#This Row],[TA 2 - Q2 Bonus]]+Table1[[#This Row],[TA 2 - Q4 Bonus]]</f>
        <v/>
      </c>
      <c r="T158">
        <f>(Table1[[#This Row],[TA 1 - Total Score (out of 35)]]+Table1[[#This Row],[TA 2 - Total Score (out of 35)]])/2</f>
        <v/>
      </c>
      <c r="U158">
        <f>(Table1[[#This Row],[TA 1 - Total Bonus (out of 13)]]+Table1[[#This Row],[TA 2 - Total Bonus (out of 13)]])/2</f>
        <v/>
      </c>
      <c r="V158">
        <f>Table1[[#This Row],[Average Questions]]/35*20+Table1[[#This Row],[Average Bonus]]/13*5</f>
        <v/>
      </c>
      <c r="W158" t="n">
        <v>10.5</v>
      </c>
      <c r="X158" t="n">
        <v>0</v>
      </c>
      <c r="Y158" t="inlineStr">
        <is>
          <t>The student completed most tasks correctly. The transforms were defined properly, and the DataLoaders were set up correctly. Sample images were displayed with labels. The pretrained EfficientNetV2-Small model was loaded and adapted correctly, with the backbone frozen and the classifier head replaced. The training and validation loops were implemented accurately, with label fixing applied. However, the bonus task for Test Time Augmentation was not attempted.</t>
        </is>
      </c>
      <c r="Z158" t="n">
        <v>6</v>
      </c>
      <c r="AA158" t="n">
        <v>0</v>
      </c>
      <c r="AB158" t="inlineStr">
        <is>
          <t>The student partially completed the tasks. They implemented a custom dataset class with transformations, displayed sample images, built a CNN model with batch normalization, defined training and validation functions, and trained the model. However, they did not create separate train and test datasets, used incorrect image resizing dimensions, and did not plot validation losses and accuracies. The bonus task was skipped.</t>
        </is>
      </c>
      <c r="AC158" t="n">
        <v>8.5</v>
      </c>
      <c r="AD158" t="inlineStr">
        <is>
          <t>The student's submission largely follows the required tasks but contains some issues. Task 1 is mostly correct with a custom dataset class and DataLoaders, though the dataset splitting could be improved. Task 2 correctly defines a pretrained U-Net with efficientnet-b1 encoder. Task 3 has syntax errors in the training and validation loops, affecting functionality. Task 4 defines loss and optimizer correctly but has issues in the training loop implementation, leading to incorrect loss calculations. Task 5 visualizes predictions but does not handle the mask visualization properly, showing incorrect color mappings.</t>
        </is>
      </c>
      <c r="AE158" t="n">
        <v>0</v>
      </c>
      <c r="AF158" t="n">
        <v>5</v>
      </c>
      <c r="AG158" t="inlineStr">
        <is>
          <t>The student's implementation of the ColorizationDataset class is correct and runs perfectly. It includes the proper initialization, length method, RGB to grayscale conversion, and getitem method, returning the expected (grayscale, color) tuples. The visualization and DataLoader tests also confirm the correctness of the implementation.</t>
        </is>
      </c>
      <c r="AH158" t="n">
        <v>25</v>
      </c>
      <c r="AI158" t="n">
        <v>5</v>
      </c>
    </row>
    <row r="159">
      <c r="A159" t="n">
        <v>158</v>
      </c>
      <c r="B159" t="inlineStr">
        <is>
          <t>TA_3</t>
        </is>
      </c>
      <c r="C159" t="inlineStr">
        <is>
          <t>TA_13</t>
        </is>
      </c>
      <c r="D159" t="n">
        <v>5</v>
      </c>
      <c r="E159" t="n">
        <v>0</v>
      </c>
      <c r="F159" t="n">
        <v>4.5</v>
      </c>
      <c r="G159" t="n">
        <v>0</v>
      </c>
      <c r="H159" t="n">
        <v>7</v>
      </c>
      <c r="I159" t="n">
        <v>0</v>
      </c>
      <c r="J159" t="n">
        <v>7.5</v>
      </c>
      <c r="K159" t="n">
        <v>0</v>
      </c>
      <c r="L159" t="n">
        <v>5</v>
      </c>
      <c r="M159" t="n">
        <v>0</v>
      </c>
      <c r="N159" t="n">
        <v>8.5</v>
      </c>
      <c r="O159" t="n">
        <v>0</v>
      </c>
      <c r="P159">
        <f>Table1[[#This Row],[TA 1 - Q1 Score]]+Table1[[#This Row],[TA 1 - Q2 Score]]+Table1[[#This Row],[TA 1 - Q3 Score]]</f>
        <v/>
      </c>
      <c r="Q159">
        <f>Table1[[#This Row],[TA 1 - Q1 Bonus]]+Table1[[#This Row],[TA 1 - Q2 Bonus]]+Table1[[#This Row],[TA 1 - Q4 Bonus]]</f>
        <v/>
      </c>
      <c r="R159">
        <f>Table1[[#This Row],[TA 2 - Q1 Score]]+Table1[[#This Row],[TA 2 - Q2 Score]]+Table1[[#This Row],[TA 2 - Q3 Score]]</f>
        <v/>
      </c>
      <c r="S159">
        <f>Table1[[#This Row],[TA 2 - Q1 Bonus]]+Table1[[#This Row],[TA 2 - Q2 Bonus]]+Table1[[#This Row],[TA 2 - Q4 Bonus]]</f>
        <v/>
      </c>
      <c r="T159">
        <f>(Table1[[#This Row],[TA 1 - Total Score (out of 35)]]+Table1[[#This Row],[TA 2 - Total Score (out of 35)]])/2</f>
        <v/>
      </c>
      <c r="U159">
        <f>(Table1[[#This Row],[TA 1 - Total Bonus (out of 13)]]+Table1[[#This Row],[TA 2 - Total Bonus (out of 13)]])/2</f>
        <v/>
      </c>
      <c r="V159">
        <f>Table1[[#This Row],[Average Questions]]/35*20+Table1[[#This Row],[Average Bonus]]/13*5</f>
        <v/>
      </c>
      <c r="W159" t="n">
        <v>4</v>
      </c>
      <c r="X159" t="n">
        <v>0</v>
      </c>
      <c r="Y159" t="inlineStr">
        <is>
          <t>The student partially completed several tasks but made significant errors. The data loading and preparation section had incomplete code for displaying sample images, with incorrect labels and indices. The model loading and adaptation section incorrectly froze all parameters instead of just the backbone. The training and validation loops contained errors, such as squeezing outputs and incorrect label handling. The training section used an undefined DataLoader and incorrect learning rate. No bonus task was attempted.</t>
        </is>
      </c>
      <c r="Z159" t="n">
        <v>5</v>
      </c>
      <c r="AA159" t="n">
        <v>0</v>
      </c>
      <c r="AB159" t="inlineStr">
        <is>
          <t>The student partially completed several tasks but had significant issues in others. They correctly set up the dataset and DataLoaders with the required transformations, earning full points for Part 1. However, they failed to display sample images with labels, resulting in no points for Task 4. In Part 2, the CNN model was defined with 5 convolutional layers but lacked Batch Normalization, earning 1 point out of 2. The training and validation loops were implemented but lacked accuracy tracking in the training loop, earning 0.5 points out of 1. The model was trained, but the plotting of losses and accuracies was incorrect, earning 0 points. No bonus task was attempted.</t>
        </is>
      </c>
      <c r="AC159" t="n">
        <v>7</v>
      </c>
      <c r="AD159" t="inlineStr">
        <is>
          <t>The student's submission contains mostly correct code with some minor issues. Task 1 is partially correct with a small mistake in the dataset directory paths. Task 2 has a critical error where the number of classes is incorrectly set to 5 instead of 8. Task 3 is correctly implemented. Task 4 has a minor issue with the number of epochs set to 1 instead of 10, but the logic is correct. Task 5 is not fully implemented as the plotting code is missing.</t>
        </is>
      </c>
      <c r="AE159" t="n">
        <v>0</v>
      </c>
      <c r="AF159" t="n">
        <v>0</v>
      </c>
      <c r="AG159" t="inlineStr">
        <is>
          <t>No submission found.</t>
        </is>
      </c>
      <c r="AH159" t="n">
        <v>16</v>
      </c>
      <c r="AI159" t="n">
        <v>0</v>
      </c>
    </row>
    <row r="160">
      <c r="A160" t="n">
        <v>159</v>
      </c>
      <c r="B160" t="inlineStr">
        <is>
          <t>TA_3</t>
        </is>
      </c>
      <c r="C160" t="inlineStr">
        <is>
          <t>TA_13</t>
        </is>
      </c>
      <c r="D160" t="n">
        <v>8</v>
      </c>
      <c r="E160" t="n">
        <v>0</v>
      </c>
      <c r="F160" t="n">
        <v>7.5</v>
      </c>
      <c r="G160" t="n">
        <v>0</v>
      </c>
      <c r="H160" t="n">
        <v>3</v>
      </c>
      <c r="I160" t="n">
        <v>0</v>
      </c>
      <c r="J160" t="n">
        <v>8.5</v>
      </c>
      <c r="K160" t="n">
        <v>0</v>
      </c>
      <c r="L160" t="n">
        <v>8.5</v>
      </c>
      <c r="M160" t="n">
        <v>0</v>
      </c>
      <c r="N160" t="n">
        <v>3</v>
      </c>
      <c r="O160" t="n">
        <v>0</v>
      </c>
      <c r="P160">
        <f>Table1[[#This Row],[TA 1 - Q1 Score]]+Table1[[#This Row],[TA 1 - Q2 Score]]+Table1[[#This Row],[TA 1 - Q3 Score]]</f>
        <v/>
      </c>
      <c r="Q160">
        <f>Table1[[#This Row],[TA 1 - Q1 Bonus]]+Table1[[#This Row],[TA 1 - Q2 Bonus]]+Table1[[#This Row],[TA 1 - Q4 Bonus]]</f>
        <v/>
      </c>
      <c r="R160">
        <f>Table1[[#This Row],[TA 2 - Q1 Score]]+Table1[[#This Row],[TA 2 - Q2 Score]]+Table1[[#This Row],[TA 2 - Q3 Score]]</f>
        <v/>
      </c>
      <c r="S160">
        <f>Table1[[#This Row],[TA 2 - Q1 Bonus]]+Table1[[#This Row],[TA 2 - Q2 Bonus]]+Table1[[#This Row],[TA 2 - Q4 Bonus]]</f>
        <v/>
      </c>
      <c r="T160">
        <f>(Table1[[#This Row],[TA 1 - Total Score (out of 35)]]+Table1[[#This Row],[TA 2 - Total Score (out of 35)]])/2</f>
        <v/>
      </c>
      <c r="U160">
        <f>(Table1[[#This Row],[TA 1 - Total Bonus (out of 13)]]+Table1[[#This Row],[TA 2 - Total Bonus (out of 13)]])/2</f>
        <v/>
      </c>
      <c r="V160">
        <f>Table1[[#This Row],[Average Questions]]/35*20+Table1[[#This Row],[Average Bonus]]/13*5</f>
        <v/>
      </c>
      <c r="W160" t="n">
        <v>5</v>
      </c>
      <c r="X160" t="n">
        <v>0</v>
      </c>
      <c r="Y160" t="inlineStr">
        <is>
          <t>The student completed the data loading and transformation tasks correctly, including resizing, converting to tensor, and normalizing the images. The data loaders were set up properly, and sample images were displayed. However, the model adaptation section had issues: the student defined a custom class for the model instead of modifying the pretrained EfficientNetV2-Small directly, leading to incorrect architecture. The training and validation loops contained logical errors, such as using sigmoid activation and binary classification logic for a multi-class problem. The plots were generated correctly, but the overall implementation was flawed due to the incorrect model setup and training logic.</t>
        </is>
      </c>
      <c r="Z160" t="n">
        <v>6</v>
      </c>
      <c r="AA160" t="n">
        <v>0</v>
      </c>
      <c r="AB160" t="inlineStr">
        <is>
          <t>The student successfully loaded and prepared the data with the correct transformations and displayed sample images. The CNN model has 5 convolutional layers with batch normalization, though the kernel sizes and number of filters differ from the reference solution. The training and validation functions are implemented correctly, and the model is trained for 5 epochs. However, the plotting of losses and accuracies is missing, and no bonus task was attempted.</t>
        </is>
      </c>
      <c r="AC160" t="n">
        <v>2</v>
      </c>
      <c r="AD160" t="inlineStr">
        <is>
          <t>The student has partially completed Task 1 by creating a custom dataset class and defining data loaders. However, there are syntax errors and logical mistakes, such as incorrect usage of the dataset path and missing metadata attribute. The display of sample images and masks is attempted but contains errors. Tasks 2 through 5 are not addressed in the submission.</t>
        </is>
      </c>
      <c r="AE160" t="n">
        <v>0</v>
      </c>
      <c r="AF160" t="n">
        <v>0</v>
      </c>
      <c r="AG160" t="inlineStr">
        <is>
          <t>No submission found.</t>
        </is>
      </c>
      <c r="AH160" t="n">
        <v>13</v>
      </c>
      <c r="AI160" t="n">
        <v>0</v>
      </c>
    </row>
    <row r="161">
      <c r="A161" t="n">
        <v>160</v>
      </c>
      <c r="B161" t="inlineStr">
        <is>
          <t>TA_3</t>
        </is>
      </c>
      <c r="C161" t="inlineStr">
        <is>
          <t>TA_13</t>
        </is>
      </c>
      <c r="D161" t="n">
        <v>10.5</v>
      </c>
      <c r="E161" t="n">
        <v>0</v>
      </c>
      <c r="F161" t="n">
        <v>11</v>
      </c>
      <c r="G161" t="n">
        <v>0</v>
      </c>
      <c r="H161" t="n">
        <v>10.5</v>
      </c>
      <c r="I161" t="n">
        <v>0</v>
      </c>
      <c r="J161" t="n">
        <v>10.5</v>
      </c>
      <c r="K161" t="n">
        <v>0</v>
      </c>
      <c r="L161" t="n">
        <v>10</v>
      </c>
      <c r="M161" t="n">
        <v>0</v>
      </c>
      <c r="N161" t="n">
        <v>10.5</v>
      </c>
      <c r="O161" t="n">
        <v>0</v>
      </c>
      <c r="P161">
        <f>Table1[[#This Row],[TA 1 - Q1 Score]]+Table1[[#This Row],[TA 1 - Q2 Score]]+Table1[[#This Row],[TA 1 - Q3 Score]]</f>
        <v/>
      </c>
      <c r="Q161">
        <f>Table1[[#This Row],[TA 1 - Q1 Bonus]]+Table1[[#This Row],[TA 1 - Q2 Bonus]]+Table1[[#This Row],[TA 1 - Q4 Bonus]]</f>
        <v/>
      </c>
      <c r="R161">
        <f>Table1[[#This Row],[TA 2 - Q1 Score]]+Table1[[#This Row],[TA 2 - Q2 Score]]+Table1[[#This Row],[TA 2 - Q3 Score]]</f>
        <v/>
      </c>
      <c r="S161">
        <f>Table1[[#This Row],[TA 2 - Q1 Bonus]]+Table1[[#This Row],[TA 2 - Q2 Bonus]]+Table1[[#This Row],[TA 2 - Q4 Bonus]]</f>
        <v/>
      </c>
      <c r="T161">
        <f>(Table1[[#This Row],[TA 1 - Total Score (out of 35)]]+Table1[[#This Row],[TA 2 - Total Score (out of 35)]])/2</f>
        <v/>
      </c>
      <c r="U161">
        <f>(Table1[[#This Row],[TA 1 - Total Bonus (out of 13)]]+Table1[[#This Row],[TA 2 - Total Bonus (out of 13)]])/2</f>
        <v/>
      </c>
      <c r="V161">
        <f>Table1[[#This Row],[Average Questions]]/35*20+Table1[[#This Row],[Average Bonus]]/13*5</f>
        <v/>
      </c>
      <c r="W161" t="n">
        <v>8.5</v>
      </c>
      <c r="X161" t="n">
        <v>0</v>
      </c>
      <c r="Y161" t="inlineStr">
        <is>
          <t>The student completed most tasks correctly, including defining transforms, creating DataLoaders, loading and adapting the pretrained model, and setting up training and validation loops. However, there were minor issues such as incorrect label handling in the training loop, where the student used softmax and argmax unnecessarily. The visualization function was overly complex and did not follow the reference solution. No bonus task was attempted.</t>
        </is>
      </c>
      <c r="Z161" t="n">
        <v>8.5</v>
      </c>
      <c r="AA161" t="n">
        <v>0</v>
      </c>
      <c r="AB161" t="inlineStr">
        <is>
          <t>The student successfully completed most tasks with minor issues. The data loading and preparation section had a small mistake in the visualization function, which used the test dataset instead of the training dataset. The CNN model was built with 5 convolutional layers and batch normalization, earning full points. The training and validation loops were implemented correctly, and the model was trained and plotted accurately. However, the bonus task was not attempted.</t>
        </is>
      </c>
      <c r="AC161" t="n">
        <v>7</v>
      </c>
      <c r="AD161" t="inlineStr">
        <is>
          <t>The student's submission contains mostly correct code with some minor issues. Task 1 is partially completed with a custom dataset class and DataLoader, but the display of sample images and masks is missing. Task 2 correctly defines a pretrained U-Net model with the specified encoder. Task 3 includes both training and validation loops, though the validation loop is not fully implemented. Task 4 defines the loss and optimizer, trains the model, prints training losses, but does not plot the loss curve. Task 5 visualizes predictions but uses grayscale instead of the specified colormap.</t>
        </is>
      </c>
      <c r="AE161" t="n">
        <v>0</v>
      </c>
      <c r="AF161" t="n">
        <v>0</v>
      </c>
      <c r="AG161" t="inlineStr">
        <is>
          <t>No submission found.</t>
        </is>
      </c>
      <c r="AH161" t="n">
        <v>24</v>
      </c>
      <c r="AI161" t="n">
        <v>0</v>
      </c>
    </row>
    <row r="162">
      <c r="A162" t="n">
        <v>161</v>
      </c>
      <c r="B162" t="inlineStr">
        <is>
          <t>TA_3</t>
        </is>
      </c>
      <c r="C162" t="inlineStr">
        <is>
          <t>TA_13</t>
        </is>
      </c>
      <c r="D162" t="n">
        <v>7.5</v>
      </c>
      <c r="E162" t="n">
        <v>0</v>
      </c>
      <c r="F162" t="n">
        <v>8</v>
      </c>
      <c r="G162" t="n">
        <v>0</v>
      </c>
      <c r="H162" t="n">
        <v>11</v>
      </c>
      <c r="I162" t="n">
        <v>0</v>
      </c>
      <c r="J162" t="n">
        <v>7</v>
      </c>
      <c r="K162" t="n">
        <v>0</v>
      </c>
      <c r="L162" t="n">
        <v>8.5</v>
      </c>
      <c r="M162" t="n">
        <v>0</v>
      </c>
      <c r="N162" t="n">
        <v>10</v>
      </c>
      <c r="O162" t="n">
        <v>0</v>
      </c>
      <c r="P162">
        <f>Table1[[#This Row],[TA 1 - Q1 Score]]+Table1[[#This Row],[TA 1 - Q2 Score]]+Table1[[#This Row],[TA 1 - Q3 Score]]</f>
        <v/>
      </c>
      <c r="Q162">
        <f>Table1[[#This Row],[TA 1 - Q1 Bonus]]+Table1[[#This Row],[TA 1 - Q2 Bonus]]+Table1[[#This Row],[TA 1 - Q4 Bonus]]</f>
        <v/>
      </c>
      <c r="R162">
        <f>Table1[[#This Row],[TA 2 - Q1 Score]]+Table1[[#This Row],[TA 2 - Q2 Score]]+Table1[[#This Row],[TA 2 - Q3 Score]]</f>
        <v/>
      </c>
      <c r="S162">
        <f>Table1[[#This Row],[TA 2 - Q1 Bonus]]+Table1[[#This Row],[TA 2 - Q2 Bonus]]+Table1[[#This Row],[TA 2 - Q4 Bonus]]</f>
        <v/>
      </c>
      <c r="T162">
        <f>(Table1[[#This Row],[TA 1 - Total Score (out of 35)]]+Table1[[#This Row],[TA 2 - Total Score (out of 35)]])/2</f>
        <v/>
      </c>
      <c r="U162">
        <f>(Table1[[#This Row],[TA 1 - Total Bonus (out of 13)]]+Table1[[#This Row],[TA 2 - Total Bonus (out of 13)]])/2</f>
        <v/>
      </c>
      <c r="V162">
        <f>Table1[[#This Row],[Average Questions]]/35*20+Table1[[#This Row],[Average Bonus]]/13*5</f>
        <v/>
      </c>
      <c r="W162" t="n">
        <v>3</v>
      </c>
      <c r="X162" t="n">
        <v>0</v>
      </c>
      <c r="Y162" t="inlineStr">
        <is>
          <t>The student partially completed Part 1 by defining the transforms but incorrectly resized images to 224x224 instead of 28x28. They also correctly created DataLoaders and displayed sample images. In Part 2, they loaded the wrong model (EfficientNet-B0 instead of EfficientNetV2-Small) and incorrectly froze the entire model instead of just the backbone. Parts 3 and 4 were not attempted correctly, with syntax and logical errors in the training and validation loops, and the labels were not fixed. No bonus tasks were attempted.</t>
        </is>
      </c>
      <c r="Z162" t="n">
        <v>7</v>
      </c>
      <c r="AA162" t="n">
        <v>0</v>
      </c>
      <c r="AB162" t="inlineStr">
        <is>
          <t>The student successfully loaded and prepared the data with the correct transformations and displayed sample images. The CNN model was built with 5 convolutional layers, but the number of channels and fully connected layers did not match the reference solution. The training and validation functions were implemented correctly, and the model was trained and plotted. However, the bonus task was not completed.</t>
        </is>
      </c>
      <c r="AC162" t="n">
        <v>8</v>
      </c>
      <c r="AD162" t="inlineStr">
        <is>
          <t>The student's submission contains mostly correct code with minor issues. Task 1 is well-implemented with a custom dataset class, DataLoaders, and sample displays. Task 2 correctly defines a pretrained U-Net with the specified encoder. Task 3 includes both training and validation loops with minor syntax issues. Task 4 defines the loss and optimizer, trains the model, prints losses, and plots the loss curve. Task 5 visualizes predictions but has issues with displaying the predicted masks correctly.</t>
        </is>
      </c>
      <c r="AE162" t="n">
        <v>0</v>
      </c>
      <c r="AF162" t="n">
        <v>0</v>
      </c>
      <c r="AG162" t="inlineStr">
        <is>
          <t>No submission found.</t>
        </is>
      </c>
      <c r="AH162" t="n">
        <v>18</v>
      </c>
      <c r="AI162" t="n">
        <v>0</v>
      </c>
    </row>
    <row r="163">
      <c r="A163" t="n">
        <v>162</v>
      </c>
      <c r="B163" t="inlineStr">
        <is>
          <t>TA_3</t>
        </is>
      </c>
      <c r="C163" t="inlineStr">
        <is>
          <t>TA_13</t>
        </is>
      </c>
      <c r="D163" t="n">
        <v>5.5</v>
      </c>
      <c r="E163" t="n">
        <v>0</v>
      </c>
      <c r="F163" t="n">
        <v>6.5</v>
      </c>
      <c r="G163" t="n">
        <v>0</v>
      </c>
      <c r="H163" t="n">
        <v>8.5</v>
      </c>
      <c r="I163" t="n">
        <v>0</v>
      </c>
      <c r="J163" t="n">
        <v>5.25</v>
      </c>
      <c r="K163" t="n">
        <v>0</v>
      </c>
      <c r="L163" t="n">
        <v>7.5</v>
      </c>
      <c r="M163" t="n">
        <v>0</v>
      </c>
      <c r="N163" t="n">
        <v>7</v>
      </c>
      <c r="O163" t="n">
        <v>0</v>
      </c>
      <c r="P163">
        <f>Table1[[#This Row],[TA 1 - Q1 Score]]+Table1[[#This Row],[TA 1 - Q2 Score]]+Table1[[#This Row],[TA 1 - Q3 Score]]</f>
        <v/>
      </c>
      <c r="Q163">
        <f>Table1[[#This Row],[TA 1 - Q1 Bonus]]+Table1[[#This Row],[TA 1 - Q2 Bonus]]+Table1[[#This Row],[TA 1 - Q4 Bonus]]</f>
        <v/>
      </c>
      <c r="R163">
        <f>Table1[[#This Row],[TA 2 - Q1 Score]]+Table1[[#This Row],[TA 2 - Q2 Score]]+Table1[[#This Row],[TA 2 - Q3 Score]]</f>
        <v/>
      </c>
      <c r="S163">
        <f>Table1[[#This Row],[TA 2 - Q1 Bonus]]+Table1[[#This Row],[TA 2 - Q2 Bonus]]+Table1[[#This Row],[TA 2 - Q4 Bonus]]</f>
        <v/>
      </c>
      <c r="T163">
        <f>(Table1[[#This Row],[TA 1 - Total Score (out of 35)]]+Table1[[#This Row],[TA 2 - Total Score (out of 35)]])/2</f>
        <v/>
      </c>
      <c r="U163">
        <f>(Table1[[#This Row],[TA 1 - Total Bonus (out of 13)]]+Table1[[#This Row],[TA 2 - Total Bonus (out of 13)]])/2</f>
        <v/>
      </c>
      <c r="V163">
        <f>Table1[[#This Row],[Average Questions]]/35*20+Table1[[#This Row],[Average Bonus]]/13*5</f>
        <v/>
      </c>
      <c r="W163" t="n">
        <v>6</v>
      </c>
      <c r="X163" t="n">
        <v>0</v>
      </c>
      <c r="Y163" t="inlineStr">
        <is>
          <t>The student completed the data loading and preparation, including resizing, converting to tensor, normalizing, and displaying sample images. However, the model adaptation part had issues, as the classifier head was incorrectly modified to 26 input features instead of the correct 1280. The training and validation loops were mostly correct but contained unnecessary squeezing of outputs, which would cause errors. The bonus task was attempted but incorrectly implemented, as it did not average the predictions correctly.</t>
        </is>
      </c>
      <c r="Z163" t="n">
        <v>7</v>
      </c>
      <c r="AA163" t="n">
        <v>0</v>
      </c>
      <c r="AB163" t="inlineStr">
        <is>
          <t>The student successfully loaded and prepared the data with the correct transformations and displayed sample images. The CNN model has 5 convolutional layers but does not include batch normalization, resulting in partial credit. The training and validation functions are implemented correctly. The model setup, training, and plotting of losses and accuracies are also correct. However, the bonus task was not completed.</t>
        </is>
      </c>
      <c r="AC163" t="n">
        <v>6</v>
      </c>
      <c r="AD163" t="inlineStr">
        <is>
          <t>The student's submission contains several issues. In Task 1, the dataset class is correctly implemented, but the DataLoader creation and sample display have errors. The DataLoader uses a batch size of 32, which may not fit in memory, and the sample display incorrectly sets the title based on class labels that do not match the dataset. In Task 2, the model is defined with an incorrect number of classes (5 instead of 8). In Task 3, the training and validation loops contain logical errors, converting masks to float and using a sigmoid threshold for multi-class segmentation. In Task 4, the loss and optimizer are correctly defined, but the training loop has the same logical errors as Task 3. In Task 5, the visualization code incorrectly converts predictions to binary masks, and the colormap is not appropriate for multi-class segmentation.</t>
        </is>
      </c>
      <c r="AE163" t="n">
        <v>0</v>
      </c>
      <c r="AF163" t="n">
        <v>0</v>
      </c>
      <c r="AG163" t="inlineStr">
        <is>
          <t>The student did not implement any of the required methods in the `ColorizationDataset` class. The `__init__`, `__len__`, `rgb_to_grayscale`, and `__getitem__` methods were left unimplemented with only placeholder comments. As a result, the code does not run and fails to produce the expected output.</t>
        </is>
      </c>
      <c r="AH163" t="n">
        <v>19</v>
      </c>
      <c r="AI163" t="n">
        <v>0</v>
      </c>
    </row>
    <row r="164">
      <c r="A164" t="n">
        <v>163</v>
      </c>
      <c r="B164" t="inlineStr">
        <is>
          <t>TA_3</t>
        </is>
      </c>
      <c r="C164" t="inlineStr">
        <is>
          <t>TA_13</t>
        </is>
      </c>
      <c r="D164" t="n">
        <v>5.5</v>
      </c>
      <c r="E164" t="n">
        <v>0</v>
      </c>
      <c r="F164" t="n">
        <v>7.5</v>
      </c>
      <c r="G164" t="n">
        <v>0</v>
      </c>
      <c r="H164" t="n">
        <v>11.5</v>
      </c>
      <c r="I164" t="n">
        <v>0</v>
      </c>
      <c r="J164" t="n">
        <v>6</v>
      </c>
      <c r="K164" t="n">
        <v>0</v>
      </c>
      <c r="L164" t="n">
        <v>8</v>
      </c>
      <c r="M164" t="n">
        <v>0</v>
      </c>
      <c r="N164" t="n">
        <v>11.5</v>
      </c>
      <c r="O164" t="n">
        <v>0</v>
      </c>
      <c r="P164">
        <f>Table1[[#This Row],[TA 1 - Q1 Score]]+Table1[[#This Row],[TA 1 - Q2 Score]]+Table1[[#This Row],[TA 1 - Q3 Score]]</f>
        <v/>
      </c>
      <c r="Q164">
        <f>Table1[[#This Row],[TA 1 - Q1 Bonus]]+Table1[[#This Row],[TA 1 - Q2 Bonus]]+Table1[[#This Row],[TA 1 - Q4 Bonus]]</f>
        <v/>
      </c>
      <c r="R164">
        <f>Table1[[#This Row],[TA 2 - Q1 Score]]+Table1[[#This Row],[TA 2 - Q2 Score]]+Table1[[#This Row],[TA 2 - Q3 Score]]</f>
        <v/>
      </c>
      <c r="S164">
        <f>Table1[[#This Row],[TA 2 - Q1 Bonus]]+Table1[[#This Row],[TA 2 - Q2 Bonus]]+Table1[[#This Row],[TA 2 - Q4 Bonus]]</f>
        <v/>
      </c>
      <c r="T164">
        <f>(Table1[[#This Row],[TA 1 - Total Score (out of 35)]]+Table1[[#This Row],[TA 2 - Total Score (out of 35)]])/2</f>
        <v/>
      </c>
      <c r="U164">
        <f>(Table1[[#This Row],[TA 1 - Total Bonus (out of 13)]]+Table1[[#This Row],[TA 2 - Total Bonus (out of 13)]])/2</f>
        <v/>
      </c>
      <c r="V164">
        <f>Table1[[#This Row],[Average Questions]]/35*20+Table1[[#This Row],[Average Bonus]]/13*5</f>
        <v/>
      </c>
      <c r="W164" t="n">
        <v>6</v>
      </c>
      <c r="X164" t="n">
        <v>0</v>
      </c>
      <c r="Y164" t="inlineStr">
        <is>
          <t>The student completed the data loading and preparation, including defining the necessary transforms and creating DataLoaders, earning full points for Part 1. In Part 2, the student loaded the EfficientNetV2-Small model and replaced the classifier head correctly, but did not freeze the backbone, resulting in partial credit. For Part 3, the training and validation loops were implemented with minor issues, such as unnecessary softmax computations, and the student did not adjust the labels, incurring a penalty. Part 4 was mostly correct, with the model setup, training, and plotting of losses and accuracies, but the number of epochs was higher than specified. The bonus task was not completed correctly, with incomplete and incorrect implementation of test time augmentation.</t>
        </is>
      </c>
      <c r="Z164" t="n">
        <v>5</v>
      </c>
      <c r="AA164" t="n">
        <v>0</v>
      </c>
      <c r="AB164" t="inlineStr">
        <is>
          <t>The student partially completed the tasks with some syntax and logical errors. The data loading and preparation section had issues with the test dataset transform and incorrect label mapping. The CNN model was defined with fewer convolutional layers and incorrect batch normalization placement. The training and validation functions had errors in handling the data batches and device placement. The training loop used an insufficient number of epochs. No bonus task was attempted.</t>
        </is>
      </c>
      <c r="AC164" t="n">
        <v>8.5</v>
      </c>
      <c r="AD164" t="inlineStr">
        <is>
          <t>The student's submission demonstrates a good understanding of the tasks but contains some minor issues. The dataset class is correctly implemented, and the data loaders are set up properly. Sample images and masks are displayed correctly. The model class uses the correct U-Net architecture with the specified encoder. Training and validation loops are implemented with minor syntax issues. The loss and optimizer are defined correctly, and the model trains for the specified number of epochs. However, the learning rate is lower than in the reference solution, and the number of epochs is reduced. The predictions are visualized correctly, but the masks are displayed in grayscale instead of using a colormap for better distinction between classes.</t>
        </is>
      </c>
      <c r="AE164" t="n">
        <v>0</v>
      </c>
      <c r="AF164" t="n">
        <v>0</v>
      </c>
      <c r="AG164" t="inlineStr">
        <is>
          <t>No submission found.</t>
        </is>
      </c>
      <c r="AH164" t="n">
        <v>19.5</v>
      </c>
      <c r="AI164" t="n">
        <v>0</v>
      </c>
    </row>
    <row r="165">
      <c r="A165" t="n">
        <v>164</v>
      </c>
      <c r="B165" t="inlineStr">
        <is>
          <t>TA_3</t>
        </is>
      </c>
      <c r="C165" t="inlineStr">
        <is>
          <t>TA_13</t>
        </is>
      </c>
      <c r="D165" t="n">
        <v>10.5</v>
      </c>
      <c r="E165" t="n">
        <v>4</v>
      </c>
      <c r="F165" t="n">
        <v>6</v>
      </c>
      <c r="G165" t="n">
        <v>0</v>
      </c>
      <c r="H165" t="n">
        <v>11.5</v>
      </c>
      <c r="I165" t="n">
        <v>5</v>
      </c>
      <c r="J165" t="n">
        <v>12</v>
      </c>
      <c r="K165" t="n">
        <v>4</v>
      </c>
      <c r="L165" t="n">
        <v>9</v>
      </c>
      <c r="M165" t="n">
        <v>4</v>
      </c>
      <c r="N165" t="n">
        <v>11.5</v>
      </c>
      <c r="O165" t="n">
        <v>5</v>
      </c>
      <c r="P165">
        <f>Table1[[#This Row],[TA 1 - Q1 Score]]+Table1[[#This Row],[TA 1 - Q2 Score]]+Table1[[#This Row],[TA 1 - Q3 Score]]</f>
        <v/>
      </c>
      <c r="Q165">
        <f>Table1[[#This Row],[TA 1 - Q1 Bonus]]+Table1[[#This Row],[TA 1 - Q2 Bonus]]+Table1[[#This Row],[TA 1 - Q4 Bonus]]</f>
        <v/>
      </c>
      <c r="R165">
        <f>Table1[[#This Row],[TA 2 - Q1 Score]]+Table1[[#This Row],[TA 2 - Q2 Score]]+Table1[[#This Row],[TA 2 - Q3 Score]]</f>
        <v/>
      </c>
      <c r="S165">
        <f>Table1[[#This Row],[TA 2 - Q1 Bonus]]+Table1[[#This Row],[TA 2 - Q2 Bonus]]+Table1[[#This Row],[TA 2 - Q4 Bonus]]</f>
        <v/>
      </c>
      <c r="T165">
        <f>(Table1[[#This Row],[TA 1 - Total Score (out of 35)]]+Table1[[#This Row],[TA 2 - Total Score (out of 35)]])/2</f>
        <v/>
      </c>
      <c r="U165">
        <f>(Table1[[#This Row],[TA 1 - Total Bonus (out of 13)]]+Table1[[#This Row],[TA 2 - Total Bonus (out of 13)]])/2</f>
        <v/>
      </c>
      <c r="V165">
        <f>Table1[[#This Row],[Average Questions]]/35*20+Table1[[#This Row],[Average Bonus]]/13*5</f>
        <v/>
      </c>
      <c r="W165" t="n">
        <v>10.5</v>
      </c>
      <c r="X165" t="n">
        <v>3</v>
      </c>
      <c r="Y165" t="inlineStr">
        <is>
          <t>The student completed most tasks correctly, including data loading, model adaptation, and training loops. However, the model's parameters were not correctly frozen, affecting the training process. The bonus task for Test Time Augmentation was implemented correctly, averaging predictions from original, horizontally flipped, and vertically flipped images.</t>
        </is>
      </c>
      <c r="Z165" t="n">
        <v>8</v>
      </c>
      <c r="AA165" t="n">
        <v>0</v>
      </c>
      <c r="AB165" t="inlineStr">
        <is>
          <t>The student successfully loaded and prepared the dataset with the required transformations, displayed sample images, built a CNN model with three convolutional layers instead of five, and included training and validation functions. However, the CNN model does not meet the requirement of having five convolutional layers. The student also attempted to implement a residual connection but used a more complex ResNet architecture instead of adding a simple residual connection between specified layers as instructed.</t>
        </is>
      </c>
      <c r="AC165" t="n">
        <v>10</v>
      </c>
      <c r="AD165" t="inlineStr">
        <is>
          <t>The student's submission is mostly correct and runs end-to-end. The dataset class is implemented correctly with proper transformations and splitting. The model class uses the correct pretrained U-Net with efficientnet-b1 encoder. Training and validation loops are implemented accurately, and the loss and optimizer are defined properly. The training process runs for 30 epochs, which is more than required, and the loss curves are plotted. Predictions are visualized correctly against ground truth. Minor issues include using a different dataset file extension (.bmp) and a slightly different learning rate, but these do not affect the overall correctness of the implementation.</t>
        </is>
      </c>
      <c r="AE165" t="n">
        <v>0</v>
      </c>
      <c r="AF165" t="n">
        <v>5</v>
      </c>
      <c r="AG165" t="inlineStr">
        <is>
          <t>The student's implementation of the ColorizationDataset class is correct and runs perfectly, producing the expected output and following the optimal logic. The code includes all required methods (__init__, __len__, rgb_to_grayscale, __getitem__) and provides correct visualizations. No mistakes were found in the implementation.</t>
        </is>
      </c>
      <c r="AH165" t="n">
        <v>28.5</v>
      </c>
      <c r="AI165" t="n">
        <v>8</v>
      </c>
    </row>
    <row r="166">
      <c r="A166" t="n">
        <v>165</v>
      </c>
      <c r="B166" t="inlineStr">
        <is>
          <t>TA_3</t>
        </is>
      </c>
      <c r="C166" t="inlineStr">
        <is>
          <t>TA_13</t>
        </is>
      </c>
      <c r="D166" t="n">
        <v>10.5</v>
      </c>
      <c r="E166" t="n">
        <v>4</v>
      </c>
      <c r="F166" t="n">
        <v>8</v>
      </c>
      <c r="G166" t="n">
        <v>0</v>
      </c>
      <c r="H166" t="n">
        <v>11.5</v>
      </c>
      <c r="I166" t="n">
        <v>5</v>
      </c>
      <c r="J166" t="n">
        <v>12</v>
      </c>
      <c r="K166" t="n">
        <v>4</v>
      </c>
      <c r="L166" t="n">
        <v>9</v>
      </c>
      <c r="M166" t="n">
        <v>0</v>
      </c>
      <c r="N166" t="n">
        <v>12</v>
      </c>
      <c r="O166" t="n">
        <v>5</v>
      </c>
      <c r="P166">
        <f>Table1[[#This Row],[TA 1 - Q1 Score]]+Table1[[#This Row],[TA 1 - Q2 Score]]+Table1[[#This Row],[TA 1 - Q3 Score]]</f>
        <v/>
      </c>
      <c r="Q166">
        <f>Table1[[#This Row],[TA 1 - Q1 Bonus]]+Table1[[#This Row],[TA 1 - Q2 Bonus]]+Table1[[#This Row],[TA 1 - Q4 Bonus]]</f>
        <v/>
      </c>
      <c r="R166">
        <f>Table1[[#This Row],[TA 2 - Q1 Score]]+Table1[[#This Row],[TA 2 - Q2 Score]]+Table1[[#This Row],[TA 2 - Q3 Score]]</f>
        <v/>
      </c>
      <c r="S166">
        <f>Table1[[#This Row],[TA 2 - Q1 Bonus]]+Table1[[#This Row],[TA 2 - Q2 Bonus]]+Table1[[#This Row],[TA 2 - Q4 Bonus]]</f>
        <v/>
      </c>
      <c r="T166">
        <f>(Table1[[#This Row],[TA 1 - Total Score (out of 35)]]+Table1[[#This Row],[TA 2 - Total Score (out of 35)]])/2</f>
        <v/>
      </c>
      <c r="U166">
        <f>(Table1[[#This Row],[TA 1 - Total Bonus (out of 13)]]+Table1[[#This Row],[TA 2 - Total Bonus (out of 13)]])/2</f>
        <v/>
      </c>
      <c r="V166">
        <f>Table1[[#This Row],[Average Questions]]/35*20+Table1[[#This Row],[Average Bonus]]/13*5</f>
        <v/>
      </c>
      <c r="W166" t="n">
        <v>10</v>
      </c>
      <c r="X166" t="n">
        <v>2</v>
      </c>
      <c r="Y166" t="inlineStr">
        <is>
          <t>The student completed most tasks correctly. The data loading and preparation were mostly accurate, with minor issues in displaying images. The model loading and adaptation were correct, though the student used a different method to load the pretrained model. The training and validation loops were implemented correctly, with proper label fixing. The plotting of losses and accuracies was also done accurately. For the bonus task, the student correctly defined three predictions and averaged them, but did not fully implement the validation function with TTA as intended.</t>
        </is>
      </c>
      <c r="Z166" t="n">
        <v>7</v>
      </c>
      <c r="AA166" t="n">
        <v>0</v>
      </c>
      <c r="AB166" t="inlineStr">
        <is>
          <t>The student successfully loaded and prepared the data with the correct transformations and displayed sample images. The CNN model was built with 5 convolutional layers, though the number of channels and initial class parameter were incorrect. Training and validation functions were implemented correctly, and the model was trained and plotted. However, the bonus task was not completed as the student did not define a residual connection.</t>
        </is>
      </c>
      <c r="AC166" t="n">
        <v>10</v>
      </c>
      <c r="AD166" t="inlineStr">
        <is>
          <t>The student's submission is mostly correct and runs end-to-end. The dataset class is implemented correctly with proper transformations and splitting. The model class uses the correct pretrained U-Net with efficientnet-b1 encoder. The training and validation loops are implemented accurately, and the loss and optimizer are defined properly. The training process prints the losses and plots the loss curve. The predictions are visualized correctly against the ground truth. Minor issues include the use of AdamW optimizer instead of Adam and a slightly different learning rate, but these do not affect the overall correctness of the implementation.</t>
        </is>
      </c>
      <c r="AE166" t="n">
        <v>0</v>
      </c>
      <c r="AF166" t="n">
        <v>0</v>
      </c>
      <c r="AG166" t="inlineStr">
        <is>
          <t>The student's implementation contains several errors in the `rgb_to_grayscale` method and the `__getitem__` method. In `rgb_to_grayscale`, the channels are incorrectly indexed, leading to incorrect grayscale conversion. Additionally, the `__getitem__` method incorrectly unsqueezes the grayscale image, resulting in a shape mismatch. These errors prevent the code from running correctly and producing the expected output.</t>
        </is>
      </c>
      <c r="AH166" t="n">
        <v>27</v>
      </c>
      <c r="AI166" t="n">
        <v>2</v>
      </c>
    </row>
    <row r="167">
      <c r="A167" t="n">
        <v>166</v>
      </c>
      <c r="B167" t="inlineStr">
        <is>
          <t>TA_3</t>
        </is>
      </c>
      <c r="C167" t="inlineStr">
        <is>
          <t>TA_13</t>
        </is>
      </c>
      <c r="D167" t="n">
        <v>11</v>
      </c>
      <c r="E167" t="n">
        <v>0</v>
      </c>
      <c r="F167" t="n">
        <v>10.5</v>
      </c>
      <c r="G167" t="n">
        <v>4</v>
      </c>
      <c r="H167" t="n">
        <v>12</v>
      </c>
      <c r="I167" t="n">
        <v>0</v>
      </c>
      <c r="J167" t="n">
        <v>12</v>
      </c>
      <c r="K167" t="n">
        <v>0</v>
      </c>
      <c r="L167" t="n">
        <v>11</v>
      </c>
      <c r="M167" t="n">
        <v>0</v>
      </c>
      <c r="N167" t="n">
        <v>12</v>
      </c>
      <c r="O167" t="n">
        <v>0</v>
      </c>
      <c r="P167">
        <f>Table1[[#This Row],[TA 1 - Q1 Score]]+Table1[[#This Row],[TA 1 - Q2 Score]]+Table1[[#This Row],[TA 1 - Q3 Score]]</f>
        <v/>
      </c>
      <c r="Q167">
        <f>Table1[[#This Row],[TA 1 - Q1 Bonus]]+Table1[[#This Row],[TA 1 - Q2 Bonus]]+Table1[[#This Row],[TA 1 - Q4 Bonus]]</f>
        <v/>
      </c>
      <c r="R167">
        <f>Table1[[#This Row],[TA 2 - Q1 Score]]+Table1[[#This Row],[TA 2 - Q2 Score]]+Table1[[#This Row],[TA 2 - Q3 Score]]</f>
        <v/>
      </c>
      <c r="S167">
        <f>Table1[[#This Row],[TA 2 - Q1 Bonus]]+Table1[[#This Row],[TA 2 - Q2 Bonus]]+Table1[[#This Row],[TA 2 - Q4 Bonus]]</f>
        <v/>
      </c>
      <c r="T167">
        <f>(Table1[[#This Row],[TA 1 - Total Score (out of 35)]]+Table1[[#This Row],[TA 2 - Total Score (out of 35)]])/2</f>
        <v/>
      </c>
      <c r="U167">
        <f>(Table1[[#This Row],[TA 1 - Total Bonus (out of 13)]]+Table1[[#This Row],[TA 2 - Total Bonus (out of 13)]])/2</f>
        <v/>
      </c>
      <c r="V167">
        <f>Table1[[#This Row],[Average Questions]]/35*20+Table1[[#This Row],[Average Bonus]]/13*5</f>
        <v/>
      </c>
      <c r="W167" t="n">
        <v>8.5</v>
      </c>
      <c r="X167" t="n">
        <v>0</v>
      </c>
      <c r="Y167" t="inlineStr">
        <is>
          <t>The student completed most tasks correctly but made some minor mistakes. The data loading and preparation were mostly accurate, though the batch size was smaller than in the reference solution. The model loading and adaptation were correct, but the student froze the entire model instead of just the backbone. The training and validation loops were implemented correctly, including the label fix. However, the student did not attempt the bonus task for Test Time Augmentation.</t>
        </is>
      </c>
      <c r="Z167" t="n">
        <v>8</v>
      </c>
      <c r="AA167" t="n">
        <v>0</v>
      </c>
      <c r="AB167" t="inlineStr">
        <is>
          <t>The student successfully loaded and prepared the data with the correct transformations and displayed sample images. The CNN model was built with five convolutional layers and batch normalization, though the number of channels and learning rate differ from the reference solution. The training and validation loops were implemented correctly, and the model was trained and plotted. However, the bonus task was not completed as the residual connection was incorrectly defined and not properly integrated into the model.</t>
        </is>
      </c>
      <c r="AC167" t="n">
        <v>8.5</v>
      </c>
      <c r="AD167" t="inlineStr">
        <is>
          <t>The student's submission largely follows the reference solution but contains minor issues. Task 1 is mostly correct with a small mistake in the mask transformation. Task 2 correctly defines the U-Net model with the specified encoder. Task 3 implements the training and validation loops accurately. Task 4 defines the loss and optimizer correctly and prints the losses, but the learning rate is lower than the reference. Task 5 visualizes predictions correctly. Overall, the submission is well-structured and functional, earning partial credit where appropriate.</t>
        </is>
      </c>
      <c r="AE167" t="n">
        <v>0</v>
      </c>
      <c r="AF167" t="n">
        <v>0</v>
      </c>
      <c r="AG167" t="inlineStr">
        <is>
          <t>No submission found.</t>
        </is>
      </c>
      <c r="AH167" t="n">
        <v>25</v>
      </c>
      <c r="AI167" t="n">
        <v>0</v>
      </c>
    </row>
    <row r="168">
      <c r="A168" t="n">
        <v>167</v>
      </c>
      <c r="B168" t="inlineStr">
        <is>
          <t>TA_3</t>
        </is>
      </c>
      <c r="C168" t="inlineStr">
        <is>
          <t>TA_13</t>
        </is>
      </c>
      <c r="D168" t="n">
        <v>8</v>
      </c>
      <c r="E168" t="n">
        <v>0</v>
      </c>
      <c r="F168" t="n">
        <v>8</v>
      </c>
      <c r="G168" t="n">
        <v>0</v>
      </c>
      <c r="H168" t="n">
        <v>0</v>
      </c>
      <c r="I168" t="n">
        <v>0</v>
      </c>
      <c r="J168" t="n">
        <v>9.5</v>
      </c>
      <c r="K168" t="n">
        <v>0</v>
      </c>
      <c r="L168" t="n">
        <v>9</v>
      </c>
      <c r="M168" t="n">
        <v>0</v>
      </c>
      <c r="N168" t="n">
        <v>0</v>
      </c>
      <c r="O168" t="n">
        <v>0</v>
      </c>
      <c r="P168">
        <f>Table1[[#This Row],[TA 1 - Q1 Score]]+Table1[[#This Row],[TA 1 - Q2 Score]]+Table1[[#This Row],[TA 1 - Q3 Score]]</f>
        <v/>
      </c>
      <c r="Q168">
        <f>Table1[[#This Row],[TA 1 - Q1 Bonus]]+Table1[[#This Row],[TA 1 - Q2 Bonus]]+Table1[[#This Row],[TA 1 - Q4 Bonus]]</f>
        <v/>
      </c>
      <c r="R168">
        <f>Table1[[#This Row],[TA 2 - Q1 Score]]+Table1[[#This Row],[TA 2 - Q2 Score]]+Table1[[#This Row],[TA 2 - Q3 Score]]</f>
        <v/>
      </c>
      <c r="S168">
        <f>Table1[[#This Row],[TA 2 - Q1 Bonus]]+Table1[[#This Row],[TA 2 - Q2 Bonus]]+Table1[[#This Row],[TA 2 - Q4 Bonus]]</f>
        <v/>
      </c>
      <c r="T168">
        <f>(Table1[[#This Row],[TA 1 - Total Score (out of 35)]]+Table1[[#This Row],[TA 2 - Total Score (out of 35)]])/2</f>
        <v/>
      </c>
      <c r="U168">
        <f>(Table1[[#This Row],[TA 1 - Total Bonus (out of 13)]]+Table1[[#This Row],[TA 2 - Total Bonus (out of 13)]])/2</f>
        <v/>
      </c>
      <c r="V168">
        <f>Table1[[#This Row],[Average Questions]]/35*20+Table1[[#This Row],[Average Bonus]]/13*5</f>
        <v/>
      </c>
      <c r="W168" t="n">
        <v>4</v>
      </c>
      <c r="X168" t="n">
        <v>0</v>
      </c>
      <c r="Y168" t="inlineStr">
        <is>
          <t>The student completed the data loading and transformation tasks correctly, including resizing, converting to tensor, and normalizing the images. However, the data display section was incorrectly implemented using PIL instead of the required method. The model loading and adaptation were partially correct, but the student froze all parameters instead of just the backbone and incorrectly replaced the classifier. The training and validation loops had syntax errors and logical mistakes, such as using sigmoid activation and binary cross-entropy loss for a multi-class classification problem. No bonus tasks were attempted.</t>
        </is>
      </c>
      <c r="Z168" t="n">
        <v>7</v>
      </c>
      <c r="AA168" t="n">
        <v>0</v>
      </c>
      <c r="AB168" t="inlineStr">
        <is>
          <t>The student completed most tasks with minor issues. The dataset loading and preparation were mostly correct, but the test dataset used the same transform as the training dataset. The CNN model had 5 convolutional layers with batch normalization, but the number of channels and fully connected layer sizes differed from the reference. The training and validation functions were implemented correctly, but there were redundant definitions. The training setup and execution were accurate, and the plotting of losses and accuracies was attempted but not shown. The bonus task was not completed.</t>
        </is>
      </c>
      <c r="AC168" t="n">
        <v>4</v>
      </c>
      <c r="AD168" t="inlineStr">
        <is>
          <t>The student attempted most tasks but made significant errors. The dataset class was partially correct but used an unconventional method to find image-mask pairs. The model class used 'efficientnet-b0' instead of 'efficientnet-b1' and incorrectly set the number of classes to 1. The training and validation loops were implemented but used BCEWithLogitsLoss, which is inappropriate for multi-class segmentation. The training process ran but did not plot the loss curve. Visualization of predictions was not attempted.</t>
        </is>
      </c>
      <c r="AE168" t="n">
        <v>0</v>
      </c>
      <c r="AF168" t="n">
        <v>0</v>
      </c>
      <c r="AG168" t="inlineStr">
        <is>
          <t>No submission found.</t>
        </is>
      </c>
      <c r="AH168" t="n">
        <v>15</v>
      </c>
      <c r="AI168" t="n">
        <v>0</v>
      </c>
    </row>
    <row r="169">
      <c r="A169" t="n">
        <v>168</v>
      </c>
      <c r="B169" t="inlineStr">
        <is>
          <t>TA_3</t>
        </is>
      </c>
      <c r="C169" t="inlineStr">
        <is>
          <t>TA_13</t>
        </is>
      </c>
      <c r="D169" t="n">
        <v>6.5</v>
      </c>
      <c r="E169" t="n">
        <v>0</v>
      </c>
      <c r="F169" t="n">
        <v>8.5</v>
      </c>
      <c r="G169" t="n">
        <v>0</v>
      </c>
      <c r="H169" t="n">
        <v>11</v>
      </c>
      <c r="I169" t="n">
        <v>0</v>
      </c>
      <c r="J169" t="n">
        <v>10.5</v>
      </c>
      <c r="K169" t="n">
        <v>0</v>
      </c>
      <c r="L169" t="n">
        <v>9</v>
      </c>
      <c r="M169" t="n">
        <v>0</v>
      </c>
      <c r="N169" t="n">
        <v>10.5</v>
      </c>
      <c r="O169" t="n">
        <v>0</v>
      </c>
      <c r="P169">
        <f>Table1[[#This Row],[TA 1 - Q1 Score]]+Table1[[#This Row],[TA 1 - Q2 Score]]+Table1[[#This Row],[TA 1 - Q3 Score]]</f>
        <v/>
      </c>
      <c r="Q169">
        <f>Table1[[#This Row],[TA 1 - Q1 Bonus]]+Table1[[#This Row],[TA 1 - Q2 Bonus]]+Table1[[#This Row],[TA 1 - Q4 Bonus]]</f>
        <v/>
      </c>
      <c r="R169">
        <f>Table1[[#This Row],[TA 2 - Q1 Score]]+Table1[[#This Row],[TA 2 - Q2 Score]]+Table1[[#This Row],[TA 2 - Q3 Score]]</f>
        <v/>
      </c>
      <c r="S169">
        <f>Table1[[#This Row],[TA 2 - Q1 Bonus]]+Table1[[#This Row],[TA 2 - Q2 Bonus]]+Table1[[#This Row],[TA 2 - Q4 Bonus]]</f>
        <v/>
      </c>
      <c r="T169">
        <f>(Table1[[#This Row],[TA 1 - Total Score (out of 35)]]+Table1[[#This Row],[TA 2 - Total Score (out of 35)]])/2</f>
        <v/>
      </c>
      <c r="U169">
        <f>(Table1[[#This Row],[TA 1 - Total Bonus (out of 13)]]+Table1[[#This Row],[TA 2 - Total Bonus (out of 13)]])/2</f>
        <v/>
      </c>
      <c r="V169">
        <f>Table1[[#This Row],[Average Questions]]/35*20+Table1[[#This Row],[Average Bonus]]/13*5</f>
        <v/>
      </c>
      <c r="W169" t="n">
        <v>6</v>
      </c>
      <c r="X169" t="n">
        <v>0</v>
      </c>
      <c r="Y169" t="inlineStr">
        <is>
          <t>The student completed the data loading and preparation with minor issues, such as using a different batch size and not displaying sample images correctly. The model loading and adaptation were partially correct but used an incorrect model name and did not freeze the backbone. The training and validation loops had syntax errors and logical mistakes, particularly in handling the model outputs and predictions. The student did not complete the bonus task due to time constraints.</t>
        </is>
      </c>
      <c r="Z169" t="n">
        <v>8</v>
      </c>
      <c r="AA169" t="n">
        <v>0</v>
      </c>
      <c r="AB169" t="inlineStr">
        <is>
          <t>The student implemented a custom dataset class and used ImageFolder correctly, achieving full marks for Part 1. The CNN model has 5 convolutional layers with Batch Normalization, earning full marks for Part 2. The training and validation loops are implemented correctly, scoring full marks for Part 3. The model setup, training, and plotting of losses and accuracies are also correct, securing full marks for Part 4. However, the bonus task was not attempted, resulting in 0 bonus points.</t>
        </is>
      </c>
      <c r="AC169" t="n">
        <v>8</v>
      </c>
      <c r="AD169" t="inlineStr">
        <is>
          <t>The student's submission contains mostly correct code with minor issues. Task 1 is mostly complete with a small mistake in the dataset split. Task 2 has an error in the number of classes specified. Task 3 is correctly implemented. Task 4 is mostly correct with a minor issue in the optimizer choice. Task 5 is mostly correct but uses grayscale for predictions instead of a color map.</t>
        </is>
      </c>
      <c r="AE169" t="n">
        <v>0</v>
      </c>
      <c r="AF169" t="n">
        <v>0</v>
      </c>
      <c r="AG169" t="inlineStr">
        <is>
          <t>No submission found.</t>
        </is>
      </c>
      <c r="AH169" t="n">
        <v>22</v>
      </c>
      <c r="AI169" t="n">
        <v>0</v>
      </c>
    </row>
    <row r="170">
      <c r="A170" t="n">
        <v>169</v>
      </c>
      <c r="B170" t="inlineStr">
        <is>
          <t>TA_3</t>
        </is>
      </c>
      <c r="C170" t="inlineStr">
        <is>
          <t>TA_13</t>
        </is>
      </c>
      <c r="D170" t="n">
        <v>8</v>
      </c>
      <c r="E170" t="n">
        <v>0</v>
      </c>
      <c r="F170" t="n">
        <v>10</v>
      </c>
      <c r="G170" t="n">
        <v>4</v>
      </c>
      <c r="H170" t="n">
        <v>10</v>
      </c>
      <c r="I170" t="n">
        <v>0</v>
      </c>
      <c r="J170" t="n">
        <v>11.5</v>
      </c>
      <c r="K170" t="n">
        <v>0</v>
      </c>
      <c r="L170" t="n">
        <v>11</v>
      </c>
      <c r="M170" t="n">
        <v>2</v>
      </c>
      <c r="N170" t="n">
        <v>9.5</v>
      </c>
      <c r="O170" t="n">
        <v>0</v>
      </c>
      <c r="P170">
        <f>Table1[[#This Row],[TA 1 - Q1 Score]]+Table1[[#This Row],[TA 1 - Q2 Score]]+Table1[[#This Row],[TA 1 - Q3 Score]]</f>
        <v/>
      </c>
      <c r="Q170">
        <f>Table1[[#This Row],[TA 1 - Q1 Bonus]]+Table1[[#This Row],[TA 1 - Q2 Bonus]]+Table1[[#This Row],[TA 1 - Q4 Bonus]]</f>
        <v/>
      </c>
      <c r="R170">
        <f>Table1[[#This Row],[TA 2 - Q1 Score]]+Table1[[#This Row],[TA 2 - Q2 Score]]+Table1[[#This Row],[TA 2 - Q3 Score]]</f>
        <v/>
      </c>
      <c r="S170">
        <f>Table1[[#This Row],[TA 2 - Q1 Bonus]]+Table1[[#This Row],[TA 2 - Q2 Bonus]]+Table1[[#This Row],[TA 2 - Q4 Bonus]]</f>
        <v/>
      </c>
      <c r="T170">
        <f>(Table1[[#This Row],[TA 1 - Total Score (out of 35)]]+Table1[[#This Row],[TA 2 - Total Score (out of 35)]])/2</f>
        <v/>
      </c>
      <c r="U170">
        <f>(Table1[[#This Row],[TA 1 - Total Bonus (out of 13)]]+Table1[[#This Row],[TA 2 - Total Bonus (out of 13)]])/2</f>
        <v/>
      </c>
      <c r="V170">
        <f>Table1[[#This Row],[Average Questions]]/35*20+Table1[[#This Row],[Average Bonus]]/13*5</f>
        <v/>
      </c>
      <c r="W170" t="n">
        <v>8</v>
      </c>
      <c r="X170" t="n">
        <v>0</v>
      </c>
      <c r="Y170" t="inlineStr">
        <is>
          <t>The student completed most tasks correctly but made some minor mistakes. The data loading and preparation were mostly accurate, though the batch size was unusually large (256). The model loading and adaptation were correct, but the student froze the entire model instead of just the backbone. The training and validation loops were implemented correctly, including the label fix. However, the bonus task was not attempted.</t>
        </is>
      </c>
      <c r="Z170" t="n">
        <v>8.5</v>
      </c>
      <c r="AA170" t="n">
        <v>0</v>
      </c>
      <c r="AB170" t="inlineStr">
        <is>
          <t>The student successfully loaded and prepared the data with the correct transformations and displayed sample images. The CNN model was built with five convolutional layers and batch normalization, though the bonus residual connection was not implemented. The training and validation functions were defined and used correctly, and the model was trained and plotted. However, the bonus part was not completed, and there were minor issues like redundant imports and unnecessary complexity in the model definition.</t>
        </is>
      </c>
      <c r="AC170" t="n">
        <v>8</v>
      </c>
      <c r="AD170" t="inlineStr">
        <is>
          <t>The student's submission contains mostly correct code with minor issues. Task 1 is well-implemented with a custom dataset class and DataLoaders, and sample images and masks are displayed correctly. Task 2 has a mistake in defining the model with 'efficientnet-b1' instead of 'efficientnet-b0'. Task 3 is correctly implemented with training and validation loops. Task 4 defines the loss and optimizer correctly but uses a different learning rate and model configuration. Task 5 visualizes predictions but uses a different colormap and does not follow the reference solution exactly.</t>
        </is>
      </c>
      <c r="AE170" t="n">
        <v>0</v>
      </c>
      <c r="AF170" t="n">
        <v>0</v>
      </c>
      <c r="AG170" t="inlineStr">
        <is>
          <t>The student did not implement any of the required methods in the `ColorizationDataset` class. The `__init__`, `__len__`, `rgb_to_grayscale`, and `__getitem__` methods were left unimplemented with only placeholder comments. As a result, the code does not run and fails to produce the expected output.</t>
        </is>
      </c>
      <c r="AH170" t="n">
        <v>24.5</v>
      </c>
      <c r="AI170" t="n">
        <v>0</v>
      </c>
    </row>
    <row r="171">
      <c r="A171" t="n">
        <v>170</v>
      </c>
      <c r="B171" t="inlineStr">
        <is>
          <t>TA_3</t>
        </is>
      </c>
      <c r="C171" t="inlineStr">
        <is>
          <t>TA_13</t>
        </is>
      </c>
      <c r="D171" t="n">
        <v>12</v>
      </c>
      <c r="E171" t="n">
        <v>0</v>
      </c>
      <c r="F171" t="n">
        <v>8.5</v>
      </c>
      <c r="G171" t="n">
        <v>0</v>
      </c>
      <c r="H171" t="n">
        <v>8</v>
      </c>
      <c r="I171" t="n">
        <v>0</v>
      </c>
      <c r="J171" t="n">
        <v>12</v>
      </c>
      <c r="K171" t="n">
        <v>0</v>
      </c>
      <c r="L171" t="n">
        <v>9</v>
      </c>
      <c r="M171" t="n">
        <v>0</v>
      </c>
      <c r="N171" t="n">
        <v>11.5</v>
      </c>
      <c r="O171" t="n">
        <v>0</v>
      </c>
      <c r="P171">
        <f>Table1[[#This Row],[TA 1 - Q1 Score]]+Table1[[#This Row],[TA 1 - Q2 Score]]+Table1[[#This Row],[TA 1 - Q3 Score]]</f>
        <v/>
      </c>
      <c r="Q171">
        <f>Table1[[#This Row],[TA 1 - Q1 Bonus]]+Table1[[#This Row],[TA 1 - Q2 Bonus]]+Table1[[#This Row],[TA 1 - Q4 Bonus]]</f>
        <v/>
      </c>
      <c r="R171">
        <f>Table1[[#This Row],[TA 2 - Q1 Score]]+Table1[[#This Row],[TA 2 - Q2 Score]]+Table1[[#This Row],[TA 2 - Q3 Score]]</f>
        <v/>
      </c>
      <c r="S171">
        <f>Table1[[#This Row],[TA 2 - Q1 Bonus]]+Table1[[#This Row],[TA 2 - Q2 Bonus]]+Table1[[#This Row],[TA 2 - Q4 Bonus]]</f>
        <v/>
      </c>
      <c r="T171">
        <f>(Table1[[#This Row],[TA 1 - Total Score (out of 35)]]+Table1[[#This Row],[TA 2 - Total Score (out of 35)]])/2</f>
        <v/>
      </c>
      <c r="U171">
        <f>(Table1[[#This Row],[TA 1 - Total Bonus (out of 13)]]+Table1[[#This Row],[TA 2 - Total Bonus (out of 13)]])/2</f>
        <v/>
      </c>
      <c r="V171">
        <f>Table1[[#This Row],[Average Questions]]/35*20+Table1[[#This Row],[Average Bonus]]/13*5</f>
        <v/>
      </c>
      <c r="W171" t="n">
        <v>8.5</v>
      </c>
      <c r="X171" t="n">
        <v>0</v>
      </c>
      <c r="Y171" t="inlineStr">
        <is>
          <t>The student completed most tasks correctly but made some minor mistakes. In Part 1, the transforms were correctly defined, and DataLoaders were created, but the sample images displayed were not from a random batch. In Part 2, the model was loaded and adapted correctly. In Part 3, the training and validation loops were implemented with correct label fixing. In Part 4, the model was set up and trained, and the loss and accuracy plots were generated. However, the bonus task was not attempted.</t>
        </is>
      </c>
      <c r="Z171" t="n">
        <v>8.5</v>
      </c>
      <c r="AA171" t="n">
        <v>0</v>
      </c>
      <c r="AB171" t="inlineStr">
        <is>
          <t>The student successfully completed most tasks with minor issues. The dataset loading and preparation were mostly correct, with the exception of using a batch size of 16 instead of 32. The CNN model had 5 convolutional layers but used different channel sizes than specified in the rubric. Batch normalization was missing. The training and validation loops were implemented correctly, and the model trained and plotted losses and accuracies accurately. No bonus task was attempted.</t>
        </is>
      </c>
      <c r="AC171" t="n">
        <v>5</v>
      </c>
      <c r="AD171" t="inlineStr">
        <is>
          <t>The student's submission contains several issues. In Task 1, the dataset class is implemented correctly, but the DataLoader creation has a batch size of 32, which is not specified in the guidelines. The display function works but is redundant due to the earlier print statement. In Task 2, the model is incorrectly defined with only one class instead of eight, which is a significant error. Task 3 has syntax errors in the training and validation loops, specifically in how masks are handled. Task 4 defines the loss function incorrectly using BCEWithLogitsLoss for multi-class segmentation, and the training loop also has issues. Task 5 visualizes predictions but uses a binary threshold, which is inappropriate for multi-class segmentation.</t>
        </is>
      </c>
      <c r="AE171" t="n">
        <v>0</v>
      </c>
      <c r="AF171" t="n">
        <v>0</v>
      </c>
      <c r="AG171" t="inlineStr">
        <is>
          <t>The student did not implement the required methods in the `ColorizationDataset` class. The `__init__`, `__len__`, `rgb_to_grayscale`, and `__getitem__` methods were either incomplete or incorrectly implemented. Specifically, the `__init__` method does not store the dataset, `__len__` references undefined `image_paths`, `rgb_to_grayscale` lacks the conversion logic, and `__getitem__` incorrectly uses `Image.open` instead of utilizing the provided dataset. As a result, the code does not run correctly and fails to produce the expected output.</t>
        </is>
      </c>
      <c r="AH171" t="n">
        <v>22</v>
      </c>
      <c r="AI171" t="n">
        <v>0</v>
      </c>
    </row>
    <row r="172">
      <c r="A172" t="n">
        <v>171</v>
      </c>
      <c r="B172" t="inlineStr">
        <is>
          <t>TA_3</t>
        </is>
      </c>
      <c r="C172" t="inlineStr">
        <is>
          <t>TA_13</t>
        </is>
      </c>
      <c r="D172" t="n">
        <v>10.5</v>
      </c>
      <c r="E172" t="n">
        <v>4</v>
      </c>
      <c r="F172" t="n">
        <v>10</v>
      </c>
      <c r="G172" t="n">
        <v>0</v>
      </c>
      <c r="H172" t="n">
        <v>8</v>
      </c>
      <c r="I172" t="n">
        <v>5</v>
      </c>
      <c r="J172" t="n">
        <v>12</v>
      </c>
      <c r="K172" t="n">
        <v>4</v>
      </c>
      <c r="L172" t="n">
        <v>10.5</v>
      </c>
      <c r="M172" t="n">
        <v>0</v>
      </c>
      <c r="N172" t="n">
        <v>11</v>
      </c>
      <c r="O172" t="n">
        <v>5</v>
      </c>
      <c r="P172">
        <f>Table1[[#This Row],[TA 1 - Q1 Score]]+Table1[[#This Row],[TA 1 - Q2 Score]]+Table1[[#This Row],[TA 1 - Q3 Score]]</f>
        <v/>
      </c>
      <c r="Q172">
        <f>Table1[[#This Row],[TA 1 - Q1 Bonus]]+Table1[[#This Row],[TA 1 - Q2 Bonus]]+Table1[[#This Row],[TA 1 - Q4 Bonus]]</f>
        <v/>
      </c>
      <c r="R172">
        <f>Table1[[#This Row],[TA 2 - Q1 Score]]+Table1[[#This Row],[TA 2 - Q2 Score]]+Table1[[#This Row],[TA 2 - Q3 Score]]</f>
        <v/>
      </c>
      <c r="S172">
        <f>Table1[[#This Row],[TA 2 - Q1 Bonus]]+Table1[[#This Row],[TA 2 - Q2 Bonus]]+Table1[[#This Row],[TA 2 - Q4 Bonus]]</f>
        <v/>
      </c>
      <c r="T172">
        <f>(Table1[[#This Row],[TA 1 - Total Score (out of 35)]]+Table1[[#This Row],[TA 2 - Total Score (out of 35)]])/2</f>
        <v/>
      </c>
      <c r="U172">
        <f>(Table1[[#This Row],[TA 1 - Total Bonus (out of 13)]]+Table1[[#This Row],[TA 2 - Total Bonus (out of 13)]])/2</f>
        <v/>
      </c>
      <c r="V172">
        <f>Table1[[#This Row],[Average Questions]]/35*20+Table1[[#This Row],[Average Bonus]]/13*5</f>
        <v/>
      </c>
      <c r="W172" t="n">
        <v>10.5</v>
      </c>
      <c r="X172" t="n">
        <v>4</v>
      </c>
      <c r="Y172" t="inlineStr">
        <is>
          <t>The student completed all required tasks with minor issues. In Part 1, the transforms were correctly implemented. In Part 2, the model was loaded and adapted properly, though the backbone freezing was done incorrectly by freezing all parameters instead of just the feature extractor. In Part 3, the training and validation loops were correct, and the label fix was applied. In Part 4, the setup and training were mostly correct, with only 3 epochs trained instead of 5. The plots were generated correctly. For the bonus task, the test time augmentation was implemented accurately.</t>
        </is>
      </c>
      <c r="Z172" t="n">
        <v>7</v>
      </c>
      <c r="AA172" t="n">
        <v>0</v>
      </c>
      <c r="AB172" t="inlineStr">
        <is>
          <t>The student successfully loaded and prepared the data with correct transformations and displayed sample images. The CNN model was built with five convolutional layers and batch normalization, though there were minor issues in the forward method where the pooling operations were applied incorrectly. The training and validation functions were implemented correctly, and the model was trained and plotted. However, the bonus task was not completed correctly due to errors in defining the residual connection and the forward method.</t>
        </is>
      </c>
      <c r="AC172" t="n">
        <v>6</v>
      </c>
      <c r="AD172" t="inlineStr">
        <is>
          <t>The student's submission partially completes several tasks but contains significant errors. The dataset class is implemented with some issues, such as incorrect handling of file paths and transformations. The model class incorrectly sets the number of output classes to 1 instead of 8. The training and validation loops are mostly correct but suffer from the incorrect model setup. The training process runs but with incorrect parameters, and the visualization of predictions is attempted but does not correctly display the multi-class segmentation results.</t>
        </is>
      </c>
      <c r="AE172" t="n">
        <v>0</v>
      </c>
      <c r="AF172" t="n">
        <v>5</v>
      </c>
      <c r="AG172" t="inlineStr">
        <is>
          <t>The student's implementation of the ColorizationDataset class is correct and runs perfectly, producing the expected output and following the optimal logic. The code includes all required methods (__init__, __len__, rgb_to_grayscale, __getitem__) and the visualization is accurate. No mistakes were found in the implementation.</t>
        </is>
      </c>
      <c r="AH172" t="n">
        <v>23.5</v>
      </c>
      <c r="AI172" t="n">
        <v>9</v>
      </c>
    </row>
    <row r="173">
      <c r="A173" t="n">
        <v>172</v>
      </c>
      <c r="B173" t="inlineStr">
        <is>
          <t>TA_4</t>
        </is>
      </c>
      <c r="C173" t="inlineStr">
        <is>
          <t>TA_14</t>
        </is>
      </c>
      <c r="D173" t="n">
        <v>10.5</v>
      </c>
      <c r="E173" t="n">
        <v>0</v>
      </c>
      <c r="F173" t="n">
        <v>9</v>
      </c>
      <c r="G173" t="n">
        <v>0</v>
      </c>
      <c r="H173" t="n">
        <v>9.5</v>
      </c>
      <c r="I173" t="n">
        <v>0</v>
      </c>
      <c r="J173" t="n">
        <v>10</v>
      </c>
      <c r="K173" t="n">
        <v>0</v>
      </c>
      <c r="L173" t="n">
        <v>7</v>
      </c>
      <c r="M173" t="n">
        <v>0</v>
      </c>
      <c r="N173" t="n">
        <v>8</v>
      </c>
      <c r="O173" t="n">
        <v>0</v>
      </c>
      <c r="P173">
        <f>Table1[[#This Row],[TA 1 - Q1 Score]]+Table1[[#This Row],[TA 1 - Q2 Score]]+Table1[[#This Row],[TA 1 - Q3 Score]]</f>
        <v/>
      </c>
      <c r="Q173">
        <f>Table1[[#This Row],[TA 1 - Q1 Bonus]]+Table1[[#This Row],[TA 1 - Q2 Bonus]]+Table1[[#This Row],[TA 1 - Q4 Bonus]]</f>
        <v/>
      </c>
      <c r="R173">
        <f>Table1[[#This Row],[TA 2 - Q1 Score]]+Table1[[#This Row],[TA 2 - Q2 Score]]+Table1[[#This Row],[TA 2 - Q3 Score]]</f>
        <v/>
      </c>
      <c r="S173">
        <f>Table1[[#This Row],[TA 2 - Q1 Bonus]]+Table1[[#This Row],[TA 2 - Q2 Bonus]]+Table1[[#This Row],[TA 2 - Q4 Bonus]]</f>
        <v/>
      </c>
      <c r="T173">
        <f>(Table1[[#This Row],[TA 1 - Total Score (out of 35)]]+Table1[[#This Row],[TA 2 - Total Score (out of 35)]])/2</f>
        <v/>
      </c>
      <c r="U173">
        <f>(Table1[[#This Row],[TA 1 - Total Bonus (out of 13)]]+Table1[[#This Row],[TA 2 - Total Bonus (out of 13)]])/2</f>
        <v/>
      </c>
      <c r="V173">
        <f>Table1[[#This Row],[Average Questions]]/35*20+Table1[[#This Row],[Average Bonus]]/13*5</f>
        <v/>
      </c>
      <c r="W173" t="n">
        <v>7</v>
      </c>
      <c r="X173" t="n">
        <v>0</v>
      </c>
      <c r="Y173" t="inlineStr">
        <is>
          <t>The student completed most tasks with minor issues. The data loading and preparation were mostly correct, with a small mistake in the DataLoader batch size. The model loading and adaptation were correct, but the student froze the entire model instead of just the backbone. The training and validation loops were implemented correctly, including the label fix. However, the student did not plot the training and validation losses and accuracies, resulting in a deduction. No bonus tasks were attempted.</t>
        </is>
      </c>
      <c r="Z173" t="n">
        <v>5</v>
      </c>
      <c r="AA173" t="n">
        <v>0</v>
      </c>
      <c r="AB173" t="inlineStr">
        <is>
          <t>The student partially completed the tasks. They correctly set up the dataset with the required transformations and displayed sample images. However, the CNN model has incorrect architecture with fewer than 5 convolutional layers and incorrect input features calculation. The training and validation functions were mostly correct but contained minor issues like unnecessary softmax usage. The model setup and training loop had errors due to incorrect model class name. No bonus task was attempted.</t>
        </is>
      </c>
      <c r="AC173" t="n">
        <v>7</v>
      </c>
      <c r="AD173" t="inlineStr">
        <is>
          <t>The student's submission contains mostly correct code with some minor issues. Task 1 is partially correct with a small mistake in the mask transformation. Task 2 is correct with the specified encoder. Task 3 has syntax errors in the validation loop. Task 4 is mostly correct but uses a different optimizer and learning rate. Task 5 has logical errors in the prediction visualization.</t>
        </is>
      </c>
      <c r="AE173" t="n">
        <v>0</v>
      </c>
      <c r="AF173" t="n">
        <v>0</v>
      </c>
      <c r="AG173" t="inlineStr">
        <is>
          <t>No submission found.</t>
        </is>
      </c>
      <c r="AH173" t="n">
        <v>19</v>
      </c>
      <c r="AI173" t="n">
        <v>0</v>
      </c>
    </row>
    <row r="174">
      <c r="A174" t="n">
        <v>173</v>
      </c>
      <c r="B174" t="inlineStr">
        <is>
          <t>TA_4</t>
        </is>
      </c>
      <c r="C174" t="inlineStr">
        <is>
          <t>TA_14</t>
        </is>
      </c>
      <c r="D174" t="n">
        <v>12</v>
      </c>
      <c r="E174" t="n">
        <v>0</v>
      </c>
      <c r="F174" t="n">
        <v>8</v>
      </c>
      <c r="G174" t="n">
        <v>0</v>
      </c>
      <c r="H174" t="n">
        <v>12</v>
      </c>
      <c r="I174" t="n">
        <v>0</v>
      </c>
      <c r="J174" t="n">
        <v>12</v>
      </c>
      <c r="K174" t="n">
        <v>0</v>
      </c>
      <c r="L174" t="n">
        <v>8.5</v>
      </c>
      <c r="M174" t="n">
        <v>0</v>
      </c>
      <c r="N174" t="n">
        <v>12</v>
      </c>
      <c r="O174" t="n">
        <v>0</v>
      </c>
      <c r="P174">
        <f>Table1[[#This Row],[TA 1 - Q1 Score]]+Table1[[#This Row],[TA 1 - Q2 Score]]+Table1[[#This Row],[TA 1 - Q3 Score]]</f>
        <v/>
      </c>
      <c r="Q174">
        <f>Table1[[#This Row],[TA 1 - Q1 Bonus]]+Table1[[#This Row],[TA 1 - Q2 Bonus]]+Table1[[#This Row],[TA 1 - Q4 Bonus]]</f>
        <v/>
      </c>
      <c r="R174">
        <f>Table1[[#This Row],[TA 2 - Q1 Score]]+Table1[[#This Row],[TA 2 - Q2 Score]]+Table1[[#This Row],[TA 2 - Q3 Score]]</f>
        <v/>
      </c>
      <c r="S174">
        <f>Table1[[#This Row],[TA 2 - Q1 Bonus]]+Table1[[#This Row],[TA 2 - Q2 Bonus]]+Table1[[#This Row],[TA 2 - Q4 Bonus]]</f>
        <v/>
      </c>
      <c r="T174">
        <f>(Table1[[#This Row],[TA 1 - Total Score (out of 35)]]+Table1[[#This Row],[TA 2 - Total Score (out of 35)]])/2</f>
        <v/>
      </c>
      <c r="U174">
        <f>(Table1[[#This Row],[TA 1 - Total Bonus (out of 13)]]+Table1[[#This Row],[TA 2 - Total Bonus (out of 13)]])/2</f>
        <v/>
      </c>
      <c r="V174">
        <f>Table1[[#This Row],[Average Questions]]/35*20+Table1[[#This Row],[Average Bonus]]/13*5</f>
        <v/>
      </c>
      <c r="W174" t="n">
        <v>6</v>
      </c>
      <c r="X174" t="n">
        <v>0</v>
      </c>
      <c r="Y174" t="inlineStr">
        <is>
          <t>The student completed the data loading and preparation, including defining the necessary transforms and creating DataLoaders. Sample images were displayed correctly. However, the pretrained model loaded was incorrect (EfficientNet-B0 instead of EfficientNetV2-Small), and the backbone was not properly frozen. The classifier head was replaced correctly, but the training and validation loops contained errors, such as squeezing the model outputs unnecessarily. The plots for training and validation losses and accuracies were generated, but the bonus task for Test Time Augmentation was not attempted.</t>
        </is>
      </c>
      <c r="Z174" t="n">
        <v>7</v>
      </c>
      <c r="AA174" t="n">
        <v>0</v>
      </c>
      <c r="AB174" t="inlineStr">
        <is>
          <t>The student successfully loaded and prepared the data with the correct transformations and displayed sample images. The CNN model has 5 convolutional layers but does not include batch normalization, earning partial credit. The training and validation loops are implemented correctly. However, the student did not complete the bonus task of adding a residual connection, and there were some unnecessary and incomplete code snippets related to label assignment that were not used.</t>
        </is>
      </c>
      <c r="AC174" t="n">
        <v>8</v>
      </c>
      <c r="AD174" t="inlineStr">
        <is>
          <t>The student's submission contains mostly correct code with minor issues. Task 1 is partially correct with a redundant import and incorrect test dataset creation. Task 2 is correct with the specified encoder. Task 3 is mostly correct with a small mistake in the validation loop. Task 4 is mostly correct with a different optimizer and learning rate. Task 5 is mostly correct with a minor issue in the prediction visualization.</t>
        </is>
      </c>
      <c r="AE174" t="n">
        <v>0</v>
      </c>
      <c r="AF174" t="n">
        <v>0</v>
      </c>
      <c r="AG174" t="inlineStr">
        <is>
          <t>No submission found.</t>
        </is>
      </c>
      <c r="AH174" t="n">
        <v>21</v>
      </c>
      <c r="AI174" t="n">
        <v>0</v>
      </c>
    </row>
    <row r="175">
      <c r="A175" t="n">
        <v>174</v>
      </c>
      <c r="B175" t="inlineStr">
        <is>
          <t>TA_4</t>
        </is>
      </c>
      <c r="C175" t="inlineStr">
        <is>
          <t>TA_14</t>
        </is>
      </c>
      <c r="D175" t="n">
        <v>6</v>
      </c>
      <c r="E175" t="n">
        <v>0</v>
      </c>
      <c r="F175" t="n">
        <v>5</v>
      </c>
      <c r="G175" t="n">
        <v>0</v>
      </c>
      <c r="H175" t="n">
        <v>7.5</v>
      </c>
      <c r="I175" t="n">
        <v>0</v>
      </c>
      <c r="J175" t="n">
        <v>6</v>
      </c>
      <c r="K175" t="n">
        <v>0</v>
      </c>
      <c r="L175" t="n">
        <v>3.5</v>
      </c>
      <c r="M175" t="n">
        <v>0</v>
      </c>
      <c r="N175" t="n">
        <v>6.5</v>
      </c>
      <c r="O175" t="n">
        <v>0</v>
      </c>
      <c r="P175">
        <f>Table1[[#This Row],[TA 1 - Q1 Score]]+Table1[[#This Row],[TA 1 - Q2 Score]]+Table1[[#This Row],[TA 1 - Q3 Score]]</f>
        <v/>
      </c>
      <c r="Q175">
        <f>Table1[[#This Row],[TA 1 - Q1 Bonus]]+Table1[[#This Row],[TA 1 - Q2 Bonus]]+Table1[[#This Row],[TA 1 - Q4 Bonus]]</f>
        <v/>
      </c>
      <c r="R175">
        <f>Table1[[#This Row],[TA 2 - Q1 Score]]+Table1[[#This Row],[TA 2 - Q2 Score]]+Table1[[#This Row],[TA 2 - Q3 Score]]</f>
        <v/>
      </c>
      <c r="S175">
        <f>Table1[[#This Row],[TA 2 - Q1 Bonus]]+Table1[[#This Row],[TA 2 - Q2 Bonus]]+Table1[[#This Row],[TA 2 - Q4 Bonus]]</f>
        <v/>
      </c>
      <c r="T175">
        <f>(Table1[[#This Row],[TA 1 - Total Score (out of 35)]]+Table1[[#This Row],[TA 2 - Total Score (out of 35)]])/2</f>
        <v/>
      </c>
      <c r="U175">
        <f>(Table1[[#This Row],[TA 1 - Total Bonus (out of 13)]]+Table1[[#This Row],[TA 2 - Total Bonus (out of 13)]])/2</f>
        <v/>
      </c>
      <c r="V175">
        <f>Table1[[#This Row],[Average Questions]]/35*20+Table1[[#This Row],[Average Bonus]]/13*5</f>
        <v/>
      </c>
      <c r="W175" t="n">
        <v>4</v>
      </c>
      <c r="X175" t="n">
        <v>0</v>
      </c>
      <c r="Y175" t="inlineStr">
        <is>
          <t>The student completed the data loading and preparation section correctly, including the necessary transformations and displaying sample images. However, there were significant issues in the model adaptation and training/validation loops. The student incorrectly loaded and froze the model parameters, and used binary classification loss and sigmoid activation, which is inappropriate for multi-class classification. The training and validation loops also contained errors, such as squeezing the model outputs and using binary classification metrics. No bonus task was attempted.</t>
        </is>
      </c>
      <c r="Z175" t="n">
        <v>3</v>
      </c>
      <c r="AA175" t="n">
        <v>0</v>
      </c>
      <c r="AB175" t="inlineStr">
        <is>
          <t>The student did not complete Part 1, which includes loading and preparing the data, creating datasets and DataLoaders, applying transformations, and displaying sample images. Part 2 is partially correct with a CNN model defined, but it has logical errors such as incorrect channel sizes and output classes. Part 3 is mostly correct with training and validation loops, but the student incorrectly applies softmax in the loops. Part 4 is partially completed with setup and training, but the model is not properly defined. No bonus tasks were attempted.</t>
        </is>
      </c>
      <c r="AC175" t="n">
        <v>4</v>
      </c>
      <c r="AD175" t="inlineStr">
        <is>
          <t>The student partially completed Task 1 by creating a custom dataset class and DataLoaders, but there were issues with the dataset paths and the display function. Task 2 was partially completed with the correct model definition but used an incorrect number of classes. Task 3 was not fully implemented due to incorrect loss functions and data handling. Task 4 had issues with the loss function and data types, and Task 5 was incomplete with incorrect mask handling and visualization.</t>
        </is>
      </c>
      <c r="AE175" t="n">
        <v>0</v>
      </c>
      <c r="AF175" t="n">
        <v>0</v>
      </c>
      <c r="AG175" t="inlineStr">
        <is>
          <t>No submission found.</t>
        </is>
      </c>
      <c r="AH175" t="n">
        <v>11</v>
      </c>
      <c r="AI175" t="n">
        <v>0</v>
      </c>
    </row>
    <row r="176">
      <c r="A176" t="n">
        <v>175</v>
      </c>
      <c r="B176" t="inlineStr">
        <is>
          <t>TA_4</t>
        </is>
      </c>
      <c r="C176" t="inlineStr">
        <is>
          <t>TA_14</t>
        </is>
      </c>
      <c r="D176" t="n">
        <v>12</v>
      </c>
      <c r="E176" t="n">
        <v>0</v>
      </c>
      <c r="F176" t="n">
        <v>9</v>
      </c>
      <c r="G176" t="n">
        <v>0</v>
      </c>
      <c r="H176" t="n">
        <v>9</v>
      </c>
      <c r="I176" t="n">
        <v>0</v>
      </c>
      <c r="J176" t="n">
        <v>12</v>
      </c>
      <c r="K176" t="n">
        <v>0</v>
      </c>
      <c r="L176" t="n">
        <v>9</v>
      </c>
      <c r="M176" t="n">
        <v>0</v>
      </c>
      <c r="N176" t="n">
        <v>8.5</v>
      </c>
      <c r="O176" t="n">
        <v>0</v>
      </c>
      <c r="P176">
        <f>Table1[[#This Row],[TA 1 - Q1 Score]]+Table1[[#This Row],[TA 1 - Q2 Score]]+Table1[[#This Row],[TA 1 - Q3 Score]]</f>
        <v/>
      </c>
      <c r="Q176">
        <f>Table1[[#This Row],[TA 1 - Q1 Bonus]]+Table1[[#This Row],[TA 1 - Q2 Bonus]]+Table1[[#This Row],[TA 1 - Q4 Bonus]]</f>
        <v/>
      </c>
      <c r="R176">
        <f>Table1[[#This Row],[TA 2 - Q1 Score]]+Table1[[#This Row],[TA 2 - Q2 Score]]+Table1[[#This Row],[TA 2 - Q3 Score]]</f>
        <v/>
      </c>
      <c r="S176">
        <f>Table1[[#This Row],[TA 2 - Q1 Bonus]]+Table1[[#This Row],[TA 2 - Q2 Bonus]]+Table1[[#This Row],[TA 2 - Q4 Bonus]]</f>
        <v/>
      </c>
      <c r="T176">
        <f>(Table1[[#This Row],[TA 1 - Total Score (out of 35)]]+Table1[[#This Row],[TA 2 - Total Score (out of 35)]])/2</f>
        <v/>
      </c>
      <c r="U176">
        <f>(Table1[[#This Row],[TA 1 - Total Bonus (out of 13)]]+Table1[[#This Row],[TA 2 - Total Bonus (out of 13)]])/2</f>
        <v/>
      </c>
      <c r="V176">
        <f>Table1[[#This Row],[Average Questions]]/35*20+Table1[[#This Row],[Average Bonus]]/13*5</f>
        <v/>
      </c>
      <c r="W176" t="n">
        <v>7.5</v>
      </c>
      <c r="X176" t="n">
        <v>0</v>
      </c>
      <c r="Y176" t="inlineStr">
        <is>
          <t>The student completed most tasks with minor issues. The data loading and preparation were mostly correct, with a small mistake in the DataLoader batch size. The model loading and adaptation were accurate, though the student froze all parameters instead of just the backbone. The training and validation loops were implemented correctly, with a minor error in the label adjustment. The plotting of losses and accuracies was done properly. The bonus task was not attempted.</t>
        </is>
      </c>
      <c r="Z176" t="n">
        <v>7</v>
      </c>
      <c r="AA176" t="n">
        <v>0</v>
      </c>
      <c r="AB176" t="inlineStr">
        <is>
          <t>The student successfully loaded and prepared the data with the correct transformations and displayed sample images. The CNN model was built with 5 convolutional layers, but the number of output channels and fully connected layer sizes were incorrect. The training and validation functions were implemented correctly, and the model was trained and plotted. However, the bonus task was not completed.</t>
        </is>
      </c>
      <c r="AC176" t="n">
        <v>8.5</v>
      </c>
      <c r="AD176" t="inlineStr">
        <is>
          <t>The student's submission is mostly correct and runs, earning full marks for Tasks 1, 2, 3, and 4. However, Task 5 is incomplete as no code was provided for visualizing predictions. The dataset class, DataLoaders, and transformations are correctly implemented. The U-Net model is defined with the specified encoder. Training and validation loops are present and executed, with loss printed and plotted. The only missing part is the visualization of predictions against ground truth.</t>
        </is>
      </c>
      <c r="AE176" t="n">
        <v>0</v>
      </c>
      <c r="AF176" t="n">
        <v>0</v>
      </c>
      <c r="AG176" t="inlineStr">
        <is>
          <t>No submission found.</t>
        </is>
      </c>
      <c r="AH176" t="n">
        <v>23</v>
      </c>
      <c r="AI176" t="n">
        <v>0</v>
      </c>
    </row>
    <row r="177">
      <c r="A177" t="n">
        <v>176</v>
      </c>
      <c r="B177" t="inlineStr">
        <is>
          <t>TA_4</t>
        </is>
      </c>
      <c r="C177" t="inlineStr">
        <is>
          <t>TA_14</t>
        </is>
      </c>
      <c r="D177" t="n">
        <v>9</v>
      </c>
      <c r="E177" t="n">
        <v>0</v>
      </c>
      <c r="F177" t="n">
        <v>8</v>
      </c>
      <c r="G177" t="n">
        <v>0</v>
      </c>
      <c r="H177" t="n">
        <v>10.5</v>
      </c>
      <c r="I177" t="n">
        <v>0</v>
      </c>
      <c r="J177" t="n">
        <v>6.5</v>
      </c>
      <c r="K177" t="n">
        <v>0</v>
      </c>
      <c r="L177" t="n">
        <v>6</v>
      </c>
      <c r="M177" t="n">
        <v>0</v>
      </c>
      <c r="N177" t="n">
        <v>10.75</v>
      </c>
      <c r="O177" t="n">
        <v>0</v>
      </c>
      <c r="P177">
        <f>Table1[[#This Row],[TA 1 - Q1 Score]]+Table1[[#This Row],[TA 1 - Q2 Score]]+Table1[[#This Row],[TA 1 - Q3 Score]]</f>
        <v/>
      </c>
      <c r="Q177">
        <f>Table1[[#This Row],[TA 1 - Q1 Bonus]]+Table1[[#This Row],[TA 1 - Q2 Bonus]]+Table1[[#This Row],[TA 1 - Q4 Bonus]]</f>
        <v/>
      </c>
      <c r="R177">
        <f>Table1[[#This Row],[TA 2 - Q1 Score]]+Table1[[#This Row],[TA 2 - Q2 Score]]+Table1[[#This Row],[TA 2 - Q3 Score]]</f>
        <v/>
      </c>
      <c r="S177">
        <f>Table1[[#This Row],[TA 2 - Q1 Bonus]]+Table1[[#This Row],[TA 2 - Q2 Bonus]]+Table1[[#This Row],[TA 2 - Q4 Bonus]]</f>
        <v/>
      </c>
      <c r="T177">
        <f>(Table1[[#This Row],[TA 1 - Total Score (out of 35)]]+Table1[[#This Row],[TA 2 - Total Score (out of 35)]])/2</f>
        <v/>
      </c>
      <c r="U177">
        <f>(Table1[[#This Row],[TA 1 - Total Bonus (out of 13)]]+Table1[[#This Row],[TA 2 - Total Bonus (out of 13)]])/2</f>
        <v/>
      </c>
      <c r="V177">
        <f>Table1[[#This Row],[Average Questions]]/35*20+Table1[[#This Row],[Average Bonus]]/13*5</f>
        <v/>
      </c>
      <c r="W177" t="n">
        <v>5</v>
      </c>
      <c r="X177" t="n">
        <v>0</v>
      </c>
      <c r="Y177" t="inlineStr">
        <is>
          <t>The student completed the data loading and transformation correctly, including resizing, converting to tensor, and normalizing. However, the DataLoader creation had incorrect batch sizes and did not specify num_workers. Sample images were displayed correctly. The pretrained model was loaded and adapted, but the backbone was not frozen. The training and validation loops contained syntax and logical errors, such as incorrect handling of model outputs and label adjustments. The training process was set up with incorrect optimizer and fewer epochs, and plots were not generated. No bonus task was attempted.</t>
        </is>
      </c>
      <c r="Z177" t="n">
        <v>6</v>
      </c>
      <c r="AA177" t="n">
        <v>0</v>
      </c>
      <c r="AB177" t="inlineStr">
        <is>
          <t>The student successfully loaded and prepared the data with the correct transformations, including resizing to 32x32 and random rotation. However, they added ColorJitter and Normalize, which were not required. The CNN model has 5 convolutional layers but does not include batch normalization, resulting in partial credit. The training and validation functions are mostly correct but include unnecessary softmax operations. The model was trained for only 2 epochs instead of 10, affecting the final performance metrics. No bonus task was attempted.</t>
        </is>
      </c>
      <c r="AC177" t="n">
        <v>6</v>
      </c>
      <c r="AD177" t="inlineStr">
        <is>
          <t>The student's submission contains several issues. In Task 1, the dataset class has errors in initialization and sorting. Task 2 incorrectly sets the number of classes to 5 instead of 8. Task 3 is partially implemented with syntax errors. Task 4 has a low number of epochs and uses a different optimizer. Task 5 visualizes predictions but with incorrect colormap usage.</t>
        </is>
      </c>
      <c r="AE177" t="n">
        <v>0</v>
      </c>
      <c r="AF177" t="n">
        <v>0</v>
      </c>
      <c r="AG177" t="inlineStr">
        <is>
          <t>No submission found.</t>
        </is>
      </c>
      <c r="AH177" t="n">
        <v>17</v>
      </c>
      <c r="AI177" t="n">
        <v>0</v>
      </c>
    </row>
    <row r="178">
      <c r="A178" t="n">
        <v>177</v>
      </c>
      <c r="B178" t="inlineStr">
        <is>
          <t>TA_4</t>
        </is>
      </c>
      <c r="C178" t="inlineStr">
        <is>
          <t>TA_14</t>
        </is>
      </c>
      <c r="D178" t="n">
        <v>12</v>
      </c>
      <c r="E178" t="n">
        <v>4</v>
      </c>
      <c r="F178" t="n">
        <v>11</v>
      </c>
      <c r="G178" t="n">
        <v>0</v>
      </c>
      <c r="H178" t="n">
        <v>12</v>
      </c>
      <c r="I178" t="n">
        <v>5</v>
      </c>
      <c r="J178" t="n">
        <v>12</v>
      </c>
      <c r="K178" t="n">
        <v>4</v>
      </c>
      <c r="L178" t="n">
        <v>11</v>
      </c>
      <c r="M178" t="n">
        <v>0</v>
      </c>
      <c r="N178" t="n">
        <v>12</v>
      </c>
      <c r="O178" t="n">
        <v>5</v>
      </c>
      <c r="P178">
        <f>Table1[[#This Row],[TA 1 - Q1 Score]]+Table1[[#This Row],[TA 1 - Q2 Score]]+Table1[[#This Row],[TA 1 - Q3 Score]]</f>
        <v/>
      </c>
      <c r="Q178">
        <f>Table1[[#This Row],[TA 1 - Q1 Bonus]]+Table1[[#This Row],[TA 1 - Q2 Bonus]]+Table1[[#This Row],[TA 1 - Q4 Bonus]]</f>
        <v/>
      </c>
      <c r="R178">
        <f>Table1[[#This Row],[TA 2 - Q1 Score]]+Table1[[#This Row],[TA 2 - Q2 Score]]+Table1[[#This Row],[TA 2 - Q3 Score]]</f>
        <v/>
      </c>
      <c r="S178">
        <f>Table1[[#This Row],[TA 2 - Q1 Bonus]]+Table1[[#This Row],[TA 2 - Q2 Bonus]]+Table1[[#This Row],[TA 2 - Q4 Bonus]]</f>
        <v/>
      </c>
      <c r="T178">
        <f>(Table1[[#This Row],[TA 1 - Total Score (out of 35)]]+Table1[[#This Row],[TA 2 - Total Score (out of 35)]])/2</f>
        <v/>
      </c>
      <c r="U178">
        <f>(Table1[[#This Row],[TA 1 - Total Bonus (out of 13)]]+Table1[[#This Row],[TA 2 - Total Bonus (out of 13)]])/2</f>
        <v/>
      </c>
      <c r="V178">
        <f>Table1[[#This Row],[Average Questions]]/35*20+Table1[[#This Row],[Average Bonus]]/13*5</f>
        <v/>
      </c>
      <c r="W178" t="n">
        <v>10.5</v>
      </c>
      <c r="X178" t="n">
        <v>3</v>
      </c>
      <c r="Y178" t="inlineStr">
        <is>
          <t>The student completed most tasks correctly, including data loading, model setup, and training loops. However, the student used a batch size of 32 instead of 64, which slightly impacts performance. The student also used AdamW optimizer instead of Adam, but this does not affect correctness. The bonus task for Test Time Augmentation was implemented correctly, averaging predictions from original, horizontally flipped, and vertically flipped images.</t>
        </is>
      </c>
      <c r="Z178" t="n">
        <v>8.5</v>
      </c>
      <c r="AA178" t="n">
        <v>0</v>
      </c>
      <c r="AB178" t="inlineStr">
        <is>
          <t>The student successfully implemented a custom dataset class, created train/test datasets and DataLoaders, applied the required transformations, and displayed sample images with labels. The CNN model includes five convolutional layers with batch normalization, though the number of channels differs from the reference solution. The training and validation loops are correctly defined and executed, and the loss and accuracy plots are generated. However, the student did not attempt the bonus task of adding a residual connection.</t>
        </is>
      </c>
      <c r="AC178" t="n">
        <v>8</v>
      </c>
      <c r="AD178" t="inlineStr">
        <is>
          <t>The student's submission contains mostly correct code with minor issues. Task 1 is partially correct with a typo in the root directory path and correct implementation of the dataset class and data loaders. Task 2 is fully correct with the U-Net model defined properly. Task 3 is mostly correct with a small mistake in the validation loop where the mask should be squeezed before conversion to long. Task 4 is mostly correct with the loss and optimizer defined correctly, but the learning rate is different from the reference solution. Task 5 is mostly correct with the visualization code, but the predicted mask is displayed in grayscale instead of using a colormap.</t>
        </is>
      </c>
      <c r="AE178" t="n">
        <v>0</v>
      </c>
      <c r="AF178" t="n">
        <v>0</v>
      </c>
      <c r="AG178" t="inlineStr">
        <is>
          <t>The student's implementation contains several errors. In the `rgb_to_grayscale` method, the indexing of the image tensor is incorrect, leading to a mismatch in dimensions. Additionally, in the `__getitem__` method, the color image is incorrectly returned as `color_image[0]`, which should be `color_image[0][0]` to match the expected output shape. These issues prevent the code from running correctly and producing the expected output.</t>
        </is>
      </c>
      <c r="AH178" t="n">
        <v>27</v>
      </c>
      <c r="AI178" t="n">
        <v>3</v>
      </c>
    </row>
    <row r="179">
      <c r="A179" t="n">
        <v>178</v>
      </c>
      <c r="B179" t="inlineStr">
        <is>
          <t>TA_4</t>
        </is>
      </c>
      <c r="C179" t="inlineStr">
        <is>
          <t>TA_14</t>
        </is>
      </c>
      <c r="D179" t="n">
        <v>11.5</v>
      </c>
      <c r="E179" t="n">
        <v>4</v>
      </c>
      <c r="F179" t="n">
        <v>9</v>
      </c>
      <c r="G179" t="n">
        <v>4</v>
      </c>
      <c r="H179" t="n">
        <v>12</v>
      </c>
      <c r="I179" t="n">
        <v>0</v>
      </c>
      <c r="J179" t="n">
        <v>10</v>
      </c>
      <c r="K179" t="n">
        <v>4</v>
      </c>
      <c r="L179" t="n">
        <v>9</v>
      </c>
      <c r="M179" t="n">
        <v>0</v>
      </c>
      <c r="N179" t="n">
        <v>12</v>
      </c>
      <c r="O179" t="n">
        <v>0</v>
      </c>
      <c r="P179">
        <f>Table1[[#This Row],[TA 1 - Q1 Score]]+Table1[[#This Row],[TA 1 - Q2 Score]]+Table1[[#This Row],[TA 1 - Q3 Score]]</f>
        <v/>
      </c>
      <c r="Q179">
        <f>Table1[[#This Row],[TA 1 - Q1 Bonus]]+Table1[[#This Row],[TA 1 - Q2 Bonus]]+Table1[[#This Row],[TA 1 - Q4 Bonus]]</f>
        <v/>
      </c>
      <c r="R179">
        <f>Table1[[#This Row],[TA 2 - Q1 Score]]+Table1[[#This Row],[TA 2 - Q2 Score]]+Table1[[#This Row],[TA 2 - Q3 Score]]</f>
        <v/>
      </c>
      <c r="S179">
        <f>Table1[[#This Row],[TA 2 - Q1 Bonus]]+Table1[[#This Row],[TA 2 - Q2 Bonus]]+Table1[[#This Row],[TA 2 - Q4 Bonus]]</f>
        <v/>
      </c>
      <c r="T179">
        <f>(Table1[[#This Row],[TA 1 - Total Score (out of 35)]]+Table1[[#This Row],[TA 2 - Total Score (out of 35)]])/2</f>
        <v/>
      </c>
      <c r="U179">
        <f>(Table1[[#This Row],[TA 1 - Total Bonus (out of 13)]]+Table1[[#This Row],[TA 2 - Total Bonus (out of 13)]])/2</f>
        <v/>
      </c>
      <c r="V179">
        <f>Table1[[#This Row],[Average Questions]]/35*20+Table1[[#This Row],[Average Bonus]]/13*5</f>
        <v/>
      </c>
      <c r="W179" t="n">
        <v>6</v>
      </c>
      <c r="X179" t="n">
        <v>0</v>
      </c>
      <c r="Y179" t="inlineStr">
        <is>
          <t>The student completed the data loading and preparation with minor issues, such as using a different batch size and selecting specific indices for displaying images. The model loading and adaptation were mostly correct, but the student froze all parameters instead of just the backbone. The training and validation loops had logical errors, particularly in handling labels and outputs. The student did not implement the bonus task for Test Time Augmentation correctly.</t>
        </is>
      </c>
      <c r="Z179" t="n">
        <v>7</v>
      </c>
      <c r="AA179" t="n">
        <v>0</v>
      </c>
      <c r="AB179" t="inlineStr">
        <is>
          <t>The student successfully loaded and prepared the data with the correct transformations and displayed sample images. The CNN model was built with 5 convolutional layers, though the number of channels and fully connected layer sizes differ from the reference solution. The training and validation functions were correctly implemented. However, the student did not add batch normalization to the model layers. The training process ran without issues, and the loss and accuracy plots were generated. The bonus task was not attempted.</t>
        </is>
      </c>
      <c r="AC179" t="n">
        <v>8</v>
      </c>
      <c r="AD179" t="inlineStr">
        <is>
          <t>The student's submission includes most of the required tasks with minor issues. The dataset class is implemented correctly, and the data loaders are set up properly. However, the image transformation normalization is missing. The U-Net model is defined with the correct encoder, but the device is set to CPU instead of GPU. The training and validation loops are implemented correctly, but the number of epochs is reduced to 5. The loss and optimizer are defined appropriately, and the loss curve is plotted. The predictions are visualized, but the colormap for the predicted masks is incorrect.</t>
        </is>
      </c>
      <c r="AE179" t="n">
        <v>0</v>
      </c>
      <c r="AF179" t="n">
        <v>0</v>
      </c>
      <c r="AG179" t="inlineStr">
        <is>
          <t>The student's implementation contains several errors. In the `__init__` method, the dataset is incorrectly stored as `self.cifar_dataset` instead of `self.dataset`. The `__len__` method incorrectly references `cifar_data` instead of `self.dataset`. The `rgb_to_grayscale` method incorrectly adds the RGB channels together instead of applying the correct weights. The `__getitem__` method returns the original image and the grayscale image in the wrong order and does not properly extract the image from the dataset tuple.</t>
        </is>
      </c>
      <c r="AH179" t="n">
        <v>21</v>
      </c>
      <c r="AI179" t="n">
        <v>0</v>
      </c>
    </row>
    <row r="180">
      <c r="A180" t="n">
        <v>179</v>
      </c>
      <c r="B180" t="inlineStr">
        <is>
          <t>TA_4</t>
        </is>
      </c>
      <c r="C180" t="inlineStr">
        <is>
          <t>TA_14</t>
        </is>
      </c>
      <c r="D180" t="n">
        <v>6</v>
      </c>
      <c r="E180" t="n">
        <v>0</v>
      </c>
      <c r="F180" t="n">
        <v>5.5</v>
      </c>
      <c r="G180" t="n">
        <v>0</v>
      </c>
      <c r="H180" t="n">
        <v>10</v>
      </c>
      <c r="I180" t="n">
        <v>0</v>
      </c>
      <c r="J180" t="n">
        <v>4.5</v>
      </c>
      <c r="K180" t="n">
        <v>0</v>
      </c>
      <c r="L180" t="n">
        <v>4.25</v>
      </c>
      <c r="M180" t="n">
        <v>0</v>
      </c>
      <c r="N180" t="n">
        <v>5.75</v>
      </c>
      <c r="O180" t="n">
        <v>0</v>
      </c>
      <c r="P180">
        <f>Table1[[#This Row],[TA 1 - Q1 Score]]+Table1[[#This Row],[TA 1 - Q2 Score]]+Table1[[#This Row],[TA 1 - Q3 Score]]</f>
        <v/>
      </c>
      <c r="Q180">
        <f>Table1[[#This Row],[TA 1 - Q1 Bonus]]+Table1[[#This Row],[TA 1 - Q2 Bonus]]+Table1[[#This Row],[TA 1 - Q4 Bonus]]</f>
        <v/>
      </c>
      <c r="R180">
        <f>Table1[[#This Row],[TA 2 - Q1 Score]]+Table1[[#This Row],[TA 2 - Q2 Score]]+Table1[[#This Row],[TA 2 - Q3 Score]]</f>
        <v/>
      </c>
      <c r="S180">
        <f>Table1[[#This Row],[TA 2 - Q1 Bonus]]+Table1[[#This Row],[TA 2 - Q2 Bonus]]+Table1[[#This Row],[TA 2 - Q4 Bonus]]</f>
        <v/>
      </c>
      <c r="T180">
        <f>(Table1[[#This Row],[TA 1 - Total Score (out of 35)]]+Table1[[#This Row],[TA 2 - Total Score (out of 35)]])/2</f>
        <v/>
      </c>
      <c r="U180">
        <f>(Table1[[#This Row],[TA 1 - Total Bonus (out of 13)]]+Table1[[#This Row],[TA 2 - Total Bonus (out of 13)]])/2</f>
        <v/>
      </c>
      <c r="V180">
        <f>Table1[[#This Row],[Average Questions]]/35*20+Table1[[#This Row],[Average Bonus]]/13*5</f>
        <v/>
      </c>
      <c r="W180" t="n">
        <v>2</v>
      </c>
      <c r="X180" t="n">
        <v>0</v>
      </c>
      <c r="Y180" t="inlineStr">
        <is>
          <t>The student partially completed the tasks with some syntax and logical errors. The data loading and preparation section had missing parts filled correctly but used an unnecessary valid_dataset. The model loading and adaptation section incorrectly used EfficientNetB0 instead of EfficientNetV2-Small and froze all parameters instead of just the backbone. The training and validation loops were implemented with binary classification logic and loss function, which is incorrect for this multi-class problem. No bonus tasks were attempted.</t>
        </is>
      </c>
      <c r="Z180" t="n">
        <v>5</v>
      </c>
      <c r="AA180" t="n">
        <v>0</v>
      </c>
      <c r="AB180" t="inlineStr">
        <is>
          <t>The student implemented a custom dataset class and used appropriate transformations, earning full credit for Part 1. However, the student used the wrong dataset paths and names, leading to errors. In Part 2, the CNN model had only 5 layers but lacked batch normalization, earning 50% of the points. The training and validation loops were mostly correct but included unnecessary softmax operations, earning 50% of the points. The student did not complete Part 4 or attempt the bonus task.</t>
        </is>
      </c>
      <c r="AC180" t="n">
        <v>4</v>
      </c>
      <c r="AD180" t="inlineStr">
        <is>
          <t>The student attempted most tasks but made significant errors. The dataset class uses a CSV file for paths instead of directly listing files, which is unconventional and could lead to issues. The model class incorrectly sets the number of classes to 1, indicating a misunderstanding of the task requirements. The training and validation loops use BCEWithLogitsLoss, which is suitable for binary segmentation, not multi-class segmentation. The visualization section also assumes binary segmentation, displaying masks in grayscale instead of using a colormap for multiple classes.</t>
        </is>
      </c>
      <c r="AE180" t="n">
        <v>0</v>
      </c>
      <c r="AF180" t="n">
        <v>0</v>
      </c>
      <c r="AG180" t="inlineStr">
        <is>
          <t>No submission found.</t>
        </is>
      </c>
      <c r="AH180" t="n">
        <v>11</v>
      </c>
      <c r="AI180" t="n">
        <v>0</v>
      </c>
    </row>
    <row r="181">
      <c r="A181" t="n">
        <v>180</v>
      </c>
      <c r="B181" t="inlineStr">
        <is>
          <t>TA_4</t>
        </is>
      </c>
      <c r="C181" t="inlineStr">
        <is>
          <t>TA_14</t>
        </is>
      </c>
      <c r="D181" t="n">
        <v>12</v>
      </c>
      <c r="E181" t="n">
        <v>4</v>
      </c>
      <c r="F181" t="n">
        <v>11</v>
      </c>
      <c r="G181" t="n">
        <v>4</v>
      </c>
      <c r="H181" t="n">
        <v>9.75</v>
      </c>
      <c r="I181" t="n">
        <v>0</v>
      </c>
      <c r="J181" t="n">
        <v>12</v>
      </c>
      <c r="K181" t="n">
        <v>4</v>
      </c>
      <c r="L181" t="n">
        <v>11</v>
      </c>
      <c r="M181" t="n">
        <v>0</v>
      </c>
      <c r="N181" t="n">
        <v>6.25</v>
      </c>
      <c r="O181" t="n">
        <v>0</v>
      </c>
      <c r="P181">
        <f>Table1[[#This Row],[TA 1 - Q1 Score]]+Table1[[#This Row],[TA 1 - Q2 Score]]+Table1[[#This Row],[TA 1 - Q3 Score]]</f>
        <v/>
      </c>
      <c r="Q181">
        <f>Table1[[#This Row],[TA 1 - Q1 Bonus]]+Table1[[#This Row],[TA 1 - Q2 Bonus]]+Table1[[#This Row],[TA 1 - Q4 Bonus]]</f>
        <v/>
      </c>
      <c r="R181">
        <f>Table1[[#This Row],[TA 2 - Q1 Score]]+Table1[[#This Row],[TA 2 - Q2 Score]]+Table1[[#This Row],[TA 2 - Q3 Score]]</f>
        <v/>
      </c>
      <c r="S181">
        <f>Table1[[#This Row],[TA 2 - Q1 Bonus]]+Table1[[#This Row],[TA 2 - Q2 Bonus]]+Table1[[#This Row],[TA 2 - Q4 Bonus]]</f>
        <v/>
      </c>
      <c r="T181">
        <f>(Table1[[#This Row],[TA 1 - Total Score (out of 35)]]+Table1[[#This Row],[TA 2 - Total Score (out of 35)]])/2</f>
        <v/>
      </c>
      <c r="U181">
        <f>(Table1[[#This Row],[TA 1 - Total Bonus (out of 13)]]+Table1[[#This Row],[TA 2 - Total Bonus (out of 13)]])/2</f>
        <v/>
      </c>
      <c r="V181">
        <f>Table1[[#This Row],[Average Questions]]/35*20+Table1[[#This Row],[Average Bonus]]/13*5</f>
        <v/>
      </c>
      <c r="W181" t="n">
        <v>8</v>
      </c>
      <c r="X181" t="n">
        <v>0</v>
      </c>
      <c r="Y181" t="inlineStr">
        <is>
          <t>The student completed most tasks correctly but made some mistakes. The data loading and preparation were mostly accurate, though the batch size was smaller than in the reference. The model loading and adaptation were correct, but the student froze the entire model instead of just the backbone. The training and validation loops were implemented with some issues, such as unnecessary squeezing of outputs and incorrect handling of predictions. The plotting of losses and accuracies was correct. The bonus task was not attempted.</t>
        </is>
      </c>
      <c r="Z181" t="n">
        <v>5</v>
      </c>
      <c r="AA181" t="n">
        <v>0</v>
      </c>
      <c r="AB181" t="inlineStr">
        <is>
          <t>The student partially completed the tasks. They correctly set up the dataset and DataLoaders with the required transformations, including RandomRotation and resizing to 32x32. However, the CNN model implementation had several issues, such as incorrect layer dimensions and stride values, leading to incompatible shapes. The training and validation loops were mostly correct but contained minor issues like unnecessary squeezing of outputs. The bonus task was not attempted.</t>
        </is>
      </c>
      <c r="AC181" t="n">
        <v>5</v>
      </c>
      <c r="AD181" t="inlineStr">
        <is>
          <t>The student's submission partially completes several tasks but contains significant errors. Task 1 is mostly correct with a few issues in the dataset class initialization and mask shape handling. Task 2 incorrectly sets the number of classes to 1 instead of 8. Task 3 has logical errors in the training and validation loops, using BCEWithLogitsLoss which is inappropriate for multi-class segmentation. Task 4 correctly defines the loss and optimizer but fails to plot the loss curve. Task 5 visualizes predictions but uses a binary threshold, which is incorrect for multi-class segmentation.</t>
        </is>
      </c>
      <c r="AE181" t="n">
        <v>0</v>
      </c>
      <c r="AF181" t="n">
        <v>0</v>
      </c>
      <c r="AG181" t="inlineStr">
        <is>
          <t>No submission found.</t>
        </is>
      </c>
      <c r="AH181" t="n">
        <v>18</v>
      </c>
      <c r="AI181" t="n">
        <v>0</v>
      </c>
    </row>
    <row r="182">
      <c r="A182" t="n">
        <v>181</v>
      </c>
      <c r="B182" t="inlineStr">
        <is>
          <t>TA_4</t>
        </is>
      </c>
      <c r="C182" t="inlineStr">
        <is>
          <t>TA_14</t>
        </is>
      </c>
      <c r="D182" t="n">
        <v>4.5</v>
      </c>
      <c r="E182" t="n">
        <v>0</v>
      </c>
      <c r="F182" t="n">
        <v>6.5</v>
      </c>
      <c r="G182" t="n">
        <v>0</v>
      </c>
      <c r="H182" t="n">
        <v>9</v>
      </c>
      <c r="I182" t="n">
        <v>0</v>
      </c>
      <c r="J182" t="n">
        <v>4.5</v>
      </c>
      <c r="K182" t="n">
        <v>0</v>
      </c>
      <c r="L182" t="n">
        <v>3.75</v>
      </c>
      <c r="M182" t="n">
        <v>0</v>
      </c>
      <c r="N182" t="n">
        <v>4.25</v>
      </c>
      <c r="O182" t="n">
        <v>0</v>
      </c>
      <c r="P182">
        <f>Table1[[#This Row],[TA 1 - Q1 Score]]+Table1[[#This Row],[TA 1 - Q2 Score]]+Table1[[#This Row],[TA 1 - Q3 Score]]</f>
        <v/>
      </c>
      <c r="Q182">
        <f>Table1[[#This Row],[TA 1 - Q1 Bonus]]+Table1[[#This Row],[TA 1 - Q2 Bonus]]+Table1[[#This Row],[TA 1 - Q4 Bonus]]</f>
        <v/>
      </c>
      <c r="R182">
        <f>Table1[[#This Row],[TA 2 - Q1 Score]]+Table1[[#This Row],[TA 2 - Q2 Score]]+Table1[[#This Row],[TA 2 - Q3 Score]]</f>
        <v/>
      </c>
      <c r="S182">
        <f>Table1[[#This Row],[TA 2 - Q1 Bonus]]+Table1[[#This Row],[TA 2 - Q2 Bonus]]+Table1[[#This Row],[TA 2 - Q4 Bonus]]</f>
        <v/>
      </c>
      <c r="T182">
        <f>(Table1[[#This Row],[TA 1 - Total Score (out of 35)]]+Table1[[#This Row],[TA 2 - Total Score (out of 35)]])/2</f>
        <v/>
      </c>
      <c r="U182">
        <f>(Table1[[#This Row],[TA 1 - Total Bonus (out of 13)]]+Table1[[#This Row],[TA 2 - Total Bonus (out of 13)]])/2</f>
        <v/>
      </c>
      <c r="V182">
        <f>Table1[[#This Row],[Average Questions]]/35*20+Table1[[#This Row],[Average Bonus]]/13*5</f>
        <v/>
      </c>
      <c r="W182" t="n">
        <v>2</v>
      </c>
      <c r="X182" t="n">
        <v>0</v>
      </c>
      <c r="Y182" t="inlineStr">
        <is>
          <t>The student partially completed the tasks with some syntax and logical errors. The data loading and preparation section had issues with displaying sample images and using incorrect indices. The model setup had errors in freezing the backbone and adjusting the classifier head size. The training and validation loops contained mistakes in handling the model outputs and labels, leading to incorrect loss calculations. No bonus tasks were attempted.</t>
        </is>
      </c>
      <c r="Z182" t="n">
        <v>2</v>
      </c>
      <c r="AA182" t="n">
        <v>0</v>
      </c>
      <c r="AB182" t="inlineStr">
        <is>
          <t>The student attempted several tasks but made significant errors. The dataset loading and preparation section had issues with the custom dataset class and transformations. The CNN model definition contained incorrect channel sizes and output classes. The training and validation loops were mostly correct but used incorrect dataloaders. No plots were provided, and the bonus task was not attempted.</t>
        </is>
      </c>
      <c r="AC182" t="n">
        <v>2</v>
      </c>
      <c r="AD182" t="inlineStr">
        <is>
          <t>The student attempted most tasks but made significant errors. The dataset class was partially correct but used a CSV file for paths instead of directly listing files, leading to potential issues. The model class incorrectly defined a binary segmentation model instead of a multi-class one. The training and validation loops had logical errors, using BCEWithLogitsLoss for a multi-class problem. Visualization also used a binary approach. Despite these issues, the student showed effort in attempting each task.</t>
        </is>
      </c>
      <c r="AE182" t="n">
        <v>0</v>
      </c>
      <c r="AF182" t="n">
        <v>0</v>
      </c>
      <c r="AG182" t="inlineStr">
        <is>
          <t>No submission found.</t>
        </is>
      </c>
      <c r="AH182" t="n">
        <v>6</v>
      </c>
      <c r="AI182" t="n">
        <v>0</v>
      </c>
    </row>
    <row r="183">
      <c r="A183" t="n">
        <v>182</v>
      </c>
      <c r="B183" t="inlineStr">
        <is>
          <t>TA_4</t>
        </is>
      </c>
      <c r="C183" t="inlineStr">
        <is>
          <t>TA_14</t>
        </is>
      </c>
      <c r="D183" t="n">
        <v>10.5</v>
      </c>
      <c r="E183" t="n">
        <v>0</v>
      </c>
      <c r="F183" t="n">
        <v>11</v>
      </c>
      <c r="G183" t="n">
        <v>4</v>
      </c>
      <c r="H183" t="n">
        <v>7</v>
      </c>
      <c r="I183" t="n">
        <v>5</v>
      </c>
      <c r="J183" t="n">
        <v>10.5</v>
      </c>
      <c r="K183" t="n">
        <v>0</v>
      </c>
      <c r="L183" t="n">
        <v>11</v>
      </c>
      <c r="M183" t="n">
        <v>4</v>
      </c>
      <c r="N183" t="n">
        <v>10</v>
      </c>
      <c r="O183" t="n">
        <v>5</v>
      </c>
      <c r="P183">
        <f>Table1[[#This Row],[TA 1 - Q1 Score]]+Table1[[#This Row],[TA 1 - Q2 Score]]+Table1[[#This Row],[TA 1 - Q3 Score]]</f>
        <v/>
      </c>
      <c r="Q183">
        <f>Table1[[#This Row],[TA 1 - Q1 Bonus]]+Table1[[#This Row],[TA 1 - Q2 Bonus]]+Table1[[#This Row],[TA 1 - Q4 Bonus]]</f>
        <v/>
      </c>
      <c r="R183">
        <f>Table1[[#This Row],[TA 2 - Q1 Score]]+Table1[[#This Row],[TA 2 - Q2 Score]]+Table1[[#This Row],[TA 2 - Q3 Score]]</f>
        <v/>
      </c>
      <c r="S183">
        <f>Table1[[#This Row],[TA 2 - Q1 Bonus]]+Table1[[#This Row],[TA 2 - Q2 Bonus]]+Table1[[#This Row],[TA 2 - Q4 Bonus]]</f>
        <v/>
      </c>
      <c r="T183">
        <f>(Table1[[#This Row],[TA 1 - Total Score (out of 35)]]+Table1[[#This Row],[TA 2 - Total Score (out of 35)]])/2</f>
        <v/>
      </c>
      <c r="U183">
        <f>(Table1[[#This Row],[TA 1 - Total Bonus (out of 13)]]+Table1[[#This Row],[TA 2 - Total Bonus (out of 13)]])/2</f>
        <v/>
      </c>
      <c r="V183">
        <f>Table1[[#This Row],[Average Questions]]/35*20+Table1[[#This Row],[Average Bonus]]/13*5</f>
        <v/>
      </c>
      <c r="W183" t="n">
        <v>10.5</v>
      </c>
      <c r="X183" t="n">
        <v>0</v>
      </c>
      <c r="Y183" t="inlineStr">
        <is>
          <t>The student completed most tasks correctly, including defining transforms, creating DataLoaders, displaying sample images, loading and modifying the EfficientNetV2-Small model, and implementing training and validation loops. However, the student used SGD instead of Adam for optimization, which is a minor deviation. The student also mentioned GPU issues preventing full training, but the code itself is correct and runnable.</t>
        </is>
      </c>
      <c r="Z183" t="n">
        <v>9.5</v>
      </c>
      <c r="AA183" t="n">
        <v>3</v>
      </c>
      <c r="AB183" t="inlineStr">
        <is>
          <t>The student successfully completed most tasks, including loading and preparing the data, building the CNN model with batch normalization, defining training and validation loops, and plotting losses and accuracies. However, the CNN model had only 4 convolutional layers instead of 5, resulting in partial credit. The bonus task was partially completed with a residual connection added between the second and fourth layers, but the model was not retrained or plotted, earning partial bonus points.</t>
        </is>
      </c>
      <c r="AC183" t="n">
        <v>5</v>
      </c>
      <c r="AD183" t="inlineStr">
        <is>
          <t>The student attempted most tasks but made several mistakes. In Task 1, the dataset class and DataLoaders were correctly implemented, but the display of images and masks had issues with the mask display. In Task 2, the model class used the wrong number of classes (7 instead of 8). In Task 3, the training and validation loops had incorrect handling of mask types (converted to float instead of long). In Task 4, the loss function was incorrectly set to BCEWithLogitsLoss instead of CrossEntropyLoss, and the learning rate was too low. In Task 5, the visualization code was mostly correct but redundant with previous cells.</t>
        </is>
      </c>
      <c r="AE183" t="n">
        <v>0</v>
      </c>
      <c r="AF183" t="n">
        <v>5</v>
      </c>
      <c r="AG183" t="inlineStr">
        <is>
          <t>The student's implementation of the ColorizationDataset class is correct and runs without errors. The __init__, __len__, rgb_to_grayscale, and __getitem__ methods are all implemented accurately, and the visualization step correctly displays the grayscale and color images. The DataLoader test also confirms the correct shapes of the batches. Therefore, the student receives full bonus points for this task.</t>
        </is>
      </c>
      <c r="AH183" t="n">
        <v>25</v>
      </c>
      <c r="AI183" t="n">
        <v>8</v>
      </c>
    </row>
    <row r="184">
      <c r="A184" t="n">
        <v>183</v>
      </c>
      <c r="B184" t="inlineStr">
        <is>
          <t>TA_4</t>
        </is>
      </c>
      <c r="C184" t="inlineStr">
        <is>
          <t>TA_14</t>
        </is>
      </c>
      <c r="D184" t="n">
        <v>12</v>
      </c>
      <c r="E184" t="n">
        <v>4</v>
      </c>
      <c r="F184" t="n">
        <v>9</v>
      </c>
      <c r="G184" t="n">
        <v>0</v>
      </c>
      <c r="H184" t="n">
        <v>12</v>
      </c>
      <c r="I184" t="n">
        <v>5</v>
      </c>
      <c r="J184" t="n">
        <v>12</v>
      </c>
      <c r="K184" t="n">
        <v>0</v>
      </c>
      <c r="L184" t="n">
        <v>9</v>
      </c>
      <c r="M184" t="n">
        <v>0</v>
      </c>
      <c r="N184" t="n">
        <v>12</v>
      </c>
      <c r="O184" t="n">
        <v>0</v>
      </c>
      <c r="P184">
        <f>Table1[[#This Row],[TA 1 - Q1 Score]]+Table1[[#This Row],[TA 1 - Q2 Score]]+Table1[[#This Row],[TA 1 - Q3 Score]]</f>
        <v/>
      </c>
      <c r="Q184">
        <f>Table1[[#This Row],[TA 1 - Q1 Bonus]]+Table1[[#This Row],[TA 1 - Q2 Bonus]]+Table1[[#This Row],[TA 1 - Q4 Bonus]]</f>
        <v/>
      </c>
      <c r="R184">
        <f>Table1[[#This Row],[TA 2 - Q1 Score]]+Table1[[#This Row],[TA 2 - Q2 Score]]+Table1[[#This Row],[TA 2 - Q3 Score]]</f>
        <v/>
      </c>
      <c r="S184">
        <f>Table1[[#This Row],[TA 2 - Q1 Bonus]]+Table1[[#This Row],[TA 2 - Q2 Bonus]]+Table1[[#This Row],[TA 2 - Q4 Bonus]]</f>
        <v/>
      </c>
      <c r="T184">
        <f>(Table1[[#This Row],[TA 1 - Total Score (out of 35)]]+Table1[[#This Row],[TA 2 - Total Score (out of 35)]])/2</f>
        <v/>
      </c>
      <c r="U184">
        <f>(Table1[[#This Row],[TA 1 - Total Bonus (out of 13)]]+Table1[[#This Row],[TA 2 - Total Bonus (out of 13)]])/2</f>
        <v/>
      </c>
      <c r="V184">
        <f>Table1[[#This Row],[Average Questions]]/35*20+Table1[[#This Row],[Average Bonus]]/13*5</f>
        <v/>
      </c>
      <c r="W184" t="n">
        <v>8</v>
      </c>
      <c r="X184" t="n">
        <v>0</v>
      </c>
      <c r="Y184" t="inlineStr">
        <is>
          <t>The student completed most tasks correctly but made several minor mistakes. In Part 1, the transforms were mostly correct but the DataLoader batch size was smaller than the reference. In Part 2, the model loading and adaptation were correct. In Part 3, the training and validation loops had a mistake in accuracy calculation due to incorrect handling of labels. In Part 4, the training setup and plotting were correct. The bonus task was not implemented correctly, as the predictions for flipped images were averaged incorrectly.</t>
        </is>
      </c>
      <c r="Z184" t="n">
        <v>8</v>
      </c>
      <c r="AA184" t="n">
        <v>0</v>
      </c>
      <c r="AB184" t="inlineStr">
        <is>
          <t>The student successfully completed most tasks with minor issues. The dataset loading and preparation were mostly correct, with the exception of using 32x32 instead of 128x128 as specified. The CNN model had 5 convolutional layers but used fewer channels compared to the reference solution. Batch normalization was missing. The training and validation loops were implemented correctly, and the model trained and plotted the results accurately. However, the bonus task was not attempted.</t>
        </is>
      </c>
      <c r="AC184" t="n">
        <v>8.5</v>
      </c>
      <c r="AD184" t="inlineStr">
        <is>
          <t>The student's submission demonstrates a good understanding of the tasks but contains minor issues. The dataset class is correctly implemented, and the DataLoaders are set up properly. Sample images and masks are displayed correctly. The model class uses the correct U-Net architecture with the specified encoder. Training and validation loops are implemented with minor syntax issues. The loss and optimizer are defined, and the model trains for the specified number of epochs with printed losses. The loss curve is plotted correctly. Predictions are visualized against ground truth, though the mask visualization could be improved for clarity.</t>
        </is>
      </c>
      <c r="AE184" t="n">
        <v>0</v>
      </c>
      <c r="AF184" t="n">
        <v>0</v>
      </c>
      <c r="AG184" t="inlineStr">
        <is>
          <t>The student's implementation contains several errors. In the `__getitem__` method, the color image is incorrectly retrieved as a tuple, and the grayscale image is not unsqueezed to add the channel dimension. Additionally, the comment in `rgb_to_grayscale` shows multiple incorrect attempts, indicating confusion. These issues prevent the code from running correctly and producing the expected output.</t>
        </is>
      </c>
      <c r="AH184" t="n">
        <v>24.5</v>
      </c>
      <c r="AI184" t="n">
        <v>0</v>
      </c>
    </row>
    <row r="185">
      <c r="A185" t="n">
        <v>184</v>
      </c>
      <c r="B185" t="inlineStr">
        <is>
          <t>TA_4</t>
        </is>
      </c>
      <c r="C185" t="inlineStr">
        <is>
          <t>TA_14</t>
        </is>
      </c>
      <c r="D185" t="n">
        <v>12</v>
      </c>
      <c r="E185" t="n">
        <v>0</v>
      </c>
      <c r="F185" t="n">
        <v>8.5</v>
      </c>
      <c r="G185" t="n">
        <v>0</v>
      </c>
      <c r="H185" t="n">
        <v>12</v>
      </c>
      <c r="I185" t="n">
        <v>0</v>
      </c>
      <c r="J185" t="n">
        <v>10.5</v>
      </c>
      <c r="K185" t="n">
        <v>0</v>
      </c>
      <c r="L185" t="n">
        <v>9</v>
      </c>
      <c r="M185" t="n">
        <v>0</v>
      </c>
      <c r="N185" t="n">
        <v>12</v>
      </c>
      <c r="O185" t="n">
        <v>0</v>
      </c>
      <c r="P185">
        <f>Table1[[#This Row],[TA 1 - Q1 Score]]+Table1[[#This Row],[TA 1 - Q2 Score]]+Table1[[#This Row],[TA 1 - Q3 Score]]</f>
        <v/>
      </c>
      <c r="Q185">
        <f>Table1[[#This Row],[TA 1 - Q1 Bonus]]+Table1[[#This Row],[TA 1 - Q2 Bonus]]+Table1[[#This Row],[TA 1 - Q4 Bonus]]</f>
        <v/>
      </c>
      <c r="R185">
        <f>Table1[[#This Row],[TA 2 - Q1 Score]]+Table1[[#This Row],[TA 2 - Q2 Score]]+Table1[[#This Row],[TA 2 - Q3 Score]]</f>
        <v/>
      </c>
      <c r="S185">
        <f>Table1[[#This Row],[TA 2 - Q1 Bonus]]+Table1[[#This Row],[TA 2 - Q2 Bonus]]+Table1[[#This Row],[TA 2 - Q4 Bonus]]</f>
        <v/>
      </c>
      <c r="T185">
        <f>(Table1[[#This Row],[TA 1 - Total Score (out of 35)]]+Table1[[#This Row],[TA 2 - Total Score (out of 35)]])/2</f>
        <v/>
      </c>
      <c r="U185">
        <f>(Table1[[#This Row],[TA 1 - Total Bonus (out of 13)]]+Table1[[#This Row],[TA 2 - Total Bonus (out of 13)]])/2</f>
        <v/>
      </c>
      <c r="V185">
        <f>Table1[[#This Row],[Average Questions]]/35*20+Table1[[#This Row],[Average Bonus]]/13*5</f>
        <v/>
      </c>
      <c r="W185" t="n">
        <v>5.5</v>
      </c>
      <c r="X185" t="n">
        <v>0</v>
      </c>
      <c r="Y185" t="inlineStr">
        <is>
          <t>The student completed the data loading and preparation with minor issues, such as not normalizing the images. The model loading and adaptation were mostly correct, but all parameters were frozen instead of just the backbone. The training and validation loops had syntax errors and logical mistakes, particularly in handling the model outputs and labels. The plotting of losses and accuracies was not implemented. No bonus task was attempted.</t>
        </is>
      </c>
      <c r="Z185" t="n">
        <v>6</v>
      </c>
      <c r="AA185" t="n">
        <v>0</v>
      </c>
      <c r="AB185" t="inlineStr">
        <is>
          <t>The student partially completed the tasks. They correctly set up the dataset and DataLoaders with the required transformations, including RandomRotation and resizing to 32x32. Sample images were displayed with labels. The CNN model had 5 convolutional layers but used incorrect channel sizes and lacked Batch Normalization. Training and validation loops were implemented correctly, and the model was trained and plotted. However, the bonus task was incorrectly attempted with a U-Net architecture instead of adding a residual connection to the original CNN.</t>
        </is>
      </c>
      <c r="AC185" t="n">
        <v>8.5</v>
      </c>
      <c r="AD185" t="inlineStr">
        <is>
          <t>The student's submission largely follows the reference solution but contains minor issues. Task 1 is mostly correct with a small mistake in displaying images (using permute instead of denormalize). Task 2 correctly defines the U-Net model with the specified encoder. Task 3 implements training and validation loops accurately. Task 4 defines the loss and optimizer correctly, trains the model, and plots the loss curve. Task 5 visualizes predictions but uses grayscale for the predicted mask instead of the tab10 colormap. Overall, the submission is well-structured and runs end-to-end with minor visual discrepancies.</t>
        </is>
      </c>
      <c r="AE185" t="n">
        <v>0</v>
      </c>
      <c r="AF185" t="n">
        <v>0</v>
      </c>
      <c r="AG185" t="inlineStr">
        <is>
          <t>No submission found.</t>
        </is>
      </c>
      <c r="AH185" t="n">
        <v>20</v>
      </c>
      <c r="AI185" t="n">
        <v>0</v>
      </c>
    </row>
    <row r="186">
      <c r="A186" t="n">
        <v>185</v>
      </c>
      <c r="B186" t="inlineStr">
        <is>
          <t>TA_4</t>
        </is>
      </c>
      <c r="C186" t="inlineStr">
        <is>
          <t>TA_14</t>
        </is>
      </c>
      <c r="D186" t="n">
        <v>12</v>
      </c>
      <c r="E186" t="n">
        <v>0</v>
      </c>
      <c r="F186" t="n">
        <v>8.5</v>
      </c>
      <c r="G186" t="n">
        <v>0</v>
      </c>
      <c r="H186" t="n">
        <v>12</v>
      </c>
      <c r="I186" t="n">
        <v>0</v>
      </c>
      <c r="J186" t="n">
        <v>12</v>
      </c>
      <c r="K186" t="n">
        <v>0</v>
      </c>
      <c r="L186" t="n">
        <v>8.5</v>
      </c>
      <c r="M186" t="n">
        <v>0</v>
      </c>
      <c r="N186" t="n">
        <v>12</v>
      </c>
      <c r="O186" t="n">
        <v>0</v>
      </c>
      <c r="P186">
        <f>Table1[[#This Row],[TA 1 - Q1 Score]]+Table1[[#This Row],[TA 1 - Q2 Score]]+Table1[[#This Row],[TA 1 - Q3 Score]]</f>
        <v/>
      </c>
      <c r="Q186">
        <f>Table1[[#This Row],[TA 1 - Q1 Bonus]]+Table1[[#This Row],[TA 1 - Q2 Bonus]]+Table1[[#This Row],[TA 1 - Q4 Bonus]]</f>
        <v/>
      </c>
      <c r="R186">
        <f>Table1[[#This Row],[TA 2 - Q1 Score]]+Table1[[#This Row],[TA 2 - Q2 Score]]+Table1[[#This Row],[TA 2 - Q3 Score]]</f>
        <v/>
      </c>
      <c r="S186">
        <f>Table1[[#This Row],[TA 2 - Q1 Bonus]]+Table1[[#This Row],[TA 2 - Q2 Bonus]]+Table1[[#This Row],[TA 2 - Q4 Bonus]]</f>
        <v/>
      </c>
      <c r="T186">
        <f>(Table1[[#This Row],[TA 1 - Total Score (out of 35)]]+Table1[[#This Row],[TA 2 - Total Score (out of 35)]])/2</f>
        <v/>
      </c>
      <c r="U186">
        <f>(Table1[[#This Row],[TA 1 - Total Bonus (out of 13)]]+Table1[[#This Row],[TA 2 - Total Bonus (out of 13)]])/2</f>
        <v/>
      </c>
      <c r="V186">
        <f>Table1[[#This Row],[Average Questions]]/35*20+Table1[[#This Row],[Average Bonus]]/13*5</f>
        <v/>
      </c>
      <c r="W186" t="n">
        <v>7</v>
      </c>
      <c r="X186" t="n">
        <v>0</v>
      </c>
      <c r="Y186" t="inlineStr">
        <is>
          <t>The student completed most tasks with minor issues. Transforms were correctly defined, and DataLoaders were set up properly. Sample images were displayed, though with hardcoded indices. The pretrained EfficientNetV2-Small model was loaded and adapted, but the student created a custom model class unnecessarily. Training and validation loops were implemented with label fixing, but the training loop used SGD instead of Adam. Training and validation plots were generated. The bonus task was not attempted.</t>
        </is>
      </c>
      <c r="Z186" t="n">
        <v>8.5</v>
      </c>
      <c r="AA186" t="n">
        <v>0</v>
      </c>
      <c r="AB186" t="inlineStr">
        <is>
          <t>The student successfully completed most tasks with minor issues. The data loading and preparation section had correct transformations and displayed sample images. The CNN model was built with 5 convolutional layers and batch normalization, though the number of channels was less than the reference solution. Training and validation functions were implemented correctly, and the model trained without errors. However, the bonus task was not attempted.</t>
        </is>
      </c>
      <c r="AC186" t="n">
        <v>8.5</v>
      </c>
      <c r="AD186" t="inlineStr">
        <is>
          <t>The student's submission demonstrates a good understanding of the tasks but contains some minor issues. The dataset class is correctly implemented, and the data loaders are set up properly. However, the image normalization is missing, which could affect model performance. The model class is correctly defined with the specified encoder. The training and validation loops are implemented correctly, and the loss and optimizer are defined appropriately. The training process runs without errors, and the loss curves are plotted. The predictions are visualized correctly, although the color map used for the predicted masks is grayscale instead of 'tab10'. Overall, the submission is mostly correct but lacks some details that could improve the model's performance.</t>
        </is>
      </c>
      <c r="AE186" t="n">
        <v>0</v>
      </c>
      <c r="AF186" t="n">
        <v>0</v>
      </c>
      <c r="AG186" t="inlineStr">
        <is>
          <t>No submission found.</t>
        </is>
      </c>
      <c r="AH186" t="n">
        <v>24</v>
      </c>
      <c r="AI186" t="n">
        <v>0</v>
      </c>
    </row>
    <row r="187">
      <c r="A187" t="n">
        <v>186</v>
      </c>
      <c r="B187" t="inlineStr">
        <is>
          <t>TA_4</t>
        </is>
      </c>
      <c r="C187" t="inlineStr">
        <is>
          <t>TA_14</t>
        </is>
      </c>
      <c r="D187" t="n">
        <v>12</v>
      </c>
      <c r="E187" t="n">
        <v>0</v>
      </c>
      <c r="F187" t="n">
        <v>9</v>
      </c>
      <c r="G187" t="n">
        <v>0</v>
      </c>
      <c r="H187" t="n">
        <v>4.5</v>
      </c>
      <c r="I187" t="n">
        <v>0</v>
      </c>
      <c r="J187" t="n">
        <v>12</v>
      </c>
      <c r="K187" t="n">
        <v>0</v>
      </c>
      <c r="L187" t="n">
        <v>9</v>
      </c>
      <c r="M187" t="n">
        <v>0</v>
      </c>
      <c r="N187" t="n">
        <v>3</v>
      </c>
      <c r="O187" t="n">
        <v>0</v>
      </c>
      <c r="P187">
        <f>Table1[[#This Row],[TA 1 - Q1 Score]]+Table1[[#This Row],[TA 1 - Q2 Score]]+Table1[[#This Row],[TA 1 - Q3 Score]]</f>
        <v/>
      </c>
      <c r="Q187">
        <f>Table1[[#This Row],[TA 1 - Q1 Bonus]]+Table1[[#This Row],[TA 1 - Q2 Bonus]]+Table1[[#This Row],[TA 1 - Q4 Bonus]]</f>
        <v/>
      </c>
      <c r="R187">
        <f>Table1[[#This Row],[TA 2 - Q1 Score]]+Table1[[#This Row],[TA 2 - Q2 Score]]+Table1[[#This Row],[TA 2 - Q3 Score]]</f>
        <v/>
      </c>
      <c r="S187">
        <f>Table1[[#This Row],[TA 2 - Q1 Bonus]]+Table1[[#This Row],[TA 2 - Q2 Bonus]]+Table1[[#This Row],[TA 2 - Q4 Bonus]]</f>
        <v/>
      </c>
      <c r="T187">
        <f>(Table1[[#This Row],[TA 1 - Total Score (out of 35)]]+Table1[[#This Row],[TA 2 - Total Score (out of 35)]])/2</f>
        <v/>
      </c>
      <c r="U187">
        <f>(Table1[[#This Row],[TA 1 - Total Bonus (out of 13)]]+Table1[[#This Row],[TA 2 - Total Bonus (out of 13)]])/2</f>
        <v/>
      </c>
      <c r="V187">
        <f>Table1[[#This Row],[Average Questions]]/35*20+Table1[[#This Row],[Average Bonus]]/13*5</f>
        <v/>
      </c>
      <c r="W187" t="n">
        <v>10.5</v>
      </c>
      <c r="X187" t="n">
        <v>0</v>
      </c>
      <c r="Y187" t="inlineStr">
        <is>
          <t>The student completed most tasks correctly. The data loading and preparation were mostly accurate, with minor issues in displaying images. The model loading and adaptation were correct, though the backbone freezing was incomplete. The training and validation loops were implemented properly, with label fixing applied. However, the bonus task was not attempted.</t>
        </is>
      </c>
      <c r="Z187" t="n">
        <v>8</v>
      </c>
      <c r="AA187" t="n">
        <v>0</v>
      </c>
      <c r="AB187" t="inlineStr">
        <is>
          <t>The student successfully completed most tasks with minor issues. The data loading and preparation section had a discrepancy in the resize dimensions between training and validation transforms, but the overall approach was correct. The CNN model had 5 convolutional layers and used ReLU activations, but the number of channels and fully connected layer sizes were different from the reference solution. The training and validation loops were implemented correctly, and the model trained and plotted the loss and accuracy curves without issues. However, the bonus task was not attempted.</t>
        </is>
      </c>
      <c r="AC187" t="n">
        <v>2</v>
      </c>
      <c r="AD187" t="inlineStr">
        <is>
          <t>The student attempted most tasks but made significant errors. In Task 1, the dataset paths were incorrectly assigned, and the dataset class was partially implemented. Task 2 used the wrong encoder ('resnet34' instead of 'efficientnet-b1'). Task 3 had incomplete training and validation loops with incorrect data types for masks. Task 4 used an inappropriate loss function (BCEWithLogitsLoss) for multi-class segmentation. Task 5 was not completed, and the visualization code was incorrect.</t>
        </is>
      </c>
      <c r="AE187" t="n">
        <v>0</v>
      </c>
      <c r="AF187" t="n">
        <v>0</v>
      </c>
      <c r="AG187" t="inlineStr">
        <is>
          <t>No submission found.</t>
        </is>
      </c>
      <c r="AH187" t="n">
        <v>20.5</v>
      </c>
      <c r="AI187" t="n">
        <v>0</v>
      </c>
    </row>
    <row r="188">
      <c r="A188" t="n">
        <v>187</v>
      </c>
      <c r="B188" t="inlineStr">
        <is>
          <t>TA_4</t>
        </is>
      </c>
      <c r="C188" t="inlineStr">
        <is>
          <t>TA_14</t>
        </is>
      </c>
      <c r="D188" t="n">
        <v>6</v>
      </c>
      <c r="E188" t="n">
        <v>0</v>
      </c>
      <c r="F188" t="n">
        <v>8.5</v>
      </c>
      <c r="G188" t="n">
        <v>0</v>
      </c>
      <c r="H188" t="n">
        <v>8</v>
      </c>
      <c r="I188" t="n">
        <v>0</v>
      </c>
      <c r="J188" t="n">
        <v>5</v>
      </c>
      <c r="K188" t="n">
        <v>0</v>
      </c>
      <c r="L188" t="n">
        <v>9</v>
      </c>
      <c r="M188" t="n">
        <v>0</v>
      </c>
      <c r="N188" t="n">
        <v>6.5</v>
      </c>
      <c r="O188" t="n">
        <v>0</v>
      </c>
      <c r="P188">
        <f>Table1[[#This Row],[TA 1 - Q1 Score]]+Table1[[#This Row],[TA 1 - Q2 Score]]+Table1[[#This Row],[TA 1 - Q3 Score]]</f>
        <v/>
      </c>
      <c r="Q188">
        <f>Table1[[#This Row],[TA 1 - Q1 Bonus]]+Table1[[#This Row],[TA 1 - Q2 Bonus]]+Table1[[#This Row],[TA 1 - Q4 Bonus]]</f>
        <v/>
      </c>
      <c r="R188">
        <f>Table1[[#This Row],[TA 2 - Q1 Score]]+Table1[[#This Row],[TA 2 - Q2 Score]]+Table1[[#This Row],[TA 2 - Q3 Score]]</f>
        <v/>
      </c>
      <c r="S188">
        <f>Table1[[#This Row],[TA 2 - Q1 Bonus]]+Table1[[#This Row],[TA 2 - Q2 Bonus]]+Table1[[#This Row],[TA 2 - Q4 Bonus]]</f>
        <v/>
      </c>
      <c r="T188">
        <f>(Table1[[#This Row],[TA 1 - Total Score (out of 35)]]+Table1[[#This Row],[TA 2 - Total Score (out of 35)]])/2</f>
        <v/>
      </c>
      <c r="U188">
        <f>(Table1[[#This Row],[TA 1 - Total Bonus (out of 13)]]+Table1[[#This Row],[TA 2 - Total Bonus (out of 13)]])/2</f>
        <v/>
      </c>
      <c r="V188">
        <f>Table1[[#This Row],[Average Questions]]/35*20+Table1[[#This Row],[Average Bonus]]/13*5</f>
        <v/>
      </c>
      <c r="W188" t="n">
        <v>4</v>
      </c>
      <c r="X188" t="n">
        <v>0</v>
      </c>
      <c r="Y188" t="inlineStr">
        <is>
          <t>The student partially completed several tasks but made significant errors. The transforms were mostly correct but included an incorrect SubtractOne module instead of adjusting labels within the training and validation loops. DataLoaders were created but with incorrect batch sizes and unnecessary parameters. Sample images were displayed incorrectly due to improper indexing and normalization issues. The model was loaded and modified, but the classifier head was incorrectly set to 1 output class instead of 26. Training and validation loops were implemented with logical errors, including unnecessary softmax operations. No bonus task was attempted.</t>
        </is>
      </c>
      <c r="Z188" t="n">
        <v>7</v>
      </c>
      <c r="AA188" t="n">
        <v>0</v>
      </c>
      <c r="AB188" t="inlineStr">
        <is>
          <t>The student successfully loaded and prepared the data with the correct transformations and displayed sample images. However, the CNN model has only 5 convolutional layers but does not include batch normalization, resulting in partial credit. The training and validation loops are implemented correctly, and the model is trained and plotted. The bonus task was not attempted.</t>
        </is>
      </c>
      <c r="AC188" t="n">
        <v>5</v>
      </c>
      <c r="AD188" t="inlineStr">
        <is>
          <t>The student attempted most tasks but made several mistakes. In Task 1, the dataset class incorrectly collects paths and has a typo in the mask collection. The DataLoader creation uses the same dataset for both train and test, which is incorrect. Task 2 defines the model with the wrong number of classes (7 instead of 8) and uses the wrong encoder ('efficientnet-b1' instead of 'efficientnet-b0'). Task 3 and Task 4 contain mostly correct code with minor issues like squeezing the mask tensor. Task 5 visualizes predictions but incorrectly converts the predicted mask to binary, which is not suitable for multi-class segmentation.</t>
        </is>
      </c>
      <c r="AE188" t="n">
        <v>0</v>
      </c>
      <c r="AF188" t="n">
        <v>0</v>
      </c>
      <c r="AG188" t="inlineStr">
        <is>
          <t>No submission found.</t>
        </is>
      </c>
      <c r="AH188" t="n">
        <v>16</v>
      </c>
      <c r="AI188" t="n">
        <v>0</v>
      </c>
    </row>
    <row r="189">
      <c r="A189" t="n">
        <v>188</v>
      </c>
      <c r="B189" t="inlineStr">
        <is>
          <t>TA_4</t>
        </is>
      </c>
      <c r="C189" t="inlineStr">
        <is>
          <t>TA_14</t>
        </is>
      </c>
      <c r="D189" t="n">
        <v>10.5</v>
      </c>
      <c r="E189" t="n">
        <v>0</v>
      </c>
      <c r="F189" t="n">
        <v>11</v>
      </c>
      <c r="G189" t="n">
        <v>0</v>
      </c>
      <c r="H189" t="n">
        <v>12</v>
      </c>
      <c r="I189" t="n">
        <v>0</v>
      </c>
      <c r="J189" t="n">
        <v>10.5</v>
      </c>
      <c r="K189" t="n">
        <v>0</v>
      </c>
      <c r="L189" t="n">
        <v>10.25</v>
      </c>
      <c r="M189" t="n">
        <v>0</v>
      </c>
      <c r="N189" t="n">
        <v>12</v>
      </c>
      <c r="O189" t="n">
        <v>0</v>
      </c>
      <c r="P189">
        <f>Table1[[#This Row],[TA 1 - Q1 Score]]+Table1[[#This Row],[TA 1 - Q2 Score]]+Table1[[#This Row],[TA 1 - Q3 Score]]</f>
        <v/>
      </c>
      <c r="Q189">
        <f>Table1[[#This Row],[TA 1 - Q1 Bonus]]+Table1[[#This Row],[TA 1 - Q2 Bonus]]+Table1[[#This Row],[TA 1 - Q4 Bonus]]</f>
        <v/>
      </c>
      <c r="R189">
        <f>Table1[[#This Row],[TA 2 - Q1 Score]]+Table1[[#This Row],[TA 2 - Q2 Score]]+Table1[[#This Row],[TA 2 - Q3 Score]]</f>
        <v/>
      </c>
      <c r="S189">
        <f>Table1[[#This Row],[TA 2 - Q1 Bonus]]+Table1[[#This Row],[TA 2 - Q2 Bonus]]+Table1[[#This Row],[TA 2 - Q4 Bonus]]</f>
        <v/>
      </c>
      <c r="T189">
        <f>(Table1[[#This Row],[TA 1 - Total Score (out of 35)]]+Table1[[#This Row],[TA 2 - Total Score (out of 35)]])/2</f>
        <v/>
      </c>
      <c r="U189">
        <f>(Table1[[#This Row],[TA 1 - Total Bonus (out of 13)]]+Table1[[#This Row],[TA 2 - Total Bonus (out of 13)]])/2</f>
        <v/>
      </c>
      <c r="V189">
        <f>Table1[[#This Row],[Average Questions]]/35*20+Table1[[#This Row],[Average Bonus]]/13*5</f>
        <v/>
      </c>
      <c r="W189" t="n">
        <v>7.5</v>
      </c>
      <c r="X189" t="n">
        <v>0</v>
      </c>
      <c r="Y189" t="inlineStr">
        <is>
          <t>The student completed most tasks with minor issues. Transforms were correctly defined, and DataLoaders were set up properly. Sample images were displayed, though with hardcoded indices. The model was loaded and adapted correctly, but the wrong model name was used initially. Training and validation loops were implemented with a small mistake in the output squeezing. The device was set to CPU unnecessarily. No bonus task was attempted.</t>
        </is>
      </c>
      <c r="Z189" t="n">
        <v>8</v>
      </c>
      <c r="AA189" t="n">
        <v>0</v>
      </c>
      <c r="AB189" t="inlineStr">
        <is>
          <t>The student implemented a custom dataset class, created train/test datasets and DataLoaders, applied the required transformations, and displayed sample images with labels, earning full marks for Part 1. In Part 2, the CNN model has 5 convolutional layers with batch normalization, but the number of channels and fully connected layer sizes differ from the reference solution, earning full marks. The training and validation loops are correctly implemented in Part 3. However, the model was trained for only 2 epochs instead of 10, affecting the performance metrics in Part 4. No bonus task was attempted.</t>
        </is>
      </c>
      <c r="AC189" t="n">
        <v>8</v>
      </c>
      <c r="AD189" t="inlineStr">
        <is>
          <t>The student's submission contains mostly correct code with minor issues. Task 1 is partially correct with a few missing details in the dataset class initialization and image display. Task 2 is correct with the specified U-Net model. Task 3 is mostly correct with a small mistake in the validation loop. Task 4 is mostly correct with a different learning rate and optimizer, but the logic is sound. Task 5 is correct with proper visualization of predictions.</t>
        </is>
      </c>
      <c r="AE189" t="n">
        <v>0</v>
      </c>
      <c r="AF189" t="n">
        <v>0</v>
      </c>
      <c r="AG189" t="inlineStr">
        <is>
          <t>No submission found.</t>
        </is>
      </c>
      <c r="AH189" t="n">
        <v>23.5</v>
      </c>
      <c r="AI189" t="n">
        <v>0</v>
      </c>
    </row>
    <row r="190">
      <c r="A190" t="n">
        <v>189</v>
      </c>
      <c r="B190" t="inlineStr">
        <is>
          <t>TA_4</t>
        </is>
      </c>
      <c r="C190" t="inlineStr">
        <is>
          <t>TA_14</t>
        </is>
      </c>
      <c r="D190" t="n">
        <v>12</v>
      </c>
      <c r="E190" t="n">
        <v>4</v>
      </c>
      <c r="F190" t="n">
        <v>11</v>
      </c>
      <c r="G190" t="n">
        <v>0</v>
      </c>
      <c r="H190" t="n">
        <v>0</v>
      </c>
      <c r="I190" t="n">
        <v>0</v>
      </c>
      <c r="J190" t="n">
        <v>12</v>
      </c>
      <c r="K190" t="n">
        <v>4</v>
      </c>
      <c r="L190" t="n">
        <v>10.5</v>
      </c>
      <c r="M190" t="n">
        <v>0</v>
      </c>
      <c r="N190" t="n">
        <v>0</v>
      </c>
      <c r="O190" t="n">
        <v>0</v>
      </c>
      <c r="P190">
        <f>Table1[[#This Row],[TA 1 - Q1 Score]]+Table1[[#This Row],[TA 1 - Q2 Score]]+Table1[[#This Row],[TA 1 - Q3 Score]]</f>
        <v/>
      </c>
      <c r="Q190">
        <f>Table1[[#This Row],[TA 1 - Q1 Bonus]]+Table1[[#This Row],[TA 1 - Q2 Bonus]]+Table1[[#This Row],[TA 1 - Q4 Bonus]]</f>
        <v/>
      </c>
      <c r="R190">
        <f>Table1[[#This Row],[TA 2 - Q1 Score]]+Table1[[#This Row],[TA 2 - Q2 Score]]+Table1[[#This Row],[TA 2 - Q3 Score]]</f>
        <v/>
      </c>
      <c r="S190">
        <f>Table1[[#This Row],[TA 2 - Q1 Bonus]]+Table1[[#This Row],[TA 2 - Q2 Bonus]]+Table1[[#This Row],[TA 2 - Q4 Bonus]]</f>
        <v/>
      </c>
      <c r="T190">
        <f>(Table1[[#This Row],[TA 1 - Total Score (out of 35)]]+Table1[[#This Row],[TA 2 - Total Score (out of 35)]])/2</f>
        <v/>
      </c>
      <c r="U190">
        <f>(Table1[[#This Row],[TA 1 - Total Bonus (out of 13)]]+Table1[[#This Row],[TA 2 - Total Bonus (out of 13)]])/2</f>
        <v/>
      </c>
      <c r="V190">
        <f>Table1[[#This Row],[Average Questions]]/35*20+Table1[[#This Row],[Average Bonus]]/13*5</f>
        <v/>
      </c>
      <c r="W190" t="n">
        <v>10.5</v>
      </c>
      <c r="X190" t="n">
        <v>4</v>
      </c>
      <c r="Y190" t="inlineStr">
        <is>
          <t>The student completed all base tasks with minor issues. In Part 1, the transforms were correctly implemented. In Part 2, the model was loaded and adapted properly. In Part 3, the training and validation loops were correct, and the label fix was applied. In Part 4, the model was set up and trained, and the plots were generated. For the bonus task, the student correctly implemented test time augmentation, averaging predictions from original, horizontally flipped, and vertically flipped images.</t>
        </is>
      </c>
      <c r="Z190" t="n">
        <v>8</v>
      </c>
      <c r="AA190" t="n">
        <v>0</v>
      </c>
      <c r="AB190" t="inlineStr">
        <is>
          <t>The student successfully completed most tasks with minor issues. The dataset loading and preparation were mostly correct, but the test dataset was incorrectly loaded from the training directory instead of the test directory. The CNN model was built with 5 convolutional layers and batch normalization, earning full points. The training and validation loops were implemented correctly, and the model was trained and plotted accurately. However, the bonus task was not attempted.</t>
        </is>
      </c>
      <c r="AC190" t="n">
        <v>0</v>
      </c>
      <c r="AD190" t="inlineStr">
        <is>
          <t>The student did not provide any code for Tasks 1 through 5. The submission is incomplete and lacks any implementation for the required tasks, resulting in a score of 0.</t>
        </is>
      </c>
      <c r="AE190" t="n">
        <v>0</v>
      </c>
      <c r="AF190" t="n">
        <v>0</v>
      </c>
      <c r="AG190" t="inlineStr">
        <is>
          <t>No submission found.</t>
        </is>
      </c>
      <c r="AH190" t="n">
        <v>18.5</v>
      </c>
      <c r="AI190" t="n">
        <v>4</v>
      </c>
    </row>
    <row r="191">
      <c r="A191" t="n">
        <v>190</v>
      </c>
      <c r="B191" t="inlineStr">
        <is>
          <t>TA_4</t>
        </is>
      </c>
      <c r="C191" t="inlineStr">
        <is>
          <t>TA_14</t>
        </is>
      </c>
      <c r="D191" t="n">
        <v>12</v>
      </c>
      <c r="E191" t="n">
        <v>4</v>
      </c>
      <c r="F191" t="n">
        <v>10.5</v>
      </c>
      <c r="G191" t="n">
        <v>0</v>
      </c>
      <c r="H191" t="n">
        <v>12</v>
      </c>
      <c r="I191" t="n">
        <v>0</v>
      </c>
      <c r="J191" t="n">
        <v>11.5</v>
      </c>
      <c r="K191" t="n">
        <v>2</v>
      </c>
      <c r="L191" t="n">
        <v>10.25</v>
      </c>
      <c r="M191" t="n">
        <v>0</v>
      </c>
      <c r="N191" t="n">
        <v>11</v>
      </c>
      <c r="O191" t="n">
        <v>0</v>
      </c>
      <c r="P191">
        <f>Table1[[#This Row],[TA 1 - Q1 Score]]+Table1[[#This Row],[TA 1 - Q2 Score]]+Table1[[#This Row],[TA 1 - Q3 Score]]</f>
        <v/>
      </c>
      <c r="Q191">
        <f>Table1[[#This Row],[TA 1 - Q1 Bonus]]+Table1[[#This Row],[TA 1 - Q2 Bonus]]+Table1[[#This Row],[TA 1 - Q4 Bonus]]</f>
        <v/>
      </c>
      <c r="R191">
        <f>Table1[[#This Row],[TA 2 - Q1 Score]]+Table1[[#This Row],[TA 2 - Q2 Score]]+Table1[[#This Row],[TA 2 - Q3 Score]]</f>
        <v/>
      </c>
      <c r="S191">
        <f>Table1[[#This Row],[TA 2 - Q1 Bonus]]+Table1[[#This Row],[TA 2 - Q2 Bonus]]+Table1[[#This Row],[TA 2 - Q4 Bonus]]</f>
        <v/>
      </c>
      <c r="T191">
        <f>(Table1[[#This Row],[TA 1 - Total Score (out of 35)]]+Table1[[#This Row],[TA 2 - Total Score (out of 35)]])/2</f>
        <v/>
      </c>
      <c r="U191">
        <f>(Table1[[#This Row],[TA 1 - Total Bonus (out of 13)]]+Table1[[#This Row],[TA 2 - Total Bonus (out of 13)]])/2</f>
        <v/>
      </c>
      <c r="V191">
        <f>Table1[[#This Row],[Average Questions]]/35*20+Table1[[#This Row],[Average Bonus]]/13*5</f>
        <v/>
      </c>
      <c r="W191" t="n">
        <v>10.5</v>
      </c>
      <c r="X191" t="n">
        <v>3</v>
      </c>
      <c r="Y191" t="inlineStr">
        <is>
          <t>The student successfully completed most tasks with minor issues. The data loading and preparation were correct, including the necessary transformations and displaying sample images. The pretrained EfficientNetV2-Small model was loaded and adapted properly, with the backbone frozen and the classifier head replaced. The training and validation loops were implemented correctly, with label adjustments made. However, the student did not plot the training and validation losses and accuracies, resulting in a deduction. The bonus task for Test Time Augmentation was partially correct, with the horizontal and vertical flips implemented, but the labels were not adjusted, leading to a partial score.</t>
        </is>
      </c>
      <c r="Z191" t="n">
        <v>8.5</v>
      </c>
      <c r="AA191" t="n">
        <v>0</v>
      </c>
      <c r="AB191" t="inlineStr">
        <is>
          <t>The student successfully completed most tasks with minor issues. The dataset loading and preparation were mostly correct, though the dataset split used random_split instead of separate train and test directories. The CNN model had 5 convolutional layers with batch normalization, but the number of channels was different from the reference solution. The training and validation loops were implemented correctly, and the model trained and plotted losses and accuracies. However, the bonus task was not attempted.</t>
        </is>
      </c>
      <c r="AC191" t="n">
        <v>10</v>
      </c>
      <c r="AD191" t="inlineStr">
        <is>
          <t>The student's submission is mostly correct and runs end-to-end. The dataset class is implemented correctly with proper data loading and transformations. DataLoaders are created and used appropriately. Sample images and masks are displayed correctly. The U-Net model with efficientnet-b0 encoder is defined and initialized properly. Training and validation loops are implemented with minor issues, such as using AdamW instead of Adam for optimization. Losses are printed and plotted correctly. Predictions are visualized against ground truth masks. The only significant issue is the use of AdamW optimizer instead of Adam, which slightly deviates from the reference solution.</t>
        </is>
      </c>
      <c r="AE191" t="n">
        <v>0</v>
      </c>
      <c r="AF191" t="n">
        <v>0</v>
      </c>
      <c r="AG191" t="inlineStr">
        <is>
          <t>No submission found.</t>
        </is>
      </c>
      <c r="AH191" t="n">
        <v>29</v>
      </c>
      <c r="AI191" t="n">
        <v>3</v>
      </c>
    </row>
    <row r="192">
      <c r="A192" t="n">
        <v>191</v>
      </c>
      <c r="B192" t="inlineStr">
        <is>
          <t>TA_4</t>
        </is>
      </c>
      <c r="C192" t="inlineStr">
        <is>
          <t>TA_14</t>
        </is>
      </c>
      <c r="D192" t="n">
        <v>12</v>
      </c>
      <c r="E192" t="n">
        <v>0</v>
      </c>
      <c r="F192" t="n">
        <v>11</v>
      </c>
      <c r="G192" t="n">
        <v>0</v>
      </c>
      <c r="H192" t="n">
        <v>6</v>
      </c>
      <c r="I192" t="n">
        <v>0</v>
      </c>
      <c r="J192" t="n">
        <v>12</v>
      </c>
      <c r="K192" t="n">
        <v>0</v>
      </c>
      <c r="L192" t="n">
        <v>11</v>
      </c>
      <c r="M192" t="n">
        <v>0</v>
      </c>
      <c r="N192" t="n">
        <v>4</v>
      </c>
      <c r="O192" t="n">
        <v>0</v>
      </c>
      <c r="P192">
        <f>Table1[[#This Row],[TA 1 - Q1 Score]]+Table1[[#This Row],[TA 1 - Q2 Score]]+Table1[[#This Row],[TA 1 - Q3 Score]]</f>
        <v/>
      </c>
      <c r="Q192">
        <f>Table1[[#This Row],[TA 1 - Q1 Bonus]]+Table1[[#This Row],[TA 1 - Q2 Bonus]]+Table1[[#This Row],[TA 1 - Q4 Bonus]]</f>
        <v/>
      </c>
      <c r="R192">
        <f>Table1[[#This Row],[TA 2 - Q1 Score]]+Table1[[#This Row],[TA 2 - Q2 Score]]+Table1[[#This Row],[TA 2 - Q3 Score]]</f>
        <v/>
      </c>
      <c r="S192">
        <f>Table1[[#This Row],[TA 2 - Q1 Bonus]]+Table1[[#This Row],[TA 2 - Q2 Bonus]]+Table1[[#This Row],[TA 2 - Q4 Bonus]]</f>
        <v/>
      </c>
      <c r="T192">
        <f>(Table1[[#This Row],[TA 1 - Total Score (out of 35)]]+Table1[[#This Row],[TA 2 - Total Score (out of 35)]])/2</f>
        <v/>
      </c>
      <c r="U192">
        <f>(Table1[[#This Row],[TA 1 - Total Bonus (out of 13)]]+Table1[[#This Row],[TA 2 - Total Bonus (out of 13)]])/2</f>
        <v/>
      </c>
      <c r="V192">
        <f>Table1[[#This Row],[Average Questions]]/35*20+Table1[[#This Row],[Average Bonus]]/13*5</f>
        <v/>
      </c>
      <c r="W192" t="n">
        <v>8.5</v>
      </c>
      <c r="X192" t="n">
        <v>0</v>
      </c>
      <c r="Y192" t="inlineStr">
        <is>
          <t>The student completed most tasks correctly but made several minor mistakes. In Part 1, the DataLoader shuffle parameter was initially set to False, which was corrected later. In Part 2, the model freezing logic was incorrect; the student froze the entire model instead of just the backbone. In Part 3, the training and validation loops had logical errors in calculating loss and accuracy. In Part 4, the number of epochs was reduced to 3, and the plots were generated correctly. No bonus tasks were attempted.</t>
        </is>
      </c>
      <c r="Z192" t="n">
        <v>7</v>
      </c>
      <c r="AA192" t="n">
        <v>0</v>
      </c>
      <c r="AB192" t="inlineStr">
        <is>
          <t>The student implemented a custom dataset class and used appropriate transformations, achieving full marks for Part 1. The CNN model has 5 convolutional layers with batch normalization, earning full marks for Part 2. The training and validation loops are correctly defined, scoring full marks for Part 3. However, the student trained the model for only 3 epochs instead of 10, resulting in partial credit for Part 4. The bonus task was not completed as the residual connection implementation was incorrect and the model was not retrained or plotted.</t>
        </is>
      </c>
      <c r="AC192" t="n">
        <v>2</v>
      </c>
      <c r="AD192" t="inlineStr">
        <is>
          <t>The student attempted most tasks but made significant errors. The dataset class is partially implemented but relies on a non-existent CSV file for paths. The model class incorrectly sets the number of classes to 1 instead of 8. The training and validation loops use BCEWithLogitsLoss, which is inappropriate for multi-class segmentation. The loss plotting is correct, but the overall implementation does not run due to these issues.</t>
        </is>
      </c>
      <c r="AE192" t="n">
        <v>0</v>
      </c>
      <c r="AF192" t="n">
        <v>0</v>
      </c>
      <c r="AG192" t="inlineStr">
        <is>
          <t>The student did not implement any of the required methods in the `ColorizationDataset` class. The `__init__`, `__len__`, `rgb_to_grayscale`, and `__getitem__` methods were left unimplemented with only placeholder comments. As a result, the code does not run and fails to produce the expected output.</t>
        </is>
      </c>
      <c r="AH192" t="n">
        <v>17.5</v>
      </c>
      <c r="AI192" t="n">
        <v>0</v>
      </c>
    </row>
    <row r="193">
      <c r="A193" t="n">
        <v>192</v>
      </c>
      <c r="B193" t="inlineStr">
        <is>
          <t>TA_4</t>
        </is>
      </c>
      <c r="C193" t="inlineStr">
        <is>
          <t>TA_14</t>
        </is>
      </c>
      <c r="D193" t="n">
        <v>10</v>
      </c>
      <c r="E193" t="n">
        <v>0</v>
      </c>
      <c r="F193" t="n">
        <v>11</v>
      </c>
      <c r="G193" t="n">
        <v>0</v>
      </c>
      <c r="H193" t="n">
        <v>12</v>
      </c>
      <c r="I193" t="n">
        <v>0</v>
      </c>
      <c r="J193" t="n">
        <v>10</v>
      </c>
      <c r="K193" t="n">
        <v>0</v>
      </c>
      <c r="L193" t="n">
        <v>9</v>
      </c>
      <c r="M193" t="n">
        <v>0</v>
      </c>
      <c r="N193" t="n">
        <v>12</v>
      </c>
      <c r="O193" t="n">
        <v>0</v>
      </c>
      <c r="P193">
        <f>Table1[[#This Row],[TA 1 - Q1 Score]]+Table1[[#This Row],[TA 1 - Q2 Score]]+Table1[[#This Row],[TA 1 - Q3 Score]]</f>
        <v/>
      </c>
      <c r="Q193">
        <f>Table1[[#This Row],[TA 1 - Q1 Bonus]]+Table1[[#This Row],[TA 1 - Q2 Bonus]]+Table1[[#This Row],[TA 1 - Q4 Bonus]]</f>
        <v/>
      </c>
      <c r="R193">
        <f>Table1[[#This Row],[TA 2 - Q1 Score]]+Table1[[#This Row],[TA 2 - Q2 Score]]+Table1[[#This Row],[TA 2 - Q3 Score]]</f>
        <v/>
      </c>
      <c r="S193">
        <f>Table1[[#This Row],[TA 2 - Q1 Bonus]]+Table1[[#This Row],[TA 2 - Q2 Bonus]]+Table1[[#This Row],[TA 2 - Q4 Bonus]]</f>
        <v/>
      </c>
      <c r="T193">
        <f>(Table1[[#This Row],[TA 1 - Total Score (out of 35)]]+Table1[[#This Row],[TA 2 - Total Score (out of 35)]])/2</f>
        <v/>
      </c>
      <c r="U193">
        <f>(Table1[[#This Row],[TA 1 - Total Bonus (out of 13)]]+Table1[[#This Row],[TA 2 - Total Bonus (out of 13)]])/2</f>
        <v/>
      </c>
      <c r="V193">
        <f>Table1[[#This Row],[Average Questions]]/35*20+Table1[[#This Row],[Average Bonus]]/13*5</f>
        <v/>
      </c>
      <c r="W193" t="n">
        <v>5.5</v>
      </c>
      <c r="X193" t="n">
        <v>0</v>
      </c>
      <c r="Y193" t="inlineStr">
        <is>
          <t>The student completed the data loading and transformation correctly, including resizing, converting to tensor, and normalizing. However, there were issues in creating and displaying sample images. The model loading and adaptation were mostly correct, but the student froze all parameters instead of just the backbone. The training and validation loops had syntax errors, particularly with the `.squeeze()` method, which is unnecessary and causes errors. The student did not plot the training and validation losses or accuracies. No bonus task was attempted.</t>
        </is>
      </c>
      <c r="Z193" t="n">
        <v>7</v>
      </c>
      <c r="AA193" t="n">
        <v>0</v>
      </c>
      <c r="AB193" t="inlineStr">
        <is>
          <t>The student partially completed the tasks. They correctly set up the data loaders with the specified transformations, including RandomRotation and resizing to 32x32. However, they used the wrong directory for the test set, pointing to the training set instead. The CNN model was defined with 5 convolutional layers and batch normalization, but the fully connected layer dimensions were incorrect for the input size. The training and validation loops were implemented correctly, and the loss and accuracy plots were generated. The bonus task was not attempted.</t>
        </is>
      </c>
      <c r="AC193" t="n">
        <v>8.5</v>
      </c>
      <c r="AD193" t="inlineStr">
        <is>
          <t>The student's submission mostly follows the reference solution but contains some minor issues. In Task 1, the dataset class is implemented correctly, but the file extensions in the glob pattern are incorrect (should be '.jpg' and '.png'). The DataLoader setup and sample display are correct. In Task 2, the model is defined with the correct encoder ('efficientnet-b1'), but the device is set to 'cpu' instead of using CUDA if available. In Task 3, both training and validation loops are implemented correctly. In Task 4, the loss and optimizer are defined, and the model trains for 10 epochs with loss printed and plotted. In Task 5, predictions are visualized correctly, but the colormap used for predicted masks is grayscale instead of 'tab10'.</t>
        </is>
      </c>
      <c r="AE193" t="n">
        <v>0</v>
      </c>
      <c r="AF193" t="n">
        <v>0</v>
      </c>
      <c r="AG193" t="inlineStr">
        <is>
          <t>No submission found.</t>
        </is>
      </c>
      <c r="AH193" t="n">
        <v>21</v>
      </c>
      <c r="AI193" t="n">
        <v>0</v>
      </c>
    </row>
    <row r="194">
      <c r="A194" t="n">
        <v>193</v>
      </c>
      <c r="B194" t="inlineStr">
        <is>
          <t>TA_4</t>
        </is>
      </c>
      <c r="C194" t="inlineStr">
        <is>
          <t>TA_14</t>
        </is>
      </c>
      <c r="D194" t="n">
        <v>9.5</v>
      </c>
      <c r="E194" t="n">
        <v>0</v>
      </c>
      <c r="F194" t="n">
        <v>8.5</v>
      </c>
      <c r="G194" t="n">
        <v>0</v>
      </c>
      <c r="H194" t="n">
        <v>8.75</v>
      </c>
      <c r="I194" t="n">
        <v>0</v>
      </c>
      <c r="J194" t="n">
        <v>9.5</v>
      </c>
      <c r="K194" t="n">
        <v>0</v>
      </c>
      <c r="L194" t="n">
        <v>9</v>
      </c>
      <c r="M194" t="n">
        <v>0</v>
      </c>
      <c r="N194" t="n">
        <v>7.5</v>
      </c>
      <c r="O194" t="n">
        <v>0</v>
      </c>
      <c r="P194">
        <f>Table1[[#This Row],[TA 1 - Q1 Score]]+Table1[[#This Row],[TA 1 - Q2 Score]]+Table1[[#This Row],[TA 1 - Q3 Score]]</f>
        <v/>
      </c>
      <c r="Q194">
        <f>Table1[[#This Row],[TA 1 - Q1 Bonus]]+Table1[[#This Row],[TA 1 - Q2 Bonus]]+Table1[[#This Row],[TA 1 - Q4 Bonus]]</f>
        <v/>
      </c>
      <c r="R194">
        <f>Table1[[#This Row],[TA 2 - Q1 Score]]+Table1[[#This Row],[TA 2 - Q2 Score]]+Table1[[#This Row],[TA 2 - Q3 Score]]</f>
        <v/>
      </c>
      <c r="S194">
        <f>Table1[[#This Row],[TA 2 - Q1 Bonus]]+Table1[[#This Row],[TA 2 - Q2 Bonus]]+Table1[[#This Row],[TA 2 - Q4 Bonus]]</f>
        <v/>
      </c>
      <c r="T194">
        <f>(Table1[[#This Row],[TA 1 - Total Score (out of 35)]]+Table1[[#This Row],[TA 2 - Total Score (out of 35)]])/2</f>
        <v/>
      </c>
      <c r="U194">
        <f>(Table1[[#This Row],[TA 1 - Total Bonus (out of 13)]]+Table1[[#This Row],[TA 2 - Total Bonus (out of 13)]])/2</f>
        <v/>
      </c>
      <c r="V194">
        <f>Table1[[#This Row],[Average Questions]]/35*20+Table1[[#This Row],[Average Bonus]]/13*5</f>
        <v/>
      </c>
      <c r="W194" t="n">
        <v>8.5</v>
      </c>
      <c r="X194" t="n">
        <v>0</v>
      </c>
      <c r="Y194" t="inlineStr">
        <is>
          <t>The student completed most tasks correctly, including defining transforms, creating DataLoaders, loading and adapting the pretrained model, and implementing training and validation loops. However, the student did not display sample images, used a different batch size and number of workers for DataLoaders, and trained for fewer epochs. The bonus task was not attempted.</t>
        </is>
      </c>
      <c r="Z194" t="n">
        <v>8.5</v>
      </c>
      <c r="AA194" t="n">
        <v>0</v>
      </c>
      <c r="AB194" t="inlineStr">
        <is>
          <t>The student successfully loaded and prepared the data with correct transformations and displayed sample images. The CNN model has 5 convolutional layers but does not include batch normalization, earning partial credit. Both training and validation functions are implemented correctly. The model is trained and plotted with losses and accuracies. However, the bonus task for adding a residual connection was not completed.</t>
        </is>
      </c>
      <c r="AC194" t="n">
        <v>5</v>
      </c>
      <c r="AD194" t="inlineStr">
        <is>
          <t>The student attempted most tasks but made several mistakes. The dataset class and DataLoaders were partially correct but had issues with mask paths and transformations. The model class was correctly defined, but the training and validation loops contained errors, such as incorrect loss computation and shape mismatches. The training process was initiated, but the loss plotting and prediction visualization were not implemented.</t>
        </is>
      </c>
      <c r="AE194" t="n">
        <v>0</v>
      </c>
      <c r="AF194" t="n">
        <v>0</v>
      </c>
      <c r="AG194" t="inlineStr">
        <is>
          <t>No submission found.</t>
        </is>
      </c>
      <c r="AH194" t="n">
        <v>22</v>
      </c>
      <c r="AI194" t="n">
        <v>0</v>
      </c>
    </row>
    <row r="195">
      <c r="A195" t="n">
        <v>194</v>
      </c>
      <c r="B195" t="inlineStr">
        <is>
          <t>TA_4</t>
        </is>
      </c>
      <c r="C195" t="inlineStr">
        <is>
          <t>TA_14</t>
        </is>
      </c>
      <c r="D195" t="n">
        <v>12</v>
      </c>
      <c r="E195" t="n">
        <v>0</v>
      </c>
      <c r="F195" t="n">
        <v>10.5</v>
      </c>
      <c r="G195" t="n">
        <v>0</v>
      </c>
      <c r="H195" t="n">
        <v>1</v>
      </c>
      <c r="I195" t="n">
        <v>0</v>
      </c>
      <c r="J195" t="n">
        <v>12</v>
      </c>
      <c r="K195" t="n">
        <v>0</v>
      </c>
      <c r="L195" t="n">
        <v>11</v>
      </c>
      <c r="M195" t="n">
        <v>0</v>
      </c>
      <c r="N195" t="n">
        <v>0.5</v>
      </c>
      <c r="O195" t="n">
        <v>0</v>
      </c>
      <c r="P195">
        <f>Table1[[#This Row],[TA 1 - Q1 Score]]+Table1[[#This Row],[TA 1 - Q2 Score]]+Table1[[#This Row],[TA 1 - Q3 Score]]</f>
        <v/>
      </c>
      <c r="Q195">
        <f>Table1[[#This Row],[TA 1 - Q1 Bonus]]+Table1[[#This Row],[TA 1 - Q2 Bonus]]+Table1[[#This Row],[TA 1 - Q4 Bonus]]</f>
        <v/>
      </c>
      <c r="R195">
        <f>Table1[[#This Row],[TA 2 - Q1 Score]]+Table1[[#This Row],[TA 2 - Q2 Score]]+Table1[[#This Row],[TA 2 - Q3 Score]]</f>
        <v/>
      </c>
      <c r="S195">
        <f>Table1[[#This Row],[TA 2 - Q1 Bonus]]+Table1[[#This Row],[TA 2 - Q2 Bonus]]+Table1[[#This Row],[TA 2 - Q4 Bonus]]</f>
        <v/>
      </c>
      <c r="T195">
        <f>(Table1[[#This Row],[TA 1 - Total Score (out of 35)]]+Table1[[#This Row],[TA 2 - Total Score (out of 35)]])/2</f>
        <v/>
      </c>
      <c r="U195">
        <f>(Table1[[#This Row],[TA 1 - Total Bonus (out of 13)]]+Table1[[#This Row],[TA 2 - Total Bonus (out of 13)]])/2</f>
        <v/>
      </c>
      <c r="V195">
        <f>Table1[[#This Row],[Average Questions]]/35*20+Table1[[#This Row],[Average Bonus]]/13*5</f>
        <v/>
      </c>
      <c r="W195" t="n">
        <v>8.5</v>
      </c>
      <c r="X195" t="n">
        <v>0</v>
      </c>
      <c r="Y195" t="inlineStr">
        <is>
          <t>The student completed most tasks correctly but made some minor mistakes. The data loading and preparation were mostly correct, with a slight issue in displaying images due to missing denormalization. The model loading and adaptation were accurate, with the backbone frozen and the classifier replaced correctly. The training and validation loops were implemented properly, with label fixing applied. However, the optimizer used was SGD instead of Adam, and the number of epochs was reduced to 3. No bonus task was attempted.</t>
        </is>
      </c>
      <c r="Z195" t="n">
        <v>6</v>
      </c>
      <c r="AA195" t="n">
        <v>0</v>
      </c>
      <c r="AB195" t="inlineStr">
        <is>
          <t>The student implemented a custom dataset class and used appropriate transformations, including RandomRotation and resizing to 32x32, earning full marks for Part 1. The CNN model was built with five convolutional layers and batch normalization, though the architecture differs from the reference solution, earning full marks for Part 2. The training and validation loops were correctly defined and executed, earning full marks for Part 3. However, the model did not achieve the expected performance due to architectural differences, and no bonus task was attempted.</t>
        </is>
      </c>
      <c r="AC195" t="n">
        <v>2</v>
      </c>
      <c r="AD195" t="inlineStr">
        <is>
          <t>The student correctly implemented the dataset class and DataLoaders, earning full marks for Task 1. However, the model class implementation is incorrect and incomplete, resulting in 0 points for Task 2. Tasks 3, 4, and 5 were not attempted, receiving 0 points each.</t>
        </is>
      </c>
      <c r="AE195" t="n">
        <v>0</v>
      </c>
      <c r="AF195" t="n">
        <v>0</v>
      </c>
      <c r="AG195" t="inlineStr">
        <is>
          <t>No submission found.</t>
        </is>
      </c>
      <c r="AH195" t="n">
        <v>16.5</v>
      </c>
      <c r="AI195" t="n">
        <v>0</v>
      </c>
    </row>
    <row r="196">
      <c r="A196" t="n">
        <v>195</v>
      </c>
      <c r="B196" t="inlineStr">
        <is>
          <t>TA_4</t>
        </is>
      </c>
      <c r="C196" t="inlineStr">
        <is>
          <t>TA_14</t>
        </is>
      </c>
      <c r="D196" t="n">
        <v>12</v>
      </c>
      <c r="E196" t="n">
        <v>4</v>
      </c>
      <c r="F196" t="n">
        <v>11</v>
      </c>
      <c r="G196" t="n">
        <v>0</v>
      </c>
      <c r="H196" t="n">
        <v>11.5</v>
      </c>
      <c r="I196" t="n">
        <v>0</v>
      </c>
      <c r="J196" t="n">
        <v>12</v>
      </c>
      <c r="K196" t="n">
        <v>3</v>
      </c>
      <c r="L196" t="n">
        <v>11</v>
      </c>
      <c r="M196" t="n">
        <v>0</v>
      </c>
      <c r="N196" t="n">
        <v>11.5</v>
      </c>
      <c r="P196">
        <f>Table1[[#This Row],[TA 1 - Q1 Score]]+Table1[[#This Row],[TA 1 - Q2 Score]]+Table1[[#This Row],[TA 1 - Q3 Score]]</f>
        <v/>
      </c>
      <c r="Q196">
        <f>Table1[[#This Row],[TA 1 - Q1 Bonus]]+Table1[[#This Row],[TA 1 - Q2 Bonus]]+Table1[[#This Row],[TA 1 - Q4 Bonus]]</f>
        <v/>
      </c>
      <c r="R196">
        <f>Table1[[#This Row],[TA 2 - Q1 Score]]+Table1[[#This Row],[TA 2 - Q2 Score]]+Table1[[#This Row],[TA 2 - Q3 Score]]</f>
        <v/>
      </c>
      <c r="S196">
        <f>Table1[[#This Row],[TA 2 - Q1 Bonus]]+Table1[[#This Row],[TA 2 - Q2 Bonus]]+Table1[[#This Row],[TA 2 - Q4 Bonus]]</f>
        <v/>
      </c>
      <c r="T196">
        <f>(Table1[[#This Row],[TA 1 - Total Score (out of 35)]]+Table1[[#This Row],[TA 2 - Total Score (out of 35)]])/2</f>
        <v/>
      </c>
      <c r="U196">
        <f>(Table1[[#This Row],[TA 1 - Total Bonus (out of 13)]]+Table1[[#This Row],[TA 2 - Total Bonus (out of 13)]])/2</f>
        <v/>
      </c>
      <c r="V196">
        <f>Table1[[#This Row],[Average Questions]]/35*20+Table1[[#This Row],[Average Bonus]]/13*5</f>
        <v/>
      </c>
      <c r="W196" t="n">
        <v>8.5</v>
      </c>
      <c r="X196" t="n">
        <v>3</v>
      </c>
      <c r="Y196" t="inlineStr">
        <is>
          <t>The student completed most tasks correctly, including data loading, model setup, and training loops. However, the model parameter freezing was incomplete, affecting the intended transfer learning approach. The bonus task for test time augmentation was implemented correctly, averaging predictions from original, horizontally flipped, and vertically flipped images.</t>
        </is>
      </c>
      <c r="Z196" t="n">
        <v>8</v>
      </c>
      <c r="AA196" t="n">
        <v>0</v>
      </c>
      <c r="AB196" t="inlineStr">
        <is>
          <t>The student successfully completed most tasks with minor issues. The dataset loading and preparation were mostly correct, with the exception of the incorrect class name 'Healthy' instead of 'healthy'. The CNN model had 5 convolutional layers with batch normalization, earning full points. The training and validation loops were implemented correctly, and the model was trained and plotted accurately. However, the bonus task was not attempted.</t>
        </is>
      </c>
      <c r="AC196" t="n">
        <v>8.5</v>
      </c>
      <c r="AD196" t="inlineStr">
        <is>
          <t>The student's submission largely follows the reference solution but contains minor issues. Task 1 is mostly correct with a small mistake in the dataset path construction. Task 2 correctly defines the U-Net model with the specified encoder. Task 3 implements the training and validation loops accurately. Task 4 defines the loss and optimizer correctly, trains the model, and plots the loss curve. Task 5 visualizes predictions but uses a different colormap and has a minor issue with the denormalization function. Overall, the submission is well-structured and functional, earning partial credit for minor mistakes.</t>
        </is>
      </c>
      <c r="AE196" t="n">
        <v>0</v>
      </c>
      <c r="AF196" t="n">
        <v>0</v>
      </c>
      <c r="AG196" t="inlineStr">
        <is>
          <t>The student's implementation contains multiple errors and incomplete code. The `__init__` method incorrectly stores the dataset as `self.cifar_dataset` instead of `self.dataset`. The `rgb_to_grayscale` method is not implemented, and the `__getitem__` method has incorrect logic for converting RGB to grayscale and stacking channels. Additionally, there are unrelated code snippets and syntax errors in the submission.</t>
        </is>
      </c>
      <c r="AH196" t="n">
        <v>25</v>
      </c>
      <c r="AI196" t="n">
        <v>3</v>
      </c>
    </row>
    <row r="197">
      <c r="A197" t="n">
        <v>196</v>
      </c>
      <c r="B197" t="inlineStr">
        <is>
          <t>TA_4</t>
        </is>
      </c>
      <c r="C197" t="inlineStr">
        <is>
          <t>TA_14</t>
        </is>
      </c>
      <c r="D197" t="n">
        <v>6</v>
      </c>
      <c r="E197" t="n">
        <v>0</v>
      </c>
      <c r="F197" t="n">
        <v>8</v>
      </c>
      <c r="G197" t="n">
        <v>0</v>
      </c>
      <c r="H197" t="n">
        <v>10.5</v>
      </c>
      <c r="I197" t="n">
        <v>0</v>
      </c>
      <c r="J197" t="n">
        <v>3</v>
      </c>
      <c r="K197" t="n">
        <v>0</v>
      </c>
      <c r="L197" t="n">
        <v>5.5</v>
      </c>
      <c r="M197" t="n">
        <v>0</v>
      </c>
      <c r="N197" t="n">
        <v>6.5</v>
      </c>
      <c r="O197" t="n">
        <v>0</v>
      </c>
      <c r="P197">
        <f>Table1[[#This Row],[TA 1 - Q1 Score]]+Table1[[#This Row],[TA 1 - Q2 Score]]+Table1[[#This Row],[TA 1 - Q3 Score]]</f>
        <v/>
      </c>
      <c r="Q197">
        <f>Table1[[#This Row],[TA 1 - Q1 Bonus]]+Table1[[#This Row],[TA 1 - Q2 Bonus]]+Table1[[#This Row],[TA 1 - Q4 Bonus]]</f>
        <v/>
      </c>
      <c r="R197">
        <f>Table1[[#This Row],[TA 2 - Q1 Score]]+Table1[[#This Row],[TA 2 - Q2 Score]]+Table1[[#This Row],[TA 2 - Q3 Score]]</f>
        <v/>
      </c>
      <c r="S197">
        <f>Table1[[#This Row],[TA 2 - Q1 Bonus]]+Table1[[#This Row],[TA 2 - Q2 Bonus]]+Table1[[#This Row],[TA 2 - Q4 Bonus]]</f>
        <v/>
      </c>
      <c r="T197">
        <f>(Table1[[#This Row],[TA 1 - Total Score (out of 35)]]+Table1[[#This Row],[TA 2 - Total Score (out of 35)]])/2</f>
        <v/>
      </c>
      <c r="U197">
        <f>(Table1[[#This Row],[TA 1 - Total Bonus (out of 13)]]+Table1[[#This Row],[TA 2 - Total Bonus (out of 13)]])/2</f>
        <v/>
      </c>
      <c r="V197">
        <f>Table1[[#This Row],[Average Questions]]/35*20+Table1[[#This Row],[Average Bonus]]/13*5</f>
        <v/>
      </c>
      <c r="W197" t="n">
        <v>2</v>
      </c>
      <c r="X197" t="n">
        <v>0</v>
      </c>
      <c r="Y197" t="inlineStr">
        <is>
          <t>The student partially completed Part 1 by defining the transforms and creating DataLoaders, but failed to display sample images correctly. In Part 2, the student incorrectly used a U-Net model instead of EfficientNetV2-Small, and did not freeze the backbone or replace the classifier head. Parts 3 and 4 were not properly implemented, with incorrect training and validation loops, and no plots were generated. The bonus task was not attempted.</t>
        </is>
      </c>
      <c r="Z197" t="n">
        <v>6</v>
      </c>
      <c r="AA197" t="n">
        <v>0</v>
      </c>
      <c r="AB197" t="inlineStr">
        <is>
          <t>The student implemented a custom dataset class and used DataLoader correctly, earning full points for Part 1. However, the transformations included ColorJitter, which was not required, and the paths were incorrectly specified. For Part 2, the CNN model had fewer convolutional layers than required, earning 50% of the points. Part 3 was fully implemented correctly. In Part 4, the model setup and training were mostly correct, but the dataset paths were incorrect, affecting the training process. No bonus task was attempted.</t>
        </is>
      </c>
      <c r="AC197" t="n">
        <v>2</v>
      </c>
      <c r="AD197" t="inlineStr">
        <is>
          <t>The student attempted most tasks but made significant errors. The dataset class has issues with file paths and mask remapping. The model class correctly defines a U-Net with the specified encoder. Training and validation loops contain logical errors, particularly with mask handling and loss computation. The training process does not run due to these issues. Visualization code is incomplete and incorrect, failing to display predictions properly.</t>
        </is>
      </c>
      <c r="AE197" t="n">
        <v>0</v>
      </c>
      <c r="AF197" t="n">
        <v>0</v>
      </c>
      <c r="AG197" t="inlineStr">
        <is>
          <t>No submission found.</t>
        </is>
      </c>
      <c r="AH197" t="n">
        <v>10</v>
      </c>
      <c r="AI197" t="n">
        <v>0</v>
      </c>
    </row>
    <row r="198">
      <c r="A198" t="n">
        <v>197</v>
      </c>
      <c r="B198" t="inlineStr">
        <is>
          <t>TA_4</t>
        </is>
      </c>
      <c r="C198" t="inlineStr">
        <is>
          <t>TA_14</t>
        </is>
      </c>
      <c r="D198" t="n">
        <v>12</v>
      </c>
      <c r="E198" t="n">
        <v>0</v>
      </c>
      <c r="F198" t="n">
        <v>9</v>
      </c>
      <c r="G198" t="n">
        <v>0</v>
      </c>
      <c r="H198" t="n">
        <v>11</v>
      </c>
      <c r="I198" t="n">
        <v>0</v>
      </c>
      <c r="J198" t="n">
        <v>11.5</v>
      </c>
      <c r="K198" t="n">
        <v>0</v>
      </c>
      <c r="L198" t="n">
        <v>9</v>
      </c>
      <c r="M198" t="n">
        <v>0</v>
      </c>
      <c r="N198" t="n">
        <v>7</v>
      </c>
      <c r="P198">
        <f>Table1[[#This Row],[TA 1 - Q1 Score]]+Table1[[#This Row],[TA 1 - Q2 Score]]+Table1[[#This Row],[TA 1 - Q3 Score]]</f>
        <v/>
      </c>
      <c r="Q198">
        <f>Table1[[#This Row],[TA 1 - Q1 Bonus]]+Table1[[#This Row],[TA 1 - Q2 Bonus]]+Table1[[#This Row],[TA 1 - Q4 Bonus]]</f>
        <v/>
      </c>
      <c r="R198">
        <f>Table1[[#This Row],[TA 2 - Q1 Score]]+Table1[[#This Row],[TA 2 - Q2 Score]]+Table1[[#This Row],[TA 2 - Q3 Score]]</f>
        <v/>
      </c>
      <c r="S198">
        <f>Table1[[#This Row],[TA 2 - Q1 Bonus]]+Table1[[#This Row],[TA 2 - Q2 Bonus]]+Table1[[#This Row],[TA 2 - Q4 Bonus]]</f>
        <v/>
      </c>
      <c r="T198">
        <f>(Table1[[#This Row],[TA 1 - Total Score (out of 35)]]+Table1[[#This Row],[TA 2 - Total Score (out of 35)]])/2</f>
        <v/>
      </c>
      <c r="U198">
        <f>(Table1[[#This Row],[TA 1 - Total Bonus (out of 13)]]+Table1[[#This Row],[TA 2 - Total Bonus (out of 13)]])/2</f>
        <v/>
      </c>
      <c r="V198">
        <f>Table1[[#This Row],[Average Questions]]/35*20+Table1[[#This Row],[Average Bonus]]/13*5</f>
        <v/>
      </c>
      <c r="W198" t="n">
        <v>5</v>
      </c>
      <c r="X198" t="n">
        <v>0</v>
      </c>
      <c r="Y198" t="inlineStr">
        <is>
          <t>The student partially completed several tasks but made significant errors. The resize transformation was incorrectly set to 224x224 instead of 28x28. The data loaders were created but with a different batch size and number of workers. Sample images were displayed but without label adjustments. The model was loaded and modified correctly, but the classifier head replacement had a minor issue with parameter freezing. Training and validation loops were implemented with label fixes, but the training loop contained unnecessary softmax operations. The plots were generated correctly. No bonus task was attempted.</t>
        </is>
      </c>
      <c r="Z198" t="n">
        <v>5</v>
      </c>
      <c r="AA198" t="n">
        <v>0</v>
      </c>
      <c r="AB198" t="inlineStr">
        <is>
          <t>The student partially completed the tasks. They correctly set up the dataset and DataLoaders with the required transformations, including resizing to 32x32 and random rotation. However, they made mistakes in the CNN model architecture by using 1x1 kernels instead of 3x3, which significantly reduces the model's ability to capture spatial features. The training and validation loops were implemented correctly, and the plots for losses and accuracies were generated. The bonus task was not attempted.</t>
        </is>
      </c>
      <c r="AC198" t="n">
        <v>6</v>
      </c>
      <c r="AD198" t="inlineStr">
        <is>
          <t>The student's submission partially completes several tasks but contains significant issues. Task 1 has syntax errors in the dataset class and does not apply transformations correctly. Task 2 correctly defines the U-Net model but uses an incorrect dataset path. Task 3 has logical errors in the training and validation loops, converting masks to float instead of long. Task 4 defines the loss and optimizer but has incorrect mask handling in the loops. Task 5 visualizes predictions but does not handle image denormalization properly.</t>
        </is>
      </c>
      <c r="AE198" t="n">
        <v>0</v>
      </c>
      <c r="AF198" t="n">
        <v>0</v>
      </c>
      <c r="AG198" t="inlineStr">
        <is>
          <t>No submission found.</t>
        </is>
      </c>
      <c r="AH198" t="n">
        <v>16</v>
      </c>
      <c r="AI198" t="n">
        <v>0</v>
      </c>
    </row>
    <row r="199">
      <c r="A199" t="n">
        <v>198</v>
      </c>
      <c r="B199" t="inlineStr">
        <is>
          <t>TA_4</t>
        </is>
      </c>
      <c r="C199" t="inlineStr">
        <is>
          <t>TA_14</t>
        </is>
      </c>
      <c r="D199" t="n">
        <v>5.5</v>
      </c>
      <c r="E199" t="n">
        <v>0</v>
      </c>
      <c r="F199" t="n">
        <v>9</v>
      </c>
      <c r="G199" t="n">
        <v>0</v>
      </c>
      <c r="H199" t="n">
        <v>11.5</v>
      </c>
      <c r="I199" t="n">
        <v>0</v>
      </c>
      <c r="J199" t="n">
        <v>4.5</v>
      </c>
      <c r="K199" t="n">
        <v>0</v>
      </c>
      <c r="L199" t="n">
        <v>9</v>
      </c>
      <c r="M199" t="n">
        <v>0</v>
      </c>
      <c r="N199" t="n">
        <v>10.5</v>
      </c>
      <c r="O199" t="n">
        <v>0</v>
      </c>
      <c r="P199">
        <f>Table1[[#This Row],[TA 1 - Q1 Score]]+Table1[[#This Row],[TA 1 - Q2 Score]]+Table1[[#This Row],[TA 1 - Q3 Score]]</f>
        <v/>
      </c>
      <c r="Q199">
        <f>Table1[[#This Row],[TA 1 - Q1 Bonus]]+Table1[[#This Row],[TA 1 - Q2 Bonus]]+Table1[[#This Row],[TA 1 - Q4 Bonus]]</f>
        <v/>
      </c>
      <c r="R199">
        <f>Table1[[#This Row],[TA 2 - Q1 Score]]+Table1[[#This Row],[TA 2 - Q2 Score]]+Table1[[#This Row],[TA 2 - Q3 Score]]</f>
        <v/>
      </c>
      <c r="S199">
        <f>Table1[[#This Row],[TA 2 - Q1 Bonus]]+Table1[[#This Row],[TA 2 - Q2 Bonus]]+Table1[[#This Row],[TA 2 - Q4 Bonus]]</f>
        <v/>
      </c>
      <c r="T199">
        <f>(Table1[[#This Row],[TA 1 - Total Score (out of 35)]]+Table1[[#This Row],[TA 2 - Total Score (out of 35)]])/2</f>
        <v/>
      </c>
      <c r="U199">
        <f>(Table1[[#This Row],[TA 1 - Total Bonus (out of 13)]]+Table1[[#This Row],[TA 2 - Total Bonus (out of 13)]])/2</f>
        <v/>
      </c>
      <c r="V199">
        <f>Table1[[#This Row],[Average Questions]]/35*20+Table1[[#This Row],[Average Bonus]]/13*5</f>
        <v/>
      </c>
      <c r="W199" t="n">
        <v>7</v>
      </c>
      <c r="X199" t="n">
        <v>0</v>
      </c>
      <c r="Y199" t="inlineStr">
        <is>
          <t>The student completed the data loading and preparation, including defining the necessary transforms and creating DataLoaders. Sample images were displayed correctly. However, the model loading and adaptation section had issues: the backbone was not frozen, and the classifier head was incorrectly modified. The training and validation loops contained syntax errors, particularly in handling the model outputs and labels. The student did not attempt the bonus task.</t>
        </is>
      </c>
      <c r="Z199" t="n">
        <v>8</v>
      </c>
      <c r="AA199" t="n">
        <v>0</v>
      </c>
      <c r="AB199" t="inlineStr">
        <is>
          <t>The student successfully loaded and prepared the data with the correct transformations and displayed sample images. The CNN model was built with 5 convolutional layers, though it did not include batch normalization. The training and validation loops were implemented correctly, and the model was trained and plotted. However, the bonus task was not completed.</t>
        </is>
      </c>
      <c r="AC199" t="n">
        <v>8.5</v>
      </c>
      <c r="AD199" t="inlineStr">
        <is>
          <t>The student's submission includes most of the required tasks with minor issues. The dataset class is correctly implemented, but the image and mask resizing dimensions differ from the reference solution. The model class uses the correct architecture but with a different encoder size. The training and validation loops are implemented correctly, and the loss and optimizer are defined properly. The training process runs without errors, and the loss curve is plotted. However, the visualization of predictions uses grayscale instead of the specified colormap.</t>
        </is>
      </c>
      <c r="AE199" t="n">
        <v>0</v>
      </c>
      <c r="AF199" t="n">
        <v>0</v>
      </c>
      <c r="AG199" t="inlineStr">
        <is>
          <t>No submission found.</t>
        </is>
      </c>
      <c r="AH199" t="n">
        <v>23.5</v>
      </c>
      <c r="AI199" t="n">
        <v>0</v>
      </c>
    </row>
    <row r="200">
      <c r="A200" t="n">
        <v>199</v>
      </c>
      <c r="B200" t="inlineStr">
        <is>
          <t>TA_4</t>
        </is>
      </c>
      <c r="C200" t="inlineStr">
        <is>
          <t>TA_14</t>
        </is>
      </c>
      <c r="D200" t="n">
        <v>12</v>
      </c>
      <c r="E200" t="n">
        <v>0</v>
      </c>
      <c r="F200" t="n">
        <v>-5.5</v>
      </c>
      <c r="G200" t="n">
        <v>0</v>
      </c>
      <c r="H200" t="n">
        <v>12</v>
      </c>
      <c r="I200" t="n">
        <v>0</v>
      </c>
      <c r="J200" t="n">
        <v>12</v>
      </c>
      <c r="K200" t="n">
        <v>0</v>
      </c>
      <c r="L200" t="n">
        <v>3.25</v>
      </c>
      <c r="M200" t="n">
        <v>0</v>
      </c>
      <c r="N200" t="n">
        <v>9</v>
      </c>
      <c r="O200" t="n">
        <v>0</v>
      </c>
      <c r="P200">
        <f>Table1[[#This Row],[TA 1 - Q1 Score]]+Table1[[#This Row],[TA 1 - Q2 Score]]+Table1[[#This Row],[TA 1 - Q3 Score]]</f>
        <v/>
      </c>
      <c r="Q200">
        <f>Table1[[#This Row],[TA 1 - Q1 Bonus]]+Table1[[#This Row],[TA 1 - Q2 Bonus]]+Table1[[#This Row],[TA 1 - Q4 Bonus]]</f>
        <v/>
      </c>
      <c r="R200">
        <f>Table1[[#This Row],[TA 2 - Q1 Score]]+Table1[[#This Row],[TA 2 - Q2 Score]]+Table1[[#This Row],[TA 2 - Q3 Score]]</f>
        <v/>
      </c>
      <c r="S200">
        <f>Table1[[#This Row],[TA 2 - Q1 Bonus]]+Table1[[#This Row],[TA 2 - Q2 Bonus]]+Table1[[#This Row],[TA 2 - Q4 Bonus]]</f>
        <v/>
      </c>
      <c r="T200">
        <f>(Table1[[#This Row],[TA 1 - Total Score (out of 35)]]+Table1[[#This Row],[TA 2 - Total Score (out of 35)]])/2</f>
        <v/>
      </c>
      <c r="U200">
        <f>(Table1[[#This Row],[TA 1 - Total Bonus (out of 13)]]+Table1[[#This Row],[TA 2 - Total Bonus (out of 13)]])/2</f>
        <v/>
      </c>
      <c r="V200">
        <f>Table1[[#This Row],[Average Questions]]/35*20+Table1[[#This Row],[Average Bonus]]/13*5</f>
        <v/>
      </c>
      <c r="W200" t="n">
        <v>7</v>
      </c>
      <c r="X200" t="n">
        <v>0</v>
      </c>
      <c r="Y200" t="inlineStr">
        <is>
          <t>The student completed most tasks with minor issues. Transforms were correctly defined, but the test transform was commented out. DataLoaders were created with a slight difference in batch size. Sample images were displayed correctly. The pretrained model was loaded and adapted, but all layers were frozen instead of just the backbone. Training and validation loops were implemented with label fixing, but there were unnecessary softmax operations. Training and validation plots were generated. No bonus task was attempted.</t>
        </is>
      </c>
      <c r="Z200" t="n">
        <v>0</v>
      </c>
      <c r="AA200" t="n">
        <v>0</v>
      </c>
      <c r="AB200" t="inlineStr">
        <is>
          <t>The student used the FashionMNIST dataset instead of the Potato Disease Dataset, which is a significant deviation from the instructions. Additionally, the transformations, model architecture, and training setup were all designed for grayscale images (1 channel) rather than RGB images (3 channels) required for the potato dataset. The code does not follow the specified requirements and thus receives a score of 0.</t>
        </is>
      </c>
      <c r="AC200" t="n">
        <v>8</v>
      </c>
      <c r="AD200" t="inlineStr">
        <is>
          <t>The student's submission includes most of the required tasks with minor issues. The dataset class is correctly implemented, and the data loaders are set up properly. However, the image paths are hardcoded, which is not ideal. The model class uses the correct architecture but with 'efficientnet-b0' instead of 'efficientnet-b1'. The training and validation loops are mostly correct but contain some syntax errors, such as incorrect mask conversion. The training process is executed, and the loss curve is plotted. The predictions are visualized, but the denormalization function is used incorrectly in the visualization section.</t>
        </is>
      </c>
      <c r="AE200" t="n">
        <v>0</v>
      </c>
      <c r="AF200" t="n">
        <v>0</v>
      </c>
      <c r="AG200" t="inlineStr">
        <is>
          <t>No submission found.</t>
        </is>
      </c>
      <c r="AH200" t="n">
        <v>15</v>
      </c>
      <c r="AI200" t="n">
        <v>0</v>
      </c>
    </row>
    <row r="201">
      <c r="A201" t="n">
        <v>200</v>
      </c>
      <c r="B201" t="inlineStr">
        <is>
          <t>TA_4</t>
        </is>
      </c>
      <c r="C201" t="inlineStr">
        <is>
          <t>TA_14</t>
        </is>
      </c>
      <c r="D201" t="n">
        <v>4.5</v>
      </c>
      <c r="E201" t="n">
        <v>0</v>
      </c>
      <c r="F201" t="n">
        <v>6.5</v>
      </c>
      <c r="G201" t="n">
        <v>0</v>
      </c>
      <c r="H201" t="n">
        <v>6.5</v>
      </c>
      <c r="I201" t="n">
        <v>0</v>
      </c>
      <c r="J201" t="n">
        <v>0.5</v>
      </c>
      <c r="K201" t="n">
        <v>0</v>
      </c>
      <c r="L201" t="n">
        <v>5.5</v>
      </c>
      <c r="M201" t="n">
        <v>0</v>
      </c>
      <c r="N201" t="n">
        <v>4</v>
      </c>
      <c r="O201" t="n">
        <v>0</v>
      </c>
      <c r="P201">
        <f>Table1[[#This Row],[TA 1 - Q1 Score]]+Table1[[#This Row],[TA 1 - Q2 Score]]+Table1[[#This Row],[TA 1 - Q3 Score]]</f>
        <v/>
      </c>
      <c r="Q201">
        <f>Table1[[#This Row],[TA 1 - Q1 Bonus]]+Table1[[#This Row],[TA 1 - Q2 Bonus]]+Table1[[#This Row],[TA 1 - Q4 Bonus]]</f>
        <v/>
      </c>
      <c r="R201">
        <f>Table1[[#This Row],[TA 2 - Q1 Score]]+Table1[[#This Row],[TA 2 - Q2 Score]]+Table1[[#This Row],[TA 2 - Q3 Score]]</f>
        <v/>
      </c>
      <c r="S201">
        <f>Table1[[#This Row],[TA 2 - Q1 Bonus]]+Table1[[#This Row],[TA 2 - Q2 Bonus]]+Table1[[#This Row],[TA 2 - Q4 Bonus]]</f>
        <v/>
      </c>
      <c r="T201">
        <f>(Table1[[#This Row],[TA 1 - Total Score (out of 35)]]+Table1[[#This Row],[TA 2 - Total Score (out of 35)]])/2</f>
        <v/>
      </c>
      <c r="U201">
        <f>(Table1[[#This Row],[TA 1 - Total Bonus (out of 13)]]+Table1[[#This Row],[TA 2 - Total Bonus (out of 13)]])/2</f>
        <v/>
      </c>
      <c r="V201">
        <f>Table1[[#This Row],[Average Questions]]/35*20+Table1[[#This Row],[Average Bonus]]/13*5</f>
        <v/>
      </c>
      <c r="W201" t="n">
        <v>0</v>
      </c>
      <c r="X201" t="n">
        <v>0</v>
      </c>
      <c r="Y201" t="inlineStr">
        <is>
          <t>The student's submission does not follow the required structure and tasks. It starts with incomplete data transformations and switches to the MNIST dataset instead of EMNIST. The subsequent code defines a CNN autoencoder, which is entirely unrelated to the task of fine-tuning a pretrained EfficientNetV2-Small model for handwritten character classification. The training and validation loops are also incorrectly implemented, using a different dataset and model architecture. No attempt was made to complete the required tasks for loading and preparing data, adapting a pretrained model, defining training and validation functions, or performing test time augmentation.</t>
        </is>
      </c>
      <c r="Z201" t="n">
        <v>0</v>
      </c>
      <c r="AA201" t="n">
        <v>0</v>
      </c>
      <c r="AB201" t="inlineStr">
        <is>
          <t>The student's submission does not follow the required structure and instructions. Instead of building a CNN from scratch as specified, the student uses a pre-trained EfficientNet model and later attempts to define a residual connection using a ResNet model, which is entirely incorrect for the given task. The dataset loading and preparation also do not meet the requirements, as the transformations and visualization are incomplete and incorrect. The training and validation loops are partially implemented but are not compatible with the pre-trained model used. No correct implementation of the CNN model with batch normalization or residual connections is provided.</t>
        </is>
      </c>
      <c r="AC201" t="n">
        <v>2</v>
      </c>
      <c r="AD201" t="inlineStr">
        <is>
          <t>The student attempted to build a custom dataset class and define a U-Net model, but there were significant issues. The dataset class incorrectly assumed a folder structure and used binary segmentation instead of multi-class. The training and validation loops were partially implemented but contained errors, such as using BCEWithLogitsLoss for a multi-class problem. Visualization of predictions was attempted but failed due to incorrect assumptions about the dataset and model output.</t>
        </is>
      </c>
      <c r="AE201" t="n">
        <v>0</v>
      </c>
      <c r="AF201" t="n">
        <v>0</v>
      </c>
      <c r="AG201" t="inlineStr">
        <is>
          <t>The student's implementation contains several errors and does not follow the required structure. The `__init__` method incorrectly attempts to read a CSV file instead of storing the CIFAR-10 dataset. The `rgb_to_grayscale` method fails to convert the image to grayscale correctly and instead returns a PIL image object. The `__getitem__` method incorrectly calls `rgb_to_grayscale` with a file path and does not return the correct tuple of grayscale and color images. These issues prevent the code from running correctly.</t>
        </is>
      </c>
      <c r="AH201" t="n">
        <v>2</v>
      </c>
      <c r="AI201" t="n">
        <v>0</v>
      </c>
    </row>
    <row r="202">
      <c r="A202" t="n">
        <v>201</v>
      </c>
      <c r="B202" t="inlineStr">
        <is>
          <t>TA_4</t>
        </is>
      </c>
      <c r="C202" t="inlineStr">
        <is>
          <t>TA_14</t>
        </is>
      </c>
      <c r="D202" t="n">
        <v>4.5</v>
      </c>
      <c r="E202" t="n">
        <v>0</v>
      </c>
      <c r="F202" t="n">
        <v>9</v>
      </c>
      <c r="G202" t="n">
        <v>0</v>
      </c>
      <c r="H202" t="n">
        <v>6.5</v>
      </c>
      <c r="I202" t="n">
        <v>0</v>
      </c>
      <c r="J202" t="n">
        <v>9.5</v>
      </c>
      <c r="K202" t="n">
        <v>0</v>
      </c>
      <c r="L202" t="n">
        <v>8.5</v>
      </c>
      <c r="M202" t="n">
        <v>0</v>
      </c>
      <c r="N202" t="n">
        <v>6.75</v>
      </c>
      <c r="O202" t="n">
        <v>0</v>
      </c>
      <c r="P202">
        <f>Table1[[#This Row],[TA 1 - Q1 Score]]+Table1[[#This Row],[TA 1 - Q2 Score]]+Table1[[#This Row],[TA 1 - Q3 Score]]</f>
        <v/>
      </c>
      <c r="Q202">
        <f>Table1[[#This Row],[TA 1 - Q1 Bonus]]+Table1[[#This Row],[TA 1 - Q2 Bonus]]+Table1[[#This Row],[TA 1 - Q4 Bonus]]</f>
        <v/>
      </c>
      <c r="R202">
        <f>Table1[[#This Row],[TA 2 - Q1 Score]]+Table1[[#This Row],[TA 2 - Q2 Score]]+Table1[[#This Row],[TA 2 - Q3 Score]]</f>
        <v/>
      </c>
      <c r="S202">
        <f>Table1[[#This Row],[TA 2 - Q1 Bonus]]+Table1[[#This Row],[TA 2 - Q2 Bonus]]+Table1[[#This Row],[TA 2 - Q4 Bonus]]</f>
        <v/>
      </c>
      <c r="T202">
        <f>(Table1[[#This Row],[TA 1 - Total Score (out of 35)]]+Table1[[#This Row],[TA 2 - Total Score (out of 35)]])/2</f>
        <v/>
      </c>
      <c r="U202">
        <f>(Table1[[#This Row],[TA 1 - Total Bonus (out of 13)]]+Table1[[#This Row],[TA 2 - Total Bonus (out of 13)]])/2</f>
        <v/>
      </c>
      <c r="V202">
        <f>Table1[[#This Row],[Average Questions]]/35*20+Table1[[#This Row],[Average Bonus]]/13*5</f>
        <v/>
      </c>
      <c r="W202" t="n">
        <v>6</v>
      </c>
      <c r="X202" t="n">
        <v>0</v>
      </c>
      <c r="Y202" t="inlineStr">
        <is>
          <t>The student completed the data loading and preparation, including defining the necessary transforms and creating DataLoaders. Sample images were displayed correctly. The pretrained EfficientNetV2-Small model was loaded and adapted with the classifier head replaced for 26 classes. However, the training and validation loops contained logical errors, such as using sigmoid activation and binary thresholding for a multi-class classification problem. The device setup and optimizer choice were correct, but the training loop did not fix the labels, resulting in a penalty. No bonus task was attempted.</t>
        </is>
      </c>
      <c r="Z202" t="n">
        <v>7</v>
      </c>
      <c r="AA202" t="n">
        <v>0</v>
      </c>
      <c r="AB202" t="inlineStr">
        <is>
          <t>The student successfully loaded and prepared the data with correct transformations and displayed sample images. The CNN model has 5 convolutional layers but does not include batch normalization, earning partial credit. The training and validation functions are implemented correctly. The model is trained and plotted, but the number of output classes in the fully connected layer is incorrectly set to 10 instead of 3, affecting the final output. No bonus task was attempted.</t>
        </is>
      </c>
      <c r="AC202" t="n">
        <v>4</v>
      </c>
      <c r="AD202" t="inlineStr">
        <is>
          <t>The student attempted most tasks but made several mistakes. In Task 1, the dataset class was partially correct but used incorrect variable names and had misplaced indentation. DataLoaders were correctly defined but with a different batch size. Sample images and masks were displayed, but the denormalization function was incorrectly implemented. In Task 2, the model was defined with the wrong number of classes. In Task 3, the training and validation loops contained logical errors, particularly in handling mask dimensions and loss computation. In Task 4, the loss function and optimizer were incorrect, and the training loop did not run due to these issues. Task 5 was not attempted.</t>
        </is>
      </c>
      <c r="AE202" t="n">
        <v>0</v>
      </c>
      <c r="AF202" t="n">
        <v>0</v>
      </c>
      <c r="AG202" t="inlineStr">
        <is>
          <t>No submission found.</t>
        </is>
      </c>
      <c r="AH202" t="n">
        <v>17</v>
      </c>
      <c r="AI202" t="n">
        <v>0</v>
      </c>
    </row>
    <row r="203">
      <c r="A203" t="n">
        <v>202</v>
      </c>
      <c r="B203" t="inlineStr">
        <is>
          <t>TA_4</t>
        </is>
      </c>
      <c r="C203" t="inlineStr">
        <is>
          <t>TA_14</t>
        </is>
      </c>
      <c r="D203" t="n">
        <v>12</v>
      </c>
      <c r="E203" t="n">
        <v>0</v>
      </c>
      <c r="F203" t="n">
        <v>11</v>
      </c>
      <c r="G203" t="n">
        <v>0</v>
      </c>
      <c r="H203" t="n">
        <v>8</v>
      </c>
      <c r="I203" t="n">
        <v>0</v>
      </c>
      <c r="J203" t="n">
        <v>12</v>
      </c>
      <c r="K203" t="n">
        <v>0</v>
      </c>
      <c r="L203" t="n">
        <v>10</v>
      </c>
      <c r="M203" t="n">
        <v>0</v>
      </c>
      <c r="N203" t="n">
        <v>6.5</v>
      </c>
      <c r="O203" t="n">
        <v>0</v>
      </c>
      <c r="P203">
        <f>Table1[[#This Row],[TA 1 - Q1 Score]]+Table1[[#This Row],[TA 1 - Q2 Score]]+Table1[[#This Row],[TA 1 - Q3 Score]]</f>
        <v/>
      </c>
      <c r="Q203">
        <f>Table1[[#This Row],[TA 1 - Q1 Bonus]]+Table1[[#This Row],[TA 1 - Q2 Bonus]]+Table1[[#This Row],[TA 1 - Q4 Bonus]]</f>
        <v/>
      </c>
      <c r="R203">
        <f>Table1[[#This Row],[TA 2 - Q1 Score]]+Table1[[#This Row],[TA 2 - Q2 Score]]+Table1[[#This Row],[TA 2 - Q3 Score]]</f>
        <v/>
      </c>
      <c r="S203">
        <f>Table1[[#This Row],[TA 2 - Q1 Bonus]]+Table1[[#This Row],[TA 2 - Q2 Bonus]]+Table1[[#This Row],[TA 2 - Q4 Bonus]]</f>
        <v/>
      </c>
      <c r="T203">
        <f>(Table1[[#This Row],[TA 1 - Total Score (out of 35)]]+Table1[[#This Row],[TA 2 - Total Score (out of 35)]])/2</f>
        <v/>
      </c>
      <c r="U203">
        <f>(Table1[[#This Row],[TA 1 - Total Bonus (out of 13)]]+Table1[[#This Row],[TA 2 - Total Bonus (out of 13)]])/2</f>
        <v/>
      </c>
      <c r="V203">
        <f>Table1[[#This Row],[Average Questions]]/35*20+Table1[[#This Row],[Average Bonus]]/13*5</f>
        <v/>
      </c>
      <c r="W203" t="n">
        <v>8.5</v>
      </c>
      <c r="X203" t="n">
        <v>0</v>
      </c>
      <c r="Y203" t="inlineStr">
        <is>
          <t>The student completed most tasks correctly but made some minor mistakes. The data loading and preparation were mostly accurate, though the batch size was smaller than in the reference solution. The model loading and adaptation were correct, but the student used SGD instead of Adam for optimization. The training and validation loops were implemented correctly, including the label fix, but there were some issues with the accuracy calculation in the loops. The plotting of losses and accuracies was done correctly. No bonus task was attempted.</t>
        </is>
      </c>
      <c r="Z203" t="n">
        <v>6</v>
      </c>
      <c r="AA203" t="n">
        <v>0</v>
      </c>
      <c r="AB203" t="inlineStr">
        <is>
          <t>The student successfully implemented a custom dataset class, created train and test datasets with DataLoaders, applied the required transformations, and displayed sample images. However, the CNN model used was AlexNet32 instead of a 5-layer CNN as specified, and it did not include batch normalization. The training and validation loops were correctly implemented, and the model was trained and plotted. No bonus task was attempted.</t>
        </is>
      </c>
      <c r="AC203" t="n">
        <v>5</v>
      </c>
      <c r="AD203" t="inlineStr">
        <is>
          <t>The student attempted most tasks but made several mistakes. The dataset class was partially correct but used a DataFrame for file management instead of direct file paths, leading to issues in loading images and masks. DataLoaders were incorrectly defined, using DataFrames instead of Dataset objects. Displaying samples failed due to incorrect indexing and missing transformations. The model class was correctly defined, but the training and validation loops contained errors, such as converting masks to float and using CrossEntropyLoss without squeezing the masks. The loss plotting was duplicated and had minor issues. Overall, the code attempts each task but contains significant errors preventing successful execution.</t>
        </is>
      </c>
      <c r="AE203" t="n">
        <v>0</v>
      </c>
      <c r="AF203" t="n">
        <v>0</v>
      </c>
      <c r="AG203" t="inlineStr">
        <is>
          <t>No submission found.</t>
        </is>
      </c>
      <c r="AH203" t="n">
        <v>19.5</v>
      </c>
      <c r="AI203" t="n">
        <v>0</v>
      </c>
    </row>
    <row r="204">
      <c r="A204" t="n">
        <v>203</v>
      </c>
      <c r="B204" t="inlineStr">
        <is>
          <t>TA_4</t>
        </is>
      </c>
      <c r="C204" t="inlineStr">
        <is>
          <t>TA_14</t>
        </is>
      </c>
      <c r="D204" t="n">
        <v>12</v>
      </c>
      <c r="E204" t="n">
        <v>4</v>
      </c>
      <c r="F204" t="n">
        <v>11</v>
      </c>
      <c r="G204" t="n">
        <v>4</v>
      </c>
      <c r="H204" t="n">
        <v>12</v>
      </c>
      <c r="I204" t="n">
        <v>5</v>
      </c>
      <c r="J204" t="n">
        <v>12</v>
      </c>
      <c r="K204" t="n">
        <v>4</v>
      </c>
      <c r="L204" t="n">
        <v>11</v>
      </c>
      <c r="M204" t="n">
        <v>4</v>
      </c>
      <c r="N204" t="n">
        <v>11.5</v>
      </c>
      <c r="O204" t="n">
        <v>5</v>
      </c>
      <c r="P204">
        <f>Table1[[#This Row],[TA 1 - Q1 Score]]+Table1[[#This Row],[TA 1 - Q2 Score]]+Table1[[#This Row],[TA 1 - Q3 Score]]</f>
        <v/>
      </c>
      <c r="Q204">
        <f>Table1[[#This Row],[TA 1 - Q1 Bonus]]+Table1[[#This Row],[TA 1 - Q2 Bonus]]+Table1[[#This Row],[TA 1 - Q4 Bonus]]</f>
        <v/>
      </c>
      <c r="R204">
        <f>Table1[[#This Row],[TA 2 - Q1 Score]]+Table1[[#This Row],[TA 2 - Q2 Score]]+Table1[[#This Row],[TA 2 - Q3 Score]]</f>
        <v/>
      </c>
      <c r="S204">
        <f>Table1[[#This Row],[TA 2 - Q1 Bonus]]+Table1[[#This Row],[TA 2 - Q2 Bonus]]+Table1[[#This Row],[TA 2 - Q4 Bonus]]</f>
        <v/>
      </c>
      <c r="T204">
        <f>(Table1[[#This Row],[TA 1 - Total Score (out of 35)]]+Table1[[#This Row],[TA 2 - Total Score (out of 35)]])/2</f>
        <v/>
      </c>
      <c r="U204">
        <f>(Table1[[#This Row],[TA 1 - Total Bonus (out of 13)]]+Table1[[#This Row],[TA 2 - Total Bonus (out of 13)]])/2</f>
        <v/>
      </c>
      <c r="V204">
        <f>Table1[[#This Row],[Average Questions]]/35*20+Table1[[#This Row],[Average Bonus]]/13*5</f>
        <v/>
      </c>
      <c r="W204" t="n">
        <v>10.5</v>
      </c>
      <c r="X204" t="n">
        <v>4</v>
      </c>
      <c r="Y204" t="inlineStr">
        <is>
          <t>The student completed all required tasks with minor issues. In Part 1, the transforms were initially incomplete but corrected later. Part 2 was fully implemented correctly. Part 3 had a small mistake in the optimizer setup, using model.classifier.parameters() instead of model.parameters(). Parts 4 and 5 were correctly implemented, including the bonus task for Test Time Augmentation.</t>
        </is>
      </c>
      <c r="Z204" t="n">
        <v>8.5</v>
      </c>
      <c r="AA204" t="n">
        <v>1</v>
      </c>
      <c r="AB204" t="inlineStr">
        <is>
          <t>The student successfully loaded and prepared the data with correct transformations and displayed sample images. The CNN model was built with five convolutional layers and batch normalization, though the final fully connected layer had an incorrect input size. Training and validation functions were implemented correctly, and the model trained and plotted losses and accuracies. For the bonus task, the student added a residual connection but used an incorrect method to match channel sizes, resulting in a partial implementation.</t>
        </is>
      </c>
      <c r="AC204" t="n">
        <v>8.5</v>
      </c>
      <c r="AD204" t="inlineStr">
        <is>
          <t>The student's submission includes most of the required tasks with minor issues. The dataset class is implemented correctly with proper resizing and transformation, though the mask file extension check is incorrect. The model class uses the correct encoder, but the training and validation loops contain syntax errors in handling the masks. The training process is defined and executed with a slight discrepancy in learning rate and number of epochs compared to the reference. Visualization of predictions is attempted but lacks proper subplot arrangement.</t>
        </is>
      </c>
      <c r="AE204" t="n">
        <v>0</v>
      </c>
      <c r="AF204" t="n">
        <v>5</v>
      </c>
      <c r="AG204" t="inlineStr">
        <is>
          <t>The student's implementation of the ColorizationDataset class is correct and runs perfectly, producing the expected output. The code follows the optimal logic, including the correct grayscale conversion formula and returning the correct shapes for both grayscale and color images. Visualization also works as intended.</t>
        </is>
      </c>
      <c r="AH204" t="n">
        <v>27.5</v>
      </c>
      <c r="AI204" t="n">
        <v>10</v>
      </c>
    </row>
    <row r="205">
      <c r="A205" t="n">
        <v>204</v>
      </c>
      <c r="B205" t="inlineStr">
        <is>
          <t>TA_4</t>
        </is>
      </c>
      <c r="C205" t="inlineStr">
        <is>
          <t>TA_14</t>
        </is>
      </c>
      <c r="D205" t="n">
        <v>12</v>
      </c>
      <c r="E205" t="n">
        <v>0</v>
      </c>
      <c r="F205" t="n">
        <v>9</v>
      </c>
      <c r="G205" t="n">
        <v>0</v>
      </c>
      <c r="H205" t="n">
        <v>7</v>
      </c>
      <c r="I205" t="n">
        <v>0</v>
      </c>
      <c r="J205" t="n">
        <v>12</v>
      </c>
      <c r="K205" t="n">
        <v>0</v>
      </c>
      <c r="L205" t="n">
        <v>9</v>
      </c>
      <c r="M205" t="n">
        <v>0</v>
      </c>
      <c r="N205" t="n">
        <v>7.5</v>
      </c>
      <c r="O205" t="n">
        <v>0</v>
      </c>
      <c r="P205">
        <f>Table1[[#This Row],[TA 1 - Q1 Score]]+Table1[[#This Row],[TA 1 - Q2 Score]]+Table1[[#This Row],[TA 1 - Q3 Score]]</f>
        <v/>
      </c>
      <c r="Q205">
        <f>Table1[[#This Row],[TA 1 - Q1 Bonus]]+Table1[[#This Row],[TA 1 - Q2 Bonus]]+Table1[[#This Row],[TA 1 - Q4 Bonus]]</f>
        <v/>
      </c>
      <c r="R205">
        <f>Table1[[#This Row],[TA 2 - Q1 Score]]+Table1[[#This Row],[TA 2 - Q2 Score]]+Table1[[#This Row],[TA 2 - Q3 Score]]</f>
        <v/>
      </c>
      <c r="S205">
        <f>Table1[[#This Row],[TA 2 - Q1 Bonus]]+Table1[[#This Row],[TA 2 - Q2 Bonus]]+Table1[[#This Row],[TA 2 - Q4 Bonus]]</f>
        <v/>
      </c>
      <c r="T205">
        <f>(Table1[[#This Row],[TA 1 - Total Score (out of 35)]]+Table1[[#This Row],[TA 2 - Total Score (out of 35)]])/2</f>
        <v/>
      </c>
      <c r="U205">
        <f>(Table1[[#This Row],[TA 1 - Total Bonus (out of 13)]]+Table1[[#This Row],[TA 2 - Total Bonus (out of 13)]])/2</f>
        <v/>
      </c>
      <c r="V205">
        <f>Table1[[#This Row],[Average Questions]]/35*20+Table1[[#This Row],[Average Bonus]]/13*5</f>
        <v/>
      </c>
      <c r="W205" t="n">
        <v>8.5</v>
      </c>
      <c r="X205" t="n">
        <v>0</v>
      </c>
      <c r="Y205" t="inlineStr">
        <is>
          <t>The student completed most tasks correctly, including defining transforms, creating DataLoaders, displaying sample images, loading and adapting the pretrained model, and implementing training and validation loops. However, the student froze the entire model instead of just the backbone, which is a logical mistake. Additionally, the student used a smaller batch size and fewer epochs, which may affect performance but does not impact the correctness of the implementation. No bonus tasks were attempted.</t>
        </is>
      </c>
      <c r="Z205" t="n">
        <v>7</v>
      </c>
      <c r="AA205" t="n">
        <v>0</v>
      </c>
      <c r="AB205" t="inlineStr">
        <is>
          <t>The student successfully loaded and prepared the data with the correct transformations and displayed sample images. The CNN model was built with 5 convolutional layers, though the number of channels was less than specified in the rubric. Batch normalization was not added, resulting in a deduction. Training and validation functions were implemented correctly, and the model was trained and plotted. However, the bonus task was not completed.</t>
        </is>
      </c>
      <c r="AC205" t="n">
        <v>4</v>
      </c>
      <c r="AD205" t="inlineStr">
        <is>
          <t>The student partially completed Task 1 by creating a custom dataset class and defining transforms, but failed to properly split the dataset into training and testing sets. Task 2 was mostly correct with the U-Net model definition, but Task 3 had issues with the training and validation loops due to incorrect handling of mask data types. Task 4 had syntax errors and used BCEWithLogitsLoss instead of CrossEntropyLoss, affecting the training process. Task 5 was not attempted.</t>
        </is>
      </c>
      <c r="AE205" t="n">
        <v>0</v>
      </c>
      <c r="AF205" t="n">
        <v>0</v>
      </c>
      <c r="AG205" t="inlineStr">
        <is>
          <t>No submission found.</t>
        </is>
      </c>
      <c r="AH205" t="n">
        <v>19.5</v>
      </c>
      <c r="AI205" t="n">
        <v>0</v>
      </c>
    </row>
    <row r="206">
      <c r="A206" t="n">
        <v>205</v>
      </c>
      <c r="B206" t="inlineStr">
        <is>
          <t>TA_4</t>
        </is>
      </c>
      <c r="C206" t="inlineStr">
        <is>
          <t>TA_14</t>
        </is>
      </c>
      <c r="D206" t="n">
        <v>7</v>
      </c>
      <c r="E206" t="n">
        <v>0</v>
      </c>
      <c r="F206" t="n">
        <v>6.5</v>
      </c>
      <c r="G206" t="n">
        <v>0</v>
      </c>
      <c r="H206" t="n">
        <v>8</v>
      </c>
      <c r="I206" t="n">
        <v>0</v>
      </c>
      <c r="J206" t="n">
        <v>6.25</v>
      </c>
      <c r="K206" t="n">
        <v>0</v>
      </c>
      <c r="L206" t="n">
        <v>5.5</v>
      </c>
      <c r="M206" t="n">
        <v>0</v>
      </c>
      <c r="N206" t="n">
        <v>3.75</v>
      </c>
      <c r="O206" t="n">
        <v>0</v>
      </c>
      <c r="P206">
        <f>Table1[[#This Row],[TA 1 - Q1 Score]]+Table1[[#This Row],[TA 1 - Q2 Score]]+Table1[[#This Row],[TA 1 - Q3 Score]]</f>
        <v/>
      </c>
      <c r="Q206">
        <f>Table1[[#This Row],[TA 1 - Q1 Bonus]]+Table1[[#This Row],[TA 1 - Q2 Bonus]]+Table1[[#This Row],[TA 1 - Q4 Bonus]]</f>
        <v/>
      </c>
      <c r="R206">
        <f>Table1[[#This Row],[TA 2 - Q1 Score]]+Table1[[#This Row],[TA 2 - Q2 Score]]+Table1[[#This Row],[TA 2 - Q3 Score]]</f>
        <v/>
      </c>
      <c r="S206">
        <f>Table1[[#This Row],[TA 2 - Q1 Bonus]]+Table1[[#This Row],[TA 2 - Q2 Bonus]]+Table1[[#This Row],[TA 2 - Q4 Bonus]]</f>
        <v/>
      </c>
      <c r="T206">
        <f>(Table1[[#This Row],[TA 1 - Total Score (out of 35)]]+Table1[[#This Row],[TA 2 - Total Score (out of 35)]])/2</f>
        <v/>
      </c>
      <c r="U206">
        <f>(Table1[[#This Row],[TA 1 - Total Bonus (out of 13)]]+Table1[[#This Row],[TA 2 - Total Bonus (out of 13)]])/2</f>
        <v/>
      </c>
      <c r="V206">
        <f>Table1[[#This Row],[Average Questions]]/35*20+Table1[[#This Row],[Average Bonus]]/13*5</f>
        <v/>
      </c>
      <c r="W206" t="n">
        <v>4</v>
      </c>
      <c r="X206" t="n">
        <v>0</v>
      </c>
      <c r="Y206" t="inlineStr">
        <is>
          <t>The student completed the data loading and transformation correctly, including resizing, converting to tensor, and normalizing. However, there were issues in creating and displaying sample images, where the labels were not used correctly. The model loading and adaptation were mostly correct, but all backbone layers were frozen instead of just the feature extractor. The training and validation loops were implemented but did not adjust the labels to be 0-indexed, resulting in a penalty. The bonus task was not attempted.</t>
        </is>
      </c>
      <c r="Z206" t="n">
        <v>6</v>
      </c>
      <c r="AA206" t="n">
        <v>0</v>
      </c>
      <c r="AB206" t="inlineStr">
        <is>
          <t>The student implemented a custom dataset class and used appropriate transformations, earning full credit for Part 1. The CNN model has 5 convolutional layers but does not include batch normalization, resulting in 50% for Part 2. The training and validation loops are mostly correct but contain minor issues like squeezing outputs and using sigmoid activation, leading to 50% for Part 3. The model setup, training, and plotting are correct, earning full credit for Part 4. No bonus task was attempted.</t>
        </is>
      </c>
      <c r="AC206" t="n">
        <v>4</v>
      </c>
      <c r="AD206" t="inlineStr">
        <is>
          <t>The student attempted most tasks but made significant errors. The dataset class incorrectly uses a CSV file for paths instead of directly listing image and mask files. The model class specifies a single output channel, which is incorrect for multi-class segmentation. The training and validation loops use BCEWithLogitsLoss, suitable for binary segmentation, not multi-class. The visualization section correctly displays images but uses a binary threshold for predictions.</t>
        </is>
      </c>
      <c r="AE206" t="n">
        <v>0</v>
      </c>
      <c r="AF206" t="n">
        <v>0</v>
      </c>
      <c r="AG206" t="inlineStr">
        <is>
          <t>No submission found.</t>
        </is>
      </c>
      <c r="AH206" t="n">
        <v>14</v>
      </c>
      <c r="AI206" t="n">
        <v>0</v>
      </c>
    </row>
    <row r="207">
      <c r="A207" t="n">
        <v>206</v>
      </c>
      <c r="B207" t="inlineStr">
        <is>
          <t>TA_4</t>
        </is>
      </c>
      <c r="C207" t="inlineStr">
        <is>
          <t>TA_14</t>
        </is>
      </c>
      <c r="D207" t="n">
        <v>12</v>
      </c>
      <c r="E207" t="n">
        <v>4</v>
      </c>
      <c r="F207" t="n">
        <v>11</v>
      </c>
      <c r="G207" t="n">
        <v>0</v>
      </c>
      <c r="H207" t="n">
        <v>12</v>
      </c>
      <c r="I207" t="n">
        <v>5</v>
      </c>
      <c r="J207" t="n">
        <v>12</v>
      </c>
      <c r="K207" t="n">
        <v>4</v>
      </c>
      <c r="L207" t="n">
        <v>11</v>
      </c>
      <c r="M207" t="n">
        <v>0</v>
      </c>
      <c r="N207" t="n">
        <v>12</v>
      </c>
      <c r="O207" t="n">
        <v>5</v>
      </c>
      <c r="P207">
        <f>Table1[[#This Row],[TA 1 - Q1 Score]]+Table1[[#This Row],[TA 1 - Q2 Score]]+Table1[[#This Row],[TA 1 - Q3 Score]]</f>
        <v/>
      </c>
      <c r="Q207">
        <f>Table1[[#This Row],[TA 1 - Q1 Bonus]]+Table1[[#This Row],[TA 1 - Q2 Bonus]]+Table1[[#This Row],[TA 1 - Q4 Bonus]]</f>
        <v/>
      </c>
      <c r="R207">
        <f>Table1[[#This Row],[TA 2 - Q1 Score]]+Table1[[#This Row],[TA 2 - Q2 Score]]+Table1[[#This Row],[TA 2 - Q3 Score]]</f>
        <v/>
      </c>
      <c r="S207">
        <f>Table1[[#This Row],[TA 2 - Q1 Bonus]]+Table1[[#This Row],[TA 2 - Q2 Bonus]]+Table1[[#This Row],[TA 2 - Q4 Bonus]]</f>
        <v/>
      </c>
      <c r="T207">
        <f>(Table1[[#This Row],[TA 1 - Total Score (out of 35)]]+Table1[[#This Row],[TA 2 - Total Score (out of 35)]])/2</f>
        <v/>
      </c>
      <c r="U207">
        <f>(Table1[[#This Row],[TA 1 - Total Bonus (out of 13)]]+Table1[[#This Row],[TA 2 - Total Bonus (out of 13)]])/2</f>
        <v/>
      </c>
      <c r="V207">
        <f>Table1[[#This Row],[Average Questions]]/35*20+Table1[[#This Row],[Average Bonus]]/13*5</f>
        <v/>
      </c>
      <c r="W207" t="n">
        <v>8.5</v>
      </c>
      <c r="X207" t="n">
        <v>0</v>
      </c>
      <c r="Y207" t="inlineStr">
        <is>
          <t>The student completed most tasks correctly but made some minor mistakes. The data loading and preparation were mostly accurate, though the batch size was smaller than the reference. The model loading and adaptation were correct, but the classifier head was incorrectly set to 2 classes instead of 26. The training and validation loops were implemented correctly, including label fixing. However, the bonus task was not attempted.</t>
        </is>
      </c>
      <c r="Z207" t="n">
        <v>8.5</v>
      </c>
      <c r="AA207" t="n">
        <v>0</v>
      </c>
      <c r="AB207" t="inlineStr">
        <is>
          <t>The student successfully completed most tasks with minor issues. The dataset loading and preparation were mostly correct, with the exception of hardcoding image indices for display. The CNN model had 5 convolutional layers with batch normalization, earning full points. However, the model's fully connected layer input size was incorrect due to the smaller image size. The training and validation loops were implemented correctly, though the learning rate was unusually low. The plots were generated accurately. No bonus task was attempted.</t>
        </is>
      </c>
      <c r="AC207" t="n">
        <v>8.5</v>
      </c>
      <c r="AD207" t="inlineStr">
        <is>
          <t>The student's submission largely follows the required tasks but contains some minor issues. Task 1 is mostly correct with a small mistake in the dataset class where the mask conversion to grayscale is hardcoded for binary segmentation instead of multi-class. Task 2 correctly defines the U-Net model with the specified encoder. Task 3 implements both training and validation loops accurately. Task 4 defines the loss and optimizer correctly, trains the model, and plots the loss curve, though the number of epochs is higher than required. Task 5 visualizes predictions but uses a grayscale colormap instead of 'tab10' for multi-class segmentation.</t>
        </is>
      </c>
      <c r="AE207" t="n">
        <v>0</v>
      </c>
      <c r="AF207" t="n">
        <v>0</v>
      </c>
      <c r="AG207" t="inlineStr">
        <is>
          <t>The student's implementation contains a critical error in the `rgb_to_grayscale` method. Instead of correctly accessing the red, green, and blue channels, the student mistakenly accesses the first pixel value multiple times. This results in incorrect grayscale conversion. Despite this error, the student has attempted to implement all required methods and the code structure is correct. However, due to the incorrect grayscale conversion, the entire implementation fails to meet the requirements for full credit.</t>
        </is>
      </c>
      <c r="AH207" t="n">
        <v>25.5</v>
      </c>
      <c r="AI207" t="n">
        <v>0</v>
      </c>
    </row>
    <row r="208">
      <c r="A208" t="n">
        <v>207</v>
      </c>
      <c r="B208" t="inlineStr">
        <is>
          <t>TA_4</t>
        </is>
      </c>
      <c r="C208" t="inlineStr">
        <is>
          <t>TA_14</t>
        </is>
      </c>
      <c r="D208" t="n">
        <v>11</v>
      </c>
      <c r="E208" t="n">
        <v>4</v>
      </c>
      <c r="F208" t="n">
        <v>11</v>
      </c>
      <c r="G208" t="n">
        <v>4</v>
      </c>
      <c r="H208" t="n">
        <v>12</v>
      </c>
      <c r="I208" t="n">
        <v>5</v>
      </c>
      <c r="J208" t="n">
        <v>11</v>
      </c>
      <c r="K208" t="n">
        <v>4</v>
      </c>
      <c r="L208" t="n">
        <v>11</v>
      </c>
      <c r="M208" t="n">
        <v>0</v>
      </c>
      <c r="N208" t="n">
        <v>12</v>
      </c>
      <c r="O208" t="n">
        <v>0</v>
      </c>
      <c r="P208">
        <f>Table1[[#This Row],[TA 1 - Q1 Score]]+Table1[[#This Row],[TA 1 - Q2 Score]]+Table1[[#This Row],[TA 1 - Q3 Score]]</f>
        <v/>
      </c>
      <c r="Q208">
        <f>Table1[[#This Row],[TA 1 - Q1 Bonus]]+Table1[[#This Row],[TA 1 - Q2 Bonus]]+Table1[[#This Row],[TA 1 - Q4 Bonus]]</f>
        <v/>
      </c>
      <c r="R208">
        <f>Table1[[#This Row],[TA 2 - Q1 Score]]+Table1[[#This Row],[TA 2 - Q2 Score]]+Table1[[#This Row],[TA 2 - Q3 Score]]</f>
        <v/>
      </c>
      <c r="S208">
        <f>Table1[[#This Row],[TA 2 - Q1 Bonus]]+Table1[[#This Row],[TA 2 - Q2 Bonus]]+Table1[[#This Row],[TA 2 - Q4 Bonus]]</f>
        <v/>
      </c>
      <c r="T208">
        <f>(Table1[[#This Row],[TA 1 - Total Score (out of 35)]]+Table1[[#This Row],[TA 2 - Total Score (out of 35)]])/2</f>
        <v/>
      </c>
      <c r="U208">
        <f>(Table1[[#This Row],[TA 1 - Total Bonus (out of 13)]]+Table1[[#This Row],[TA 2 - Total Bonus (out of 13)]])/2</f>
        <v/>
      </c>
      <c r="V208">
        <f>Table1[[#This Row],[Average Questions]]/35*20+Table1[[#This Row],[Average Bonus]]/13*5</f>
        <v/>
      </c>
      <c r="W208" t="n">
        <v>11</v>
      </c>
      <c r="X208" t="n">
        <v>4</v>
      </c>
      <c r="Y208" t="inlineStr">
        <is>
          <t>The student completed all required tasks with minor issues. In Part 1, the transforms were correctly defined, and DataLoaders were set up properly. Sample images were displayed, though without labels. In Part 2, the pretrained EfficientNetV2-Small model was loaded and adapted correctly. In Part 3, both training and validation loops were implemented accurately, and label fixing was done correctly. In Part 4, the model was trained, and training/validation losses and accuracies were plotted. For the bonus task, Test Time Augmentation was implemented correctly, averaging predictions from original, horizontally flipped, and vertically flipped images.</t>
        </is>
      </c>
      <c r="Z208" t="n">
        <v>10</v>
      </c>
      <c r="AA208" t="n">
        <v>4</v>
      </c>
      <c r="AB208" t="inlineStr">
        <is>
          <t>The student's submission successfully completes all required tasks and the bonus task. The dataset is loaded and prepared with the correct transformations, including RandomRotation and resizing to 32x32. Sample images are displayed with labels. The CNN model is built with five convolutional layers and batch normalization. Training and validation functions are defined and used to train the model, with losses and accuracies plotted. The bonus task is also completed with a residual connection added between the second and fourth convolutional layers, and the model is retrained and evaluated.</t>
        </is>
      </c>
      <c r="AC208" t="n">
        <v>8.5</v>
      </c>
      <c r="AD208" t="inlineStr">
        <is>
          <t>The student's submission largely follows the reference solution but contains minor issues. In Task 1, the dataset class is implemented correctly, but the normalization transform is applied after resizing, which is less optimal. The DataLoader creation and sample display are mostly correct. In Task 2, the correct U-Net model with 'efficientnet-b1' encoder is used. Task 3's training and validation loops are implemented correctly. Task 4 defines the loss and optimizer correctly, trains the model, prints losses, and plots the loss curve. Task 5 visualizes predictions correctly, though the colormap could be improved for better visualization.</t>
        </is>
      </c>
      <c r="AE208" t="n">
        <v>0</v>
      </c>
      <c r="AF208" t="n">
        <v>0</v>
      </c>
      <c r="AG208" t="inlineStr">
        <is>
          <t>The student's implementation contains multiple issues. In the `__init__` method, the dataset is incorrectly stored as `self.cifar_dataset` instead of `self.dataset`. The `rgb_to_grayscale` method has a redundant `pass` statement after the return, which is unnecessary. The `__getitem__` method also has a redundant `pass` statement. Despite these issues, the code structure and logic are mostly correct, but the presence of these unnecessary statements prevents it from being fully correct.</t>
        </is>
      </c>
      <c r="AH208" t="n">
        <v>29.5</v>
      </c>
      <c r="AI208" t="n">
        <v>8</v>
      </c>
    </row>
    <row r="209">
      <c r="A209" t="n">
        <v>208</v>
      </c>
      <c r="B209" t="inlineStr">
        <is>
          <t>TA_4</t>
        </is>
      </c>
      <c r="C209" t="inlineStr">
        <is>
          <t>TA_14</t>
        </is>
      </c>
      <c r="D209" t="n">
        <v>12</v>
      </c>
      <c r="E209" t="n">
        <v>0</v>
      </c>
      <c r="F209" t="n">
        <v>9</v>
      </c>
      <c r="G209" t="n">
        <v>0</v>
      </c>
      <c r="H209" t="n">
        <v>12</v>
      </c>
      <c r="I209" t="n">
        <v>0</v>
      </c>
      <c r="J209" t="n">
        <v>12</v>
      </c>
      <c r="K209" t="n">
        <v>0</v>
      </c>
      <c r="L209" t="n">
        <v>9</v>
      </c>
      <c r="M209" t="n">
        <v>0</v>
      </c>
      <c r="N209" t="n">
        <v>12</v>
      </c>
      <c r="O209" t="n">
        <v>0</v>
      </c>
      <c r="P209">
        <f>Table1[[#This Row],[TA 1 - Q1 Score]]+Table1[[#This Row],[TA 1 - Q2 Score]]+Table1[[#This Row],[TA 1 - Q3 Score]]</f>
        <v/>
      </c>
      <c r="Q209">
        <f>Table1[[#This Row],[TA 1 - Q1 Bonus]]+Table1[[#This Row],[TA 1 - Q2 Bonus]]+Table1[[#This Row],[TA 1 - Q4 Bonus]]</f>
        <v/>
      </c>
      <c r="R209">
        <f>Table1[[#This Row],[TA 2 - Q1 Score]]+Table1[[#This Row],[TA 2 - Q2 Score]]+Table1[[#This Row],[TA 2 - Q3 Score]]</f>
        <v/>
      </c>
      <c r="S209">
        <f>Table1[[#This Row],[TA 2 - Q1 Bonus]]+Table1[[#This Row],[TA 2 - Q2 Bonus]]+Table1[[#This Row],[TA 2 - Q4 Bonus]]</f>
        <v/>
      </c>
      <c r="T209">
        <f>(Table1[[#This Row],[TA 1 - Total Score (out of 35)]]+Table1[[#This Row],[TA 2 - Total Score (out of 35)]])/2</f>
        <v/>
      </c>
      <c r="U209">
        <f>(Table1[[#This Row],[TA 1 - Total Bonus (out of 13)]]+Table1[[#This Row],[TA 2 - Total Bonus (out of 13)]])/2</f>
        <v/>
      </c>
      <c r="V209">
        <f>Table1[[#This Row],[Average Questions]]/35*20+Table1[[#This Row],[Average Bonus]]/13*5</f>
        <v/>
      </c>
      <c r="W209" t="n">
        <v>7</v>
      </c>
      <c r="X209" t="n">
        <v>0</v>
      </c>
      <c r="Y209" t="inlineStr">
        <is>
          <t>The student completed most tasks with minor issues. Transforms were correctly defined, and DataLoaders were set up properly. Sample images were displayed, though with a minor issue in the denormalization function affecting visualization. The pretrained model was loaded and adapted correctly, with the backbone frozen and classifier replaced. Training and validation loops were implemented with label fixing, though the training loop used softmax unnecessarily. The model was trained and plotted, but only for 3 epochs instead of 5. No bonus task was attempted.</t>
        </is>
      </c>
      <c r="Z209" t="n">
        <v>7</v>
      </c>
      <c r="AA209" t="n">
        <v>0</v>
      </c>
      <c r="AB209" t="inlineStr">
        <is>
          <t>The student successfully loaded and prepared the data with the correct transformations and displayed sample images. The CNN model was built with 5 convolutional layers, but the number of channels and the final fully connected layer did not match the reference solution. The training and validation loops were implemented correctly, though the number of epochs was reduced to 3. No bonus task was attempted.</t>
        </is>
      </c>
      <c r="AC209" t="n">
        <v>8.5</v>
      </c>
      <c r="AD209" t="inlineStr">
        <is>
          <t>The student's submission largely follows the reference solution but contains minor issues. Task 1 is mostly correct with a small mistake in displaying masks (should use cmap='tab10' instead of 'gray'). Task 2 correctly defines the U-Net model with the specified encoder. Task 3 implements training and validation loops accurately. Task 4 defines the loss and optimizer correctly, trains the model, prints losses, and plots the loss curve. Task 5 visualizes predictions but uses 'gray' colormap for masks instead of 'tab10'. Overall, the code runs and attempts all tasks with minor issues.</t>
        </is>
      </c>
      <c r="AE209" t="n">
        <v>0</v>
      </c>
      <c r="AF209" t="n">
        <v>0</v>
      </c>
      <c r="AG209" t="inlineStr">
        <is>
          <t>The student's implementation contains several errors. In the `__init__` method, the dataset is incorrectly stored as `cifar_data` instead of the passed `cifar_dataset`. The `rgb_to_grayscale` method has multiple issues: it incorrectly converts the image to a tensor again, uses hardcoded indices for the first image, and does not properly calculate the grayscale values. The `__getitem__` method also incorrectly returns the entire dataset instead of the specific item at the given index. These errors prevent the code from running correctly.</t>
        </is>
      </c>
      <c r="AH209" t="n">
        <v>22.5</v>
      </c>
      <c r="AI209" t="n">
        <v>0</v>
      </c>
    </row>
    <row r="210">
      <c r="A210" t="n">
        <v>209</v>
      </c>
      <c r="B210" t="inlineStr">
        <is>
          <t>TA_4</t>
        </is>
      </c>
      <c r="C210" t="inlineStr">
        <is>
          <t>TA_14</t>
        </is>
      </c>
      <c r="D210" t="n">
        <v>8</v>
      </c>
      <c r="E210" t="n">
        <v>0</v>
      </c>
      <c r="F210" t="n">
        <v>9</v>
      </c>
      <c r="G210" t="n">
        <v>0</v>
      </c>
      <c r="H210" t="n">
        <v>8</v>
      </c>
      <c r="I210" t="n">
        <v>0</v>
      </c>
      <c r="J210" t="n">
        <v>7.5</v>
      </c>
      <c r="K210" t="n">
        <v>0</v>
      </c>
      <c r="L210" t="n">
        <v>8.25</v>
      </c>
      <c r="M210" t="n">
        <v>0</v>
      </c>
      <c r="N210" t="n">
        <v>7.5</v>
      </c>
      <c r="O210" t="n">
        <v>0</v>
      </c>
      <c r="P210">
        <f>Table1[[#This Row],[TA 1 - Q1 Score]]+Table1[[#This Row],[TA 1 - Q2 Score]]+Table1[[#This Row],[TA 1 - Q3 Score]]</f>
        <v/>
      </c>
      <c r="Q210">
        <f>Table1[[#This Row],[TA 1 - Q1 Bonus]]+Table1[[#This Row],[TA 1 - Q2 Bonus]]+Table1[[#This Row],[TA 1 - Q4 Bonus]]</f>
        <v/>
      </c>
      <c r="R210">
        <f>Table1[[#This Row],[TA 2 - Q1 Score]]+Table1[[#This Row],[TA 2 - Q2 Score]]+Table1[[#This Row],[TA 2 - Q3 Score]]</f>
        <v/>
      </c>
      <c r="S210">
        <f>Table1[[#This Row],[TA 2 - Q1 Bonus]]+Table1[[#This Row],[TA 2 - Q2 Bonus]]+Table1[[#This Row],[TA 2 - Q4 Bonus]]</f>
        <v/>
      </c>
      <c r="T210">
        <f>(Table1[[#This Row],[TA 1 - Total Score (out of 35)]]+Table1[[#This Row],[TA 2 - Total Score (out of 35)]])/2</f>
        <v/>
      </c>
      <c r="U210">
        <f>(Table1[[#This Row],[TA 1 - Total Bonus (out of 13)]]+Table1[[#This Row],[TA 2 - Total Bonus (out of 13)]])/2</f>
        <v/>
      </c>
      <c r="V210">
        <f>Table1[[#This Row],[Average Questions]]/35*20+Table1[[#This Row],[Average Bonus]]/13*5</f>
        <v/>
      </c>
      <c r="W210" t="n">
        <v>8</v>
      </c>
      <c r="X210" t="n">
        <v>0</v>
      </c>
      <c r="Y210" t="inlineStr">
        <is>
          <t>The student completed most tasks correctly but made some minor mistakes. In Part 1, the transforms were correctly defined, and sample images were displayed properly. In Part 2, the model was loaded and adapted correctly, but all parameters were frozen instead of just the backbone. In Part 3, the training and validation loops had issues with label fixing and unnecessary softmax operations. In Part 4, the model trained and plotted losses and accuracies correctly, but the number of epochs was higher than specified. No bonus task was attempted.</t>
        </is>
      </c>
      <c r="Z210" t="n">
        <v>7</v>
      </c>
      <c r="AA210" t="n">
        <v>0</v>
      </c>
      <c r="AB210" t="inlineStr">
        <is>
          <t>The student implemented a custom dataset class and used the correct transformations, including RandomRotation and resizing to 32x32, earning full marks for Part 1. The CNN model has 5 convolutional layers but does not include batch normalization, resulting in 50% for Part 2. Both training and validation loops are correctly defined, earning full marks for Part 3. The model setup, training, and plotting of losses and accuracies are also correct, earning full marks for Part 4. No bonus task was attempted.</t>
        </is>
      </c>
      <c r="AC210" t="n">
        <v>4</v>
      </c>
      <c r="AD210" t="inlineStr">
        <is>
          <t>The student partially completed Task 1 by creating a custom dataset class and DataLoaders, but there were issues with the mask transformation and normalization. Task 2 was incomplete due to an incorrect number of classes specified in the U-Net model. Task 3 had syntax errors in the training and validation loops. Task 4 was not fully implemented correctly, with issues in the loss function choice and model training. Task 5 was partially attempted but contained errors in the prediction visualization.</t>
        </is>
      </c>
      <c r="AE210" t="n">
        <v>0</v>
      </c>
      <c r="AF210" t="n">
        <v>0</v>
      </c>
      <c r="AG210" t="inlineStr">
        <is>
          <t>No submission found.</t>
        </is>
      </c>
      <c r="AH210" t="n">
        <v>19</v>
      </c>
      <c r="AI210" t="n">
        <v>0</v>
      </c>
    </row>
    <row r="211">
      <c r="A211" t="n">
        <v>210</v>
      </c>
      <c r="B211" t="inlineStr">
        <is>
          <t>TA_4</t>
        </is>
      </c>
      <c r="C211" t="inlineStr">
        <is>
          <t>TA_14</t>
        </is>
      </c>
      <c r="D211" t="n">
        <v>11</v>
      </c>
      <c r="E211" t="n">
        <v>0</v>
      </c>
      <c r="F211" t="n">
        <v>11</v>
      </c>
      <c r="G211" t="n">
        <v>0</v>
      </c>
      <c r="H211" t="n">
        <v>9</v>
      </c>
      <c r="I211" t="n">
        <v>5</v>
      </c>
      <c r="J211" t="n">
        <v>11</v>
      </c>
      <c r="K211" t="n">
        <v>0</v>
      </c>
      <c r="L211" t="n">
        <v>10.5</v>
      </c>
      <c r="M211" t="n">
        <v>0</v>
      </c>
      <c r="N211" t="n">
        <v>8.5</v>
      </c>
      <c r="O211" t="n">
        <v>0</v>
      </c>
      <c r="P211">
        <f>Table1[[#This Row],[TA 1 - Q1 Score]]+Table1[[#This Row],[TA 1 - Q2 Score]]+Table1[[#This Row],[TA 1 - Q3 Score]]</f>
        <v/>
      </c>
      <c r="Q211">
        <f>Table1[[#This Row],[TA 1 - Q1 Bonus]]+Table1[[#This Row],[TA 1 - Q2 Bonus]]+Table1[[#This Row],[TA 1 - Q4 Bonus]]</f>
        <v/>
      </c>
      <c r="R211">
        <f>Table1[[#This Row],[TA 2 - Q1 Score]]+Table1[[#This Row],[TA 2 - Q2 Score]]+Table1[[#This Row],[TA 2 - Q3 Score]]</f>
        <v/>
      </c>
      <c r="S211">
        <f>Table1[[#This Row],[TA 2 - Q1 Bonus]]+Table1[[#This Row],[TA 2 - Q2 Bonus]]+Table1[[#This Row],[TA 2 - Q4 Bonus]]</f>
        <v/>
      </c>
      <c r="T211">
        <f>(Table1[[#This Row],[TA 1 - Total Score (out of 35)]]+Table1[[#This Row],[TA 2 - Total Score (out of 35)]])/2</f>
        <v/>
      </c>
      <c r="U211">
        <f>(Table1[[#This Row],[TA 1 - Total Bonus (out of 13)]]+Table1[[#This Row],[TA 2 - Total Bonus (out of 13)]])/2</f>
        <v/>
      </c>
      <c r="V211">
        <f>Table1[[#This Row],[Average Questions]]/35*20+Table1[[#This Row],[Average Bonus]]/13*5</f>
        <v/>
      </c>
      <c r="W211" t="n">
        <v>8</v>
      </c>
      <c r="X211" t="n">
        <v>0</v>
      </c>
      <c r="Y211" t="inlineStr">
        <is>
          <t>The student completed most tasks correctly, including defining transforms, creating DataLoaders, loading and adapting the pretrained model, and setting up the training and validation loops. However, there were minor issues: the training loop did not calculate accuracy correctly (it returned raw counts instead of percentages), and the bonus task was not attempted. The plots for loss and accuracy were also missing titles and labels, affecting clarity.</t>
        </is>
      </c>
      <c r="Z211" t="n">
        <v>7</v>
      </c>
      <c r="AA211" t="n">
        <v>0</v>
      </c>
      <c r="AB211" t="inlineStr">
        <is>
          <t>The student successfully loaded and prepared the data with correct transformations and displayed sample images. The CNN model was built with five convolutional layers and batch normalization, though there was a mistake in the final fully connected layer's input size. The training and validation functions were implemented correctly, and the model was trained and plotted. However, the bonus task was not completed.</t>
        </is>
      </c>
      <c r="AC211" t="n">
        <v>4</v>
      </c>
      <c r="AD211" t="inlineStr">
        <is>
          <t>The student attempted most tasks but made significant errors. The dataset class was partially correct but used a CSV file for paths instead of directly listing files, causing issues. DataLoaders were defined but incorrectly due to missing metadata. The model class was correctly defined with the specified encoder. Training and validation loops were attempted but contained logical errors, such as not squeezing the mask tensor. Loss and optimizer were defined, and training was attempted, but the loss plotting had issues. Prediction visualization was incomplete and did not display ground truth masks.</t>
        </is>
      </c>
      <c r="AE211" t="n">
        <v>0</v>
      </c>
      <c r="AF211" t="n">
        <v>0</v>
      </c>
      <c r="AG211" t="inlineStr">
        <is>
          <t>The student's implementation contains several issues. In the `__init__` method, the dataset attribute is incorrectly named `cifar_dataset` instead of `dataset`. The `__getitem__` method does not return the grayscale and color image tuple, resulting in a missing return statement. Despite these issues, the student attempted the tasks and provided code that can be corrected to meet the requirements.</t>
        </is>
      </c>
      <c r="AH211" t="n">
        <v>19</v>
      </c>
      <c r="AI211" t="n">
        <v>0</v>
      </c>
    </row>
    <row r="212">
      <c r="A212" t="n">
        <v>211</v>
      </c>
      <c r="B212" t="inlineStr">
        <is>
          <t>TA_4</t>
        </is>
      </c>
      <c r="C212" t="inlineStr">
        <is>
          <t>TA_14</t>
        </is>
      </c>
      <c r="D212" t="n">
        <v>6.5</v>
      </c>
      <c r="E212" t="n">
        <v>0</v>
      </c>
      <c r="F212" t="n">
        <v>8</v>
      </c>
      <c r="G212" t="n">
        <v>0</v>
      </c>
      <c r="H212" t="n">
        <v>11</v>
      </c>
      <c r="I212" t="n">
        <v>0</v>
      </c>
      <c r="J212" t="n">
        <v>6.5</v>
      </c>
      <c r="K212" t="n">
        <v>0</v>
      </c>
      <c r="L212" t="n">
        <v>8</v>
      </c>
      <c r="M212" t="n">
        <v>0</v>
      </c>
      <c r="N212" t="n">
        <v>11.5</v>
      </c>
      <c r="O212" t="n">
        <v>0</v>
      </c>
      <c r="P212">
        <f>Table1[[#This Row],[TA 1 - Q1 Score]]+Table1[[#This Row],[TA 1 - Q2 Score]]+Table1[[#This Row],[TA 1 - Q3 Score]]</f>
        <v/>
      </c>
      <c r="Q212">
        <f>Table1[[#This Row],[TA 1 - Q1 Bonus]]+Table1[[#This Row],[TA 1 - Q2 Bonus]]+Table1[[#This Row],[TA 1 - Q4 Bonus]]</f>
        <v/>
      </c>
      <c r="R212">
        <f>Table1[[#This Row],[TA 2 - Q1 Score]]+Table1[[#This Row],[TA 2 - Q2 Score]]+Table1[[#This Row],[TA 2 - Q3 Score]]</f>
        <v/>
      </c>
      <c r="S212">
        <f>Table1[[#This Row],[TA 2 - Q1 Bonus]]+Table1[[#This Row],[TA 2 - Q2 Bonus]]+Table1[[#This Row],[TA 2 - Q4 Bonus]]</f>
        <v/>
      </c>
      <c r="T212">
        <f>(Table1[[#This Row],[TA 1 - Total Score (out of 35)]]+Table1[[#This Row],[TA 2 - Total Score (out of 35)]])/2</f>
        <v/>
      </c>
      <c r="U212">
        <f>(Table1[[#This Row],[TA 1 - Total Bonus (out of 13)]]+Table1[[#This Row],[TA 2 - Total Bonus (out of 13)]])/2</f>
        <v/>
      </c>
      <c r="V212">
        <f>Table1[[#This Row],[Average Questions]]/35*20+Table1[[#This Row],[Average Bonus]]/13*5</f>
        <v/>
      </c>
      <c r="W212" t="n">
        <v>2</v>
      </c>
      <c r="X212" t="n">
        <v>0</v>
      </c>
      <c r="Y212" t="inlineStr">
        <is>
          <t>The student completed the data loading and transformation steps correctly but used an incorrect batch size and did not display sample images properly. The model loading and adaptation were partially correct, with the backbone frozen but the classifier replacement had issues. The training and validation loops contained significant errors, including incorrect handling of outputs and labels. No code was provided for the bonus task.</t>
        </is>
      </c>
      <c r="Z212" t="n">
        <v>5</v>
      </c>
      <c r="AA212" t="n">
        <v>0</v>
      </c>
      <c r="AB212" t="inlineStr">
        <is>
          <t>The student partially completed the tasks. They correctly set up the dataset with the required transformations and displayed sample images. However, the CNN model does not meet the requirements as it has more than five convolutional layers and uses different architecture parameters. The training and validation loops are implemented correctly, and the model is trained and plotted. The bonus task was not attempted.</t>
        </is>
      </c>
      <c r="AC212" t="n">
        <v>7</v>
      </c>
      <c r="AD212" t="inlineStr">
        <is>
          <t>The student's submission contains mostly correct code but has some issues. Task 1 is partially correct with a minor mistake in the mask conversion. Task 2 has an error in specifying the number of classes. Task 3 is correctly implemented. Task 4 has a correct training loop but uses an incorrect number of classes in the model definition. Task 5 visualizes predictions but uses an incorrect number of classes, leading to incorrect predictions.</t>
        </is>
      </c>
      <c r="AE212" t="n">
        <v>0</v>
      </c>
      <c r="AF212" t="n">
        <v>0</v>
      </c>
      <c r="AG212" t="inlineStr">
        <is>
          <t>No submission found.</t>
        </is>
      </c>
      <c r="AH212" t="n">
        <v>14</v>
      </c>
      <c r="AI212" t="n">
        <v>0</v>
      </c>
    </row>
    <row r="213">
      <c r="A213" t="n">
        <v>212</v>
      </c>
      <c r="B213" t="inlineStr">
        <is>
          <t>TA_4</t>
        </is>
      </c>
      <c r="C213" t="inlineStr">
        <is>
          <t>TA_14</t>
        </is>
      </c>
      <c r="D213" t="n">
        <v>12</v>
      </c>
      <c r="E213" t="n">
        <v>4</v>
      </c>
      <c r="F213" t="n">
        <v>11</v>
      </c>
      <c r="G213" t="n">
        <v>0</v>
      </c>
      <c r="H213" t="n">
        <v>12</v>
      </c>
      <c r="I213" t="n">
        <v>0</v>
      </c>
      <c r="J213" t="n">
        <v>12</v>
      </c>
      <c r="K213" t="n">
        <v>4</v>
      </c>
      <c r="L213" t="n">
        <v>10.75</v>
      </c>
      <c r="M213" t="n">
        <v>4</v>
      </c>
      <c r="N213" t="n">
        <v>12</v>
      </c>
      <c r="O213" t="n">
        <v>0</v>
      </c>
      <c r="P213">
        <f>Table1[[#This Row],[TA 1 - Q1 Score]]+Table1[[#This Row],[TA 1 - Q2 Score]]+Table1[[#This Row],[TA 1 - Q3 Score]]</f>
        <v/>
      </c>
      <c r="Q213">
        <f>Table1[[#This Row],[TA 1 - Q1 Bonus]]+Table1[[#This Row],[TA 1 - Q2 Bonus]]+Table1[[#This Row],[TA 1 - Q4 Bonus]]</f>
        <v/>
      </c>
      <c r="R213">
        <f>Table1[[#This Row],[TA 2 - Q1 Score]]+Table1[[#This Row],[TA 2 - Q2 Score]]+Table1[[#This Row],[TA 2 - Q3 Score]]</f>
        <v/>
      </c>
      <c r="S213">
        <f>Table1[[#This Row],[TA 2 - Q1 Bonus]]+Table1[[#This Row],[TA 2 - Q2 Bonus]]+Table1[[#This Row],[TA 2 - Q4 Bonus]]</f>
        <v/>
      </c>
      <c r="T213">
        <f>(Table1[[#This Row],[TA 1 - Total Score (out of 35)]]+Table1[[#This Row],[TA 2 - Total Score (out of 35)]])/2</f>
        <v/>
      </c>
      <c r="U213">
        <f>(Table1[[#This Row],[TA 1 - Total Bonus (out of 13)]]+Table1[[#This Row],[TA 2 - Total Bonus (out of 13)]])/2</f>
        <v/>
      </c>
      <c r="V213">
        <f>Table1[[#This Row],[Average Questions]]/35*20+Table1[[#This Row],[Average Bonus]]/13*5</f>
        <v/>
      </c>
      <c r="W213" t="n">
        <v>8.5</v>
      </c>
      <c r="X213" t="n">
        <v>0</v>
      </c>
      <c r="Y213" t="inlineStr">
        <is>
          <t>The student completed most tasks correctly, including defining transforms, creating DataLoaders, displaying sample images, loading and adapting the pretrained model, and implementing training and validation loops. However, the student froze all model parameters instead of just the backbone, which is a logical mistake. Additionally, the student duplicated the validation function for TTA without actually using it, resulting in no bonus points.</t>
        </is>
      </c>
      <c r="Z213" t="n">
        <v>7</v>
      </c>
      <c r="AA213" t="n">
        <v>0</v>
      </c>
      <c r="AB213" t="inlineStr">
        <is>
          <t>The student partially completed the tasks. The data loading and preparation section had issues with incorrect folder paths and incorrect dataset class mapping. The CNN model was built with 5 convolutional layers and batch normalization, earning full points for this part. The training and validation loops were implemented correctly, but the model was trained with an incorrect learning rate (0.0001 instead of 0.001). No bonus task was attempted.</t>
        </is>
      </c>
      <c r="AC213" t="n">
        <v>8</v>
      </c>
      <c r="AD213" t="inlineStr">
        <is>
          <t>The student's submission contains mostly correct code with minor issues. Task 1 has a typo in the mask file path variable name ('masks_apths' instead of 'masks_paths') and uses a larger batch size than specified. Task 2 correctly defines the U-Net model with the specified encoder. Task 3 implements the training and validation loops accurately. Task 4 defines the loss and optimizer correctly, trains the model, and plots the loss curve. Task 5 visualizes predictions but uses a grayscale colormap for the predicted mask instead of 'tab10'.</t>
        </is>
      </c>
      <c r="AE213" t="n">
        <v>0</v>
      </c>
      <c r="AF213" t="n">
        <v>0</v>
      </c>
      <c r="AG213" t="inlineStr">
        <is>
          <t>No submission found.</t>
        </is>
      </c>
      <c r="AH213" t="n">
        <v>23.5</v>
      </c>
      <c r="AI213" t="n">
        <v>0</v>
      </c>
    </row>
    <row r="214">
      <c r="A214" t="n">
        <v>213</v>
      </c>
      <c r="B214" t="inlineStr">
        <is>
          <t>TA_4</t>
        </is>
      </c>
      <c r="C214" t="inlineStr">
        <is>
          <t>TA_14</t>
        </is>
      </c>
      <c r="D214" t="n">
        <v>12</v>
      </c>
      <c r="E214" t="n">
        <v>4</v>
      </c>
      <c r="F214" t="n">
        <v>11</v>
      </c>
      <c r="G214" t="n">
        <v>4</v>
      </c>
      <c r="H214" t="n">
        <v>12</v>
      </c>
      <c r="I214" t="n">
        <v>5</v>
      </c>
      <c r="J214" t="n">
        <v>12</v>
      </c>
      <c r="K214" t="n">
        <v>4</v>
      </c>
      <c r="L214" t="n">
        <v>11</v>
      </c>
      <c r="M214" t="n">
        <v>4</v>
      </c>
      <c r="N214" t="n">
        <v>12</v>
      </c>
      <c r="O214" t="n">
        <v>5</v>
      </c>
      <c r="P214">
        <f>Table1[[#This Row],[TA 1 - Q1 Score]]+Table1[[#This Row],[TA 1 - Q2 Score]]+Table1[[#This Row],[TA 1 - Q3 Score]]</f>
        <v/>
      </c>
      <c r="Q214">
        <f>Table1[[#This Row],[TA 1 - Q1 Bonus]]+Table1[[#This Row],[TA 1 - Q2 Bonus]]+Table1[[#This Row],[TA 1 - Q4 Bonus]]</f>
        <v/>
      </c>
      <c r="R214">
        <f>Table1[[#This Row],[TA 2 - Q1 Score]]+Table1[[#This Row],[TA 2 - Q2 Score]]+Table1[[#This Row],[TA 2 - Q3 Score]]</f>
        <v/>
      </c>
      <c r="S214">
        <f>Table1[[#This Row],[TA 2 - Q1 Bonus]]+Table1[[#This Row],[TA 2 - Q2 Bonus]]+Table1[[#This Row],[TA 2 - Q4 Bonus]]</f>
        <v/>
      </c>
      <c r="T214">
        <f>(Table1[[#This Row],[TA 1 - Total Score (out of 35)]]+Table1[[#This Row],[TA 2 - Total Score (out of 35)]])/2</f>
        <v/>
      </c>
      <c r="U214">
        <f>(Table1[[#This Row],[TA 1 - Total Bonus (out of 13)]]+Table1[[#This Row],[TA 2 - Total Bonus (out of 13)]])/2</f>
        <v/>
      </c>
      <c r="V214">
        <f>Table1[[#This Row],[Average Questions]]/35*20+Table1[[#This Row],[Average Bonus]]/13*5</f>
        <v/>
      </c>
      <c r="W214" t="n">
        <v>11.5</v>
      </c>
      <c r="X214" t="n">
        <v>4</v>
      </c>
      <c r="Y214" t="inlineStr">
        <is>
          <t>The student completed all required tasks with minor issues. In Part 1, the transforms were correctly implemented, and sample images were displayed. In Part 2, the pretrained EfficientNetV2-Small model was loaded, the backbone was frozen, and the classifier head was replaced correctly. In Part 3, both training and validation loops were defined, and label fixing was done properly. In Part 4, the model was set up, trained, and the training and validation losses and accuracies were plotted. For the bonus task, the student correctly implemented test time augmentation by averaging predictions from original, horizontally flipped, and vertically flipped images.</t>
        </is>
      </c>
      <c r="Z214" t="n">
        <v>8.5</v>
      </c>
      <c r="AA214" t="n">
        <v>1</v>
      </c>
      <c r="AB214" t="inlineStr">
        <is>
          <t>The student successfully completed most tasks with minor issues. The data loading and preparation were mostly correct, with the exception of resizing images to 32x32 instead of 128x128 as specified. The CNN model had 5 convolutional layers with batch normalization, earning full points. The training and validation loops were implemented correctly. The residual connection was defined and used, though concatenation would have been more appropriate than summation. The model was retrained and plotted, but the residual implementation could be improved.</t>
        </is>
      </c>
      <c r="AC214" t="n">
        <v>8.5</v>
      </c>
      <c r="AD214" t="inlineStr">
        <is>
          <t>The student successfully implemented a custom dataset class with appropriate transformations and displayed sample images and masks. The model class was correctly defined using a pretrained U-Net with an efficientnet-b1 encoder. Training and validation loops were implemented, though the number of epochs was limited due to time constraints. Loss and optimizer were defined, and the model was trained and validated, with loss curves plotted. Predictions were visualized against ground truth. Minor issues included a recursive function for finding directories and a slightly different approach to handling image and mask paths.</t>
        </is>
      </c>
      <c r="AE214" t="n">
        <v>0</v>
      </c>
      <c r="AF214" t="n">
        <v>5</v>
      </c>
      <c r="AG214" t="inlineStr">
        <is>
          <t>The student's implementation of the ColorizationDataset class is correct and runs perfectly, producing the expected output and following the optimal logic. The code includes all required methods (__init__, __len__, rgb_to_grayscale, __getitem__) and the visualization is accurate. No mistakes were found in the implementation.</t>
        </is>
      </c>
      <c r="AH214" t="n">
        <v>28.5</v>
      </c>
      <c r="AI214" t="n">
        <v>10</v>
      </c>
    </row>
    <row r="215">
      <c r="A215" t="n">
        <v>214</v>
      </c>
      <c r="B215" t="inlineStr">
        <is>
          <t>TA_4</t>
        </is>
      </c>
      <c r="C215" t="inlineStr">
        <is>
          <t>TA_14</t>
        </is>
      </c>
      <c r="D215" t="n">
        <v>10.5</v>
      </c>
      <c r="E215" t="n">
        <v>0</v>
      </c>
      <c r="F215" t="n">
        <v>9</v>
      </c>
      <c r="G215" t="n">
        <v>0</v>
      </c>
      <c r="H215" t="n">
        <v>7.5</v>
      </c>
      <c r="I215" t="n">
        <v>0</v>
      </c>
      <c r="J215" t="n">
        <v>8.5</v>
      </c>
      <c r="K215" t="n">
        <v>0</v>
      </c>
      <c r="L215" t="n">
        <v>8.25</v>
      </c>
      <c r="M215" t="n">
        <v>0</v>
      </c>
      <c r="N215" t="n">
        <v>8</v>
      </c>
      <c r="O215" t="n">
        <v>0</v>
      </c>
      <c r="P215">
        <f>Table1[[#This Row],[TA 1 - Q1 Score]]+Table1[[#This Row],[TA 1 - Q2 Score]]+Table1[[#This Row],[TA 1 - Q3 Score]]</f>
        <v/>
      </c>
      <c r="Q215">
        <f>Table1[[#This Row],[TA 1 - Q1 Bonus]]+Table1[[#This Row],[TA 1 - Q2 Bonus]]+Table1[[#This Row],[TA 1 - Q4 Bonus]]</f>
        <v/>
      </c>
      <c r="R215">
        <f>Table1[[#This Row],[TA 2 - Q1 Score]]+Table1[[#This Row],[TA 2 - Q2 Score]]+Table1[[#This Row],[TA 2 - Q3 Score]]</f>
        <v/>
      </c>
      <c r="S215">
        <f>Table1[[#This Row],[TA 2 - Q1 Bonus]]+Table1[[#This Row],[TA 2 - Q2 Bonus]]+Table1[[#This Row],[TA 2 - Q4 Bonus]]</f>
        <v/>
      </c>
      <c r="T215">
        <f>(Table1[[#This Row],[TA 1 - Total Score (out of 35)]]+Table1[[#This Row],[TA 2 - Total Score (out of 35)]])/2</f>
        <v/>
      </c>
      <c r="U215">
        <f>(Table1[[#This Row],[TA 1 - Total Bonus (out of 13)]]+Table1[[#This Row],[TA 2 - Total Bonus (out of 13)]])/2</f>
        <v/>
      </c>
      <c r="V215">
        <f>Table1[[#This Row],[Average Questions]]/35*20+Table1[[#This Row],[Average Bonus]]/13*5</f>
        <v/>
      </c>
      <c r="W215" t="n">
        <v>3</v>
      </c>
      <c r="X215" t="n">
        <v>0</v>
      </c>
      <c r="Y215" t="inlineStr">
        <is>
          <t>The student completed the data loading and transformation tasks correctly, including resizing, converting to tensor, and normalizing the images. They also created the DataLoaders and displayed sample images. However, the model setup and adaptation were incorrect, with the student attempting to redefine the EfficientNetV2-Small class and incorrectly modifying the classifier head. The training and validation loops had issues, such as squeezing the model outputs and using an incorrect learning rate. No bonus tasks were attempted.</t>
        </is>
      </c>
      <c r="Z215" t="n">
        <v>6</v>
      </c>
      <c r="AA215" t="n">
        <v>0</v>
      </c>
      <c r="AB215" t="inlineStr">
        <is>
          <t>The student successfully loaded and prepared the data with the correct transformations and displayed sample images. The CNN model was partially correct but had syntax errors (missing output channels in conv5) and logical mistakes (incorrect number of output classes and unnecessary softmax layer). The training and validation functions were mostly correct but included redundant softmax calls. The model was trained and plotted correctly, but no bonus task was attempted.</t>
        </is>
      </c>
      <c r="AC215" t="n">
        <v>4</v>
      </c>
      <c r="AD215" t="inlineStr">
        <is>
          <t>The student attempted most tasks but made several mistakes. In Task 1, the dataset class and DataLoaders were mostly correct, but the student used pandas unnecessarily and had issues with the mask transformation. In Task 2, the student incorrectly set the number of classes to 5 instead of 8 and used 'efficientnet-b1' instead of 'efficientnet-b0'. In Task 3, the training and validation loops were partially implemented but contained errors, such as converting masks to float. In Task 4, the student used BCEWithLogitsLoss instead of CrossEntropyLoss and had issues with mask handling. In Task 5, the visualization code was incorrect, using sigmoid and thresholding for multi-class segmentation.</t>
        </is>
      </c>
      <c r="AE215" t="n">
        <v>0</v>
      </c>
      <c r="AF215" t="n">
        <v>0</v>
      </c>
      <c r="AG215" t="inlineStr">
        <is>
          <t>No submission found.</t>
        </is>
      </c>
      <c r="AH215" t="n">
        <v>13</v>
      </c>
      <c r="AI215" t="n">
        <v>0</v>
      </c>
    </row>
    <row r="216">
      <c r="A216" t="n">
        <v>215</v>
      </c>
      <c r="B216" t="inlineStr">
        <is>
          <t>TA_4</t>
        </is>
      </c>
      <c r="C216" t="inlineStr">
        <is>
          <t>TA_14</t>
        </is>
      </c>
      <c r="D216" t="n">
        <v>5.5</v>
      </c>
      <c r="E216" t="n">
        <v>0</v>
      </c>
      <c r="F216" t="n">
        <v>9</v>
      </c>
      <c r="G216" t="n">
        <v>0</v>
      </c>
      <c r="H216" t="n">
        <v>10.5</v>
      </c>
      <c r="I216" t="n">
        <v>0</v>
      </c>
      <c r="J216" t="n">
        <v>4.75</v>
      </c>
      <c r="K216" t="n">
        <v>0</v>
      </c>
      <c r="L216" t="n">
        <v>8</v>
      </c>
      <c r="M216" t="n">
        <v>0</v>
      </c>
      <c r="N216" t="n">
        <v>11.25</v>
      </c>
      <c r="O216" t="n">
        <v>0</v>
      </c>
      <c r="P216">
        <f>Table1[[#This Row],[TA 1 - Q1 Score]]+Table1[[#This Row],[TA 1 - Q2 Score]]+Table1[[#This Row],[TA 1 - Q3 Score]]</f>
        <v/>
      </c>
      <c r="Q216">
        <f>Table1[[#This Row],[TA 1 - Q1 Bonus]]+Table1[[#This Row],[TA 1 - Q2 Bonus]]+Table1[[#This Row],[TA 1 - Q4 Bonus]]</f>
        <v/>
      </c>
      <c r="R216">
        <f>Table1[[#This Row],[TA 2 - Q1 Score]]+Table1[[#This Row],[TA 2 - Q2 Score]]+Table1[[#This Row],[TA 2 - Q3 Score]]</f>
        <v/>
      </c>
      <c r="S216">
        <f>Table1[[#This Row],[TA 2 - Q1 Bonus]]+Table1[[#This Row],[TA 2 - Q2 Bonus]]+Table1[[#This Row],[TA 2 - Q4 Bonus]]</f>
        <v/>
      </c>
      <c r="T216">
        <f>(Table1[[#This Row],[TA 1 - Total Score (out of 35)]]+Table1[[#This Row],[TA 2 - Total Score (out of 35)]])/2</f>
        <v/>
      </c>
      <c r="U216">
        <f>(Table1[[#This Row],[TA 1 - Total Bonus (out of 13)]]+Table1[[#This Row],[TA 2 - Total Bonus (out of 13)]])/2</f>
        <v/>
      </c>
      <c r="V216">
        <f>Table1[[#This Row],[Average Questions]]/35*20+Table1[[#This Row],[Average Bonus]]/13*5</f>
        <v/>
      </c>
      <c r="W216" t="n">
        <v>4</v>
      </c>
      <c r="X216" t="n">
        <v>0</v>
      </c>
      <c r="Y216" t="inlineStr">
        <is>
          <t>The student completed the data loading and transformation tasks correctly, including resizing, converting to tensor, and normalizing the images. However, the DataLoader creation had incorrect batch sizes and used num_workers without justification. The model loading and adaptation were partially correct, but the classifier head was incorrectly set to 12 classes instead of 26. The training and validation loops contained syntax errors and logical mistakes, such as squeezing the model outputs and using an incorrect learning rate. The bonus task was not attempted.</t>
        </is>
      </c>
      <c r="Z216" t="n">
        <v>7</v>
      </c>
      <c r="AA216" t="n">
        <v>0</v>
      </c>
      <c r="AB216" t="inlineStr">
        <is>
          <t>The student successfully loaded and prepared the data with the correct transformations, including RandomRotation and resizing to 32x32 for the training set. However, the test set was resized to 64x64, which deviates from the instructions. The CNN model was built with five convolutional layers, but the final fully connected layer incorrectly outputs 10 classes instead of 3. The training and validation loops were implemented correctly, and the losses and accuracies were plotted. No bonus task was attempted.</t>
        </is>
      </c>
      <c r="AC216" t="n">
        <v>5</v>
      </c>
      <c r="AD216" t="inlineStr">
        <is>
          <t>The student attempted most tasks but made several mistakes. In Task 1, the dataset class and data loaders were partially correct, but the paths were incorrectly assigned in the DataLoader creation, leading to mismatched images and masks. Task 2 had an incorrect number of classes specified (5 instead of 8). Task 3 was mostly correct, but the device assignment was incorrect. Task 4 included a correct training loop but used an incorrect device and had a minor issue with the optimizer. Task 5 visualized predictions but used grayscale for masks instead of a colormap.</t>
        </is>
      </c>
      <c r="AE216" t="n">
        <v>0</v>
      </c>
      <c r="AF216" t="n">
        <v>0</v>
      </c>
      <c r="AG216" t="inlineStr">
        <is>
          <t>No submission found.</t>
        </is>
      </c>
      <c r="AH216" t="n">
        <v>16</v>
      </c>
      <c r="AI216" t="n">
        <v>0</v>
      </c>
    </row>
    <row r="217">
      <c r="A217" t="n">
        <v>216</v>
      </c>
      <c r="B217" t="inlineStr">
        <is>
          <t>TA_4</t>
        </is>
      </c>
      <c r="C217" t="inlineStr">
        <is>
          <t>TA_14</t>
        </is>
      </c>
      <c r="D217" t="n">
        <v>6.5</v>
      </c>
      <c r="E217" t="n">
        <v>0</v>
      </c>
      <c r="F217" t="n">
        <v>9</v>
      </c>
      <c r="G217" t="n">
        <v>0</v>
      </c>
      <c r="H217" t="n">
        <v>7.5</v>
      </c>
      <c r="I217" t="n">
        <v>0</v>
      </c>
      <c r="J217" t="n">
        <v>5.75</v>
      </c>
      <c r="K217" t="n">
        <v>0</v>
      </c>
      <c r="L217" t="n">
        <v>7</v>
      </c>
      <c r="M217" t="n">
        <v>0</v>
      </c>
      <c r="N217" t="n">
        <v>7.5</v>
      </c>
      <c r="O217" t="n">
        <v>0</v>
      </c>
      <c r="P217">
        <f>Table1[[#This Row],[TA 1 - Q1 Score]]+Table1[[#This Row],[TA 1 - Q2 Score]]+Table1[[#This Row],[TA 1 - Q3 Score]]</f>
        <v/>
      </c>
      <c r="Q217">
        <f>Table1[[#This Row],[TA 1 - Q1 Bonus]]+Table1[[#This Row],[TA 1 - Q2 Bonus]]+Table1[[#This Row],[TA 1 - Q4 Bonus]]</f>
        <v/>
      </c>
      <c r="R217">
        <f>Table1[[#This Row],[TA 2 - Q1 Score]]+Table1[[#This Row],[TA 2 - Q2 Score]]+Table1[[#This Row],[TA 2 - Q3 Score]]</f>
        <v/>
      </c>
      <c r="S217">
        <f>Table1[[#This Row],[TA 2 - Q1 Bonus]]+Table1[[#This Row],[TA 2 - Q2 Bonus]]+Table1[[#This Row],[TA 2 - Q4 Bonus]]</f>
        <v/>
      </c>
      <c r="T217">
        <f>(Table1[[#This Row],[TA 1 - Total Score (out of 35)]]+Table1[[#This Row],[TA 2 - Total Score (out of 35)]])/2</f>
        <v/>
      </c>
      <c r="U217">
        <f>(Table1[[#This Row],[TA 1 - Total Bonus (out of 13)]]+Table1[[#This Row],[TA 2 - Total Bonus (out of 13)]])/2</f>
        <v/>
      </c>
      <c r="V217">
        <f>Table1[[#This Row],[Average Questions]]/35*20+Table1[[#This Row],[Average Bonus]]/13*5</f>
        <v/>
      </c>
      <c r="W217" t="n">
        <v>5.5</v>
      </c>
      <c r="X217" t="n">
        <v>0</v>
      </c>
      <c r="Y217" t="inlineStr">
        <is>
          <t>The student completed the data loading and transformation tasks correctly, including resizing, converting to tensor, and normalizing the images. However, there were issues in creating and displaying the DataLoaders, where the labels were not displayed correctly. The model loading and adaptation were mostly correct, but the student used EfficientNetV2-Small incorrectly labeled as EfficientNet-B0. The training and validation loops had syntax errors, such as squeezing the outputs unnecessarily and using an undefined 'valid_loader'. The plotting section also contained errors due to the undefined 'valid_loader'. No bonus tasks were attempted.</t>
        </is>
      </c>
      <c r="Z217" t="n">
        <v>7</v>
      </c>
      <c r="AA217" t="n">
        <v>0</v>
      </c>
      <c r="AB217" t="inlineStr">
        <is>
          <t>The student successfully implemented a custom Dataset class with correct transformations and displayed sample images. However, the CNN model has fewer convolutional layers (5 instead of 5 as specified) and incorrect fully connected layer sizes. The training and validation loops are mostly correct but contain unnecessary softmax operations. The bonus task was not attempted.</t>
        </is>
      </c>
      <c r="AC217" t="n">
        <v>5</v>
      </c>
      <c r="AD217" t="inlineStr">
        <is>
          <t>The student attempted most tasks but made several mistakes. In Task 1, the dataset class had issues with directory paths and unnecessary class labels. The DataLoader creation was partially correct but had redundant definitions. Task 2 incorrectly defined the model with 5 classes instead of 8. Task 3 and Task 4 were mostly correct but had minor issues like incorrect device handling and optimizer choice. Task 5 was not fully implemented, missing visualization of predictions.</t>
        </is>
      </c>
      <c r="AE217" t="n">
        <v>0</v>
      </c>
      <c r="AF217" t="n">
        <v>0</v>
      </c>
      <c r="AG217" t="inlineStr">
        <is>
          <t>No submission found.</t>
        </is>
      </c>
      <c r="AH217" t="n">
        <v>17.5</v>
      </c>
      <c r="AI217" t="n">
        <v>0</v>
      </c>
    </row>
    <row r="218">
      <c r="A218" t="n">
        <v>217</v>
      </c>
      <c r="B218" t="inlineStr">
        <is>
          <t>TA_4</t>
        </is>
      </c>
      <c r="C218" t="inlineStr">
        <is>
          <t>TA_14</t>
        </is>
      </c>
      <c r="D218" t="n">
        <v>11</v>
      </c>
      <c r="E218" t="n">
        <v>3</v>
      </c>
      <c r="F218" t="n">
        <v>9</v>
      </c>
      <c r="G218" t="n">
        <v>0</v>
      </c>
      <c r="H218" t="n">
        <v>12</v>
      </c>
      <c r="I218" t="n">
        <v>0</v>
      </c>
      <c r="J218" t="n">
        <v>11.5</v>
      </c>
      <c r="K218" t="n">
        <v>2</v>
      </c>
      <c r="L218" t="n">
        <v>11</v>
      </c>
      <c r="M218" t="n">
        <v>0</v>
      </c>
      <c r="N218" t="n">
        <v>12</v>
      </c>
      <c r="O218" t="n">
        <v>0</v>
      </c>
      <c r="P218">
        <f>Table1[[#This Row],[TA 1 - Q1 Score]]+Table1[[#This Row],[TA 1 - Q2 Score]]+Table1[[#This Row],[TA 1 - Q3 Score]]</f>
        <v/>
      </c>
      <c r="Q218">
        <f>Table1[[#This Row],[TA 1 - Q1 Bonus]]+Table1[[#This Row],[TA 1 - Q2 Bonus]]+Table1[[#This Row],[TA 1 - Q4 Bonus]]</f>
        <v/>
      </c>
      <c r="R218">
        <f>Table1[[#This Row],[TA 2 - Q1 Score]]+Table1[[#This Row],[TA 2 - Q2 Score]]+Table1[[#This Row],[TA 2 - Q3 Score]]</f>
        <v/>
      </c>
      <c r="S218">
        <f>Table1[[#This Row],[TA 2 - Q1 Bonus]]+Table1[[#This Row],[TA 2 - Q2 Bonus]]+Table1[[#This Row],[TA 2 - Q4 Bonus]]</f>
        <v/>
      </c>
      <c r="T218">
        <f>(Table1[[#This Row],[TA 1 - Total Score (out of 35)]]+Table1[[#This Row],[TA 2 - Total Score (out of 35)]])/2</f>
        <v/>
      </c>
      <c r="U218">
        <f>(Table1[[#This Row],[TA 1 - Total Bonus (out of 13)]]+Table1[[#This Row],[TA 2 - Total Bonus (out of 13)]])/2</f>
        <v/>
      </c>
      <c r="V218">
        <f>Table1[[#This Row],[Average Questions]]/35*20+Table1[[#This Row],[Average Bonus]]/13*5</f>
        <v/>
      </c>
      <c r="W218" t="n">
        <v>7</v>
      </c>
      <c r="X218" t="n">
        <v>0</v>
      </c>
      <c r="Y218" t="inlineStr">
        <is>
          <t>The student completed most tasks with minor issues. Transforms were correctly defined, and DataLoaders were set up properly. Sample images were displayed, though the batch size was smaller than the reference. The pretrained EfficientNetV2-Small model was loaded and adapted correctly, with the backbone frozen and the classifier head replaced. However, the training and validation loops had issues, particularly with moving labels to the correct device and using unnecessary CPU operations. The plots for training and validation losses and accuracies were generated correctly. The bonus task was not attempted.</t>
        </is>
      </c>
      <c r="Z218" t="n">
        <v>8.5</v>
      </c>
      <c r="AA218" t="n">
        <v>0</v>
      </c>
      <c r="AB218" t="inlineStr">
        <is>
          <t>The student successfully loaded and prepared the data with correct transformations and displayed sample images. The CNN model was built with five convolutional layers, and batch normalization was added correctly. Training and validation functions were implemented, and the model was trained and plotted. However, the bonus task was not attempted, and there were minor issues with the number of epochs and some redundant code cells.</t>
        </is>
      </c>
      <c r="AC218" t="n">
        <v>8.5</v>
      </c>
      <c r="AD218" t="inlineStr">
        <is>
          <t>The student's submission demonstrates a good understanding of the tasks but contains some minor issues. Task 1 is mostly correct with a small mistake in the mask transformation. Task 2 is correct with the specified encoder. Task 3 is well-implemented. Task 4 has a minor issue with the learning rate and uses AdamW instead of Adam, but the overall implementation is correct. Task 5 has a minor issue with the colormap used for displaying masks but otherwise correctly visualizes predictions.</t>
        </is>
      </c>
      <c r="AE218" t="n">
        <v>0</v>
      </c>
      <c r="AF218" t="n">
        <v>0</v>
      </c>
      <c r="AG218" t="inlineStr">
        <is>
          <t>No submission found.</t>
        </is>
      </c>
      <c r="AH218" t="n">
        <v>24</v>
      </c>
      <c r="AI218" t="n">
        <v>0</v>
      </c>
    </row>
    <row r="219">
      <c r="A219" t="n">
        <v>218</v>
      </c>
      <c r="B219" t="inlineStr">
        <is>
          <t>TA_4</t>
        </is>
      </c>
      <c r="C219" t="inlineStr">
        <is>
          <t>TA_14</t>
        </is>
      </c>
      <c r="D219" t="n">
        <v>12</v>
      </c>
      <c r="E219" t="n">
        <v>0</v>
      </c>
      <c r="F219" t="n">
        <v>9</v>
      </c>
      <c r="G219" t="n">
        <v>0</v>
      </c>
      <c r="H219" t="n">
        <v>11</v>
      </c>
      <c r="I219" t="n">
        <v>0</v>
      </c>
      <c r="J219" t="n">
        <v>11.25</v>
      </c>
      <c r="K219" t="n">
        <v>0</v>
      </c>
      <c r="L219" t="n">
        <v>7.5</v>
      </c>
      <c r="M219" t="n">
        <v>0</v>
      </c>
      <c r="N219" t="n">
        <v>10.5</v>
      </c>
      <c r="O219" t="n">
        <v>0</v>
      </c>
      <c r="P219">
        <f>Table1[[#This Row],[TA 1 - Q1 Score]]+Table1[[#This Row],[TA 1 - Q2 Score]]+Table1[[#This Row],[TA 1 - Q3 Score]]</f>
        <v/>
      </c>
      <c r="Q219">
        <f>Table1[[#This Row],[TA 1 - Q1 Bonus]]+Table1[[#This Row],[TA 1 - Q2 Bonus]]+Table1[[#This Row],[TA 1 - Q4 Bonus]]</f>
        <v/>
      </c>
      <c r="R219">
        <f>Table1[[#This Row],[TA 2 - Q1 Score]]+Table1[[#This Row],[TA 2 - Q2 Score]]+Table1[[#This Row],[TA 2 - Q3 Score]]</f>
        <v/>
      </c>
      <c r="S219">
        <f>Table1[[#This Row],[TA 2 - Q1 Bonus]]+Table1[[#This Row],[TA 2 - Q2 Bonus]]+Table1[[#This Row],[TA 2 - Q4 Bonus]]</f>
        <v/>
      </c>
      <c r="T219">
        <f>(Table1[[#This Row],[TA 1 - Total Score (out of 35)]]+Table1[[#This Row],[TA 2 - Total Score (out of 35)]])/2</f>
        <v/>
      </c>
      <c r="U219">
        <f>(Table1[[#This Row],[TA 1 - Total Bonus (out of 13)]]+Table1[[#This Row],[TA 2 - Total Bonus (out of 13)]])/2</f>
        <v/>
      </c>
      <c r="V219">
        <f>Table1[[#This Row],[Average Questions]]/35*20+Table1[[#This Row],[Average Bonus]]/13*5</f>
        <v/>
      </c>
      <c r="W219" t="n">
        <v>8.5</v>
      </c>
      <c r="X219" t="n">
        <v>0</v>
      </c>
      <c r="Y219" t="inlineStr">
        <is>
          <t>The student completed most tasks correctly but made some minor mistakes. The data loading and preparation were mostly correct, though the batch size was small (5) and the test DataLoader was shuffled. The model loading and adaptation were correct, but the student froze all parameters instead of just the backbone. The training and validation loops were implemented with some unnecessary steps like squeezing outputs and using softmax, but they functioned correctly. The plots were generated properly. No bonus task was attempted.</t>
        </is>
      </c>
      <c r="Z219" t="n">
        <v>5</v>
      </c>
      <c r="AA219" t="n">
        <v>0</v>
      </c>
      <c r="AB219" t="inlineStr">
        <is>
          <t>The student partially completed the tasks. They created a custom Dataset class with some issues in file path handling and label extraction. The DataLoaders were set up correctly with the specified transformations. Sample images were displayed, though the class names were hardcoded. The CNN model had 5 convolutional layers but lacked Batch Normalization. The training and validation functions were implemented with minor issues. The model was trained for 5 epochs, and the code ran without errors. However, the bonus task was not attempted.</t>
        </is>
      </c>
      <c r="AC219" t="n">
        <v>7</v>
      </c>
      <c r="AD219" t="inlineStr">
        <is>
          <t>The student's submission contains mostly correct code with some minor issues. Task 1 is partially correct with a few syntax errors in the dataset class initialization. Task 2 has an incorrect number of classes specified (5 instead of 8) and uses the wrong encoder ('efficientnet-b1' instead of 'efficientnet-b0'). Task 3 is mostly correct with a small mistake in the mask conversion. Task 4 is partially correct with a different learning rate and fewer epochs, but the logic is sound. Task 5 is mostly correct with a minor issue in the denormalization function.</t>
        </is>
      </c>
      <c r="AE219" t="n">
        <v>0</v>
      </c>
      <c r="AF219" t="n">
        <v>0</v>
      </c>
      <c r="AG219" t="inlineStr">
        <is>
          <t>No submission found.</t>
        </is>
      </c>
      <c r="AH219" t="n">
        <v>20.5</v>
      </c>
      <c r="AI219" t="n">
        <v>0</v>
      </c>
    </row>
    <row r="220">
      <c r="A220" t="n">
        <v>219</v>
      </c>
      <c r="B220" t="inlineStr">
        <is>
          <t>TA_4</t>
        </is>
      </c>
      <c r="C220" t="inlineStr">
        <is>
          <t>TA_14</t>
        </is>
      </c>
      <c r="D220" t="n">
        <v>12</v>
      </c>
      <c r="E220" t="n">
        <v>4</v>
      </c>
      <c r="F220" t="n">
        <v>11</v>
      </c>
      <c r="G220" t="n">
        <v>4</v>
      </c>
      <c r="H220" t="n">
        <v>12</v>
      </c>
      <c r="I220" t="n">
        <v>5</v>
      </c>
      <c r="J220" t="n">
        <v>12</v>
      </c>
      <c r="K220" t="n">
        <v>4</v>
      </c>
      <c r="L220" t="n">
        <v>11</v>
      </c>
      <c r="M220" t="n">
        <v>4</v>
      </c>
      <c r="N220" t="n">
        <v>11.5</v>
      </c>
      <c r="O220" t="n">
        <v>5</v>
      </c>
      <c r="P220">
        <f>Table1[[#This Row],[TA 1 - Q1 Score]]+Table1[[#This Row],[TA 1 - Q2 Score]]+Table1[[#This Row],[TA 1 - Q3 Score]]</f>
        <v/>
      </c>
      <c r="Q220">
        <f>Table1[[#This Row],[TA 1 - Q1 Bonus]]+Table1[[#This Row],[TA 1 - Q2 Bonus]]+Table1[[#This Row],[TA 1 - Q4 Bonus]]</f>
        <v/>
      </c>
      <c r="R220">
        <f>Table1[[#This Row],[TA 2 - Q1 Score]]+Table1[[#This Row],[TA 2 - Q2 Score]]+Table1[[#This Row],[TA 2 - Q3 Score]]</f>
        <v/>
      </c>
      <c r="S220">
        <f>Table1[[#This Row],[TA 2 - Q1 Bonus]]+Table1[[#This Row],[TA 2 - Q2 Bonus]]+Table1[[#This Row],[TA 2 - Q4 Bonus]]</f>
        <v/>
      </c>
      <c r="T220">
        <f>(Table1[[#This Row],[TA 1 - Total Score (out of 35)]]+Table1[[#This Row],[TA 2 - Total Score (out of 35)]])/2</f>
        <v/>
      </c>
      <c r="U220">
        <f>(Table1[[#This Row],[TA 1 - Total Bonus (out of 13)]]+Table1[[#This Row],[TA 2 - Total Bonus (out of 13)]])/2</f>
        <v/>
      </c>
      <c r="V220">
        <f>Table1[[#This Row],[Average Questions]]/35*20+Table1[[#This Row],[Average Bonus]]/13*5</f>
        <v/>
      </c>
      <c r="W220" t="n">
        <v>7</v>
      </c>
      <c r="X220" t="n">
        <v>0</v>
      </c>
      <c r="Y220" t="inlineStr">
        <is>
          <t>The student completed most tasks with minor issues. Transforms were correctly defined, and DataLoaders were set up properly. Sample images were displayed with labels. The pretrained EfficientNetV2-Small model was loaded, and the classifier head was replaced for 26 classes. However, the backbone was not frozen, resulting in a deduction. Training and validation loops were implemented correctly, including label fixing. The student attempted TTA but did not plot the results, missing the bonus points.</t>
        </is>
      </c>
      <c r="Z220" t="n">
        <v>8.5</v>
      </c>
      <c r="AA220" t="n">
        <v>1</v>
      </c>
      <c r="AB220" t="inlineStr">
        <is>
          <t>The student successfully loaded and prepared the data with correct transformations and displayed sample images. The CNN model was built with 5 convolutional layers and batch normalization, though with different channel sizes than the reference. Training and validation functions were correctly implemented, and the model was trained and plotted. The bonus task included a residual connection, but the model architecture had issues with channel dimensions, leading to a partial implementation.</t>
        </is>
      </c>
      <c r="AC220" t="n">
        <v>8.5</v>
      </c>
      <c r="AD220" t="inlineStr">
        <is>
          <t>The student's submission includes most of the required tasks with minor issues. The dataset class and data loaders are correctly implemented, and sample images and masks are displayed. The U-Net model with the specified encoder is defined. Training and validation loops are present with some syntax errors, such as incorrect device handling and missing conversion to long type for masks. The loss and optimizer are defined, and the model trains for 5 epochs, printing the losses. The loss curve is plotted, and predictions are visualized against ground truth masks. However, there are inconsistencies in the denormalization function and minor issues in the visualization code.</t>
        </is>
      </c>
      <c r="AE220" t="n">
        <v>0</v>
      </c>
      <c r="AF220" t="n">
        <v>0</v>
      </c>
      <c r="AG220" t="inlineStr">
        <is>
          <t>The student's implementation contains several errors. In the `rgb_to_grayscale` method, the RGB channels are incorrectly accessed, leading to incorrect grayscale conversion. Additionally, in the `__getitem__` method, the color image is incorrectly returned as `color_image[0]`, which should be the entire tensor. These issues prevent the code from running correctly and producing the expected output.</t>
        </is>
      </c>
      <c r="AH220" t="n">
        <v>24</v>
      </c>
      <c r="AI220" t="n">
        <v>1</v>
      </c>
    </row>
    <row r="221">
      <c r="A221" t="n">
        <v>220</v>
      </c>
      <c r="B221" t="inlineStr">
        <is>
          <t>TA_4</t>
        </is>
      </c>
      <c r="C221" t="inlineStr">
        <is>
          <t>TA_14</t>
        </is>
      </c>
      <c r="D221" t="n">
        <v>6.5</v>
      </c>
      <c r="E221" t="n">
        <v>4</v>
      </c>
      <c r="F221" t="n">
        <v>0</v>
      </c>
      <c r="G221" t="n">
        <v>0</v>
      </c>
      <c r="H221" t="n">
        <v>0</v>
      </c>
      <c r="I221" t="n">
        <v>0</v>
      </c>
      <c r="J221" t="n">
        <v>4.75</v>
      </c>
      <c r="K221" t="n">
        <v>4</v>
      </c>
      <c r="L221" t="n">
        <v>0</v>
      </c>
      <c r="M221" t="n">
        <v>0</v>
      </c>
      <c r="N221" t="n">
        <v>0</v>
      </c>
      <c r="O221" t="n">
        <v>0</v>
      </c>
      <c r="P221">
        <f>Table1[[#This Row],[TA 1 - Q1 Score]]+Table1[[#This Row],[TA 1 - Q2 Score]]+Table1[[#This Row],[TA 1 - Q3 Score]]</f>
        <v/>
      </c>
      <c r="Q221">
        <f>Table1[[#This Row],[TA 1 - Q1 Bonus]]+Table1[[#This Row],[TA 1 - Q2 Bonus]]+Table1[[#This Row],[TA 1 - Q4 Bonus]]</f>
        <v/>
      </c>
      <c r="R221">
        <f>Table1[[#This Row],[TA 2 - Q1 Score]]+Table1[[#This Row],[TA 2 - Q2 Score]]+Table1[[#This Row],[TA 2 - Q3 Score]]</f>
        <v/>
      </c>
      <c r="S221">
        <f>Table1[[#This Row],[TA 2 - Q1 Bonus]]+Table1[[#This Row],[TA 2 - Q2 Bonus]]+Table1[[#This Row],[TA 2 - Q4 Bonus]]</f>
        <v/>
      </c>
      <c r="T221">
        <f>(Table1[[#This Row],[TA 1 - Total Score (out of 35)]]+Table1[[#This Row],[TA 2 - Total Score (out of 35)]])/2</f>
        <v/>
      </c>
      <c r="U221">
        <f>(Table1[[#This Row],[TA 1 - Total Bonus (out of 13)]]+Table1[[#This Row],[TA 2 - Total Bonus (out of 13)]])/2</f>
        <v/>
      </c>
      <c r="V221">
        <f>Table1[[#This Row],[Average Questions]]/35*20+Table1[[#This Row],[Average Bonus]]/13*5</f>
        <v/>
      </c>
      <c r="W221" t="n">
        <v>5</v>
      </c>
      <c r="X221" t="n">
        <v>0</v>
      </c>
      <c r="Y221" t="inlineStr">
        <is>
          <t>The student partially completed the tasks with some syntax and logical errors. The data loading and preparation section had missing parts filled in but incorrect order and batch size. The model loading and adaptation section used the wrong model (EfficientNetB0 instead of EfficientNetV2-Small) and froze all parameters instead of just the backbone. The training and validation loops were implemented but did not adjust labels for 0-indexing. The bonus task was not attempted.</t>
        </is>
      </c>
      <c r="Z221" t="n">
        <v>0</v>
      </c>
      <c r="AA221" t="n">
        <v>0</v>
      </c>
      <c r="AB221" t="inlineStr">
        <is>
          <t>The student did not provide any code for any of the tasks required in Question 2. Each cell from Cell 2 to Cell 6 is empty, indicating that no effort was made to load and prepare the data, build the CNN model, define training and validation functions, or perform the training process.</t>
        </is>
      </c>
      <c r="AC221" t="n">
        <v>0</v>
      </c>
      <c r="AD221" t="inlineStr">
        <is>
          <t>The student did not provide any code for Tasks 1 through 5. The submission is incomplete and lacks any implementation for the required tasks, resulting in a score of 0.</t>
        </is>
      </c>
      <c r="AE221" t="n">
        <v>0</v>
      </c>
      <c r="AF221" t="n">
        <v>0</v>
      </c>
      <c r="AG221" t="inlineStr">
        <is>
          <t>No submission found.</t>
        </is>
      </c>
      <c r="AH221" t="n">
        <v>5</v>
      </c>
      <c r="AI221" t="n">
        <v>0</v>
      </c>
    </row>
    <row r="222">
      <c r="A222" t="n">
        <v>221</v>
      </c>
      <c r="B222" t="inlineStr">
        <is>
          <t>TA_4</t>
        </is>
      </c>
      <c r="C222" t="inlineStr">
        <is>
          <t>TA_14</t>
        </is>
      </c>
      <c r="D222" t="n">
        <v>12</v>
      </c>
      <c r="E222" t="n">
        <v>4</v>
      </c>
      <c r="F222" t="n">
        <v>9</v>
      </c>
      <c r="G222" t="n">
        <v>0</v>
      </c>
      <c r="H222" t="n">
        <v>10</v>
      </c>
      <c r="I222" t="n">
        <v>0</v>
      </c>
      <c r="J222" t="n">
        <v>11</v>
      </c>
      <c r="K222" t="n">
        <v>4</v>
      </c>
      <c r="L222" t="n">
        <v>8.5</v>
      </c>
      <c r="M222" t="n">
        <v>0</v>
      </c>
      <c r="N222" t="n">
        <v>8.25</v>
      </c>
      <c r="O222" t="n">
        <v>0</v>
      </c>
      <c r="P222">
        <f>Table1[[#This Row],[TA 1 - Q1 Score]]+Table1[[#This Row],[TA 1 - Q2 Score]]+Table1[[#This Row],[TA 1 - Q3 Score]]</f>
        <v/>
      </c>
      <c r="Q222">
        <f>Table1[[#This Row],[TA 1 - Q1 Bonus]]+Table1[[#This Row],[TA 1 - Q2 Bonus]]+Table1[[#This Row],[TA 1 - Q4 Bonus]]</f>
        <v/>
      </c>
      <c r="R222">
        <f>Table1[[#This Row],[TA 2 - Q1 Score]]+Table1[[#This Row],[TA 2 - Q2 Score]]+Table1[[#This Row],[TA 2 - Q3 Score]]</f>
        <v/>
      </c>
      <c r="S222">
        <f>Table1[[#This Row],[TA 2 - Q1 Bonus]]+Table1[[#This Row],[TA 2 - Q2 Bonus]]+Table1[[#This Row],[TA 2 - Q4 Bonus]]</f>
        <v/>
      </c>
      <c r="T222">
        <f>(Table1[[#This Row],[TA 1 - Total Score (out of 35)]]+Table1[[#This Row],[TA 2 - Total Score (out of 35)]])/2</f>
        <v/>
      </c>
      <c r="U222">
        <f>(Table1[[#This Row],[TA 1 - Total Bonus (out of 13)]]+Table1[[#This Row],[TA 2 - Total Bonus (out of 13)]])/2</f>
        <v/>
      </c>
      <c r="V222">
        <f>Table1[[#This Row],[Average Questions]]/35*20+Table1[[#This Row],[Average Bonus]]/13*5</f>
        <v/>
      </c>
      <c r="W222" t="n">
        <v>7</v>
      </c>
      <c r="X222" t="n">
        <v>0</v>
      </c>
      <c r="Y222" t="inlineStr">
        <is>
          <t>The student completed most tasks with minor issues. The data loading and preparation were mostly correct, though the DataLoader had incorrect shuffling for the test set. The model loading and adaptation were correct, but the student froze all parameters instead of just the backbone. The training and validation loops had syntax errors, particularly in the calculation of predictions. The plotting was correct, but the bonus task was not implemented properly.</t>
        </is>
      </c>
      <c r="Z222" t="n">
        <v>7</v>
      </c>
      <c r="AA222" t="n">
        <v>0</v>
      </c>
      <c r="AB222" t="inlineStr">
        <is>
          <t>The student implemented a custom dataset class and used the correct transformations, including RandomRotation and resizing to 32x32, earning full marks for Part 1. The CNN model has 5 convolutional layers but does not include batch normalization, earning 1 point out of 2 for Part 2. The training and validation loops are correctly defined, earning full marks for Part 3. The model setup, training, and plotting of losses and accuracies are mostly correct, though the number of epochs is reduced to 5 instead of 10, earning 1.5 points out of 2 for Part 4. No bonus task was attempted.</t>
        </is>
      </c>
      <c r="AC222" t="n">
        <v>5</v>
      </c>
      <c r="AD222" t="inlineStr">
        <is>
          <t>The student partially completed the tasks with some syntax and logical errors. The dataset class and data loaders were implemented correctly, but the model class used an incorrect number of classes. The training and validation loops had issues with data types and loss functions. Visualization of predictions was attempted but had incorrect handling of mask dimensions.</t>
        </is>
      </c>
      <c r="AE222" t="n">
        <v>0</v>
      </c>
      <c r="AF222" t="n">
        <v>0</v>
      </c>
      <c r="AG222" t="inlineStr">
        <is>
          <t>No submission found.</t>
        </is>
      </c>
      <c r="AH222" t="n">
        <v>19</v>
      </c>
      <c r="AI222" t="n">
        <v>0</v>
      </c>
    </row>
    <row r="223">
      <c r="A223" t="n">
        <v>222</v>
      </c>
      <c r="B223" t="inlineStr">
        <is>
          <t>TA_4</t>
        </is>
      </c>
      <c r="C223" t="inlineStr">
        <is>
          <t>TA_14</t>
        </is>
      </c>
      <c r="D223" t="n">
        <v>7</v>
      </c>
      <c r="E223" t="n">
        <v>4</v>
      </c>
      <c r="F223" t="n">
        <v>11</v>
      </c>
      <c r="G223" t="n">
        <v>0</v>
      </c>
      <c r="H223" t="n">
        <v>10</v>
      </c>
      <c r="I223" t="n">
        <v>0</v>
      </c>
      <c r="J223" t="n">
        <v>7</v>
      </c>
      <c r="K223" t="n">
        <v>0</v>
      </c>
      <c r="L223" t="n">
        <v>8.25</v>
      </c>
      <c r="M223" t="n">
        <v>0</v>
      </c>
      <c r="N223" t="n">
        <v>7.5</v>
      </c>
      <c r="O223" t="n">
        <v>0</v>
      </c>
      <c r="P223">
        <f>Table1[[#This Row],[TA 1 - Q1 Score]]+Table1[[#This Row],[TA 1 - Q2 Score]]+Table1[[#This Row],[TA 1 - Q3 Score]]</f>
        <v/>
      </c>
      <c r="Q223">
        <f>Table1[[#This Row],[TA 1 - Q1 Bonus]]+Table1[[#This Row],[TA 1 - Q2 Bonus]]+Table1[[#This Row],[TA 1 - Q4 Bonus]]</f>
        <v/>
      </c>
      <c r="R223">
        <f>Table1[[#This Row],[TA 2 - Q1 Score]]+Table1[[#This Row],[TA 2 - Q2 Score]]+Table1[[#This Row],[TA 2 - Q3 Score]]</f>
        <v/>
      </c>
      <c r="S223">
        <f>Table1[[#This Row],[TA 2 - Q1 Bonus]]+Table1[[#This Row],[TA 2 - Q2 Bonus]]+Table1[[#This Row],[TA 2 - Q4 Bonus]]</f>
        <v/>
      </c>
      <c r="T223">
        <f>(Table1[[#This Row],[TA 1 - Total Score (out of 35)]]+Table1[[#This Row],[TA 2 - Total Score (out of 35)]])/2</f>
        <v/>
      </c>
      <c r="U223">
        <f>(Table1[[#This Row],[TA 1 - Total Bonus (out of 13)]]+Table1[[#This Row],[TA 2 - Total Bonus (out of 13)]])/2</f>
        <v/>
      </c>
      <c r="V223">
        <f>Table1[[#This Row],[Average Questions]]/35*20+Table1[[#This Row],[Average Bonus]]/13*5</f>
        <v/>
      </c>
      <c r="W223" t="n">
        <v>7</v>
      </c>
      <c r="X223" t="n">
        <v>0</v>
      </c>
      <c r="Y223" t="inlineStr">
        <is>
          <t>The student completed most tasks with minor issues. The transforms were correctly defined, but an unnecessary custom module was included. DataLoaders were created, but the sample image display had errors, showing only one channel. The model was loaded and adapted correctly, but the classifier replacement used a different method. Training and validation loops were implemented with syntax errors, particularly in the bonus task where the validation function incorrectly handled image flips.</t>
        </is>
      </c>
      <c r="Z223" t="n">
        <v>7</v>
      </c>
      <c r="AA223" t="n">
        <v>0</v>
      </c>
      <c r="AB223" t="inlineStr">
        <is>
          <t>The student successfully loaded and prepared the data with correct transformations and displayed sample images. However, the CNN model has incorrect batch normalization usage and an incorrect number of output features in the fully connected layer. The training and validation functions are mostly correct but contain unnecessary softmax operations. The model training and plotting sections are correct.</t>
        </is>
      </c>
      <c r="AC223" t="n">
        <v>3</v>
      </c>
      <c r="AD223" t="inlineStr">
        <is>
          <t>The student attempted most tasks but made significant errors. In Task 1, the dataset class incorrectly used the root directory instead of individual image and mask paths, causing runtime errors. Task 2 defined the model with an incorrect number of classes (1 instead of 8). Task 3 had incorrect implementation of the training and validation loops, converting masks to float and using BCE loss instead of CE loss. Task 4 correctly defined the loss and optimizer but failed to train the model due to previous errors. Task 5 attempted to visualize predictions but used a binary thresholding approach unsuitable for multi-class segmentation.</t>
        </is>
      </c>
      <c r="AE223" t="n">
        <v>0</v>
      </c>
      <c r="AF223" t="n">
        <v>0</v>
      </c>
      <c r="AG223" t="inlineStr">
        <is>
          <t>The student did not implement any of the required methods in the `ColorizationDataset` class. The `__init__`, `__len__`, `rgb_to_grayscale`, and `__getitem__` methods were left unimplemented with only placeholder comments. As a result, the code does not run and fails to produce the expected output.</t>
        </is>
      </c>
      <c r="AH223" t="n">
        <v>17</v>
      </c>
      <c r="AI223" t="n">
        <v>0</v>
      </c>
    </row>
    <row r="224">
      <c r="A224" t="n">
        <v>223</v>
      </c>
      <c r="B224" t="inlineStr">
        <is>
          <t>TA_4</t>
        </is>
      </c>
      <c r="C224" t="inlineStr">
        <is>
          <t>TA_14</t>
        </is>
      </c>
      <c r="D224" t="n">
        <v>5.5</v>
      </c>
      <c r="E224" t="n">
        <v>0</v>
      </c>
      <c r="F224" t="n">
        <v>8</v>
      </c>
      <c r="G224" t="n">
        <v>0</v>
      </c>
      <c r="H224" t="n">
        <v>6</v>
      </c>
      <c r="I224" t="n">
        <v>0</v>
      </c>
      <c r="J224" t="n">
        <v>6.75</v>
      </c>
      <c r="K224" t="n">
        <v>0</v>
      </c>
      <c r="L224" t="n">
        <v>5.75</v>
      </c>
      <c r="M224" t="n">
        <v>0</v>
      </c>
      <c r="N224" t="n">
        <v>5.25</v>
      </c>
      <c r="O224" t="n">
        <v>0</v>
      </c>
      <c r="P224">
        <f>Table1[[#This Row],[TA 1 - Q1 Score]]+Table1[[#This Row],[TA 1 - Q2 Score]]+Table1[[#This Row],[TA 1 - Q3 Score]]</f>
        <v/>
      </c>
      <c r="Q224">
        <f>Table1[[#This Row],[TA 1 - Q1 Bonus]]+Table1[[#This Row],[TA 1 - Q2 Bonus]]+Table1[[#This Row],[TA 1 - Q4 Bonus]]</f>
        <v/>
      </c>
      <c r="R224">
        <f>Table1[[#This Row],[TA 2 - Q1 Score]]+Table1[[#This Row],[TA 2 - Q2 Score]]+Table1[[#This Row],[TA 2 - Q3 Score]]</f>
        <v/>
      </c>
      <c r="S224">
        <f>Table1[[#This Row],[TA 2 - Q1 Bonus]]+Table1[[#This Row],[TA 2 - Q2 Bonus]]+Table1[[#This Row],[TA 2 - Q4 Bonus]]</f>
        <v/>
      </c>
      <c r="T224">
        <f>(Table1[[#This Row],[TA 1 - Total Score (out of 35)]]+Table1[[#This Row],[TA 2 - Total Score (out of 35)]])/2</f>
        <v/>
      </c>
      <c r="U224">
        <f>(Table1[[#This Row],[TA 1 - Total Bonus (out of 13)]]+Table1[[#This Row],[TA 2 - Total Bonus (out of 13)]])/2</f>
        <v/>
      </c>
      <c r="V224">
        <f>Table1[[#This Row],[Average Questions]]/35*20+Table1[[#This Row],[Average Bonus]]/13*5</f>
        <v/>
      </c>
      <c r="W224" t="n">
        <v>4</v>
      </c>
      <c r="X224" t="n">
        <v>0</v>
      </c>
      <c r="Y224" t="inlineStr">
        <is>
          <t>The student partially completed several tasks but made significant errors. The data loading and preparation section had missing transformations and incorrect label handling. The model setup froze all parameters instead of just the backbone. The training and validation loops contained incorrect logic, particularly with squeezing outputs and using sigmoid activation for multi-class classification. No bonus task was attempted.</t>
        </is>
      </c>
      <c r="Z224" t="n">
        <v>5</v>
      </c>
      <c r="AA224" t="n">
        <v>0</v>
      </c>
      <c r="AB224" t="inlineStr">
        <is>
          <t>The student partially completed the tasks. They implemented a custom dataset class and used ImageFolder, but the transformations were incorrect, resizing to 224x224 instead of 32x32. The CNN model had an incorrect architecture with too few layers and incorrect dimensions. The training and validation loops were mostly correct but the model did not follow the specified requirements. No bonus tasks were attempted.</t>
        </is>
      </c>
      <c r="AC224" t="n">
        <v>2</v>
      </c>
      <c r="AD224" t="inlineStr">
        <is>
          <t>The student attempted most tasks but made significant errors. The dataset class uses a CSV file for metadata, which is not aligned with the reference solution. The DataLoader setup is incorrect due to improper handling of datasets. The model class incorrectly sets the number of classes to 1, indicating a misunderstanding of the task requirements. The training and validation loops contain logical errors, such as converting masks to float, which is incompatible with CrossEntropyLoss. The loss function and optimizer are defined but not used correctly, and the training loop does not print or plot losses.</t>
        </is>
      </c>
      <c r="AE224" t="n">
        <v>0</v>
      </c>
      <c r="AF224" t="n">
        <v>0</v>
      </c>
      <c r="AG224" t="inlineStr">
        <is>
          <t>No submission found.</t>
        </is>
      </c>
      <c r="AH224" t="n">
        <v>11</v>
      </c>
      <c r="AI224" t="n">
        <v>0</v>
      </c>
    </row>
    <row r="225">
      <c r="A225" t="n">
        <v>224</v>
      </c>
      <c r="B225" t="inlineStr">
        <is>
          <t>TA_4</t>
        </is>
      </c>
      <c r="C225" t="inlineStr">
        <is>
          <t>TA_14</t>
        </is>
      </c>
      <c r="D225" t="n">
        <v>11</v>
      </c>
      <c r="E225" t="n">
        <v>0</v>
      </c>
      <c r="F225" t="n">
        <v>11</v>
      </c>
      <c r="G225" t="n">
        <v>0</v>
      </c>
      <c r="H225" t="n">
        <v>11</v>
      </c>
      <c r="I225" t="n">
        <v>0</v>
      </c>
      <c r="J225" t="n">
        <v>9.25</v>
      </c>
      <c r="K225" t="n">
        <v>0</v>
      </c>
      <c r="L225" t="n">
        <v>11</v>
      </c>
      <c r="M225" t="n">
        <v>0</v>
      </c>
      <c r="N225" t="n">
        <v>8.5</v>
      </c>
      <c r="O225" t="n">
        <v>0</v>
      </c>
      <c r="P225">
        <f>Table1[[#This Row],[TA 1 - Q1 Score]]+Table1[[#This Row],[TA 1 - Q2 Score]]+Table1[[#This Row],[TA 1 - Q3 Score]]</f>
        <v/>
      </c>
      <c r="Q225">
        <f>Table1[[#This Row],[TA 1 - Q1 Bonus]]+Table1[[#This Row],[TA 1 - Q2 Bonus]]+Table1[[#This Row],[TA 1 - Q4 Bonus]]</f>
        <v/>
      </c>
      <c r="R225">
        <f>Table1[[#This Row],[TA 2 - Q1 Score]]+Table1[[#This Row],[TA 2 - Q2 Score]]+Table1[[#This Row],[TA 2 - Q3 Score]]</f>
        <v/>
      </c>
      <c r="S225">
        <f>Table1[[#This Row],[TA 2 - Q1 Bonus]]+Table1[[#This Row],[TA 2 - Q2 Bonus]]+Table1[[#This Row],[TA 2 - Q4 Bonus]]</f>
        <v/>
      </c>
      <c r="T225">
        <f>(Table1[[#This Row],[TA 1 - Total Score (out of 35)]]+Table1[[#This Row],[TA 2 - Total Score (out of 35)]])/2</f>
        <v/>
      </c>
      <c r="U225">
        <f>(Table1[[#This Row],[TA 1 - Total Bonus (out of 13)]]+Table1[[#This Row],[TA 2 - Total Bonus (out of 13)]])/2</f>
        <v/>
      </c>
      <c r="V225">
        <f>Table1[[#This Row],[Average Questions]]/35*20+Table1[[#This Row],[Average Bonus]]/13*5</f>
        <v/>
      </c>
      <c r="W225" t="n">
        <v>7</v>
      </c>
      <c r="X225" t="n">
        <v>0</v>
      </c>
      <c r="Y225" t="inlineStr">
        <is>
          <t>The student completed the data loading and preparation with minor issues, such as incorrect variable names in the DataLoader creation. The model loading and adaptation were mostly correct, with a small mistake in freezing the parameters. The training and validation loops had significant errors, particularly in the calculation of accuracy. The plotting of losses and accuracies was correct, but the bonus task was not attempted.</t>
        </is>
      </c>
      <c r="Z225" t="n">
        <v>8.5</v>
      </c>
      <c r="AA225" t="n">
        <v>0</v>
      </c>
      <c r="AB225" t="inlineStr">
        <is>
          <t>The student successfully completed most tasks with minor issues. The data loading and preparation were mostly correct, with the exception of using a different image size (32x32 instead of 128x128). The CNN model had 5 convolutional layers with batch normalization, earning full points. The training and validation loops were implemented correctly, and the model was trained and plotted accurately. However, the bonus task was not attempted.</t>
        </is>
      </c>
      <c r="AC225" t="n">
        <v>4</v>
      </c>
      <c r="AD225" t="inlineStr">
        <is>
          <t>The student attempted most tasks but made significant errors. The dataset class was partially implemented with incorrect file path handling and missing transformations. DataLoaders were created but with incorrect image and mask paths. The model class used the correct architecture but with a typo in the dataset name. Training and validation loops had issues with mask data types and loss calculation. The training process ran for only one epoch with incorrect learning rate and optimizer. Visualization of predictions was attempted but failed due to incorrect handling of predicted masks.</t>
        </is>
      </c>
      <c r="AE225" t="n">
        <v>0</v>
      </c>
      <c r="AF225" t="n">
        <v>0</v>
      </c>
      <c r="AG225" t="inlineStr">
        <is>
          <t>No submission found.</t>
        </is>
      </c>
      <c r="AH225" t="n">
        <v>19.5</v>
      </c>
      <c r="AI225" t="n">
        <v>0</v>
      </c>
    </row>
    <row r="226">
      <c r="A226" t="n">
        <v>225</v>
      </c>
      <c r="B226" t="inlineStr">
        <is>
          <t>TA_4</t>
        </is>
      </c>
      <c r="C226" t="inlineStr">
        <is>
          <t>TA_14</t>
        </is>
      </c>
      <c r="D226" t="n">
        <v>11</v>
      </c>
      <c r="E226" t="n">
        <v>0</v>
      </c>
      <c r="F226" t="n">
        <v>7.5</v>
      </c>
      <c r="G226" t="n">
        <v>0</v>
      </c>
      <c r="H226" t="n">
        <v>6.75</v>
      </c>
      <c r="I226" t="n">
        <v>0</v>
      </c>
      <c r="J226" t="n">
        <v>11</v>
      </c>
      <c r="K226" t="n">
        <v>0</v>
      </c>
      <c r="L226" t="n">
        <v>7.5</v>
      </c>
      <c r="M226" t="n">
        <v>0</v>
      </c>
      <c r="N226" t="n">
        <v>6.75</v>
      </c>
      <c r="O226" t="n">
        <v>0</v>
      </c>
      <c r="P226">
        <f>Table1[[#This Row],[TA 1 - Q1 Score]]+Table1[[#This Row],[TA 1 - Q2 Score]]+Table1[[#This Row],[TA 1 - Q3 Score]]</f>
        <v/>
      </c>
      <c r="Q226">
        <f>Table1[[#This Row],[TA 1 - Q1 Bonus]]+Table1[[#This Row],[TA 1 - Q2 Bonus]]+Table1[[#This Row],[TA 1 - Q4 Bonus]]</f>
        <v/>
      </c>
      <c r="R226">
        <f>Table1[[#This Row],[TA 2 - Q1 Score]]+Table1[[#This Row],[TA 2 - Q2 Score]]+Table1[[#This Row],[TA 2 - Q3 Score]]</f>
        <v/>
      </c>
      <c r="S226">
        <f>Table1[[#This Row],[TA 2 - Q1 Bonus]]+Table1[[#This Row],[TA 2 - Q2 Bonus]]+Table1[[#This Row],[TA 2 - Q4 Bonus]]</f>
        <v/>
      </c>
      <c r="T226">
        <f>(Table1[[#This Row],[TA 1 - Total Score (out of 35)]]+Table1[[#This Row],[TA 2 - Total Score (out of 35)]])/2</f>
        <v/>
      </c>
      <c r="U226">
        <f>(Table1[[#This Row],[TA 1 - Total Bonus (out of 13)]]+Table1[[#This Row],[TA 2 - Total Bonus (out of 13)]])/2</f>
        <v/>
      </c>
      <c r="V226">
        <f>Table1[[#This Row],[Average Questions]]/35*20+Table1[[#This Row],[Average Bonus]]/13*5</f>
        <v/>
      </c>
      <c r="W226" t="n">
        <v>8</v>
      </c>
      <c r="X226" t="n">
        <v>0</v>
      </c>
      <c r="Y226" t="inlineStr">
        <is>
          <t>The student completed most tasks correctly but made several minor mistakes. In Part 1, the transforms were correctly defined, and DataLoaders were created, but the sample images were displayed incorrectly due to a mismatch in expected image dimensions. In Part 2, the model was loaded and adapted correctly, but the classifier replacement was repeated unnecessarily. In Part 3, both training and validation loops were implemented correctly, and the label fix was applied. In Part 4, the setup was mostly correct, but the number of epochs was reduced to 3, and the plots were not generated. No bonus tasks were attempted.</t>
        </is>
      </c>
      <c r="Z226" t="n">
        <v>7</v>
      </c>
      <c r="AA226" t="n">
        <v>0</v>
      </c>
      <c r="AB226" t="inlineStr">
        <is>
          <t>The student successfully loaded and prepared the dataset with the correct transformations, including RandomRotation and resizing to 32x32. They displayed sample images with labels. However, the CNN model had incorrect architecture with only 5 convolutional layers but incorrect channel sizes and fully connected layer dimensions. The training and validation loops were implemented correctly, and the model was trained for 2 epochs. No bonus task was attempted.</t>
        </is>
      </c>
      <c r="AC226" t="n">
        <v>4</v>
      </c>
      <c r="AD226" t="inlineStr">
        <is>
          <t>The student partially completed Task 1 by creating a custom dataset class and defining DataLoaders, but used an incorrect approach for splitting the dataset. Task 2 was partially completed with the correct model definition but specified a single class instead of eight. Task 3 had syntax errors in the training and validation loops. Task 4 was not fully implemented due to incorrect loss function and optimizer settings. Task 5 was partially completed with visualization code but used a binary mask thresholding approach instead of multi-class segmentation.</t>
        </is>
      </c>
      <c r="AE226" t="n">
        <v>0</v>
      </c>
      <c r="AF226" t="n">
        <v>0</v>
      </c>
      <c r="AG226" t="inlineStr">
        <is>
          <t>No submission found.</t>
        </is>
      </c>
      <c r="AH226" t="n">
        <v>19</v>
      </c>
      <c r="AI226" t="n">
        <v>0</v>
      </c>
    </row>
    <row r="227">
      <c r="A227" t="n">
        <v>226</v>
      </c>
      <c r="B227" t="inlineStr">
        <is>
          <t>TA_4</t>
        </is>
      </c>
      <c r="C227" t="inlineStr">
        <is>
          <t>TA_14</t>
        </is>
      </c>
      <c r="D227" t="n">
        <v>12</v>
      </c>
      <c r="E227" t="n">
        <v>0</v>
      </c>
      <c r="F227" t="n">
        <v>11</v>
      </c>
      <c r="G227" t="n">
        <v>0</v>
      </c>
      <c r="H227" t="n">
        <v>7</v>
      </c>
      <c r="I227" t="n">
        <v>0</v>
      </c>
      <c r="J227" t="n">
        <v>10.5</v>
      </c>
      <c r="K227" t="n">
        <v>0</v>
      </c>
      <c r="L227" t="n">
        <v>11</v>
      </c>
      <c r="M227" t="n">
        <v>0</v>
      </c>
      <c r="N227" t="n">
        <v>7</v>
      </c>
      <c r="O227" t="n">
        <v>0</v>
      </c>
      <c r="P227">
        <f>Table1[[#This Row],[TA 1 - Q1 Score]]+Table1[[#This Row],[TA 1 - Q2 Score]]+Table1[[#This Row],[TA 1 - Q3 Score]]</f>
        <v/>
      </c>
      <c r="Q227">
        <f>Table1[[#This Row],[TA 1 - Q1 Bonus]]+Table1[[#This Row],[TA 1 - Q2 Bonus]]+Table1[[#This Row],[TA 1 - Q4 Bonus]]</f>
        <v/>
      </c>
      <c r="R227">
        <f>Table1[[#This Row],[TA 2 - Q1 Score]]+Table1[[#This Row],[TA 2 - Q2 Score]]+Table1[[#This Row],[TA 2 - Q3 Score]]</f>
        <v/>
      </c>
      <c r="S227">
        <f>Table1[[#This Row],[TA 2 - Q1 Bonus]]+Table1[[#This Row],[TA 2 - Q2 Bonus]]+Table1[[#This Row],[TA 2 - Q4 Bonus]]</f>
        <v/>
      </c>
      <c r="T227">
        <f>(Table1[[#This Row],[TA 1 - Total Score (out of 35)]]+Table1[[#This Row],[TA 2 - Total Score (out of 35)]])/2</f>
        <v/>
      </c>
      <c r="U227">
        <f>(Table1[[#This Row],[TA 1 - Total Bonus (out of 13)]]+Table1[[#This Row],[TA 2 - Total Bonus (out of 13)]])/2</f>
        <v/>
      </c>
      <c r="V227">
        <f>Table1[[#This Row],[Average Questions]]/35*20+Table1[[#This Row],[Average Bonus]]/13*5</f>
        <v/>
      </c>
      <c r="W227" t="n">
        <v>8</v>
      </c>
      <c r="X227" t="n">
        <v>0</v>
      </c>
      <c r="Y227" t="inlineStr">
        <is>
          <t>The student completed most tasks with minor issues. Transforms were correctly defined, and DataLoaders were set up properly. Sample images were displayed with correct labels. The model was loaded and adapted correctly, with the backbone frozen and the classifier head replaced. However, there were syntax errors in the training and validation loops, such as incorrect handling of outputs and labels. The training loop used .squeeze() on outputs, which caused issues. The validation loop had a mistake in calculating the running loss. The training process ran with only one epoch due to resource constraints, but the code structure was correct. No bonus tasks were attempted.</t>
        </is>
      </c>
      <c r="Z227" t="n">
        <v>6</v>
      </c>
      <c r="AA227" t="n">
        <v>0</v>
      </c>
      <c r="AB227" t="inlineStr">
        <is>
          <t>The student successfully loaded and prepared the data with the correct transformations and displayed sample images. The CNN model was built with 5 convolutional layers and batch normalization, though the architecture differs slightly from the reference. Both training and validation functions were defined, although there were minor issues like unnecessary squeezing of outputs and incorrect label adjustments. The model was trained and plotted, but the number of epochs was reduced to 5. The bonus task was not attempted.</t>
        </is>
      </c>
      <c r="AC227" t="n">
        <v>4</v>
      </c>
      <c r="AD227" t="inlineStr">
        <is>
          <t>The student attempted most tasks but made several mistakes. In Task 1, the dataset class has issues with mask transformation and DataLoader creation lacks proper splitting. Task 2 incorrectly specifies the number of classes and uses 'efficientnet-b1' instead of 'efficientnet-b0'. Task 3 is partially correct but lacks detailed implementation. Task 4 defines loss and optimizer correctly but does not plot the loss curve. Task 5 is incomplete with no visualization code.</t>
        </is>
      </c>
      <c r="AE227" t="n">
        <v>0</v>
      </c>
      <c r="AF227" t="n">
        <v>0</v>
      </c>
      <c r="AG227" t="inlineStr">
        <is>
          <t>No submission found.</t>
        </is>
      </c>
      <c r="AH227" t="n">
        <v>18</v>
      </c>
      <c r="AI227" t="n">
        <v>0</v>
      </c>
    </row>
    <row r="228">
      <c r="A228" t="n">
        <v>227</v>
      </c>
      <c r="B228" t="inlineStr">
        <is>
          <t>TA_4</t>
        </is>
      </c>
      <c r="C228" t="inlineStr">
        <is>
          <t>TA_14</t>
        </is>
      </c>
      <c r="D228" t="n">
        <v>12</v>
      </c>
      <c r="E228" t="n">
        <v>0</v>
      </c>
      <c r="F228" t="n">
        <v>11</v>
      </c>
      <c r="G228" t="n">
        <v>0</v>
      </c>
      <c r="H228" t="n">
        <v>6</v>
      </c>
      <c r="I228" t="n">
        <v>0</v>
      </c>
      <c r="J228" t="n">
        <v>11</v>
      </c>
      <c r="K228" t="n">
        <v>0</v>
      </c>
      <c r="L228" t="n">
        <v>10.5</v>
      </c>
      <c r="M228" t="n">
        <v>0</v>
      </c>
      <c r="N228" t="n">
        <v>4.5</v>
      </c>
      <c r="O228" t="n">
        <v>0</v>
      </c>
      <c r="P228">
        <f>Table1[[#This Row],[TA 1 - Q1 Score]]+Table1[[#This Row],[TA 1 - Q2 Score]]+Table1[[#This Row],[TA 1 - Q3 Score]]</f>
        <v/>
      </c>
      <c r="Q228">
        <f>Table1[[#This Row],[TA 1 - Q1 Bonus]]+Table1[[#This Row],[TA 1 - Q2 Bonus]]+Table1[[#This Row],[TA 1 - Q4 Bonus]]</f>
        <v/>
      </c>
      <c r="R228">
        <f>Table1[[#This Row],[TA 2 - Q1 Score]]+Table1[[#This Row],[TA 2 - Q2 Score]]+Table1[[#This Row],[TA 2 - Q3 Score]]</f>
        <v/>
      </c>
      <c r="S228">
        <f>Table1[[#This Row],[TA 2 - Q1 Bonus]]+Table1[[#This Row],[TA 2 - Q2 Bonus]]+Table1[[#This Row],[TA 2 - Q4 Bonus]]</f>
        <v/>
      </c>
      <c r="T228">
        <f>(Table1[[#This Row],[TA 1 - Total Score (out of 35)]]+Table1[[#This Row],[TA 2 - Total Score (out of 35)]])/2</f>
        <v/>
      </c>
      <c r="U228">
        <f>(Table1[[#This Row],[TA 1 - Total Bonus (out of 13)]]+Table1[[#This Row],[TA 2 - Total Bonus (out of 13)]])/2</f>
        <v/>
      </c>
      <c r="V228">
        <f>Table1[[#This Row],[Average Questions]]/35*20+Table1[[#This Row],[Average Bonus]]/13*5</f>
        <v/>
      </c>
      <c r="W228" t="n">
        <v>6</v>
      </c>
      <c r="X228" t="n">
        <v>0</v>
      </c>
      <c r="Y228" t="inlineStr">
        <is>
          <t>The student completed the data loading and preparation, including resizing, converting to tensor, and normalizing images. They also created DataLoaders and displayed sample images. However, there were issues in freezing the backbone and replacing the classifier head correctly. The training and validation loops were implemented but contained logical errors, such as incorrect handling of labels and device placement. The bonus task was not attempted.</t>
        </is>
      </c>
      <c r="Z228" t="n">
        <v>7</v>
      </c>
      <c r="AA228" t="n">
        <v>0</v>
      </c>
      <c r="AB228" t="inlineStr">
        <is>
          <t>The student successfully loaded and prepared the data with the correct transformations and displayed sample images. The CNN model was built with 5 convolutional layers and batch normalization, though the number of filters in the first two layers was inconsistent with the reference solution. Training and validation functions were implemented correctly, and the model was trained and plotted. However, the bonus task was not completed.</t>
        </is>
      </c>
      <c r="AC228" t="n">
        <v>2</v>
      </c>
      <c r="AD228" t="inlineStr">
        <is>
          <t>The student attempted most tasks but made significant errors. The dataset class was partially correct but used incorrect file extensions and lacked sorting. DataLoaders were defined but with an incorrect batch size and missing validation loader. The model class used the wrong number of output classes. The training loop had issues with mask conversion and loss function choice. No validation loop or loss plotting was implemented. Prediction visualization was not attempted.</t>
        </is>
      </c>
      <c r="AE228" t="n">
        <v>0</v>
      </c>
      <c r="AF228" t="n">
        <v>0</v>
      </c>
      <c r="AG228" t="inlineStr">
        <is>
          <t>No submission found.</t>
        </is>
      </c>
      <c r="AH228" t="n">
        <v>15</v>
      </c>
      <c r="AI228" t="n">
        <v>0</v>
      </c>
    </row>
    <row r="229">
      <c r="A229" t="n">
        <v>228</v>
      </c>
      <c r="B229" t="inlineStr">
        <is>
          <t>TA_5</t>
        </is>
      </c>
      <c r="C229" t="inlineStr">
        <is>
          <t>TA_15</t>
        </is>
      </c>
      <c r="D229" t="n">
        <v>11</v>
      </c>
      <c r="E229" t="n">
        <v>0</v>
      </c>
      <c r="F229" t="n">
        <v>7</v>
      </c>
      <c r="G229" t="n">
        <v>0</v>
      </c>
      <c r="H229" t="n">
        <v>11.5</v>
      </c>
      <c r="I229" t="n">
        <v>0</v>
      </c>
      <c r="J229" t="n">
        <v>11</v>
      </c>
      <c r="K229" t="n">
        <v>0</v>
      </c>
      <c r="L229" t="n">
        <v>8.6</v>
      </c>
      <c r="M229" t="n">
        <v>0</v>
      </c>
      <c r="N229" t="n">
        <v>11.5</v>
      </c>
      <c r="O229" t="n">
        <v>0</v>
      </c>
      <c r="P229">
        <f>Table1[[#This Row],[TA 1 - Q1 Score]]+Table1[[#This Row],[TA 1 - Q2 Score]]+Table1[[#This Row],[TA 1 - Q3 Score]]</f>
        <v/>
      </c>
      <c r="Q229">
        <f>Table1[[#This Row],[TA 1 - Q1 Bonus]]+Table1[[#This Row],[TA 1 - Q2 Bonus]]+Table1[[#This Row],[TA 1 - Q4 Bonus]]</f>
        <v/>
      </c>
      <c r="R229">
        <f>Table1[[#This Row],[TA 2 - Q1 Score]]+Table1[[#This Row],[TA 2 - Q2 Score]]+Table1[[#This Row],[TA 2 - Q3 Score]]</f>
        <v/>
      </c>
      <c r="S229">
        <f>Table1[[#This Row],[TA 2 - Q1 Bonus]]+Table1[[#This Row],[TA 2 - Q2 Bonus]]+Table1[[#This Row],[TA 2 - Q4 Bonus]]</f>
        <v/>
      </c>
      <c r="T229">
        <f>(Table1[[#This Row],[TA 1 - Total Score (out of 35)]]+Table1[[#This Row],[TA 2 - Total Score (out of 35)]])/2</f>
        <v/>
      </c>
      <c r="U229">
        <f>(Table1[[#This Row],[TA 1 - Total Bonus (out of 13)]]+Table1[[#This Row],[TA 2 - Total Bonus (out of 13)]])/2</f>
        <v/>
      </c>
      <c r="V229">
        <f>Table1[[#This Row],[Average Questions]]/35*20+Table1[[#This Row],[Average Bonus]]/13*5</f>
        <v/>
      </c>
      <c r="W229" t="n">
        <v>8.5</v>
      </c>
      <c r="X229" t="n">
        <v>0</v>
      </c>
      <c r="Y229" t="inlineStr">
        <is>
          <t>The student completed most tasks correctly but made some minor mistakes. The data loading and preparation were mostly correct, though the batch size was unusually large (512). The model loading and adaptation were accurate, with the backbone frozen and the classifier head replaced correctly. The training and validation loops were implemented properly, with label adjustments made. However, the student did not plot the training and validation losses and accuracies as required, resulting in a deduction. No bonus task was attempted.</t>
        </is>
      </c>
      <c r="Z229" t="n">
        <v>7</v>
      </c>
      <c r="AA229" t="n">
        <v>0</v>
      </c>
      <c r="AB229" t="inlineStr">
        <is>
          <t>The student successfully loaded and prepared the data with the correct transformations and displayed sample images. The CNN model was built with 5 convolutional layers, though the number of channels and fully connected layer sizes differ from the reference solution. The training and validation loops were implemented correctly, and the model was trained and plotted. However, the CNN model did not include batch normalization, and the bonus task was not attempted.</t>
        </is>
      </c>
      <c r="AC229" t="n">
        <v>8.5</v>
      </c>
      <c r="AD229" t="inlineStr">
        <is>
          <t>The student's submission largely follows the reference solution but contains minor issues. The dataset class is correctly implemented, and the DataLoaders are set up properly. However, the batch size is unusually high (64), which might cause memory issues. The model class uses the correct architecture but specifies 'efficientnet-b1' instead of 'efficientnet-b0'. The training and validation loops are correctly defined and executed, and the loss curve is plotted accurately. The predictions are visualized, but the colormap used for the predicted masks is grayscale instead of 'tab10'. These issues result in partial credit for most tasks.</t>
        </is>
      </c>
      <c r="AE229" t="n">
        <v>0</v>
      </c>
      <c r="AF229" t="n">
        <v>0</v>
      </c>
      <c r="AG229" t="inlineStr">
        <is>
          <t>No submission found.</t>
        </is>
      </c>
      <c r="AH229" t="n">
        <v>24</v>
      </c>
      <c r="AI229" t="n">
        <v>0</v>
      </c>
    </row>
    <row r="230">
      <c r="A230" t="n">
        <v>229</v>
      </c>
      <c r="B230" t="inlineStr">
        <is>
          <t>TA_5</t>
        </is>
      </c>
      <c r="C230" t="inlineStr">
        <is>
          <t>TA_15</t>
        </is>
      </c>
      <c r="D230" t="n">
        <v>12</v>
      </c>
      <c r="E230" t="n">
        <v>0</v>
      </c>
      <c r="F230" t="n">
        <v>7.5</v>
      </c>
      <c r="G230" t="n">
        <v>0</v>
      </c>
      <c r="H230" t="n">
        <v>12</v>
      </c>
      <c r="I230" t="n">
        <v>0</v>
      </c>
      <c r="J230" t="n">
        <v>12</v>
      </c>
      <c r="K230" t="n">
        <v>0</v>
      </c>
      <c r="L230" t="n">
        <v>8.5</v>
      </c>
      <c r="M230" t="n">
        <v>0</v>
      </c>
      <c r="N230" t="n">
        <v>12</v>
      </c>
      <c r="O230" t="n">
        <v>0</v>
      </c>
      <c r="P230">
        <f>Table1[[#This Row],[TA 1 - Q1 Score]]+Table1[[#This Row],[TA 1 - Q2 Score]]+Table1[[#This Row],[TA 1 - Q3 Score]]</f>
        <v/>
      </c>
      <c r="Q230">
        <f>Table1[[#This Row],[TA 1 - Q1 Bonus]]+Table1[[#This Row],[TA 1 - Q2 Bonus]]+Table1[[#This Row],[TA 1 - Q4 Bonus]]</f>
        <v/>
      </c>
      <c r="R230">
        <f>Table1[[#This Row],[TA 2 - Q1 Score]]+Table1[[#This Row],[TA 2 - Q2 Score]]+Table1[[#This Row],[TA 2 - Q3 Score]]</f>
        <v/>
      </c>
      <c r="S230">
        <f>Table1[[#This Row],[TA 2 - Q1 Bonus]]+Table1[[#This Row],[TA 2 - Q2 Bonus]]+Table1[[#This Row],[TA 2 - Q4 Bonus]]</f>
        <v/>
      </c>
      <c r="T230">
        <f>(Table1[[#This Row],[TA 1 - Total Score (out of 35)]]+Table1[[#This Row],[TA 2 - Total Score (out of 35)]])/2</f>
        <v/>
      </c>
      <c r="U230">
        <f>(Table1[[#This Row],[TA 1 - Total Bonus (out of 13)]]+Table1[[#This Row],[TA 2 - Total Bonus (out of 13)]])/2</f>
        <v/>
      </c>
      <c r="V230">
        <f>Table1[[#This Row],[Average Questions]]/35*20+Table1[[#This Row],[Average Bonus]]/13*5</f>
        <v/>
      </c>
      <c r="W230" t="n">
        <v>8.5</v>
      </c>
      <c r="X230" t="n">
        <v>0</v>
      </c>
      <c r="Y230" t="inlineStr">
        <is>
          <t>The student completed most tasks correctly, including defining transforms, creating DataLoaders, displaying sample images, loading and adapting the pretrained model, and implementing training and validation loops. However, the student did not implement Test Time Augmentation (TTA) as required for the bonus task. Additionally, there were minor issues such as unnecessary imports and a commented-out section in the TTA implementation.</t>
        </is>
      </c>
      <c r="Z230" t="n">
        <v>8.5</v>
      </c>
      <c r="AA230" t="n">
        <v>0</v>
      </c>
      <c r="AB230" t="inlineStr">
        <is>
          <t>The student successfully loaded and prepared the data with correct transformations and displayed sample images. The CNN model was built with 5 convolutional layers and batch normalization, though the number of channels in the fourth layer was inconsistent with the reference solution. Training and validation functions were correctly implemented, and the model was trained and plotted. However, the bonus task was not completed.</t>
        </is>
      </c>
      <c r="AC230" t="n">
        <v>8</v>
      </c>
      <c r="AD230" t="inlineStr">
        <is>
          <t>The student successfully implemented a custom dataset class, created DataLoaders, and displayed sample images and masks, earning full points for Task 1. They correctly defined a pretrained U-Net model with an efficientnet-b1 encoder for Task 2. The training and validation loops were implemented with minor issues, such as including pixel accuracy calculation, which was not required, earning partial points for Task 3. The student defined the loss and optimizer, trained the model, printed the training and validation losses, and plotted the loss curve, earning full points for Task 4. However, the visualization of predictions used the original dataset instead of the validation dataset, resulting in partial points for Task 5.</t>
        </is>
      </c>
      <c r="AE230" t="n">
        <v>0</v>
      </c>
      <c r="AF230" t="n">
        <v>0</v>
      </c>
      <c r="AG230" t="inlineStr">
        <is>
          <t>The student did not implement the required methods in the `ColorizationDataset` class. The `__init__` and `__len__` methods were left as placeholders with `pass`, which means they do not perform any operations. The `rgb_to_grayscale` method was partially implemented but missing the storage of the dataset in `__init__`, which is crucial for the `__getitem__` method to function correctly. As a result, the dataset class does not work as intended, and the visualization and DataLoader tests fail.</t>
        </is>
      </c>
      <c r="AH230" t="n">
        <v>25</v>
      </c>
      <c r="AI230" t="n">
        <v>0</v>
      </c>
    </row>
    <row r="231">
      <c r="A231" t="n">
        <v>230</v>
      </c>
      <c r="B231" t="inlineStr">
        <is>
          <t>TA_5</t>
        </is>
      </c>
      <c r="C231" t="inlineStr">
        <is>
          <t>TA_15</t>
        </is>
      </c>
      <c r="D231" t="n">
        <v>11</v>
      </c>
      <c r="E231" t="n">
        <v>0</v>
      </c>
      <c r="F231" t="n">
        <v>9.5</v>
      </c>
      <c r="G231" t="n">
        <v>0</v>
      </c>
      <c r="H231" t="n">
        <v>11.5</v>
      </c>
      <c r="I231" t="n">
        <v>0</v>
      </c>
      <c r="J231" t="n">
        <v>11</v>
      </c>
      <c r="K231" t="n">
        <v>0</v>
      </c>
      <c r="L231" t="n">
        <v>10</v>
      </c>
      <c r="M231" t="n">
        <v>0</v>
      </c>
      <c r="N231" t="n">
        <v>11.5</v>
      </c>
      <c r="O231" t="n">
        <v>0</v>
      </c>
      <c r="P231">
        <f>Table1[[#This Row],[TA 1 - Q1 Score]]+Table1[[#This Row],[TA 1 - Q2 Score]]+Table1[[#This Row],[TA 1 - Q3 Score]]</f>
        <v/>
      </c>
      <c r="Q231">
        <f>Table1[[#This Row],[TA 1 - Q1 Bonus]]+Table1[[#This Row],[TA 1 - Q2 Bonus]]+Table1[[#This Row],[TA 1 - Q4 Bonus]]</f>
        <v/>
      </c>
      <c r="R231">
        <f>Table1[[#This Row],[TA 2 - Q1 Score]]+Table1[[#This Row],[TA 2 - Q2 Score]]+Table1[[#This Row],[TA 2 - Q3 Score]]</f>
        <v/>
      </c>
      <c r="S231">
        <f>Table1[[#This Row],[TA 2 - Q1 Bonus]]+Table1[[#This Row],[TA 2 - Q2 Bonus]]+Table1[[#This Row],[TA 2 - Q4 Bonus]]</f>
        <v/>
      </c>
      <c r="T231">
        <f>(Table1[[#This Row],[TA 1 - Total Score (out of 35)]]+Table1[[#This Row],[TA 2 - Total Score (out of 35)]])/2</f>
        <v/>
      </c>
      <c r="U231">
        <f>(Table1[[#This Row],[TA 1 - Total Bonus (out of 13)]]+Table1[[#This Row],[TA 2 - Total Bonus (out of 13)]])/2</f>
        <v/>
      </c>
      <c r="V231">
        <f>Table1[[#This Row],[Average Questions]]/35*20+Table1[[#This Row],[Average Bonus]]/13*5</f>
        <v/>
      </c>
      <c r="W231" t="n">
        <v>7.5</v>
      </c>
      <c r="X231" t="n">
        <v>0</v>
      </c>
      <c r="Y231" t="inlineStr">
        <is>
          <t>The student completed most tasks with minor issues. Transforms were correctly defined, and DataLoaders were set up properly. Sample images were displayed, though with hardcoded indices. The model was loaded and adapted correctly, but the backbone was not explicitly frozen. Training and validation loops were implemented with label fixing, but the training loop used softmax unnecessarily. The training process ran with some syntax issues in the print statement. No bonus task was attempted.</t>
        </is>
      </c>
      <c r="Z231" t="n">
        <v>6</v>
      </c>
      <c r="AA231" t="n">
        <v>0</v>
      </c>
      <c r="AB231" t="inlineStr">
        <is>
          <t>The student partially completed the tasks. The data loading and preparation section had minor issues with the test transformation resizing to 32x32 instead of 64x64 as in the reference, and the image display used hardcoded indices. The CNN model was built with 5 convolutional layers and batch normalization, earning full points. However, the residual connection implementation was incorrect, with improper concatenation and logic, resulting in no bonus points. The training and validation loops were mostly correct but included unnecessary softmax operations.</t>
        </is>
      </c>
      <c r="AC231" t="n">
        <v>8</v>
      </c>
      <c r="AD231" t="inlineStr">
        <is>
          <t>The student's submission includes most of the required tasks with minor issues. The dataset class is implemented correctly, but the DataLoader creation and sample display have some logical mistakes. The model class is defined with the correct encoder, but the training and validation loops contain syntax errors. The loss and optimizer are defined correctly, and the training process runs, though with some issues. The visualization of predictions is mostly correct but has minor formatting issues.</t>
        </is>
      </c>
      <c r="AE231" t="n">
        <v>0</v>
      </c>
      <c r="AF231" t="n">
        <v>0</v>
      </c>
      <c r="AG231" t="inlineStr">
        <is>
          <t>The student did not implement any of the required methods in the `ColorizationDataset` class. The `__init__`, `__len__`, `rgb_to_grayscale`, and `__getitem__` methods were left unimplemented with only placeholder comments. As a result, the code does not run and fails to produce the expected output.</t>
        </is>
      </c>
      <c r="AH231" t="n">
        <v>21.5</v>
      </c>
      <c r="AI231" t="n">
        <v>0</v>
      </c>
    </row>
    <row r="232">
      <c r="A232" t="n">
        <v>231</v>
      </c>
      <c r="B232" t="inlineStr">
        <is>
          <t>TA_5</t>
        </is>
      </c>
      <c r="C232" t="inlineStr">
        <is>
          <t>TA_15</t>
        </is>
      </c>
      <c r="D232" t="n">
        <v>12</v>
      </c>
      <c r="E232" t="n">
        <v>0</v>
      </c>
      <c r="F232" t="n">
        <v>11</v>
      </c>
      <c r="G232" t="n">
        <v>0</v>
      </c>
      <c r="H232" t="n">
        <v>7</v>
      </c>
      <c r="I232" t="n">
        <v>0</v>
      </c>
      <c r="J232" t="n">
        <v>12</v>
      </c>
      <c r="K232" t="n">
        <v>0</v>
      </c>
      <c r="L232" t="n">
        <v>10.5</v>
      </c>
      <c r="M232" t="n">
        <v>0</v>
      </c>
      <c r="N232" t="n">
        <v>10.25</v>
      </c>
      <c r="O232" t="n">
        <v>0</v>
      </c>
      <c r="P232">
        <f>Table1[[#This Row],[TA 1 - Q1 Score]]+Table1[[#This Row],[TA 1 - Q2 Score]]+Table1[[#This Row],[TA 1 - Q3 Score]]</f>
        <v/>
      </c>
      <c r="Q232">
        <f>Table1[[#This Row],[TA 1 - Q1 Bonus]]+Table1[[#This Row],[TA 1 - Q2 Bonus]]+Table1[[#This Row],[TA 1 - Q4 Bonus]]</f>
        <v/>
      </c>
      <c r="R232">
        <f>Table1[[#This Row],[TA 2 - Q1 Score]]+Table1[[#This Row],[TA 2 - Q2 Score]]+Table1[[#This Row],[TA 2 - Q3 Score]]</f>
        <v/>
      </c>
      <c r="S232">
        <f>Table1[[#This Row],[TA 2 - Q1 Bonus]]+Table1[[#This Row],[TA 2 - Q2 Bonus]]+Table1[[#This Row],[TA 2 - Q4 Bonus]]</f>
        <v/>
      </c>
      <c r="T232">
        <f>(Table1[[#This Row],[TA 1 - Total Score (out of 35)]]+Table1[[#This Row],[TA 2 - Total Score (out of 35)]])/2</f>
        <v/>
      </c>
      <c r="U232">
        <f>(Table1[[#This Row],[TA 1 - Total Bonus (out of 13)]]+Table1[[#This Row],[TA 2 - Total Bonus (out of 13)]])/2</f>
        <v/>
      </c>
      <c r="V232">
        <f>Table1[[#This Row],[Average Questions]]/35*20+Table1[[#This Row],[Average Bonus]]/13*5</f>
        <v/>
      </c>
      <c r="W232" t="n">
        <v>8</v>
      </c>
      <c r="X232" t="n">
        <v>0</v>
      </c>
      <c r="Y232" t="inlineStr">
        <is>
          <t>The student completed most tasks correctly, including defining transforms, creating DataLoaders, loading and adapting the pretrained model, and setting up training and validation loops. However, there were issues with displaying sample images, where labels were not correctly mapped. The student also attempted to fix labels by modifying dataset targets directly, which is not ideal. The training and validation loops were implemented correctly, but the student stopped training due to CPU limitations. No bonus tasks were attempted.</t>
        </is>
      </c>
      <c r="Z232" t="n">
        <v>7</v>
      </c>
      <c r="AA232" t="n">
        <v>0</v>
      </c>
      <c r="AB232" t="inlineStr">
        <is>
          <t>The student successfully loaded and prepared the data with the correct transformations and displayed sample images. However, the CNN model has more than 5 convolutional layers and incorrect fully connected layer dimensions, resulting in a partial score. The training and validation functions are mostly correct but contain minor issues like unnecessary softmax usage. The model training and plotting sections are complete and functional.</t>
        </is>
      </c>
      <c r="AC232" t="n">
        <v>4</v>
      </c>
      <c r="AD232" t="inlineStr">
        <is>
          <t>The student attempted most tasks but made significant errors. The dataset class incorrectly loads images and masks, leading to mismatched data. The U-Net model was defined with an incorrect number of classes (1 instead of 8). The training and validation loops used incorrect loss functions and data types, causing runtime errors. Visualization of predictions was partially correct but used a binary threshold instead of multi-class segmentation.</t>
        </is>
      </c>
      <c r="AE232" t="n">
        <v>0</v>
      </c>
      <c r="AF232" t="n">
        <v>0</v>
      </c>
      <c r="AG232" t="inlineStr">
        <is>
          <t>No submission found.</t>
        </is>
      </c>
      <c r="AH232" t="n">
        <v>19</v>
      </c>
      <c r="AI232" t="n">
        <v>0</v>
      </c>
    </row>
    <row r="233">
      <c r="A233" t="n">
        <v>232</v>
      </c>
      <c r="B233" t="inlineStr">
        <is>
          <t>TA_5</t>
        </is>
      </c>
      <c r="C233" t="inlineStr">
        <is>
          <t>TA_15</t>
        </is>
      </c>
      <c r="D233" t="n">
        <v>6.5</v>
      </c>
      <c r="E233" t="n">
        <v>0</v>
      </c>
      <c r="F233" t="n">
        <v>1</v>
      </c>
      <c r="G233" t="n">
        <v>0</v>
      </c>
      <c r="H233" t="n">
        <v>11.5</v>
      </c>
      <c r="I233" t="n">
        <v>0</v>
      </c>
      <c r="J233" t="n">
        <v>6</v>
      </c>
      <c r="K233" t="n">
        <v>0</v>
      </c>
      <c r="L233" t="n">
        <v>10.25</v>
      </c>
      <c r="M233" t="n">
        <v>0</v>
      </c>
      <c r="N233" t="n">
        <v>11</v>
      </c>
      <c r="O233" t="n">
        <v>0</v>
      </c>
      <c r="P233">
        <f>Table1[[#This Row],[TA 1 - Q1 Score]]+Table1[[#This Row],[TA 1 - Q2 Score]]+Table1[[#This Row],[TA 1 - Q3 Score]]</f>
        <v/>
      </c>
      <c r="Q233">
        <f>Table1[[#This Row],[TA 1 - Q1 Bonus]]+Table1[[#This Row],[TA 1 - Q2 Bonus]]+Table1[[#This Row],[TA 1 - Q4 Bonus]]</f>
        <v/>
      </c>
      <c r="R233">
        <f>Table1[[#This Row],[TA 2 - Q1 Score]]+Table1[[#This Row],[TA 2 - Q2 Score]]+Table1[[#This Row],[TA 2 - Q3 Score]]</f>
        <v/>
      </c>
      <c r="S233">
        <f>Table1[[#This Row],[TA 2 - Q1 Bonus]]+Table1[[#This Row],[TA 2 - Q2 Bonus]]+Table1[[#This Row],[TA 2 - Q4 Bonus]]</f>
        <v/>
      </c>
      <c r="T233">
        <f>(Table1[[#This Row],[TA 1 - Total Score (out of 35)]]+Table1[[#This Row],[TA 2 - Total Score (out of 35)]])/2</f>
        <v/>
      </c>
      <c r="U233">
        <f>(Table1[[#This Row],[TA 1 - Total Bonus (out of 13)]]+Table1[[#This Row],[TA 2 - Total Bonus (out of 13)]])/2</f>
        <v/>
      </c>
      <c r="V233">
        <f>Table1[[#This Row],[Average Questions]]/35*20+Table1[[#This Row],[Average Bonus]]/13*5</f>
        <v/>
      </c>
      <c r="W233" t="n">
        <v>7</v>
      </c>
      <c r="X233" t="n">
        <v>0</v>
      </c>
      <c r="Y233" t="inlineStr">
        <is>
          <t>The student completed most tasks with minor issues. The data loading and preparation were mostly correct, but the test DataLoader was incorrectly set to shuffle. The model loading and adaptation were partially correct, but the backbone was not frozen. The training and validation loops were implemented with logical errors in label fixing. The training setup and execution were mostly correct, but the optimizer targeted only the classifier parameters. No bonus task was attempted.</t>
        </is>
      </c>
      <c r="Z233" t="n">
        <v>5</v>
      </c>
      <c r="AA233" t="n">
        <v>0</v>
      </c>
      <c r="AB233" t="inlineStr">
        <is>
          <t>The student partially completed the tasks. They correctly set up the dataset paths and transformations, but mistakenly swapped the train and test directories. The visualization function works but is not part of the graded tasks. The CNN model has 5 convolutional layers with batch normalization but incorrect input dimensions for the fully connected layer. The training and validation loops are mostly correct but contain a minor mistake in the classifier input size. No bonus task was attempted.</t>
        </is>
      </c>
      <c r="AC233" t="n">
        <v>7</v>
      </c>
      <c r="AD233" t="inlineStr">
        <is>
          <t>The student's submission contains mostly correct code with some minor issues. Task 1 is partially correct with a small mistake in the mask shape check. Task 2 is correct except for the encoder name specified in the model definition. Task 3 has syntax errors in the training and validation loops. Task 4 is mostly correct with a typo in the training loop and an incorrect mask conversion in the validation loop. Task 5 is partially correct with a minor issue in displaying the predicted mask.</t>
        </is>
      </c>
      <c r="AE233" t="n">
        <v>0</v>
      </c>
      <c r="AF233" t="n">
        <v>0</v>
      </c>
      <c r="AG233" t="inlineStr">
        <is>
          <t>No submission found.</t>
        </is>
      </c>
      <c r="AH233" t="n">
        <v>19</v>
      </c>
      <c r="AI233" t="n">
        <v>0</v>
      </c>
    </row>
    <row r="234">
      <c r="A234" t="n">
        <v>233</v>
      </c>
      <c r="B234" t="inlineStr">
        <is>
          <t>TA_5</t>
        </is>
      </c>
      <c r="C234" t="inlineStr">
        <is>
          <t>TA_15</t>
        </is>
      </c>
      <c r="D234" t="n">
        <v>7</v>
      </c>
      <c r="E234" t="n">
        <v>0</v>
      </c>
      <c r="F234" t="n">
        <v>9</v>
      </c>
      <c r="G234" t="n">
        <v>0</v>
      </c>
      <c r="H234" t="n">
        <v>7</v>
      </c>
      <c r="I234" t="n">
        <v>0</v>
      </c>
      <c r="J234" t="n">
        <v>6.5</v>
      </c>
      <c r="K234" t="n">
        <v>0</v>
      </c>
      <c r="L234" t="n">
        <v>9</v>
      </c>
      <c r="M234" t="n">
        <v>0</v>
      </c>
      <c r="N234" t="n">
        <v>4.5</v>
      </c>
      <c r="O234" t="n">
        <v>0</v>
      </c>
      <c r="P234">
        <f>Table1[[#This Row],[TA 1 - Q1 Score]]+Table1[[#This Row],[TA 1 - Q2 Score]]+Table1[[#This Row],[TA 1 - Q3 Score]]</f>
        <v/>
      </c>
      <c r="Q234">
        <f>Table1[[#This Row],[TA 1 - Q1 Bonus]]+Table1[[#This Row],[TA 1 - Q2 Bonus]]+Table1[[#This Row],[TA 1 - Q4 Bonus]]</f>
        <v/>
      </c>
      <c r="R234">
        <f>Table1[[#This Row],[TA 2 - Q1 Score]]+Table1[[#This Row],[TA 2 - Q2 Score]]+Table1[[#This Row],[TA 2 - Q3 Score]]</f>
        <v/>
      </c>
      <c r="S234">
        <f>Table1[[#This Row],[TA 2 - Q1 Bonus]]+Table1[[#This Row],[TA 2 - Q2 Bonus]]+Table1[[#This Row],[TA 2 - Q4 Bonus]]</f>
        <v/>
      </c>
      <c r="T234">
        <f>(Table1[[#This Row],[TA 1 - Total Score (out of 35)]]+Table1[[#This Row],[TA 2 - Total Score (out of 35)]])/2</f>
        <v/>
      </c>
      <c r="U234">
        <f>(Table1[[#This Row],[TA 1 - Total Bonus (out of 13)]]+Table1[[#This Row],[TA 2 - Total Bonus (out of 13)]])/2</f>
        <v/>
      </c>
      <c r="V234">
        <f>Table1[[#This Row],[Average Questions]]/35*20+Table1[[#This Row],[Average Bonus]]/13*5</f>
        <v/>
      </c>
      <c r="W234" t="n">
        <v>6</v>
      </c>
      <c r="X234" t="n">
        <v>0</v>
      </c>
      <c r="Y234" t="inlineStr">
        <is>
          <t>The student completed the data loading and preparation, including defining the necessary transforms and creating DataLoaders, earning full points for Part 1. However, the model definition in Part 2 is incorrect as the student created a custom model instead of adapting a pretrained EfficientNetV2-Small, resulting in a significant deduction. The training and validation loops in Part 3 were implemented but did not adjust the labels to be 0-indexed, leading to a penalty. The training setup and execution in Part 4 were mostly correct, but the model used was incorrect, affecting the results. No bonus task was attempted.</t>
        </is>
      </c>
      <c r="Z234" t="n">
        <v>8.5</v>
      </c>
      <c r="AA234" t="n">
        <v>0</v>
      </c>
      <c r="AB234" t="inlineStr">
        <is>
          <t>The student successfully completed most tasks with minor issues. The dataset loading and preparation were mostly correct, with the exception of using a different image size (32x32 instead of 128x128) and incorrect shuffling of the test loader. The CNN model had 5 convolutional layers but used different channel sizes compared to the reference solution. Batch normalization was not added, resulting in a deduction. Training and validation functions were implemented correctly, and the model trained and plotted the results accurately. The bonus task was not attempted.</t>
        </is>
      </c>
      <c r="AC234" t="n">
        <v>4</v>
      </c>
      <c r="AD234" t="inlineStr">
        <is>
          <t>The student attempted most tasks but made several mistakes. In Task 1, the dataset class incorrectly specified the mask paths under the image directory. Task 2 used a different encoder (resnet34 instead of efficientnet-b1) and incorrect number of classes (7 instead of 8). Task 3 had syntax errors in the validation loop function. Task 4 defined the optimizer incorrectly (AdamW instead of Adam) and trained for fewer epochs (5 instead of 10). Task 5 was not completed.</t>
        </is>
      </c>
      <c r="AE234" t="n">
        <v>0</v>
      </c>
      <c r="AF234" t="n">
        <v>0</v>
      </c>
      <c r="AG234" t="inlineStr">
        <is>
          <t>No submission found.</t>
        </is>
      </c>
      <c r="AH234" t="n">
        <v>18.5</v>
      </c>
      <c r="AI234" t="n">
        <v>0</v>
      </c>
    </row>
    <row r="235">
      <c r="A235" t="n">
        <v>234</v>
      </c>
      <c r="B235" t="inlineStr">
        <is>
          <t>TA_5</t>
        </is>
      </c>
      <c r="C235" t="inlineStr">
        <is>
          <t>TA_15</t>
        </is>
      </c>
      <c r="D235" t="n">
        <v>7.5</v>
      </c>
      <c r="E235" t="n">
        <v>0</v>
      </c>
      <c r="F235" t="n">
        <v>8</v>
      </c>
      <c r="G235" t="n">
        <v>0</v>
      </c>
      <c r="H235" t="n">
        <v>0</v>
      </c>
      <c r="I235" t="n">
        <v>0</v>
      </c>
      <c r="J235" t="n">
        <v>8</v>
      </c>
      <c r="K235" t="n">
        <v>0</v>
      </c>
      <c r="L235" t="n">
        <v>8</v>
      </c>
      <c r="M235" t="n">
        <v>0</v>
      </c>
      <c r="N235" t="n">
        <v>4.75</v>
      </c>
      <c r="O235" t="n">
        <v>0</v>
      </c>
      <c r="P235">
        <f>Table1[[#This Row],[TA 1 - Q1 Score]]+Table1[[#This Row],[TA 1 - Q2 Score]]+Table1[[#This Row],[TA 1 - Q3 Score]]</f>
        <v/>
      </c>
      <c r="Q235">
        <f>Table1[[#This Row],[TA 1 - Q1 Bonus]]+Table1[[#This Row],[TA 1 - Q2 Bonus]]+Table1[[#This Row],[TA 1 - Q4 Bonus]]</f>
        <v/>
      </c>
      <c r="R235">
        <f>Table1[[#This Row],[TA 2 - Q1 Score]]+Table1[[#This Row],[TA 2 - Q2 Score]]+Table1[[#This Row],[TA 2 - Q3 Score]]</f>
        <v/>
      </c>
      <c r="S235">
        <f>Table1[[#This Row],[TA 2 - Q1 Bonus]]+Table1[[#This Row],[TA 2 - Q2 Bonus]]+Table1[[#This Row],[TA 2 - Q4 Bonus]]</f>
        <v/>
      </c>
      <c r="T235">
        <f>(Table1[[#This Row],[TA 1 - Total Score (out of 35)]]+Table1[[#This Row],[TA 2 - Total Score (out of 35)]])/2</f>
        <v/>
      </c>
      <c r="U235">
        <f>(Table1[[#This Row],[TA 1 - Total Bonus (out of 13)]]+Table1[[#This Row],[TA 2 - Total Bonus (out of 13)]])/2</f>
        <v/>
      </c>
      <c r="V235">
        <f>Table1[[#This Row],[Average Questions]]/35*20+Table1[[#This Row],[Average Bonus]]/13*5</f>
        <v/>
      </c>
      <c r="W235" t="n">
        <v>4</v>
      </c>
      <c r="X235" t="n">
        <v>0</v>
      </c>
      <c r="Y235" t="inlineStr">
        <is>
          <t>The student completed the data loading and transformation tasks correctly, including resizing, converting to tensor, and normalizing the images. However, the data display task had issues with hardcoded indices and incorrect image handling. The model loading and adaptation were mostly correct, but the student froze all parameters instead of just the backbone. The training and validation loops contained significant errors, such as incorrect handling of model outputs and label adjustments. No bonus task was attempted.</t>
        </is>
      </c>
      <c r="Z235" t="n">
        <v>7</v>
      </c>
      <c r="AA235" t="n">
        <v>0</v>
      </c>
      <c r="AB235" t="inlineStr">
        <is>
          <t>The student successfully loaded and prepared the data with the correct transformations and displayed sample images. The CNN model was built with 5 convolutional layers, though the number of channels in each layer differs from the reference solution. The training and validation functions were implemented correctly, and the model was trained and plotted. However, the bonus task was not completed.</t>
        </is>
      </c>
      <c r="AC235" t="n">
        <v>2</v>
      </c>
      <c r="AD235" t="inlineStr">
        <is>
          <t>The student attempted most tasks but made significant errors. In Task 1, the dataset class was partially implemented, but the DataLoader creation and sample display were missing. Task 2 incorrectly used 'efficientnet-b1' and set the model for binary segmentation instead of multi-class. Task 3 had syntax errors in the training and validation loops. Task 4 used BCEWithLogitsLoss for multi-class segmentation, which is incorrect, and did not plot the loss curve. Task 5 visualized predictions but did not handle multi-class masks correctly.</t>
        </is>
      </c>
      <c r="AE235" t="n">
        <v>0</v>
      </c>
      <c r="AF235" t="n">
        <v>0</v>
      </c>
      <c r="AG235" t="inlineStr">
        <is>
          <t>No submission found.</t>
        </is>
      </c>
      <c r="AH235" t="n">
        <v>13</v>
      </c>
      <c r="AI235" t="n">
        <v>0</v>
      </c>
    </row>
    <row r="236">
      <c r="A236" t="n">
        <v>235</v>
      </c>
      <c r="B236" t="inlineStr">
        <is>
          <t>TA_5</t>
        </is>
      </c>
      <c r="C236" t="inlineStr">
        <is>
          <t>TA_15</t>
        </is>
      </c>
      <c r="D236" t="n">
        <v>12</v>
      </c>
      <c r="E236" t="n">
        <v>3</v>
      </c>
      <c r="F236" t="n">
        <v>9</v>
      </c>
      <c r="G236" t="n">
        <v>0</v>
      </c>
      <c r="H236" t="n">
        <v>5</v>
      </c>
      <c r="I236" t="n">
        <v>0</v>
      </c>
      <c r="J236" t="n">
        <v>11.5</v>
      </c>
      <c r="K236" t="n">
        <v>3</v>
      </c>
      <c r="L236" t="n">
        <v>8.5</v>
      </c>
      <c r="M236" t="n">
        <v>0</v>
      </c>
      <c r="N236" t="n">
        <v>8.5</v>
      </c>
      <c r="O236" t="n">
        <v>0</v>
      </c>
      <c r="P236">
        <f>Table1[[#This Row],[TA 1 - Q1 Score]]+Table1[[#This Row],[TA 1 - Q2 Score]]+Table1[[#This Row],[TA 1 - Q3 Score]]</f>
        <v/>
      </c>
      <c r="Q236">
        <f>Table1[[#This Row],[TA 1 - Q1 Bonus]]+Table1[[#This Row],[TA 1 - Q2 Bonus]]+Table1[[#This Row],[TA 1 - Q4 Bonus]]</f>
        <v/>
      </c>
      <c r="R236">
        <f>Table1[[#This Row],[TA 2 - Q1 Score]]+Table1[[#This Row],[TA 2 - Q2 Score]]+Table1[[#This Row],[TA 2 - Q3 Score]]</f>
        <v/>
      </c>
      <c r="S236">
        <f>Table1[[#This Row],[TA 2 - Q1 Bonus]]+Table1[[#This Row],[TA 2 - Q2 Bonus]]+Table1[[#This Row],[TA 2 - Q4 Bonus]]</f>
        <v/>
      </c>
      <c r="T236">
        <f>(Table1[[#This Row],[TA 1 - Total Score (out of 35)]]+Table1[[#This Row],[TA 2 - Total Score (out of 35)]])/2</f>
        <v/>
      </c>
      <c r="U236">
        <f>(Table1[[#This Row],[TA 1 - Total Bonus (out of 13)]]+Table1[[#This Row],[TA 2 - Total Bonus (out of 13)]])/2</f>
        <v/>
      </c>
      <c r="V236">
        <f>Table1[[#This Row],[Average Questions]]/35*20+Table1[[#This Row],[Average Bonus]]/13*5</f>
        <v/>
      </c>
      <c r="W236" t="n">
        <v>8.5</v>
      </c>
      <c r="X236" t="n">
        <v>0</v>
      </c>
      <c r="Y236" t="inlineStr">
        <is>
          <t>The student completed most tasks correctly but made some minor mistakes. In Part 1, the transforms were mostly correct, but the batch size in DataLoaders was smaller than the reference solution. In Part 2, the model was loaded and adapted correctly, but all parameters were frozen instead of just the backbone. In Part 3, the training and validation loops were implemented correctly, and the label fix was applied. In Part 4, the training process ran correctly, and the plots were generated. However, the bonus task was not fully implemented correctly, as the averaging of predictions was done incorrectly.</t>
        </is>
      </c>
      <c r="Z236" t="n">
        <v>8</v>
      </c>
      <c r="AA236" t="n">
        <v>0</v>
      </c>
      <c r="AB236" t="inlineStr">
        <is>
          <t>The student successfully completed most tasks with minor issues. The data loading and preparation section had a correct transformation for the training set but missed resizing the test set to 32x32. The CNN model was built with 5 convolutional layers but did not include batch normalization, earning partial credit. The training and validation loops were implemented correctly, and the model was trained and plotted accurately. The bonus task was not attempted.</t>
        </is>
      </c>
      <c r="AC236" t="n">
        <v>4</v>
      </c>
      <c r="AD236" t="inlineStr">
        <is>
          <t>The student attempted most tasks but made significant errors. The dataset class has issues with variable names and missing metadata handling. DataLoaders were not correctly implemented, leading to undefined variables. The model class used the wrong number of output classes and an incorrect device specification. Training and validation loops had type mismatches and incorrect device usage. Loss plotting and visualization had issues due to undefined loaders and incorrect device handling.</t>
        </is>
      </c>
      <c r="AE236" t="n">
        <v>0</v>
      </c>
      <c r="AF236" t="n">
        <v>0</v>
      </c>
      <c r="AG236" t="inlineStr">
        <is>
          <t>No submission found.</t>
        </is>
      </c>
      <c r="AH236" t="n">
        <v>20.5</v>
      </c>
      <c r="AI236" t="n">
        <v>0</v>
      </c>
    </row>
    <row r="237">
      <c r="A237" t="n">
        <v>236</v>
      </c>
      <c r="B237" t="inlineStr">
        <is>
          <t>TA_5</t>
        </is>
      </c>
      <c r="C237" t="inlineStr">
        <is>
          <t>TA_15</t>
        </is>
      </c>
      <c r="D237" t="n">
        <v>12</v>
      </c>
      <c r="E237" t="n">
        <v>4</v>
      </c>
      <c r="F237" t="n">
        <v>11</v>
      </c>
      <c r="G237" t="n">
        <v>3</v>
      </c>
      <c r="H237" t="n">
        <v>12</v>
      </c>
      <c r="I237" t="n">
        <v>5</v>
      </c>
      <c r="J237" t="n">
        <v>12</v>
      </c>
      <c r="K237" t="n">
        <v>4</v>
      </c>
      <c r="L237" t="n">
        <v>11</v>
      </c>
      <c r="M237" t="n">
        <v>3</v>
      </c>
      <c r="N237" t="n">
        <v>12</v>
      </c>
      <c r="O237" t="n">
        <v>5</v>
      </c>
      <c r="P237">
        <f>Table1[[#This Row],[TA 1 - Q1 Score]]+Table1[[#This Row],[TA 1 - Q2 Score]]+Table1[[#This Row],[TA 1 - Q3 Score]]</f>
        <v/>
      </c>
      <c r="Q237">
        <f>Table1[[#This Row],[TA 1 - Q1 Bonus]]+Table1[[#This Row],[TA 1 - Q2 Bonus]]+Table1[[#This Row],[TA 1 - Q4 Bonus]]</f>
        <v/>
      </c>
      <c r="R237">
        <f>Table1[[#This Row],[TA 2 - Q1 Score]]+Table1[[#This Row],[TA 2 - Q2 Score]]+Table1[[#This Row],[TA 2 - Q3 Score]]</f>
        <v/>
      </c>
      <c r="S237">
        <f>Table1[[#This Row],[TA 2 - Q1 Bonus]]+Table1[[#This Row],[TA 2 - Q2 Bonus]]+Table1[[#This Row],[TA 2 - Q4 Bonus]]</f>
        <v/>
      </c>
      <c r="T237">
        <f>(Table1[[#This Row],[TA 1 - Total Score (out of 35)]]+Table1[[#This Row],[TA 2 - Total Score (out of 35)]])/2</f>
        <v/>
      </c>
      <c r="U237">
        <f>(Table1[[#This Row],[TA 1 - Total Bonus (out of 13)]]+Table1[[#This Row],[TA 2 - Total Bonus (out of 13)]])/2</f>
        <v/>
      </c>
      <c r="V237">
        <f>Table1[[#This Row],[Average Questions]]/35*20+Table1[[#This Row],[Average Bonus]]/13*5</f>
        <v/>
      </c>
      <c r="W237" t="n">
        <v>8.5</v>
      </c>
      <c r="X237" t="n">
        <v>3</v>
      </c>
      <c r="Y237" t="inlineStr">
        <is>
          <t>The student completed most tasks correctly. The data loading and preparation were accurate, including the necessary transformations and displaying sample images. The pretrained model was loaded and adapted properly, with the backbone frozen and the classifier head replaced. The training and validation loops were implemented correctly, with label adjustments made. However, the student used a subset of the dataset for training and validation, which is not aligned with the full dataset requirement. The bonus task for Test Time Augmentation was also correctly implemented.</t>
        </is>
      </c>
      <c r="Z237" t="n">
        <v>0</v>
      </c>
      <c r="AA237" t="n">
        <v>0</v>
      </c>
      <c r="AB237" t="inlineStr">
        <is>
          <t>The student did not provide any code for any of the tasks required in Question 2. Each cell from Cell 2 to Cell 6 is empty, indicating that no effort was made to load and prepare the data, build the CNN model, define training and validation functions, or perform the training process.</t>
        </is>
      </c>
      <c r="AC237" t="n">
        <v>8.5</v>
      </c>
      <c r="AD237" t="inlineStr">
        <is>
          <t>The student's submission demonstrates a good understanding of the tasks but contains some minor issues. Task 1 is mostly correct with a few improvements needed, such as normalizing images and handling masks more consistently. Task 2 correctly defines the U-Net model with the specified encoder. Task 3 has minor syntax issues in the training and validation loops. Task 4 runs but uses fewer epochs than required and does not plot the loss curve. Task 5 visualizes predictions effectively.</t>
        </is>
      </c>
      <c r="AE237" t="n">
        <v>0</v>
      </c>
      <c r="AF237" t="n">
        <v>5</v>
      </c>
      <c r="AG237" t="inlineStr">
        <is>
          <t>The student's implementation of the `ColorizationDataset` class is correct and runs perfectly, producing the expected output. The `__init__`, `__len__`, `rgb_to_grayscale`, and `__getitem__` methods are all implemented accurately. The visualization step also works as intended, showing both the grayscale and color images correctly. Therefore, the student receives full bonus points for this task.</t>
        </is>
      </c>
      <c r="AH237" t="n">
        <v>17</v>
      </c>
      <c r="AI237" t="n">
        <v>8</v>
      </c>
    </row>
    <row r="238">
      <c r="A238" t="n">
        <v>237</v>
      </c>
      <c r="B238" t="inlineStr">
        <is>
          <t>TA_5</t>
        </is>
      </c>
      <c r="C238" t="inlineStr">
        <is>
          <t>TA_15</t>
        </is>
      </c>
      <c r="D238" t="n">
        <v>12</v>
      </c>
      <c r="E238" t="n">
        <v>0</v>
      </c>
      <c r="F238" t="n">
        <v>11</v>
      </c>
      <c r="G238" t="n">
        <v>0</v>
      </c>
      <c r="H238" t="n">
        <v>12</v>
      </c>
      <c r="I238" t="n">
        <v>0</v>
      </c>
      <c r="J238" t="n">
        <v>12</v>
      </c>
      <c r="K238" t="n">
        <v>0</v>
      </c>
      <c r="L238" t="n">
        <v>11</v>
      </c>
      <c r="M238" t="n">
        <v>0</v>
      </c>
      <c r="N238" t="n">
        <v>12</v>
      </c>
      <c r="O238" t="n">
        <v>0</v>
      </c>
      <c r="P238">
        <f>Table1[[#This Row],[TA 1 - Q1 Score]]+Table1[[#This Row],[TA 1 - Q2 Score]]+Table1[[#This Row],[TA 1 - Q3 Score]]</f>
        <v/>
      </c>
      <c r="Q238">
        <f>Table1[[#This Row],[TA 1 - Q1 Bonus]]+Table1[[#This Row],[TA 1 - Q2 Bonus]]+Table1[[#This Row],[TA 1 - Q4 Bonus]]</f>
        <v/>
      </c>
      <c r="R238">
        <f>Table1[[#This Row],[TA 2 - Q1 Score]]+Table1[[#This Row],[TA 2 - Q2 Score]]+Table1[[#This Row],[TA 2 - Q3 Score]]</f>
        <v/>
      </c>
      <c r="S238">
        <f>Table1[[#This Row],[TA 2 - Q1 Bonus]]+Table1[[#This Row],[TA 2 - Q2 Bonus]]+Table1[[#This Row],[TA 2 - Q4 Bonus]]</f>
        <v/>
      </c>
      <c r="T238">
        <f>(Table1[[#This Row],[TA 1 - Total Score (out of 35)]]+Table1[[#This Row],[TA 2 - Total Score (out of 35)]])/2</f>
        <v/>
      </c>
      <c r="U238">
        <f>(Table1[[#This Row],[TA 1 - Total Bonus (out of 13)]]+Table1[[#This Row],[TA 2 - Total Bonus (out of 13)]])/2</f>
        <v/>
      </c>
      <c r="V238">
        <f>Table1[[#This Row],[Average Questions]]/35*20+Table1[[#This Row],[Average Bonus]]/13*5</f>
        <v/>
      </c>
      <c r="W238" t="n">
        <v>8</v>
      </c>
      <c r="X238" t="n">
        <v>0</v>
      </c>
      <c r="Y238" t="inlineStr">
        <is>
          <t>The student completed most tasks correctly but made some minor mistakes. The transforms were correctly defined, and the DataLoaders were set up properly. Sample images were displayed, though the visualization function was more complex than necessary. The pretrained EfficientNetV2-Small model was loaded and adapted correctly, with the backbone frozen and the classifier head replaced. The training and validation loops were implemented with correct logic, including label fixing. However, the plotting of accuracy included a formatting error, and the bonus task was not attempted.</t>
        </is>
      </c>
      <c r="Z238" t="n">
        <v>8.5</v>
      </c>
      <c r="AA238" t="n">
        <v>0</v>
      </c>
      <c r="AB238" t="inlineStr">
        <is>
          <t>The student successfully completed most tasks with minor issues. The dataset loading and preparation were done correctly with the specified transformations and sample image visualization. The CNN model was built with 5 convolutional layers and batch normalization, though the number of output channels in each layer differs from the reference solution. The training and validation loops were implemented correctly, and the model was trained and plotted accurately. However, the bonus task was not attempted.</t>
        </is>
      </c>
      <c r="AC238" t="n">
        <v>8.5</v>
      </c>
      <c r="AD238" t="inlineStr">
        <is>
          <t>The student's submission largely follows the reference solution but contains minor issues. Task 1 is mostly correct with a small mistake in the mask transformation (PILToTensor instead of ToTensor for masks). Task 2 correctly defines the U-Net model with the specified encoder. Task 3 implements training and validation loops accurately. Task 4 defines the loss and optimizer correctly, trains the model, prints losses, and plots the loss curve. Task 5 visualizes predictions but uses a different number of samples and slightly different plotting methods compared to the reference.</t>
        </is>
      </c>
      <c r="AE238" t="n">
        <v>0</v>
      </c>
      <c r="AF238" t="n">
        <v>0</v>
      </c>
      <c r="AG238" t="inlineStr">
        <is>
          <t>No submission found.</t>
        </is>
      </c>
      <c r="AH238" t="n">
        <v>25</v>
      </c>
      <c r="AI238" t="n">
        <v>0</v>
      </c>
    </row>
    <row r="239">
      <c r="A239" t="n">
        <v>238</v>
      </c>
      <c r="B239" t="inlineStr">
        <is>
          <t>TA_5</t>
        </is>
      </c>
      <c r="C239" t="inlineStr">
        <is>
          <t>TA_15</t>
        </is>
      </c>
      <c r="D239" t="n">
        <v>8.5</v>
      </c>
      <c r="E239" t="n">
        <v>0</v>
      </c>
      <c r="F239" t="n">
        <v>7</v>
      </c>
      <c r="G239" t="n">
        <v>0</v>
      </c>
      <c r="H239" t="n">
        <v>3.5</v>
      </c>
      <c r="I239" t="n">
        <v>0</v>
      </c>
      <c r="J239" t="n">
        <v>7.75</v>
      </c>
      <c r="K239" t="n">
        <v>0</v>
      </c>
      <c r="L239" t="n">
        <v>7.5</v>
      </c>
      <c r="M239" t="n">
        <v>0</v>
      </c>
      <c r="N239" t="n">
        <v>7.75</v>
      </c>
      <c r="O239" t="n">
        <v>0</v>
      </c>
      <c r="P239">
        <f>Table1[[#This Row],[TA 1 - Q1 Score]]+Table1[[#This Row],[TA 1 - Q2 Score]]+Table1[[#This Row],[TA 1 - Q3 Score]]</f>
        <v/>
      </c>
      <c r="Q239">
        <f>Table1[[#This Row],[TA 1 - Q1 Bonus]]+Table1[[#This Row],[TA 1 - Q2 Bonus]]+Table1[[#This Row],[TA 1 - Q4 Bonus]]</f>
        <v/>
      </c>
      <c r="R239">
        <f>Table1[[#This Row],[TA 2 - Q1 Score]]+Table1[[#This Row],[TA 2 - Q2 Score]]+Table1[[#This Row],[TA 2 - Q3 Score]]</f>
        <v/>
      </c>
      <c r="S239">
        <f>Table1[[#This Row],[TA 2 - Q1 Bonus]]+Table1[[#This Row],[TA 2 - Q2 Bonus]]+Table1[[#This Row],[TA 2 - Q4 Bonus]]</f>
        <v/>
      </c>
      <c r="T239">
        <f>(Table1[[#This Row],[TA 1 - Total Score (out of 35)]]+Table1[[#This Row],[TA 2 - Total Score (out of 35)]])/2</f>
        <v/>
      </c>
      <c r="U239">
        <f>(Table1[[#This Row],[TA 1 - Total Bonus (out of 13)]]+Table1[[#This Row],[TA 2 - Total Bonus (out of 13)]])/2</f>
        <v/>
      </c>
      <c r="V239">
        <f>Table1[[#This Row],[Average Questions]]/35*20+Table1[[#This Row],[Average Bonus]]/13*5</f>
        <v/>
      </c>
      <c r="W239" t="n">
        <v>8.5</v>
      </c>
      <c r="X239" t="n">
        <v>0</v>
      </c>
      <c r="Y239" t="inlineStr">
        <is>
          <t>The student completed most tasks correctly, including defining transforms, creating DataLoaders, loading and adapting the pretrained model, and implementing training and validation loops. However, there were minor issues such as incorrect label adjustment in the training loop, using a different optimizer and learning rate, and not displaying sample images. The bonus task was not attempted.</t>
        </is>
      </c>
      <c r="Z239" t="n">
        <v>6</v>
      </c>
      <c r="AA239" t="n">
        <v>0</v>
      </c>
      <c r="AB239" t="inlineStr">
        <is>
          <t>The student partially completed the tasks. They correctly set up the dataset paths and transformations, including resizing to 32x32 and random rotation. However, they used the wrong dataset class (EMNIST) initially and had some redundant imports. The CNN model was defined with 5 convolutional layers but with fewer filters compared to the reference solution. Batch normalization was not added. The training and validation loops were implemented correctly, though the student used softmax in the loops unnecessarily. The model was trained for 5 epochs instead of 10. No bonus task was attempted.</t>
        </is>
      </c>
      <c r="AC239" t="n">
        <v>5</v>
      </c>
      <c r="AD239" t="inlineStr">
        <is>
          <t>The student attempted most tasks but made several mistakes. The dataset class and DataLoader creation were partially correct but lacked proper implementation details. The model definition used the correct architecture but had minor issues. Training and validation loops were mostly correct but had syntax errors. The visualization of predictions contained logical errors, particularly in handling multi-class segmentation.</t>
        </is>
      </c>
      <c r="AE239" t="n">
        <v>0</v>
      </c>
      <c r="AF239" t="n">
        <v>0</v>
      </c>
      <c r="AG239" t="inlineStr">
        <is>
          <t>No submission found.</t>
        </is>
      </c>
      <c r="AH239" t="n">
        <v>19.5</v>
      </c>
      <c r="AI239" t="n">
        <v>0</v>
      </c>
    </row>
    <row r="240">
      <c r="A240" t="n">
        <v>239</v>
      </c>
      <c r="B240" t="inlineStr">
        <is>
          <t>TA_5</t>
        </is>
      </c>
      <c r="C240" t="inlineStr">
        <is>
          <t>TA_15</t>
        </is>
      </c>
      <c r="D240" t="n">
        <v>11</v>
      </c>
      <c r="E240" t="n">
        <v>2</v>
      </c>
      <c r="F240" t="n">
        <v>11</v>
      </c>
      <c r="G240" t="n">
        <v>4</v>
      </c>
      <c r="H240" t="n">
        <v>7.5</v>
      </c>
      <c r="I240" t="n">
        <v>5</v>
      </c>
      <c r="J240" t="n">
        <v>9.25</v>
      </c>
      <c r="K240" t="n">
        <v>0</v>
      </c>
      <c r="L240" t="n">
        <v>10.5</v>
      </c>
      <c r="M240" t="n">
        <v>4</v>
      </c>
      <c r="N240" t="n">
        <v>6.75</v>
      </c>
      <c r="O240" t="n">
        <v>5</v>
      </c>
      <c r="P240">
        <f>Table1[[#This Row],[TA 1 - Q1 Score]]+Table1[[#This Row],[TA 1 - Q2 Score]]+Table1[[#This Row],[TA 1 - Q3 Score]]</f>
        <v/>
      </c>
      <c r="Q240">
        <f>Table1[[#This Row],[TA 1 - Q1 Bonus]]+Table1[[#This Row],[TA 1 - Q2 Bonus]]+Table1[[#This Row],[TA 1 - Q4 Bonus]]</f>
        <v/>
      </c>
      <c r="R240">
        <f>Table1[[#This Row],[TA 2 - Q1 Score]]+Table1[[#This Row],[TA 2 - Q2 Score]]+Table1[[#This Row],[TA 2 - Q3 Score]]</f>
        <v/>
      </c>
      <c r="S240">
        <f>Table1[[#This Row],[TA 2 - Q1 Bonus]]+Table1[[#This Row],[TA 2 - Q2 Bonus]]+Table1[[#This Row],[TA 2 - Q4 Bonus]]</f>
        <v/>
      </c>
      <c r="T240">
        <f>(Table1[[#This Row],[TA 1 - Total Score (out of 35)]]+Table1[[#This Row],[TA 2 - Total Score (out of 35)]])/2</f>
        <v/>
      </c>
      <c r="U240">
        <f>(Table1[[#This Row],[TA 1 - Total Bonus (out of 13)]]+Table1[[#This Row],[TA 2 - Total Bonus (out of 13)]])/2</f>
        <v/>
      </c>
      <c r="V240">
        <f>Table1[[#This Row],[Average Questions]]/35*20+Table1[[#This Row],[Average Bonus]]/13*5</f>
        <v/>
      </c>
      <c r="W240" t="n">
        <v>7</v>
      </c>
      <c r="X240" t="n">
        <v>0</v>
      </c>
      <c r="Y240" t="inlineStr">
        <is>
          <t>The student completed most tasks with minor issues. The data loading and preparation were mostly correct, but the batch size was smaller than the reference solution. The model loading and adaptation were partially correct, but the student froze all parameters instead of just the backbone. The training and validation loops were implemented correctly, including the label fix. However, the number of epochs and learning rate were reduced due to resource constraints. The bonus task was attempted but incorrectly implemented, as the validation function did not properly handle the three image versions and their predictions.</t>
        </is>
      </c>
      <c r="Z240" t="n">
        <v>7</v>
      </c>
      <c r="AA240" t="n">
        <v>0</v>
      </c>
      <c r="AB240" t="inlineStr">
        <is>
          <t>The student implemented a custom dataset class and used DataLoader correctly, achieving full marks for Part 1. The CNN model has 5 convolutional layers with batch normalization, earning full marks for Part 2. The training and validation loops are implemented, though the student used softmax in the loops, which is unnecessary with CrossEntropyLoss, resulting in partial credit for Part 3. The model was trained and plotted, but the number of epochs was reduced to 4, affecting the performance, still earning full marks for Part 4. No bonus task was attempted.</t>
        </is>
      </c>
      <c r="AC240" t="n">
        <v>4</v>
      </c>
      <c r="AD240" t="inlineStr">
        <is>
          <t>The student attempted most tasks but made significant errors. In Task 1, the dataset class has issues with indexing and does not correctly implement the remapping of mask values. The DataLoader creation and sample display are partially correct. In Task 2, the correct model is used but the device is set to CPU instead of GPU. In Task 3, the training and validation loops contain logical errors, particularly in handling mask data types. In Task 4, the loss function is incorrectly chosen (BCEWithLogitsLoss for multi-class segmentation) and the remapping of mask values is commented out. Task 5 is incomplete.</t>
        </is>
      </c>
      <c r="AE240" t="n">
        <v>0</v>
      </c>
      <c r="AF240" t="n">
        <v>0</v>
      </c>
      <c r="AG240" t="inlineStr">
        <is>
          <t>The student's implementation contains several errors in the `rgb_to_grayscale` method, where the grayscale calculation is incorrectly assigned to the variable `G` instead of a new variable `gray`. Additionally, the student did not handle the case where the input image already has the correct shape, leading to potential issues. Despite these errors, the student attempted the task and provided code for all required methods.</t>
        </is>
      </c>
      <c r="AH240" t="n">
        <v>18</v>
      </c>
      <c r="AI240" t="n">
        <v>0</v>
      </c>
    </row>
    <row r="241">
      <c r="A241" t="n">
        <v>240</v>
      </c>
      <c r="B241" t="inlineStr">
        <is>
          <t>TA_5</t>
        </is>
      </c>
      <c r="C241" t="inlineStr">
        <is>
          <t>TA_15</t>
        </is>
      </c>
      <c r="D241" t="n">
        <v>6.5</v>
      </c>
      <c r="E241" t="n">
        <v>0</v>
      </c>
      <c r="F241" t="n">
        <v>8.5</v>
      </c>
      <c r="G241" t="n">
        <v>0</v>
      </c>
      <c r="H241" t="n">
        <v>12</v>
      </c>
      <c r="I241" t="n">
        <v>0</v>
      </c>
      <c r="J241" t="n">
        <v>6.5</v>
      </c>
      <c r="K241" t="n">
        <v>0</v>
      </c>
      <c r="L241" t="n">
        <v>10.5</v>
      </c>
      <c r="M241" t="n">
        <v>0</v>
      </c>
      <c r="N241" t="n">
        <v>12</v>
      </c>
      <c r="O241" t="n">
        <v>0</v>
      </c>
      <c r="P241">
        <f>Table1[[#This Row],[TA 1 - Q1 Score]]+Table1[[#This Row],[TA 1 - Q2 Score]]+Table1[[#This Row],[TA 1 - Q3 Score]]</f>
        <v/>
      </c>
      <c r="Q241">
        <f>Table1[[#This Row],[TA 1 - Q1 Bonus]]+Table1[[#This Row],[TA 1 - Q2 Bonus]]+Table1[[#This Row],[TA 1 - Q4 Bonus]]</f>
        <v/>
      </c>
      <c r="R241">
        <f>Table1[[#This Row],[TA 2 - Q1 Score]]+Table1[[#This Row],[TA 2 - Q2 Score]]+Table1[[#This Row],[TA 2 - Q3 Score]]</f>
        <v/>
      </c>
      <c r="S241">
        <f>Table1[[#This Row],[TA 2 - Q1 Bonus]]+Table1[[#This Row],[TA 2 - Q2 Bonus]]+Table1[[#This Row],[TA 2 - Q4 Bonus]]</f>
        <v/>
      </c>
      <c r="T241">
        <f>(Table1[[#This Row],[TA 1 - Total Score (out of 35)]]+Table1[[#This Row],[TA 2 - Total Score (out of 35)]])/2</f>
        <v/>
      </c>
      <c r="U241">
        <f>(Table1[[#This Row],[TA 1 - Total Bonus (out of 13)]]+Table1[[#This Row],[TA 2 - Total Bonus (out of 13)]])/2</f>
        <v/>
      </c>
      <c r="V241">
        <f>Table1[[#This Row],[Average Questions]]/35*20+Table1[[#This Row],[Average Bonus]]/13*5</f>
        <v/>
      </c>
      <c r="W241" t="n">
        <v>5</v>
      </c>
      <c r="X241" t="n">
        <v>0</v>
      </c>
      <c r="Y241" t="inlineStr">
        <is>
          <t>The student partially completed several tasks but made significant errors. The resize transformation was incorrectly set to 224x224 instead of 28x28. The SubtractOne class was used to adjust labels, which is not necessary as the labels were already adjusted in the training and validation loops. The DataLoader creation was correct but with a different batch size. The model loading and freezing were mostly correct, but the classifier head was incorrectly set to 27 classes instead of 26. The training and validation loops were implemented but contained unnecessary softmax operations. The plots were correctly generated, but the bonus task was not attempted.</t>
        </is>
      </c>
      <c r="Z241" t="n">
        <v>8</v>
      </c>
      <c r="AA241" t="n">
        <v>0</v>
      </c>
      <c r="AB241" t="inlineStr">
        <is>
          <t>The student successfully loaded and prepared the data, including creating a custom dataset class, applying transformations, and displaying sample images. The CNN model was built with five convolutional layers and batch normalization, though the number of filters was less than in the reference solution. Training and validation functions were implemented correctly, and the model was trained and plotted. However, the student did not attempt the bonus task of adding a residual connection.</t>
        </is>
      </c>
      <c r="AC241" t="n">
        <v>8.5</v>
      </c>
      <c r="AD241" t="inlineStr">
        <is>
          <t>The student's submission demonstrates a good understanding of the tasks but contains some minor issues. Task 1 is mostly correct with proper dataset splitting and transformations, though the mask transformation should use NEAREST interpolation. Task 2 correctly defines the U-Net model with the specified encoder. Task 3 includes both training and validation loops with minor syntax issues. Task 4 defines the loss and optimizer correctly, trains the model, prints losses, and plots the loss curve, albeit for fewer epochs. Task 5 visualizes predictions but uses grayscale for masks instead of a colormap. Overall, the submission is functional with some room for improvement.</t>
        </is>
      </c>
      <c r="AE241" t="n">
        <v>0</v>
      </c>
      <c r="AF241" t="n">
        <v>0</v>
      </c>
      <c r="AG241" t="inlineStr">
        <is>
          <t>The student's implementation contains several errors. In the `rgb_to_grayscale` method, the function incorrectly returns both the original image and the grayscale image, instead of just the grayscale image. Additionally, the `__getitem__` method incorrectly assigns the color image to `img` instead of `color_img`, leading to incorrect data being returned. These issues prevent the code from running correctly and producing the expected output.</t>
        </is>
      </c>
      <c r="AH241" t="n">
        <v>21.5</v>
      </c>
      <c r="AI241" t="n">
        <v>0</v>
      </c>
    </row>
    <row r="242">
      <c r="A242" t="n">
        <v>241</v>
      </c>
      <c r="B242" t="inlineStr">
        <is>
          <t>TA_5</t>
        </is>
      </c>
      <c r="C242" t="inlineStr">
        <is>
          <t>TA_15</t>
        </is>
      </c>
      <c r="D242" t="n">
        <v>6.5</v>
      </c>
      <c r="E242" t="n">
        <v>0</v>
      </c>
      <c r="F242" t="n">
        <v>6.25</v>
      </c>
      <c r="G242" t="n">
        <v>0</v>
      </c>
      <c r="H242" t="n">
        <v>6</v>
      </c>
      <c r="I242" t="n">
        <v>0</v>
      </c>
      <c r="J242" t="n">
        <v>7.5</v>
      </c>
      <c r="K242" t="n">
        <v>0</v>
      </c>
      <c r="L242" t="n">
        <v>8.25</v>
      </c>
      <c r="M242" t="n">
        <v>0</v>
      </c>
      <c r="N242" t="n">
        <v>5</v>
      </c>
      <c r="O242" t="n">
        <v>0</v>
      </c>
      <c r="P242">
        <f>Table1[[#This Row],[TA 1 - Q1 Score]]+Table1[[#This Row],[TA 1 - Q2 Score]]+Table1[[#This Row],[TA 1 - Q3 Score]]</f>
        <v/>
      </c>
      <c r="Q242">
        <f>Table1[[#This Row],[TA 1 - Q1 Bonus]]+Table1[[#This Row],[TA 1 - Q2 Bonus]]+Table1[[#This Row],[TA 1 - Q4 Bonus]]</f>
        <v/>
      </c>
      <c r="R242">
        <f>Table1[[#This Row],[TA 2 - Q1 Score]]+Table1[[#This Row],[TA 2 - Q2 Score]]+Table1[[#This Row],[TA 2 - Q3 Score]]</f>
        <v/>
      </c>
      <c r="S242">
        <f>Table1[[#This Row],[TA 2 - Q1 Bonus]]+Table1[[#This Row],[TA 2 - Q2 Bonus]]+Table1[[#This Row],[TA 2 - Q4 Bonus]]</f>
        <v/>
      </c>
      <c r="T242">
        <f>(Table1[[#This Row],[TA 1 - Total Score (out of 35)]]+Table1[[#This Row],[TA 2 - Total Score (out of 35)]])/2</f>
        <v/>
      </c>
      <c r="U242">
        <f>(Table1[[#This Row],[TA 1 - Total Bonus (out of 13)]]+Table1[[#This Row],[TA 2 - Total Bonus (out of 13)]])/2</f>
        <v/>
      </c>
      <c r="V242">
        <f>Table1[[#This Row],[Average Questions]]/35*20+Table1[[#This Row],[Average Bonus]]/13*5</f>
        <v/>
      </c>
      <c r="W242" t="n">
        <v>5</v>
      </c>
      <c r="X242" t="n">
        <v>0</v>
      </c>
      <c r="Y242" t="inlineStr">
        <is>
          <t>The student completed the data loading and transformation tasks correctly, including resizing, converting to tensor, and normalizing the images. However, the DataLoader batch size was set too small (26), which may affect performance. The model loading and adaptation were partially correct, but the student used the wrong model variant (efficientnet_v2_m instead of efficientnet_v2_s) and incorrectly froze the entire model instead of just the backbone. The training and validation loops had logical errors, such as using sigmoid activation and binary thresholding for a multi-class classification problem. The plotting of losses and accuracies was not implemented, and no bonus task was attempted.</t>
        </is>
      </c>
      <c r="Z242" t="n">
        <v>7</v>
      </c>
      <c r="AA242" t="n">
        <v>0</v>
      </c>
      <c r="AB242" t="inlineStr">
        <is>
          <t>The student partially completed the tasks. They correctly set up the dataset with appropriate transformations and created DataLoaders. However, they used a different image size (64x64) instead of 32x32, and included additional transformations like ColorJitter and Normalize. The CNN model has 5 convolutional layers but does not include Batch Normalization. The training and validation loops are implemented correctly, and the student visualized sample images. The bonus task was not attempted.</t>
        </is>
      </c>
      <c r="AC242" t="n">
        <v>3</v>
      </c>
      <c r="AD242" t="inlineStr">
        <is>
          <t>The student attempted most tasks but made significant errors. The dataset class was partially implemented with incorrect paths and transformations, leading to potential issues. The model class used binary segmentation instead of multi-class, which is incorrect for the task. The training and validation loops were attempted but used BCEWithLogitsLoss, suitable for binary segmentation. The training process ran for only 3 epochs, which is insufficient. Visualization was not attempted.</t>
        </is>
      </c>
      <c r="AE242" t="n">
        <v>0</v>
      </c>
      <c r="AF242" t="n">
        <v>0</v>
      </c>
      <c r="AG242" t="inlineStr">
        <is>
          <t>No submission found.</t>
        </is>
      </c>
      <c r="AH242" t="n">
        <v>15</v>
      </c>
      <c r="AI242" t="n">
        <v>0</v>
      </c>
    </row>
    <row r="243">
      <c r="A243" t="n">
        <v>242</v>
      </c>
      <c r="B243" t="inlineStr">
        <is>
          <t>TA_5</t>
        </is>
      </c>
      <c r="C243" t="inlineStr">
        <is>
          <t>TA_15</t>
        </is>
      </c>
      <c r="D243" t="n">
        <v>10.5</v>
      </c>
      <c r="E243" t="n">
        <v>4</v>
      </c>
      <c r="F243" t="n">
        <v>11</v>
      </c>
      <c r="G243" t="n">
        <v>2</v>
      </c>
      <c r="H243" t="n">
        <v>12</v>
      </c>
      <c r="I243" t="n">
        <v>0</v>
      </c>
      <c r="J243" t="n">
        <v>10</v>
      </c>
      <c r="K243" t="n">
        <v>2</v>
      </c>
      <c r="L243" t="n">
        <v>9.75</v>
      </c>
      <c r="M243" t="n">
        <v>1</v>
      </c>
      <c r="N243" t="n">
        <v>12</v>
      </c>
      <c r="O243" t="n">
        <v>0</v>
      </c>
      <c r="P243">
        <f>Table1[[#This Row],[TA 1 - Q1 Score]]+Table1[[#This Row],[TA 1 - Q2 Score]]+Table1[[#This Row],[TA 1 - Q3 Score]]</f>
        <v/>
      </c>
      <c r="Q243">
        <f>Table1[[#This Row],[TA 1 - Q1 Bonus]]+Table1[[#This Row],[TA 1 - Q2 Bonus]]+Table1[[#This Row],[TA 1 - Q4 Bonus]]</f>
        <v/>
      </c>
      <c r="R243">
        <f>Table1[[#This Row],[TA 2 - Q1 Score]]+Table1[[#This Row],[TA 2 - Q2 Score]]+Table1[[#This Row],[TA 2 - Q3 Score]]</f>
        <v/>
      </c>
      <c r="S243">
        <f>Table1[[#This Row],[TA 2 - Q1 Bonus]]+Table1[[#This Row],[TA 2 - Q2 Bonus]]+Table1[[#This Row],[TA 2 - Q4 Bonus]]</f>
        <v/>
      </c>
      <c r="T243">
        <f>(Table1[[#This Row],[TA 1 - Total Score (out of 35)]]+Table1[[#This Row],[TA 2 - Total Score (out of 35)]])/2</f>
        <v/>
      </c>
      <c r="U243">
        <f>(Table1[[#This Row],[TA 1 - Total Bonus (out of 13)]]+Table1[[#This Row],[TA 2 - Total Bonus (out of 13)]])/2</f>
        <v/>
      </c>
      <c r="V243">
        <f>Table1[[#This Row],[Average Questions]]/35*20+Table1[[#This Row],[Average Bonus]]/13*5</f>
        <v/>
      </c>
      <c r="W243" t="n">
        <v>7</v>
      </c>
      <c r="X243" t="n">
        <v>0</v>
      </c>
      <c r="Y243" t="inlineStr">
        <is>
          <t>The student completed most tasks with minor issues. The data loading and preparation were mostly correct, but the transform pipeline incorrectly included a custom SubtractOne module, which is unnecessary. DataLoaders were created correctly, and sample images were displayed. The pretrained model was loaded and adapted properly, with the backbone frozen and the classifier replaced. Training and validation loops were implemented with correct logic, but the student used softmax and argmax unnecessarily. The bonus task for Test Time Augmentation was not correctly implemented, as the predictions were averaged incorrectly and the loss calculation was flawed.</t>
        </is>
      </c>
      <c r="Z243" t="n">
        <v>7</v>
      </c>
      <c r="AA243" t="n">
        <v>0</v>
      </c>
      <c r="AB243" t="inlineStr">
        <is>
          <t>The student successfully loaded and prepared the data with the correct transformations and displayed sample images. However, the CNN model had incorrect layer sizes and lacked batch normalization, resulting in partial credit. The training and validation functions were mostly correct but included unnecessary softmax operations. The model was trained and plotted, but no residual connection was implemented, so no bonus points were awarded.</t>
        </is>
      </c>
      <c r="AC243" t="n">
        <v>10</v>
      </c>
      <c r="AD243" t="inlineStr">
        <is>
          <t>The student's submission is mostly correct and runs end-to-end. The dataset class is implemented correctly with proper data loading and transformations. DataLoaders are created and used appropriately. Sample images and masks are displayed correctly. The U-Net model with efficientnet-b1 encoder is defined as instructed. Training and validation loops are implemented with minor issues, such as the use of AdamW optimizer instead of Adam, which does not affect correctness. Losses are printed and plotted correctly. Predictions are visualized against ground truth masks. The only discrepancy is the use of a different dataset path format, but this does not impact functionality.</t>
        </is>
      </c>
      <c r="AE243" t="n">
        <v>0</v>
      </c>
      <c r="AF243" t="n">
        <v>0</v>
      </c>
      <c r="AG243" t="inlineStr">
        <is>
          <t>The student's implementation contains several errors in the `rgb_to_grayscale` method and the `__getitem__` method. In `rgb_to_grayscale`, the grayscale conversion formula is incorrectly applied, and the method returns the original image instead of the converted grayscale image. In `__getitem__`, the color image is not correctly extracted from the dataset, leading to incorrect shapes and types being returned. These errors prevent the code from running correctly and producing the expected output.</t>
        </is>
      </c>
      <c r="AH243" t="n">
        <v>24</v>
      </c>
      <c r="AI243" t="n">
        <v>0</v>
      </c>
    </row>
    <row r="244">
      <c r="A244" t="n">
        <v>243</v>
      </c>
      <c r="B244" t="inlineStr">
        <is>
          <t>TA_5</t>
        </is>
      </c>
      <c r="C244" t="inlineStr">
        <is>
          <t>TA_15</t>
        </is>
      </c>
      <c r="D244" t="n">
        <v>11</v>
      </c>
      <c r="E244" t="n">
        <v>3</v>
      </c>
      <c r="F244" t="n">
        <v>11</v>
      </c>
      <c r="G244" t="n">
        <v>1</v>
      </c>
      <c r="H244" t="n">
        <v>8</v>
      </c>
      <c r="I244" t="n">
        <v>0</v>
      </c>
      <c r="J244" t="n">
        <v>10.5</v>
      </c>
      <c r="K244" t="n">
        <v>2</v>
      </c>
      <c r="L244" t="n">
        <v>11</v>
      </c>
      <c r="M244" t="n">
        <v>1</v>
      </c>
      <c r="N244" t="n">
        <v>11</v>
      </c>
      <c r="O244" t="n">
        <v>0</v>
      </c>
      <c r="P244">
        <f>Table1[[#This Row],[TA 1 - Q1 Score]]+Table1[[#This Row],[TA 1 - Q2 Score]]+Table1[[#This Row],[TA 1 - Q3 Score]]</f>
        <v/>
      </c>
      <c r="Q244">
        <f>Table1[[#This Row],[TA 1 - Q1 Bonus]]+Table1[[#This Row],[TA 1 - Q2 Bonus]]+Table1[[#This Row],[TA 1 - Q4 Bonus]]</f>
        <v/>
      </c>
      <c r="R244">
        <f>Table1[[#This Row],[TA 2 - Q1 Score]]+Table1[[#This Row],[TA 2 - Q2 Score]]+Table1[[#This Row],[TA 2 - Q3 Score]]</f>
        <v/>
      </c>
      <c r="S244">
        <f>Table1[[#This Row],[TA 2 - Q1 Bonus]]+Table1[[#This Row],[TA 2 - Q2 Bonus]]+Table1[[#This Row],[TA 2 - Q4 Bonus]]</f>
        <v/>
      </c>
      <c r="T244">
        <f>(Table1[[#This Row],[TA 1 - Total Score (out of 35)]]+Table1[[#This Row],[TA 2 - Total Score (out of 35)]])/2</f>
        <v/>
      </c>
      <c r="U244">
        <f>(Table1[[#This Row],[TA 1 - Total Bonus (out of 13)]]+Table1[[#This Row],[TA 2 - Total Bonus (out of 13)]])/2</f>
        <v/>
      </c>
      <c r="V244">
        <f>Table1[[#This Row],[Average Questions]]/35*20+Table1[[#This Row],[Average Bonus]]/13*5</f>
        <v/>
      </c>
      <c r="W244" t="n">
        <v>6</v>
      </c>
      <c r="X244" t="n">
        <v>0</v>
      </c>
      <c r="Y244" t="inlineStr">
        <is>
          <t>The student completed the data loading and preparation, including resizing, converting to tensor, and normalizing images. However, there were issues in displaying sample images, where the code attempted to show images but had redundant imshow calls and incorrect title setting. The model loading and adaptation were mostly correct, but the student froze the entire model instead of just the backbone. The training and validation loops were implemented with some syntax errors, particularly in the validation loop where the outputs were incorrectly squeezed and averaged. The bonus task was not attempted correctly, with issues in averaging predictions.</t>
        </is>
      </c>
      <c r="Z244" t="n">
        <v>5</v>
      </c>
      <c r="AA244" t="n">
        <v>0</v>
      </c>
      <c r="AB244" t="inlineStr">
        <is>
          <t>The student attempted all base tasks but made several mistakes. In Part 1, the train and test directories were incorrectly swapped, and normalization values were not appropriate for the dataset. In Part 2, the CNN model did not follow the specified architecture with 5 convolutional layers and batch normalization. Instead, it used a different configuration with more layers and incorrect dimensions. In Part 3, the training and validation functions were mostly correct but included unnecessary softmax operations. In Part 4, the model was trained with an excessively low learning rate and fewer epochs, affecting performance. No bonus task was attempted.</t>
        </is>
      </c>
      <c r="AC244" t="n">
        <v>5</v>
      </c>
      <c r="AD244" t="inlineStr">
        <is>
          <t>The student's submission partially completes several tasks but contains significant errors. Task 1 is mostly correct with a proper dataset class and DataLoader setup, but the image and mask paths are hardcoded and not dynamically derived from the downloaded dataset path. Task 2 incorrectly defines the U-Net model with 'efficientnet-b1' and sets the number of classes to 1 instead of 8. Task 3 has syntax errors in the training and validation loops, converting masks to float instead of long. Task 4 uses BCEWithLogitsLoss instead of CrossEntropyLoss, and Task 5 visualizes predictions incorrectly, treating the output as binary instead of multi-class.</t>
        </is>
      </c>
      <c r="AE244" t="n">
        <v>0</v>
      </c>
      <c r="AF244" t="n">
        <v>0</v>
      </c>
      <c r="AG244" t="inlineStr">
        <is>
          <t>No submission found.</t>
        </is>
      </c>
      <c r="AH244" t="n">
        <v>16</v>
      </c>
      <c r="AI244" t="n">
        <v>0</v>
      </c>
    </row>
    <row r="245">
      <c r="A245" t="n">
        <v>244</v>
      </c>
      <c r="B245" t="inlineStr">
        <is>
          <t>TA_5</t>
        </is>
      </c>
      <c r="C245" t="inlineStr">
        <is>
          <t>TA_15</t>
        </is>
      </c>
      <c r="D245" t="n">
        <v>1.5</v>
      </c>
      <c r="E245" t="n">
        <v>0</v>
      </c>
      <c r="F245" t="n">
        <v>1.5</v>
      </c>
      <c r="G245" t="n">
        <v>0</v>
      </c>
      <c r="H245" t="n">
        <v>0</v>
      </c>
      <c r="I245" t="n">
        <v>0</v>
      </c>
      <c r="J245" t="n">
        <v>3.5</v>
      </c>
      <c r="K245" t="n">
        <v>0</v>
      </c>
      <c r="L245" t="n">
        <v>2</v>
      </c>
      <c r="M245" t="n">
        <v>0</v>
      </c>
      <c r="N245" t="n">
        <v>5</v>
      </c>
      <c r="O245" t="n">
        <v>0</v>
      </c>
      <c r="P245">
        <f>Table1[[#This Row],[TA 1 - Q1 Score]]+Table1[[#This Row],[TA 1 - Q2 Score]]+Table1[[#This Row],[TA 1 - Q3 Score]]</f>
        <v/>
      </c>
      <c r="Q245">
        <f>Table1[[#This Row],[TA 1 - Q1 Bonus]]+Table1[[#This Row],[TA 1 - Q2 Bonus]]+Table1[[#This Row],[TA 1 - Q4 Bonus]]</f>
        <v/>
      </c>
      <c r="R245">
        <f>Table1[[#This Row],[TA 2 - Q1 Score]]+Table1[[#This Row],[TA 2 - Q2 Score]]+Table1[[#This Row],[TA 2 - Q3 Score]]</f>
        <v/>
      </c>
      <c r="S245">
        <f>Table1[[#This Row],[TA 2 - Q1 Bonus]]+Table1[[#This Row],[TA 2 - Q2 Bonus]]+Table1[[#This Row],[TA 2 - Q4 Bonus]]</f>
        <v/>
      </c>
      <c r="T245">
        <f>(Table1[[#This Row],[TA 1 - Total Score (out of 35)]]+Table1[[#This Row],[TA 2 - Total Score (out of 35)]])/2</f>
        <v/>
      </c>
      <c r="U245">
        <f>(Table1[[#This Row],[TA 1 - Total Bonus (out of 13)]]+Table1[[#This Row],[TA 2 - Total Bonus (out of 13)]])/2</f>
        <v/>
      </c>
      <c r="V245">
        <f>Table1[[#This Row],[Average Questions]]/35*20+Table1[[#This Row],[Average Bonus]]/13*5</f>
        <v/>
      </c>
      <c r="W245" t="n">
        <v>2</v>
      </c>
      <c r="X245" t="n">
        <v>0</v>
      </c>
      <c r="Y245" t="inlineStr">
        <is>
          <t>The student partially completed the tasks but made several mistakes. In Part 1, the transforms were mostly correct, but the DataLoader batch size was smaller than the reference. Sample images were displayed, but the indices were hardcoded. In Part 2, the student loaded the wrong model (EfficientNet-B0 instead of EfficientNetV2-Small) and incorrectly set the number of classes to 25. In Part 3, the training and validation loops were incorrect, using BCEWithLogitsLoss and sigmoid activation, which are inappropriate for multi-class classification. No bonus tasks were attempted.</t>
        </is>
      </c>
      <c r="Z245" t="n">
        <v>1</v>
      </c>
      <c r="AA245" t="n">
        <v>0</v>
      </c>
      <c r="AB245" t="inlineStr">
        <is>
          <t>The student attempted to load and prepare the data but made several mistakes. The dataset class is partially implemented with incorrect file paths and missing imports. The DataLoader setup is incorrect due to the dataset class issues. No code was provided for the CNN model, training and validation functions, or the training process. The bonus task was not attempted.</t>
        </is>
      </c>
      <c r="AC245" t="n">
        <v>2</v>
      </c>
      <c r="AD245" t="inlineStr">
        <is>
          <t>The student attempted Task 1 by defining image and mask transformations and creating DataLoaders, but used the EMNIST dataset instead of the specified underwater imagery dataset. Task 2 was partially completed with a custom U-Net implementation, but the model was incorrectly set up for 3 output classes instead of 8. Tasks 3, 4, and 5 were not fully executed due to the incorrect dataset and model setup, resulting in incomplete or incorrect code.</t>
        </is>
      </c>
      <c r="AE245" t="n">
        <v>0</v>
      </c>
      <c r="AF245" t="n">
        <v>0</v>
      </c>
      <c r="AG245" t="inlineStr">
        <is>
          <t>No submission found.</t>
        </is>
      </c>
      <c r="AH245" t="n">
        <v>5</v>
      </c>
      <c r="AI245" t="n">
        <v>0</v>
      </c>
    </row>
    <row r="246">
      <c r="A246" t="n">
        <v>245</v>
      </c>
      <c r="B246" t="inlineStr">
        <is>
          <t>TA_5</t>
        </is>
      </c>
      <c r="C246" t="inlineStr">
        <is>
          <t>TA_15</t>
        </is>
      </c>
      <c r="D246" t="n">
        <v>9.5</v>
      </c>
      <c r="E246" t="n">
        <v>0</v>
      </c>
      <c r="F246" t="n">
        <v>11</v>
      </c>
      <c r="G246" t="n">
        <v>0</v>
      </c>
      <c r="H246" t="n">
        <v>6</v>
      </c>
      <c r="I246" t="n">
        <v>0</v>
      </c>
      <c r="J246" t="n">
        <v>10</v>
      </c>
      <c r="K246" t="n">
        <v>0</v>
      </c>
      <c r="L246" t="n">
        <v>11</v>
      </c>
      <c r="M246" t="n">
        <v>0</v>
      </c>
      <c r="N246" t="n">
        <v>7.5</v>
      </c>
      <c r="O246" t="n">
        <v>0</v>
      </c>
      <c r="P246">
        <f>Table1[[#This Row],[TA 1 - Q1 Score]]+Table1[[#This Row],[TA 1 - Q2 Score]]+Table1[[#This Row],[TA 1 - Q3 Score]]</f>
        <v/>
      </c>
      <c r="Q246">
        <f>Table1[[#This Row],[TA 1 - Q1 Bonus]]+Table1[[#This Row],[TA 1 - Q2 Bonus]]+Table1[[#This Row],[TA 1 - Q4 Bonus]]</f>
        <v/>
      </c>
      <c r="R246">
        <f>Table1[[#This Row],[TA 2 - Q1 Score]]+Table1[[#This Row],[TA 2 - Q2 Score]]+Table1[[#This Row],[TA 2 - Q3 Score]]</f>
        <v/>
      </c>
      <c r="S246">
        <f>Table1[[#This Row],[TA 2 - Q1 Bonus]]+Table1[[#This Row],[TA 2 - Q2 Bonus]]+Table1[[#This Row],[TA 2 - Q4 Bonus]]</f>
        <v/>
      </c>
      <c r="T246">
        <f>(Table1[[#This Row],[TA 1 - Total Score (out of 35)]]+Table1[[#This Row],[TA 2 - Total Score (out of 35)]])/2</f>
        <v/>
      </c>
      <c r="U246">
        <f>(Table1[[#This Row],[TA 1 - Total Bonus (out of 13)]]+Table1[[#This Row],[TA 2 - Total Bonus (out of 13)]])/2</f>
        <v/>
      </c>
      <c r="V246">
        <f>Table1[[#This Row],[Average Questions]]/35*20+Table1[[#This Row],[Average Bonus]]/13*5</f>
        <v/>
      </c>
      <c r="W246" t="n">
        <v>6</v>
      </c>
      <c r="X246" t="n">
        <v>0</v>
      </c>
      <c r="Y246" t="inlineStr">
        <is>
          <t>The student completed the data loading and preparation tasks correctly, including resizing, converting to tensor, normalizing, and displaying sample images. However, there were issues in freezing the backbone and replacing the classifier head, where the entire model was frozen instead of just the backbone. The training and validation loops had logical errors, such as using sigmoid activation and binary thresholding for a multi-class classification problem. The plots were generated correctly, but the bonus task was not attempted.</t>
        </is>
      </c>
      <c r="Z246" t="n">
        <v>8.5</v>
      </c>
      <c r="AA246" t="n">
        <v>0</v>
      </c>
      <c r="AB246" t="inlineStr">
        <is>
          <t>The student successfully loaded and prepared the data with the correct transformations, including RandomRotation and resizing to 32x32. They also displayed sample images with labels. The CNN model was built with 5 convolutional layers and batch normalization, though the number of channels in the first layer was less than specified in the rubric. The training and validation functions were implemented correctly, and the model was trained and plotted with losses and accuracies. However, the bonus task was not completed.</t>
        </is>
      </c>
      <c r="AC246" t="n">
        <v>4</v>
      </c>
      <c r="AD246" t="inlineStr">
        <is>
          <t>The student attempted most tasks but made significant errors. In Task 1, the dataset class incorrectly loads images and masks, and the normalization parameters are incorrect. Task 2 correctly defines the U-Net model with the specified encoder. Task 3 implements training and validation loops with minor issues. Task 4 defines the loss and optimizer but trains for fewer epochs and uses a different learning rate. Task 5 visualizes predictions but displays more images than required and uses incorrect normalization parameters.</t>
        </is>
      </c>
      <c r="AE246" t="n">
        <v>0</v>
      </c>
      <c r="AF246" t="n">
        <v>0</v>
      </c>
      <c r="AG246" t="inlineStr">
        <is>
          <t>No submission found.</t>
        </is>
      </c>
      <c r="AH246" t="n">
        <v>18.5</v>
      </c>
      <c r="AI246" t="n">
        <v>0</v>
      </c>
    </row>
    <row r="247">
      <c r="A247" t="n">
        <v>246</v>
      </c>
      <c r="B247" t="inlineStr">
        <is>
          <t>TA_5</t>
        </is>
      </c>
      <c r="C247" t="inlineStr">
        <is>
          <t>TA_15</t>
        </is>
      </c>
      <c r="D247" t="n">
        <v>10</v>
      </c>
      <c r="E247" t="n">
        <v>0</v>
      </c>
      <c r="F247" t="n">
        <v>10</v>
      </c>
      <c r="G247" t="n">
        <v>0</v>
      </c>
      <c r="H247" t="n">
        <v>7.5</v>
      </c>
      <c r="I247" t="n">
        <v>0</v>
      </c>
      <c r="J247" t="n">
        <v>10.5</v>
      </c>
      <c r="K247" t="n">
        <v>0</v>
      </c>
      <c r="L247" t="n">
        <v>9</v>
      </c>
      <c r="M247" t="n">
        <v>1</v>
      </c>
      <c r="N247" t="n">
        <v>7.5</v>
      </c>
      <c r="O247" t="n">
        <v>0</v>
      </c>
      <c r="P247">
        <f>Table1[[#This Row],[TA 1 - Q1 Score]]+Table1[[#This Row],[TA 1 - Q2 Score]]+Table1[[#This Row],[TA 1 - Q3 Score]]</f>
        <v/>
      </c>
      <c r="Q247">
        <f>Table1[[#This Row],[TA 1 - Q1 Bonus]]+Table1[[#This Row],[TA 1 - Q2 Bonus]]+Table1[[#This Row],[TA 1 - Q4 Bonus]]</f>
        <v/>
      </c>
      <c r="R247">
        <f>Table1[[#This Row],[TA 2 - Q1 Score]]+Table1[[#This Row],[TA 2 - Q2 Score]]+Table1[[#This Row],[TA 2 - Q3 Score]]</f>
        <v/>
      </c>
      <c r="S247">
        <f>Table1[[#This Row],[TA 2 - Q1 Bonus]]+Table1[[#This Row],[TA 2 - Q2 Bonus]]+Table1[[#This Row],[TA 2 - Q4 Bonus]]</f>
        <v/>
      </c>
      <c r="T247">
        <f>(Table1[[#This Row],[TA 1 - Total Score (out of 35)]]+Table1[[#This Row],[TA 2 - Total Score (out of 35)]])/2</f>
        <v/>
      </c>
      <c r="U247">
        <f>(Table1[[#This Row],[TA 1 - Total Bonus (out of 13)]]+Table1[[#This Row],[TA 2 - Total Bonus (out of 13)]])/2</f>
        <v/>
      </c>
      <c r="V247">
        <f>Table1[[#This Row],[Average Questions]]/35*20+Table1[[#This Row],[Average Bonus]]/13*5</f>
        <v/>
      </c>
      <c r="W247" t="n">
        <v>7</v>
      </c>
      <c r="X247" t="n">
        <v>0</v>
      </c>
      <c r="Y247" t="inlineStr">
        <is>
          <t>The student completed most tasks with minor issues. Transforms were correctly defined, but the DataLoader batch size was small (4 instead of 64). Sample images were displayed correctly, but the label adjustment was missing in the validation function. The model was loaded and adapted properly, but the training and validation loops had issues with label adjustments and loss calculations. The training process ran, but the plots were not generated due to incorrect implementation. No bonus task was attempted.</t>
        </is>
      </c>
      <c r="Z247" t="n">
        <v>7</v>
      </c>
      <c r="AA247" t="n">
        <v>0</v>
      </c>
      <c r="AB247" t="inlineStr">
        <is>
          <t>The student successfully loaded and prepared the data with the correct transformations and displayed sample images. However, the CNN model had incorrect dimensions in the fully connected layers due to mismatched input sizes. The training and validation functions were implemented correctly, and the model trained and plotted the results. The bonus task was not completed as the residual connection was incorrectly defined and not retrained.</t>
        </is>
      </c>
      <c r="AC247" t="n">
        <v>5</v>
      </c>
      <c r="AD247" t="inlineStr">
        <is>
          <t>The student attempted most tasks but made significant errors. The dataset class has issues with how image and mask paths are stored and retrieved, leading to incorrect file handling. The model class correctly defines a U-Net with the specified encoder. Training and validation loops are mostly correct but contain minor issues like unnecessary imports and incorrect mask conversion. The training process is set up properly, including loss and optimizer definitions, but the dataset issues prevent successful execution. Visualization of predictions is not attempted.</t>
        </is>
      </c>
      <c r="AE247" t="n">
        <v>0</v>
      </c>
      <c r="AF247" t="n">
        <v>0</v>
      </c>
      <c r="AG247" t="inlineStr">
        <is>
          <t>No submission found.</t>
        </is>
      </c>
      <c r="AH247" t="n">
        <v>19</v>
      </c>
      <c r="AI247" t="n">
        <v>0</v>
      </c>
    </row>
    <row r="248">
      <c r="A248" t="n">
        <v>247</v>
      </c>
      <c r="B248" t="inlineStr">
        <is>
          <t>TA_5</t>
        </is>
      </c>
      <c r="C248" t="inlineStr">
        <is>
          <t>TA_15</t>
        </is>
      </c>
      <c r="D248" t="n">
        <v>10</v>
      </c>
      <c r="E248" t="n">
        <v>0</v>
      </c>
      <c r="F248" t="n">
        <v>7.5</v>
      </c>
      <c r="G248" t="n">
        <v>0</v>
      </c>
      <c r="H248" t="n">
        <v>8</v>
      </c>
      <c r="I248" t="n">
        <v>0</v>
      </c>
      <c r="J248" t="n">
        <v>10</v>
      </c>
      <c r="K248" t="n">
        <v>0</v>
      </c>
      <c r="L248" t="n">
        <v>8.5</v>
      </c>
      <c r="M248" t="n">
        <v>0</v>
      </c>
      <c r="N248" t="n">
        <v>7.25</v>
      </c>
      <c r="O248" t="n">
        <v>0</v>
      </c>
      <c r="P248">
        <f>Table1[[#This Row],[TA 1 - Q1 Score]]+Table1[[#This Row],[TA 1 - Q2 Score]]+Table1[[#This Row],[TA 1 - Q3 Score]]</f>
        <v/>
      </c>
      <c r="Q248">
        <f>Table1[[#This Row],[TA 1 - Q1 Bonus]]+Table1[[#This Row],[TA 1 - Q2 Bonus]]+Table1[[#This Row],[TA 1 - Q4 Bonus]]</f>
        <v/>
      </c>
      <c r="R248">
        <f>Table1[[#This Row],[TA 2 - Q1 Score]]+Table1[[#This Row],[TA 2 - Q2 Score]]+Table1[[#This Row],[TA 2 - Q3 Score]]</f>
        <v/>
      </c>
      <c r="S248">
        <f>Table1[[#This Row],[TA 2 - Q1 Bonus]]+Table1[[#This Row],[TA 2 - Q2 Bonus]]+Table1[[#This Row],[TA 2 - Q4 Bonus]]</f>
        <v/>
      </c>
      <c r="T248">
        <f>(Table1[[#This Row],[TA 1 - Total Score (out of 35)]]+Table1[[#This Row],[TA 2 - Total Score (out of 35)]])/2</f>
        <v/>
      </c>
      <c r="U248">
        <f>(Table1[[#This Row],[TA 1 - Total Bonus (out of 13)]]+Table1[[#This Row],[TA 2 - Total Bonus (out of 13)]])/2</f>
        <v/>
      </c>
      <c r="V248">
        <f>Table1[[#This Row],[Average Questions]]/35*20+Table1[[#This Row],[Average Bonus]]/13*5</f>
        <v/>
      </c>
      <c r="W248" t="n">
        <v>7</v>
      </c>
      <c r="X248" t="n">
        <v>0</v>
      </c>
      <c r="Y248" t="inlineStr">
        <is>
          <t>The student completed most tasks with minor issues. Transforms were correctly defined, and DataLoaders were created. Sample images were displayed, though the batch size was smaller than in the reference. The pretrained model was loaded and adapted correctly, with the backbone frozen and the classifier head replaced. Training and validation loops were implemented with label fixing, but the optimizer targeted only the classifier parameters, not all trainable parameters. Training and validation were performed, and losses/accuracies were plotted. No bonus task was attempted.</t>
        </is>
      </c>
      <c r="Z248" t="n">
        <v>8</v>
      </c>
      <c r="AA248" t="n">
        <v>0</v>
      </c>
      <c r="AB248" t="inlineStr">
        <is>
          <t>The student successfully implemented a custom dataset class, created train and test DataLoaders with appropriate transformations, displayed sample images, built a CNN model with 5 convolutional layers, and included batch normalization. However, the CNN model has incorrect output channels in the last convolutional layer and incorrect input size calculations in the fully connected layer. The training and validation loops are correctly implemented, and the model is trained and evaluated. The bonus task was not attempted.</t>
        </is>
      </c>
      <c r="AC248" t="n">
        <v>4</v>
      </c>
      <c r="AD248" t="inlineStr">
        <is>
          <t>The student attempted most tasks but made several mistakes. In Task 1, the dataset class was partially correct but used an incorrect method for splitting the dataset. Task 2 correctly defined the U-Net model with the specified encoder. Task 3 had syntax errors in the training and validation loops, specifically in handling the mask data types. Task 4 used an incorrect loss function (BCEWithLogitsLoss instead of CrossEntropyLoss) and had issues with mask data types. Task 5 was not completed.</t>
        </is>
      </c>
      <c r="AE248" t="n">
        <v>0</v>
      </c>
      <c r="AF248" t="n">
        <v>0</v>
      </c>
      <c r="AG248" t="inlineStr">
        <is>
          <t>No submission found.</t>
        </is>
      </c>
      <c r="AH248" t="n">
        <v>19</v>
      </c>
      <c r="AI248" t="n">
        <v>0</v>
      </c>
    </row>
    <row r="249">
      <c r="A249" t="n">
        <v>248</v>
      </c>
      <c r="B249" t="inlineStr">
        <is>
          <t>TA_5</t>
        </is>
      </c>
      <c r="C249" t="inlineStr">
        <is>
          <t>TA_15</t>
        </is>
      </c>
      <c r="D249" t="n">
        <v>10</v>
      </c>
      <c r="E249" t="n">
        <v>0</v>
      </c>
      <c r="F249" t="n">
        <v>8</v>
      </c>
      <c r="G249" t="n">
        <v>0</v>
      </c>
      <c r="H249" t="n">
        <v>2</v>
      </c>
      <c r="I249" t="n">
        <v>0</v>
      </c>
      <c r="J249" t="n">
        <v>7.5</v>
      </c>
      <c r="K249" t="n">
        <v>0</v>
      </c>
      <c r="L249" t="n">
        <v>6</v>
      </c>
      <c r="M249" t="n">
        <v>0</v>
      </c>
      <c r="N249" t="n">
        <v>1</v>
      </c>
      <c r="O249" t="n">
        <v>0</v>
      </c>
      <c r="P249">
        <f>Table1[[#This Row],[TA 1 - Q1 Score]]+Table1[[#This Row],[TA 1 - Q2 Score]]+Table1[[#This Row],[TA 1 - Q3 Score]]</f>
        <v/>
      </c>
      <c r="Q249">
        <f>Table1[[#This Row],[TA 1 - Q1 Bonus]]+Table1[[#This Row],[TA 1 - Q2 Bonus]]+Table1[[#This Row],[TA 1 - Q4 Bonus]]</f>
        <v/>
      </c>
      <c r="R249">
        <f>Table1[[#This Row],[TA 2 - Q1 Score]]+Table1[[#This Row],[TA 2 - Q2 Score]]+Table1[[#This Row],[TA 2 - Q3 Score]]</f>
        <v/>
      </c>
      <c r="S249">
        <f>Table1[[#This Row],[TA 2 - Q1 Bonus]]+Table1[[#This Row],[TA 2 - Q2 Bonus]]+Table1[[#This Row],[TA 2 - Q4 Bonus]]</f>
        <v/>
      </c>
      <c r="T249">
        <f>(Table1[[#This Row],[TA 1 - Total Score (out of 35)]]+Table1[[#This Row],[TA 2 - Total Score (out of 35)]])/2</f>
        <v/>
      </c>
      <c r="U249">
        <f>(Table1[[#This Row],[TA 1 - Total Bonus (out of 13)]]+Table1[[#This Row],[TA 2 - Total Bonus (out of 13)]])/2</f>
        <v/>
      </c>
      <c r="V249">
        <f>Table1[[#This Row],[Average Questions]]/35*20+Table1[[#This Row],[Average Bonus]]/13*5</f>
        <v/>
      </c>
      <c r="W249" t="n">
        <v>7</v>
      </c>
      <c r="X249" t="n">
        <v>0</v>
      </c>
      <c r="Y249" t="inlineStr">
        <is>
          <t>The student completed the data loading and preparation tasks correctly, including resizing, converting to tensor, and normalizing the images. The DataLoaders were set up properly, and sample images were displayed. However, the model adaptation section had issues: the backbone was not frozen correctly, and the classifier head was replaced incorrectly. The training and validation loops were mostly correct but did not adjust the labels to be 0-indexed, resulting in a penalty. The training process ran, but only for one epoch, and the plots were generated. No bonus task was attempted.</t>
        </is>
      </c>
      <c r="Z249" t="n">
        <v>6</v>
      </c>
      <c r="AA249" t="n">
        <v>0</v>
      </c>
      <c r="AB249" t="inlineStr">
        <is>
          <t>The student implemented a custom dataset class and used DataLoader correctly, earning full points for Part 1. However, the CNN model had incorrect layer configurations and dimensions, receiving 25% for Part 2. The training and validation loops were mostly correct but had unnecessary softmax operations, earning 50% for Part 3. The model was trained for only 2 epochs instead of 10, affecting the results but not the implementation correctness, earning 50% for Part 4. No bonus task was attempted.</t>
        </is>
      </c>
      <c r="AC249" t="n">
        <v>2</v>
      </c>
      <c r="AD249" t="inlineStr">
        <is>
          <t>The student partially completed Task 1 by creating a custom dataset class and defining DataLoaders, but made mistakes in the transformations and did not display sample images and masks. Task 2 was incorrectly approached by using a Faster R-CNN model instead of a U-Net with an efficientnet-b1 encoder. Tasks 3, 4, and 5 were not attempted.</t>
        </is>
      </c>
      <c r="AE249" t="n">
        <v>0</v>
      </c>
      <c r="AF249" t="n">
        <v>0</v>
      </c>
      <c r="AG249" t="inlineStr">
        <is>
          <t>No submission found.</t>
        </is>
      </c>
      <c r="AH249" t="n">
        <v>15</v>
      </c>
      <c r="AI249" t="n">
        <v>0</v>
      </c>
    </row>
    <row r="250">
      <c r="A250" t="n">
        <v>249</v>
      </c>
      <c r="B250" t="inlineStr">
        <is>
          <t>TA_5</t>
        </is>
      </c>
      <c r="C250" t="inlineStr">
        <is>
          <t>TA_15</t>
        </is>
      </c>
      <c r="D250" t="n">
        <v>8.5</v>
      </c>
      <c r="E250" t="n">
        <v>0</v>
      </c>
      <c r="F250" t="n">
        <v>10.5</v>
      </c>
      <c r="G250" t="n">
        <v>0</v>
      </c>
      <c r="H250" t="n">
        <v>8</v>
      </c>
      <c r="I250" t="n">
        <v>0</v>
      </c>
      <c r="J250" t="n">
        <v>8</v>
      </c>
      <c r="K250" t="n">
        <v>0</v>
      </c>
      <c r="L250" t="n">
        <v>9</v>
      </c>
      <c r="M250" t="n">
        <v>0</v>
      </c>
      <c r="N250" t="n">
        <v>8.5</v>
      </c>
      <c r="O250" t="n">
        <v>0</v>
      </c>
      <c r="P250">
        <f>Table1[[#This Row],[TA 1 - Q1 Score]]+Table1[[#This Row],[TA 1 - Q2 Score]]+Table1[[#This Row],[TA 1 - Q3 Score]]</f>
        <v/>
      </c>
      <c r="Q250">
        <f>Table1[[#This Row],[TA 1 - Q1 Bonus]]+Table1[[#This Row],[TA 1 - Q2 Bonus]]+Table1[[#This Row],[TA 1 - Q4 Bonus]]</f>
        <v/>
      </c>
      <c r="R250">
        <f>Table1[[#This Row],[TA 2 - Q1 Score]]+Table1[[#This Row],[TA 2 - Q2 Score]]+Table1[[#This Row],[TA 2 - Q3 Score]]</f>
        <v/>
      </c>
      <c r="S250">
        <f>Table1[[#This Row],[TA 2 - Q1 Bonus]]+Table1[[#This Row],[TA 2 - Q2 Bonus]]+Table1[[#This Row],[TA 2 - Q4 Bonus]]</f>
        <v/>
      </c>
      <c r="T250">
        <f>(Table1[[#This Row],[TA 1 - Total Score (out of 35)]]+Table1[[#This Row],[TA 2 - Total Score (out of 35)]])/2</f>
        <v/>
      </c>
      <c r="U250">
        <f>(Table1[[#This Row],[TA 1 - Total Bonus (out of 13)]]+Table1[[#This Row],[TA 2 - Total Bonus (out of 13)]])/2</f>
        <v/>
      </c>
      <c r="V250">
        <f>Table1[[#This Row],[Average Questions]]/35*20+Table1[[#This Row],[Average Bonus]]/13*5</f>
        <v/>
      </c>
      <c r="W250" t="n">
        <v>2</v>
      </c>
      <c r="X250" t="n">
        <v>0</v>
      </c>
      <c r="Y250" t="inlineStr">
        <is>
          <t>The student partially completed the data loading and preparation, but made mistakes in the model adaptation and training/validation loops. The transforms were mostly correct, but the DataLoader display code was incomplete. The model was incorrectly modified for binary classification instead of 26 classes. The training and validation loops had significant issues, including incorrect loss functions and label handling.</t>
        </is>
      </c>
      <c r="Z250" t="n">
        <v>7</v>
      </c>
      <c r="AA250" t="n">
        <v>0</v>
      </c>
      <c r="AB250" t="inlineStr">
        <is>
          <t>The student successfully implemented a custom Dataset class and created DataLoaders with the required transformations. However, there were issues with displaying sample images, as the visualization code was commented out and did not run. The CNN model was correctly defined with five convolutional layers and batch normalization. Training and validation functions were implemented, and the model was trained and evaluated. The bonus task was not attempted.</t>
        </is>
      </c>
      <c r="AC250" t="n">
        <v>4</v>
      </c>
      <c r="AD250" t="inlineStr">
        <is>
          <t>The student attempted most tasks but made several mistakes. In Task 1, the dataset class is mostly correct but lacks the remapping of mask values. DataLoaders are created without splitting the dataset into train and test sets. In Task 2, the model is defined with the wrong number of classes (1 instead of 8). In Task 3, the training loop has a mistake in converting masks to float, which is incompatible with CrossEntropyLoss. Task 4 is partially completed with incorrect loss calculation and no validation loop. Task 5 visualizes predictions but does not compare them with ground truth correctly.</t>
        </is>
      </c>
      <c r="AE250" t="n">
        <v>0</v>
      </c>
      <c r="AF250" t="n">
        <v>0</v>
      </c>
      <c r="AG250" t="inlineStr">
        <is>
          <t>No submission found.</t>
        </is>
      </c>
      <c r="AH250" t="n">
        <v>13</v>
      </c>
      <c r="AI250" t="n">
        <v>0</v>
      </c>
    </row>
    <row r="251">
      <c r="A251" t="n">
        <v>250</v>
      </c>
      <c r="B251" t="inlineStr">
        <is>
          <t>TA_5</t>
        </is>
      </c>
      <c r="C251" t="inlineStr">
        <is>
          <t>TA_15</t>
        </is>
      </c>
      <c r="D251" t="n">
        <v>11</v>
      </c>
      <c r="E251" t="n">
        <v>0</v>
      </c>
      <c r="F251" t="n">
        <v>11</v>
      </c>
      <c r="G251" t="n">
        <v>0</v>
      </c>
      <c r="H251" t="n">
        <v>9</v>
      </c>
      <c r="I251" t="n">
        <v>5</v>
      </c>
      <c r="J251" t="n">
        <v>12</v>
      </c>
      <c r="K251" t="n">
        <v>0</v>
      </c>
      <c r="L251" t="n">
        <v>10</v>
      </c>
      <c r="M251" t="n">
        <v>0</v>
      </c>
      <c r="N251" t="n">
        <v>9</v>
      </c>
      <c r="O251" t="n">
        <v>5</v>
      </c>
      <c r="P251">
        <f>Table1[[#This Row],[TA 1 - Q1 Score]]+Table1[[#This Row],[TA 1 - Q2 Score]]+Table1[[#This Row],[TA 1 - Q3 Score]]</f>
        <v/>
      </c>
      <c r="Q251">
        <f>Table1[[#This Row],[TA 1 - Q1 Bonus]]+Table1[[#This Row],[TA 1 - Q2 Bonus]]+Table1[[#This Row],[TA 1 - Q4 Bonus]]</f>
        <v/>
      </c>
      <c r="R251">
        <f>Table1[[#This Row],[TA 2 - Q1 Score]]+Table1[[#This Row],[TA 2 - Q2 Score]]+Table1[[#This Row],[TA 2 - Q3 Score]]</f>
        <v/>
      </c>
      <c r="S251">
        <f>Table1[[#This Row],[TA 2 - Q1 Bonus]]+Table1[[#This Row],[TA 2 - Q2 Bonus]]+Table1[[#This Row],[TA 2 - Q4 Bonus]]</f>
        <v/>
      </c>
      <c r="T251">
        <f>(Table1[[#This Row],[TA 1 - Total Score (out of 35)]]+Table1[[#This Row],[TA 2 - Total Score (out of 35)]])/2</f>
        <v/>
      </c>
      <c r="U251">
        <f>(Table1[[#This Row],[TA 1 - Total Bonus (out of 13)]]+Table1[[#This Row],[TA 2 - Total Bonus (out of 13)]])/2</f>
        <v/>
      </c>
      <c r="V251">
        <f>Table1[[#This Row],[Average Questions]]/35*20+Table1[[#This Row],[Average Bonus]]/13*5</f>
        <v/>
      </c>
      <c r="W251" t="n">
        <v>8</v>
      </c>
      <c r="X251" t="n">
        <v>0</v>
      </c>
      <c r="Y251" t="inlineStr">
        <is>
          <t>The student completed most tasks correctly, including defining transforms, creating DataLoaders, loading and adapting the pretrained model, and implementing training and validation loops. However, the student did not display sample images, which resulted in a deduction. Additionally, the optimizer was set to update only the classifier parameters, which is acceptable but not explicitly required. No bonus tasks were attempted.</t>
        </is>
      </c>
      <c r="Z251" t="n">
        <v>7</v>
      </c>
      <c r="AA251" t="n">
        <v>0</v>
      </c>
      <c r="AB251" t="inlineStr">
        <is>
          <t>The student successfully implemented a custom dataset class, created train and test datasets with appropriate transformations, and displayed sample images. However, the CNN model has only 5 layers instead of 5 convolutional layers as specified, and the training and validation functions do not calculate accuracy correctly. The model training section runs but with fewer epochs and incorrect accuracy calculation. No bonus task was attempted.</t>
        </is>
      </c>
      <c r="AC251" t="n">
        <v>0</v>
      </c>
      <c r="AD251" t="inlineStr">
        <is>
          <t>The student did not provide any code for Tasks 1 through 5. The submission is incomplete and lacks any implementation for the required tasks, resulting in a score of 0.</t>
        </is>
      </c>
      <c r="AE251" t="n">
        <v>0</v>
      </c>
      <c r="AF251" t="n">
        <v>0</v>
      </c>
      <c r="AG251" t="inlineStr">
        <is>
          <t>The student's submission contains multiple issues in the implementation of the `ColorizationDataset` class. The class definition is duplicated, which is incorrect. The `__init__` method has a redundant `pass` statement. The `rgb_to_grayscale` method incorrectly slices the image channels, leading to incorrect grayscale conversion. The `__getitem__` method is defined twice, with the second definition overriding the first. Despite these issues, the student attempted to implement the required methods, so partial credit is not applicable due to the overall incorrectness of the implementation.</t>
        </is>
      </c>
      <c r="AH251" t="n">
        <v>15</v>
      </c>
      <c r="AI251" t="n">
        <v>0</v>
      </c>
    </row>
    <row r="252">
      <c r="A252" t="n">
        <v>251</v>
      </c>
      <c r="B252" t="inlineStr">
        <is>
          <t>TA_5</t>
        </is>
      </c>
      <c r="C252" t="inlineStr">
        <is>
          <t>TA_15</t>
        </is>
      </c>
      <c r="D252" t="n">
        <v>4</v>
      </c>
      <c r="E252" t="n">
        <v>0</v>
      </c>
      <c r="F252" t="n">
        <v>7.5</v>
      </c>
      <c r="G252" t="n">
        <v>0</v>
      </c>
      <c r="H252" t="n">
        <v>2</v>
      </c>
      <c r="I252" t="n">
        <v>0</v>
      </c>
      <c r="J252" t="n">
        <v>4.25</v>
      </c>
      <c r="K252" t="n">
        <v>0</v>
      </c>
      <c r="L252" t="n">
        <v>7.25</v>
      </c>
      <c r="M252" t="n">
        <v>0</v>
      </c>
      <c r="N252" t="n">
        <v>5.25</v>
      </c>
      <c r="O252" t="n">
        <v>0</v>
      </c>
      <c r="P252">
        <f>Table1[[#This Row],[TA 1 - Q1 Score]]+Table1[[#This Row],[TA 1 - Q2 Score]]+Table1[[#This Row],[TA 1 - Q3 Score]]</f>
        <v/>
      </c>
      <c r="Q252">
        <f>Table1[[#This Row],[TA 1 - Q1 Bonus]]+Table1[[#This Row],[TA 1 - Q2 Bonus]]+Table1[[#This Row],[TA 1 - Q4 Bonus]]</f>
        <v/>
      </c>
      <c r="R252">
        <f>Table1[[#This Row],[TA 2 - Q1 Score]]+Table1[[#This Row],[TA 2 - Q2 Score]]+Table1[[#This Row],[TA 2 - Q3 Score]]</f>
        <v/>
      </c>
      <c r="S252">
        <f>Table1[[#This Row],[TA 2 - Q1 Bonus]]+Table1[[#This Row],[TA 2 - Q2 Bonus]]+Table1[[#This Row],[TA 2 - Q4 Bonus]]</f>
        <v/>
      </c>
      <c r="T252">
        <f>(Table1[[#This Row],[TA 1 - Total Score (out of 35)]]+Table1[[#This Row],[TA 2 - Total Score (out of 35)]])/2</f>
        <v/>
      </c>
      <c r="U252">
        <f>(Table1[[#This Row],[TA 1 - Total Bonus (out of 13)]]+Table1[[#This Row],[TA 2 - Total Bonus (out of 13)]])/2</f>
        <v/>
      </c>
      <c r="V252">
        <f>Table1[[#This Row],[Average Questions]]/35*20+Table1[[#This Row],[Average Bonus]]/13*5</f>
        <v/>
      </c>
      <c r="W252" t="n">
        <v>2</v>
      </c>
      <c r="X252" t="n">
        <v>0</v>
      </c>
      <c r="Y252" t="inlineStr">
        <is>
          <t>The student completed the data loading and transformation tasks correctly but used an incorrect model (EfficientNet-B0 instead of EfficientNetV2-Small). The classifier head was incorrectly modified for binary classification instead of 26 classes. The training and validation loops had issues with label fixing and used an incorrect loss function (BCEWithLogitsLoss for multi-class classification). No bonus task was attempted.</t>
        </is>
      </c>
      <c r="Z252" t="n">
        <v>7</v>
      </c>
      <c r="AA252" t="n">
        <v>0</v>
      </c>
      <c r="AB252" t="inlineStr">
        <is>
          <t>The student completed most tasks with minor issues. The dataset loading and preparation were mostly correct, though the image size was set to 64x64 instead of 32x32 as specified. The CNN model had 5 convolutional layers but did not include batch normalization. The training and validation loops were implemented correctly, and the model was trained and evaluated. However, the bonus task was not attempted.</t>
        </is>
      </c>
      <c r="AC252" t="n">
        <v>4</v>
      </c>
      <c r="AD252" t="inlineStr">
        <is>
          <t>The student attempted most tasks but made significant errors. The dataset class was partially implemented with incorrect directory handling and missing sorting. DataLoaders were incorrectly instantiated due to undefined variables. Training and validation loops contained logical errors, using BCEWithLogitsLoss instead of CrossEntropyLoss and converting masks to float. Visualization code had issues with mask conversion and display. Despite these errors, the student showed effort in attempting each task.</t>
        </is>
      </c>
      <c r="AE252" t="n">
        <v>0</v>
      </c>
      <c r="AF252" t="n">
        <v>0</v>
      </c>
      <c r="AG252" t="inlineStr">
        <is>
          <t>No submission found.</t>
        </is>
      </c>
      <c r="AH252" t="n">
        <v>13</v>
      </c>
      <c r="AI252" t="n">
        <v>0</v>
      </c>
    </row>
    <row r="253">
      <c r="A253" t="n">
        <v>252</v>
      </c>
      <c r="B253" t="inlineStr">
        <is>
          <t>TA_5</t>
        </is>
      </c>
      <c r="C253" t="inlineStr">
        <is>
          <t>TA_15</t>
        </is>
      </c>
      <c r="D253" t="n">
        <v>12</v>
      </c>
      <c r="E253" t="n">
        <v>3</v>
      </c>
      <c r="F253" t="n">
        <v>11</v>
      </c>
      <c r="G253" t="n">
        <v>1.5</v>
      </c>
      <c r="H253" t="n">
        <v>12</v>
      </c>
      <c r="I253" t="n">
        <v>0</v>
      </c>
      <c r="J253" t="n">
        <v>12</v>
      </c>
      <c r="K253" t="n">
        <v>3</v>
      </c>
      <c r="L253" t="n">
        <v>11</v>
      </c>
      <c r="M253" t="n">
        <v>1</v>
      </c>
      <c r="N253" t="n">
        <v>12</v>
      </c>
      <c r="O253" t="n">
        <v>0</v>
      </c>
      <c r="P253">
        <f>Table1[[#This Row],[TA 1 - Q1 Score]]+Table1[[#This Row],[TA 1 - Q2 Score]]+Table1[[#This Row],[TA 1 - Q3 Score]]</f>
        <v/>
      </c>
      <c r="Q253">
        <f>Table1[[#This Row],[TA 1 - Q1 Bonus]]+Table1[[#This Row],[TA 1 - Q2 Bonus]]+Table1[[#This Row],[TA 1 - Q4 Bonus]]</f>
        <v/>
      </c>
      <c r="R253">
        <f>Table1[[#This Row],[TA 2 - Q1 Score]]+Table1[[#This Row],[TA 2 - Q2 Score]]+Table1[[#This Row],[TA 2 - Q3 Score]]</f>
        <v/>
      </c>
      <c r="S253">
        <f>Table1[[#This Row],[TA 2 - Q1 Bonus]]+Table1[[#This Row],[TA 2 - Q2 Bonus]]+Table1[[#This Row],[TA 2 - Q4 Bonus]]</f>
        <v/>
      </c>
      <c r="T253">
        <f>(Table1[[#This Row],[TA 1 - Total Score (out of 35)]]+Table1[[#This Row],[TA 2 - Total Score (out of 35)]])/2</f>
        <v/>
      </c>
      <c r="U253">
        <f>(Table1[[#This Row],[TA 1 - Total Bonus (out of 13)]]+Table1[[#This Row],[TA 2 - Total Bonus (out of 13)]])/2</f>
        <v/>
      </c>
      <c r="V253">
        <f>Table1[[#This Row],[Average Questions]]/35*20+Table1[[#This Row],[Average Bonus]]/13*5</f>
        <v/>
      </c>
      <c r="W253" t="n">
        <v>7</v>
      </c>
      <c r="X253" t="n">
        <v>0</v>
      </c>
      <c r="Y253" t="inlineStr">
        <is>
          <t>The student completed most tasks with minor issues. Transforms were correctly defined, and DataLoaders were set up properly. Sample images were displayed, though with hardcoded indices. The model was loaded and adapted correctly, but the backbone was not explicitly frozen. Training and validation loops were implemented with label adjustments, but the bonus task for Test Time Augmentation was incorrectly attempted, leading to multiple errors and incorrect logic.</t>
        </is>
      </c>
      <c r="Z253" t="n">
        <v>6</v>
      </c>
      <c r="AA253" t="n">
        <v>0</v>
      </c>
      <c r="AB253" t="inlineStr">
        <is>
          <t>The student partially completed the tasks. The data loading and preparation section had minor issues with incorrect class names and incorrect fully connected layer dimensions. The CNN model was defined with 5 convolutional layers and batch normalization, but the number of channels and fully connected layer sizes were incorrect. The training and validation loops were implemented correctly, but the model was not trained with the correct architecture. The bonus task was not attempted.</t>
        </is>
      </c>
      <c r="AC253" t="n">
        <v>9</v>
      </c>
      <c r="AD253" t="inlineStr">
        <is>
          <t>The student's submission largely follows the reference solution but contains minor issues. In Task 1, the dataset class is correctly implemented, and DataLoaders are created and used properly. However, the image transformation lacks normalization, which is a significant oversight. Task 2 correctly defines a pretrained U-Net with the specified encoder. Task 3 implements training and validation loops accurately. Task 4 defines the loss and optimizer correctly, trains the model, and plots the loss curve. Task 5 visualizes predictions effectively. Despite these strengths, the lack of normalization in the image transformation in Task 1 slightly reduces the score.</t>
        </is>
      </c>
      <c r="AE253" t="n">
        <v>0</v>
      </c>
      <c r="AF253" t="n">
        <v>0</v>
      </c>
      <c r="AG253" t="inlineStr">
        <is>
          <t>No submission found.</t>
        </is>
      </c>
      <c r="AH253" t="n">
        <v>22</v>
      </c>
      <c r="AI253" t="n">
        <v>0</v>
      </c>
    </row>
    <row r="254">
      <c r="A254" t="n">
        <v>253</v>
      </c>
      <c r="B254" t="inlineStr">
        <is>
          <t>TA_5</t>
        </is>
      </c>
      <c r="C254" t="inlineStr">
        <is>
          <t>TA_15</t>
        </is>
      </c>
      <c r="D254" t="n">
        <v>4</v>
      </c>
      <c r="E254" t="n">
        <v>0</v>
      </c>
      <c r="F254" t="n">
        <v>7</v>
      </c>
      <c r="G254" t="n">
        <v>0</v>
      </c>
      <c r="H254" t="n">
        <v>10.5</v>
      </c>
      <c r="I254" t="n">
        <v>0</v>
      </c>
      <c r="J254" t="n">
        <v>3.75</v>
      </c>
      <c r="K254" t="n">
        <v>0</v>
      </c>
      <c r="L254" t="n">
        <v>6</v>
      </c>
      <c r="M254" t="n">
        <v>0</v>
      </c>
      <c r="N254" t="n">
        <v>11</v>
      </c>
      <c r="O254" t="n">
        <v>0</v>
      </c>
      <c r="P254">
        <f>Table1[[#This Row],[TA 1 - Q1 Score]]+Table1[[#This Row],[TA 1 - Q2 Score]]+Table1[[#This Row],[TA 1 - Q3 Score]]</f>
        <v/>
      </c>
      <c r="Q254">
        <f>Table1[[#This Row],[TA 1 - Q1 Bonus]]+Table1[[#This Row],[TA 1 - Q2 Bonus]]+Table1[[#This Row],[TA 1 - Q4 Bonus]]</f>
        <v/>
      </c>
      <c r="R254">
        <f>Table1[[#This Row],[TA 2 - Q1 Score]]+Table1[[#This Row],[TA 2 - Q2 Score]]+Table1[[#This Row],[TA 2 - Q3 Score]]</f>
        <v/>
      </c>
      <c r="S254">
        <f>Table1[[#This Row],[TA 2 - Q1 Bonus]]+Table1[[#This Row],[TA 2 - Q2 Bonus]]+Table1[[#This Row],[TA 2 - Q4 Bonus]]</f>
        <v/>
      </c>
      <c r="T254">
        <f>(Table1[[#This Row],[TA 1 - Total Score (out of 35)]]+Table1[[#This Row],[TA 2 - Total Score (out of 35)]])/2</f>
        <v/>
      </c>
      <c r="U254">
        <f>(Table1[[#This Row],[TA 1 - Total Bonus (out of 13)]]+Table1[[#This Row],[TA 2 - Total Bonus (out of 13)]])/2</f>
        <v/>
      </c>
      <c r="V254">
        <f>Table1[[#This Row],[Average Questions]]/35*20+Table1[[#This Row],[Average Bonus]]/13*5</f>
        <v/>
      </c>
      <c r="W254" t="n">
        <v>5</v>
      </c>
      <c r="X254" t="n">
        <v>0</v>
      </c>
      <c r="Y254" t="inlineStr">
        <is>
          <t>The student partially completed several tasks but made significant errors. The data loading and preparation section had missing transformations initially but were later added. The DataLoader creation and sample image display were mostly correct. The model loading and adaptation section had issues with freezing the backbone and replacing the classifier head. The training and validation loops were implemented but contained errors in setting up the model and optimizer. The training process did not run due to incorrect initialization of the model. No bonus task was attempted.</t>
        </is>
      </c>
      <c r="Z254" t="n">
        <v>5</v>
      </c>
      <c r="AA254" t="n">
        <v>0</v>
      </c>
      <c r="AB254" t="inlineStr">
        <is>
          <t>The student partially completed the tasks. They implemented a custom dataset class and used ImageFolder, but the dataset paths were incorrect. The transforms were mostly correct but included normalization without justification. The CNN model had incorrect layer definitions and output dimensions. The training and validation loops were implemented but with minor issues like unnecessary softmax usage. The plotting code was correct. No bonus tasks were attempted.</t>
        </is>
      </c>
      <c r="AC254" t="n">
        <v>7</v>
      </c>
      <c r="AD254" t="inlineStr">
        <is>
          <t>The student's submission includes most of the required tasks with some minor issues. The dataset class and data loaders are correctly implemented, and sample images and masks are displayed. The U-Net model is defined with the correct encoder, but the student used 'efficientnet-b1' instead of 'efficientnet-b0'. The training and validation loops are present with some syntax errors, such as incorrect handling of mask dimensions. The model is trained for 0 epochs due to a mistake in setting num_epochs to 0, resulting in no actual training. The loss plot is generated but shows no data. Predictions are visualized, but the colormap is not consistent with the ground truth, and the student used 'gray' instead of 'tab10'.</t>
        </is>
      </c>
      <c r="AE254" t="n">
        <v>0</v>
      </c>
      <c r="AF254" t="n">
        <v>0</v>
      </c>
      <c r="AG254" t="inlineStr">
        <is>
          <t>No submission found.</t>
        </is>
      </c>
      <c r="AH254" t="n">
        <v>17</v>
      </c>
      <c r="AI254" t="n">
        <v>0</v>
      </c>
    </row>
    <row r="255">
      <c r="A255" t="n">
        <v>254</v>
      </c>
      <c r="B255" t="inlineStr">
        <is>
          <t>TA_5</t>
        </is>
      </c>
      <c r="C255" t="inlineStr">
        <is>
          <t>TA_15</t>
        </is>
      </c>
      <c r="D255" t="n">
        <v>2.5</v>
      </c>
      <c r="E255" t="n">
        <v>0</v>
      </c>
      <c r="F255" t="n">
        <v>0</v>
      </c>
      <c r="G255" t="n">
        <v>0</v>
      </c>
      <c r="H255" t="n">
        <v>0</v>
      </c>
      <c r="I255" t="n">
        <v>0</v>
      </c>
      <c r="J255" t="n">
        <v>3</v>
      </c>
      <c r="K255" t="n">
        <v>0</v>
      </c>
      <c r="L255" t="n">
        <v>0</v>
      </c>
      <c r="M255" t="n">
        <v>0</v>
      </c>
      <c r="N255" t="n">
        <v>0</v>
      </c>
      <c r="O255" t="n">
        <v>0</v>
      </c>
      <c r="P255">
        <f>Table1[[#This Row],[TA 1 - Q1 Score]]+Table1[[#This Row],[TA 1 - Q2 Score]]+Table1[[#This Row],[TA 1 - Q3 Score]]</f>
        <v/>
      </c>
      <c r="Q255">
        <f>Table1[[#This Row],[TA 1 - Q1 Bonus]]+Table1[[#This Row],[TA 1 - Q2 Bonus]]+Table1[[#This Row],[TA 1 - Q4 Bonus]]</f>
        <v/>
      </c>
      <c r="R255">
        <f>Table1[[#This Row],[TA 2 - Q1 Score]]+Table1[[#This Row],[TA 2 - Q2 Score]]+Table1[[#This Row],[TA 2 - Q3 Score]]</f>
        <v/>
      </c>
      <c r="S255">
        <f>Table1[[#This Row],[TA 2 - Q1 Bonus]]+Table1[[#This Row],[TA 2 - Q2 Bonus]]+Table1[[#This Row],[TA 2 - Q4 Bonus]]</f>
        <v/>
      </c>
      <c r="T255">
        <f>(Table1[[#This Row],[TA 1 - Total Score (out of 35)]]+Table1[[#This Row],[TA 2 - Total Score (out of 35)]])/2</f>
        <v/>
      </c>
      <c r="U255">
        <f>(Table1[[#This Row],[TA 1 - Total Bonus (out of 13)]]+Table1[[#This Row],[TA 2 - Total Bonus (out of 13)]])/2</f>
        <v/>
      </c>
      <c r="V255">
        <f>Table1[[#This Row],[Average Questions]]/35*20+Table1[[#This Row],[Average Bonus]]/13*5</f>
        <v/>
      </c>
      <c r="W255" t="n">
        <v>3</v>
      </c>
      <c r="X255" t="n">
        <v>0</v>
      </c>
      <c r="Y255" t="inlineStr">
        <is>
          <t>The student completed the data loading and preparation section correctly, including the necessary transformations and displaying sample images. However, the model adaptation section is incomplete, with the classifier head not being properly modified. The training and validation functions contain significant errors, such as incorrect handling of outputs and labels, and the device setup is missing. No code was provided for the training process, plotting, or the bonus task.</t>
        </is>
      </c>
      <c r="Z255" t="n">
        <v>0</v>
      </c>
      <c r="AA255" t="n">
        <v>0</v>
      </c>
      <c r="AB255" t="inlineStr">
        <is>
          <t>The student did not provide any code for the required tasks in Question 2. The submission is incomplete and lacks implementations for loading and preparing data, building the CNN model, defining training and validation functions, setting up training, and implementing the bonus task with a residual connection.</t>
        </is>
      </c>
      <c r="AC255" t="n">
        <v>0</v>
      </c>
      <c r="AD255" t="inlineStr">
        <is>
          <t>The student did not provide any code for Tasks 1 through 5. The submission is incomplete and lacks any implementation for the dataset class, data loaders, model definition, training and validation loops, or visualization of predictions.</t>
        </is>
      </c>
      <c r="AE255" t="n">
        <v>0</v>
      </c>
      <c r="AF255" t="n">
        <v>0</v>
      </c>
      <c r="AG255" t="inlineStr">
        <is>
          <t>The student's implementation contains several errors. In the `rgb_to_grayscale` method, the student incorrectly converts the tensor to a NumPy array and then back to a tensor without adding the channel dimension. Additionally, the `__getitem__` method has a typo (`regb_to_grayscale` instead of `rgb_to_grayscale`) and incorrectly references `self.img`, which is undefined. These issues prevent the code from running correctly.</t>
        </is>
      </c>
      <c r="AH255" t="n">
        <v>3</v>
      </c>
      <c r="AI255" t="n">
        <v>0</v>
      </c>
    </row>
    <row r="256">
      <c r="A256" t="n">
        <v>255</v>
      </c>
      <c r="B256" t="inlineStr">
        <is>
          <t>TA_5</t>
        </is>
      </c>
      <c r="C256" t="inlineStr">
        <is>
          <t>TA_15</t>
        </is>
      </c>
      <c r="D256" t="n">
        <v>11</v>
      </c>
      <c r="E256" t="n">
        <v>0</v>
      </c>
      <c r="F256" t="n">
        <v>11</v>
      </c>
      <c r="G256" t="n">
        <v>0</v>
      </c>
      <c r="H256" t="n">
        <v>11</v>
      </c>
      <c r="I256" t="n">
        <v>0</v>
      </c>
      <c r="J256" t="n">
        <v>11</v>
      </c>
      <c r="K256" t="n">
        <v>0</v>
      </c>
      <c r="L256" t="n">
        <v>11</v>
      </c>
      <c r="M256" t="n">
        <v>0</v>
      </c>
      <c r="N256" t="n">
        <v>10.5</v>
      </c>
      <c r="O256" t="n">
        <v>0</v>
      </c>
      <c r="P256">
        <f>Table1[[#This Row],[TA 1 - Q1 Score]]+Table1[[#This Row],[TA 1 - Q2 Score]]+Table1[[#This Row],[TA 1 - Q3 Score]]</f>
        <v/>
      </c>
      <c r="Q256">
        <f>Table1[[#This Row],[TA 1 - Q1 Bonus]]+Table1[[#This Row],[TA 1 - Q2 Bonus]]+Table1[[#This Row],[TA 1 - Q4 Bonus]]</f>
        <v/>
      </c>
      <c r="R256">
        <f>Table1[[#This Row],[TA 2 - Q1 Score]]+Table1[[#This Row],[TA 2 - Q2 Score]]+Table1[[#This Row],[TA 2 - Q3 Score]]</f>
        <v/>
      </c>
      <c r="S256">
        <f>Table1[[#This Row],[TA 2 - Q1 Bonus]]+Table1[[#This Row],[TA 2 - Q2 Bonus]]+Table1[[#This Row],[TA 2 - Q4 Bonus]]</f>
        <v/>
      </c>
      <c r="T256">
        <f>(Table1[[#This Row],[TA 1 - Total Score (out of 35)]]+Table1[[#This Row],[TA 2 - Total Score (out of 35)]])/2</f>
        <v/>
      </c>
      <c r="U256">
        <f>(Table1[[#This Row],[TA 1 - Total Bonus (out of 13)]]+Table1[[#This Row],[TA 2 - Total Bonus (out of 13)]])/2</f>
        <v/>
      </c>
      <c r="V256">
        <f>Table1[[#This Row],[Average Questions]]/35*20+Table1[[#This Row],[Average Bonus]]/13*5</f>
        <v/>
      </c>
      <c r="W256" t="n">
        <v>7</v>
      </c>
      <c r="X256" t="n">
        <v>0</v>
      </c>
      <c r="Y256" t="inlineStr">
        <is>
          <t>The student completed the data loading and transformation steps correctly, including resizing, converting to tensor, and normalizing the images. However, the DataLoader creation had a mistake with shuffling the test set, which should not be shuffled. The model loading and adaptation were mostly correct, but the student did not print the new classifier or verify the number of trainable parameters. The training and validation loops were implemented correctly, with label fixing applied. The plotting of losses and accuracies was also done accurately. No bonus task was attempted.</t>
        </is>
      </c>
      <c r="Z256" t="n">
        <v>8.5</v>
      </c>
      <c r="AA256" t="n">
        <v>0</v>
      </c>
      <c r="AB256" t="inlineStr">
        <is>
          <t>The student successfully completed most tasks with minor issues. The data loading and preparation section had a redundant target_transform, but the main transform was correct. The CNN model had 5 convolutional layers with batch normalization, earning full points. The training and validation functions were implemented correctly, and the model was trained and plotted accurately. However, the bonus task was not attempted.</t>
        </is>
      </c>
      <c r="AC256" t="n">
        <v>7</v>
      </c>
      <c r="AD256" t="inlineStr">
        <is>
          <t>The student's submission contains mostly correct code with some minor issues. Task 1 is partially correct with a small mistake in the dataset class initialization. Task 2 is correct except for using 'efficientnet-b1' instead of 'efficientnet-b0'. Task 3 is mostly correct with a minor issue in the validation loop. Task 4 is mostly correct with a slight discrepancy in the learning rate and a missing device assignment. Task 5 has a logical error in the prediction thresholding and visualization.</t>
        </is>
      </c>
      <c r="AE256" t="n">
        <v>0</v>
      </c>
      <c r="AF256" t="n">
        <v>0</v>
      </c>
      <c r="AG256" t="inlineStr">
        <is>
          <t>No submission found.</t>
        </is>
      </c>
      <c r="AH256" t="n">
        <v>22.5</v>
      </c>
      <c r="AI256" t="n">
        <v>0</v>
      </c>
    </row>
    <row r="257">
      <c r="A257" t="n">
        <v>256</v>
      </c>
      <c r="B257" t="inlineStr">
        <is>
          <t>TA_5</t>
        </is>
      </c>
      <c r="C257" t="inlineStr">
        <is>
          <t>TA_15</t>
        </is>
      </c>
      <c r="D257" t="n">
        <v>12</v>
      </c>
      <c r="E257" t="n">
        <v>3</v>
      </c>
      <c r="F257" t="n">
        <v>11</v>
      </c>
      <c r="G257" t="n">
        <v>4</v>
      </c>
      <c r="H257" t="n">
        <v>12</v>
      </c>
      <c r="I257" t="n">
        <v>5</v>
      </c>
      <c r="J257" t="n">
        <v>12</v>
      </c>
      <c r="K257" t="n">
        <v>3</v>
      </c>
      <c r="L257" t="n">
        <v>11</v>
      </c>
      <c r="M257" t="n">
        <v>4</v>
      </c>
      <c r="N257" t="n">
        <v>12</v>
      </c>
      <c r="O257" t="n">
        <v>5</v>
      </c>
      <c r="P257">
        <f>Table1[[#This Row],[TA 1 - Q1 Score]]+Table1[[#This Row],[TA 1 - Q2 Score]]+Table1[[#This Row],[TA 1 - Q3 Score]]</f>
        <v/>
      </c>
      <c r="Q257">
        <f>Table1[[#This Row],[TA 1 - Q1 Bonus]]+Table1[[#This Row],[TA 1 - Q2 Bonus]]+Table1[[#This Row],[TA 1 - Q4 Bonus]]</f>
        <v/>
      </c>
      <c r="R257">
        <f>Table1[[#This Row],[TA 2 - Q1 Score]]+Table1[[#This Row],[TA 2 - Q2 Score]]+Table1[[#This Row],[TA 2 - Q3 Score]]</f>
        <v/>
      </c>
      <c r="S257">
        <f>Table1[[#This Row],[TA 2 - Q1 Bonus]]+Table1[[#This Row],[TA 2 - Q2 Bonus]]+Table1[[#This Row],[TA 2 - Q4 Bonus]]</f>
        <v/>
      </c>
      <c r="T257">
        <f>(Table1[[#This Row],[TA 1 - Total Score (out of 35)]]+Table1[[#This Row],[TA 2 - Total Score (out of 35)]])/2</f>
        <v/>
      </c>
      <c r="U257">
        <f>(Table1[[#This Row],[TA 1 - Total Bonus (out of 13)]]+Table1[[#This Row],[TA 2 - Total Bonus (out of 13)]])/2</f>
        <v/>
      </c>
      <c r="V257">
        <f>Table1[[#This Row],[Average Questions]]/35*20+Table1[[#This Row],[Average Bonus]]/13*5</f>
        <v/>
      </c>
      <c r="W257" t="n">
        <v>10.5</v>
      </c>
      <c r="X257" t="n">
        <v>0</v>
      </c>
      <c r="Y257" t="inlineStr">
        <is>
          <t>The student completed most tasks correctly. The data loading and preparation were accurate, including the normalization step. The model loading and adaptation were also correct, with the backbone frozen and the classifier head replaced properly. The training and validation loops were implemented correctly, with label fixing applied. However, the bonus task for test time augmentation had a syntax error in averaging predictions, causing incorrect implementation.</t>
        </is>
      </c>
      <c r="Z257" t="n">
        <v>8.5</v>
      </c>
      <c r="AA257" t="n">
        <v>1</v>
      </c>
      <c r="AB257" t="inlineStr">
        <is>
          <t>The student implemented a custom dataset class and used the correct transformations, including RandomRotation and resizing to 32x32. Sample images were displayed with labels. The CNN model had 5 convolutional layers with batch normalization, though the number of channels was different from the reference solution. Training and validation loops were correctly defined and executed, with plots showing the loss and accuracy curves. For the bonus task, the student added a residual connection between the second and fourth convolutional layers, retrained the model, and plotted the results, earning partial bonus points.</t>
        </is>
      </c>
      <c r="AC257" t="n">
        <v>8.5</v>
      </c>
      <c r="AD257" t="inlineStr">
        <is>
          <t>The student's submission largely follows the reference solution but contains minor issues. Task 1 is mostly correct with a small mistake in the image and mask path specifications. Task 2 correctly defines the U-Net model with the specified encoder. Task 3 implements the training and validation loops accurately. Task 4 defines the loss and optimizer correctly, trains the model, and plots the loss curve, though with fewer epochs than the reference. Task 5 visualizes predictions effectively. Overall, the code runs and produces the expected results with some minor adjustments needed.</t>
        </is>
      </c>
      <c r="AE257" t="n">
        <v>0</v>
      </c>
      <c r="AF257" t="n">
        <v>5</v>
      </c>
      <c r="AG257" t="inlineStr">
        <is>
          <t>The student's implementation of the ColorizationDataset class is correct and runs perfectly. The __init__, __len__, rgb_to_grayscale, and __getitem__ methods are all implemented accurately, and the visualization step correctly displays the grayscale and color images. The code follows the optimal logic and does not contain any syntax or logical mistakes.</t>
        </is>
      </c>
      <c r="AH257" t="n">
        <v>27.5</v>
      </c>
      <c r="AI257" t="n">
        <v>6</v>
      </c>
    </row>
    <row r="258">
      <c r="A258" t="n">
        <v>257</v>
      </c>
      <c r="B258" t="inlineStr">
        <is>
          <t>TA_5</t>
        </is>
      </c>
      <c r="C258" t="inlineStr">
        <is>
          <t>TA_15</t>
        </is>
      </c>
      <c r="D258" t="n">
        <v>11</v>
      </c>
      <c r="E258" t="n">
        <v>0</v>
      </c>
      <c r="F258" t="n">
        <v>9</v>
      </c>
      <c r="G258" t="n">
        <v>0</v>
      </c>
      <c r="H258" t="n">
        <v>6</v>
      </c>
      <c r="I258" t="n">
        <v>0</v>
      </c>
      <c r="J258" t="n">
        <v>9.5</v>
      </c>
      <c r="K258" t="n">
        <v>0</v>
      </c>
      <c r="L258" t="n">
        <v>8</v>
      </c>
      <c r="M258" t="n">
        <v>0</v>
      </c>
      <c r="N258" t="n">
        <v>5.75</v>
      </c>
      <c r="O258" t="n">
        <v>0</v>
      </c>
      <c r="P258">
        <f>Table1[[#This Row],[TA 1 - Q1 Score]]+Table1[[#This Row],[TA 1 - Q2 Score]]+Table1[[#This Row],[TA 1 - Q3 Score]]</f>
        <v/>
      </c>
      <c r="Q258">
        <f>Table1[[#This Row],[TA 1 - Q1 Bonus]]+Table1[[#This Row],[TA 1 - Q2 Bonus]]+Table1[[#This Row],[TA 1 - Q4 Bonus]]</f>
        <v/>
      </c>
      <c r="R258">
        <f>Table1[[#This Row],[TA 2 - Q1 Score]]+Table1[[#This Row],[TA 2 - Q2 Score]]+Table1[[#This Row],[TA 2 - Q3 Score]]</f>
        <v/>
      </c>
      <c r="S258">
        <f>Table1[[#This Row],[TA 2 - Q1 Bonus]]+Table1[[#This Row],[TA 2 - Q2 Bonus]]+Table1[[#This Row],[TA 2 - Q4 Bonus]]</f>
        <v/>
      </c>
      <c r="T258">
        <f>(Table1[[#This Row],[TA 1 - Total Score (out of 35)]]+Table1[[#This Row],[TA 2 - Total Score (out of 35)]])/2</f>
        <v/>
      </c>
      <c r="U258">
        <f>(Table1[[#This Row],[TA 1 - Total Bonus (out of 13)]]+Table1[[#This Row],[TA 2 - Total Bonus (out of 13)]])/2</f>
        <v/>
      </c>
      <c r="V258">
        <f>Table1[[#This Row],[Average Questions]]/35*20+Table1[[#This Row],[Average Bonus]]/13*5</f>
        <v/>
      </c>
      <c r="W258" t="n">
        <v>7</v>
      </c>
      <c r="X258" t="n">
        <v>0</v>
      </c>
      <c r="Y258" t="inlineStr">
        <is>
          <t>The student completed most tasks with minor issues. Transforms were correctly defined, and DataLoaders were set up properly. Sample images were displayed with labels. The pretrained EfficientNetV2-Small model was loaded and adapted correctly, with the backbone frozen and the classifier head replaced. However, there were syntax errors in the training and validation loops, specifically in the prediction calculation. The training loop did not update validation metrics, and the validation loop had incomplete plotting. No bonus task was attempted.</t>
        </is>
      </c>
      <c r="Z258" t="n">
        <v>3</v>
      </c>
      <c r="AA258" t="n">
        <v>0</v>
      </c>
      <c r="AB258" t="inlineStr">
        <is>
          <t>The student partially completed several tasks but made significant errors. The data loading and preparation section included correct transformations and displayed sample images, earning full points for those tasks. However, the CNN model had multiple issues, including incorrect batch normalization layers and incorrect input/output channels, resulting in a 25% score. The training and validation functions were mostly correct but had minor issues like unnecessary softmax layers, earning 50%. The training section had incorrect epoch numbers and missing loss tracking, earning 25%. No bonus task was attempted.</t>
        </is>
      </c>
      <c r="AC258" t="n">
        <v>2</v>
      </c>
      <c r="AD258" t="inlineStr">
        <is>
          <t>The student attempted most tasks but made significant errors. In Task 1, the dataset class has issues with undefined variables and incorrect sorting methods. Task 2 incorrectly sets the number of classes to 1 instead of 8. Task 3 has incorrect implementation of the training and validation loops, using BCEWithLogitsLoss which is unsuitable for multi-class segmentation. Task 4 does not define DataLoaders, and Task 5 has incorrect visualization code due to undefined variables and incorrect mask handling.</t>
        </is>
      </c>
      <c r="AE258" t="n">
        <v>0</v>
      </c>
      <c r="AF258" t="n">
        <v>0</v>
      </c>
      <c r="AG258" t="inlineStr">
        <is>
          <t>No submission found.</t>
        </is>
      </c>
      <c r="AH258" t="n">
        <v>12</v>
      </c>
      <c r="AI258" t="n">
        <v>0</v>
      </c>
    </row>
    <row r="259">
      <c r="A259" t="n">
        <v>258</v>
      </c>
      <c r="B259" t="inlineStr">
        <is>
          <t>TA_5</t>
        </is>
      </c>
      <c r="C259" t="inlineStr">
        <is>
          <t>TA_15</t>
        </is>
      </c>
      <c r="D259" t="n">
        <v>10</v>
      </c>
      <c r="E259" t="n">
        <v>0</v>
      </c>
      <c r="F259" t="n">
        <v>9</v>
      </c>
      <c r="G259" t="n">
        <v>0</v>
      </c>
      <c r="H259" t="n">
        <v>12</v>
      </c>
      <c r="I259" t="n">
        <v>0</v>
      </c>
      <c r="J259" t="n">
        <v>10.5</v>
      </c>
      <c r="K259" t="n">
        <v>0</v>
      </c>
      <c r="L259" t="n">
        <v>9.5</v>
      </c>
      <c r="M259" t="n">
        <v>0</v>
      </c>
      <c r="N259" t="n">
        <v>10.5</v>
      </c>
      <c r="O259" t="n">
        <v>0</v>
      </c>
      <c r="P259">
        <f>Table1[[#This Row],[TA 1 - Q1 Score]]+Table1[[#This Row],[TA 1 - Q2 Score]]+Table1[[#This Row],[TA 1 - Q3 Score]]</f>
        <v/>
      </c>
      <c r="Q259">
        <f>Table1[[#This Row],[TA 1 - Q1 Bonus]]+Table1[[#This Row],[TA 1 - Q2 Bonus]]+Table1[[#This Row],[TA 1 - Q4 Bonus]]</f>
        <v/>
      </c>
      <c r="R259">
        <f>Table1[[#This Row],[TA 2 - Q1 Score]]+Table1[[#This Row],[TA 2 - Q2 Score]]+Table1[[#This Row],[TA 2 - Q3 Score]]</f>
        <v/>
      </c>
      <c r="S259">
        <f>Table1[[#This Row],[TA 2 - Q1 Bonus]]+Table1[[#This Row],[TA 2 - Q2 Bonus]]+Table1[[#This Row],[TA 2 - Q4 Bonus]]</f>
        <v/>
      </c>
      <c r="T259">
        <f>(Table1[[#This Row],[TA 1 - Total Score (out of 35)]]+Table1[[#This Row],[TA 2 - Total Score (out of 35)]])/2</f>
        <v/>
      </c>
      <c r="U259">
        <f>(Table1[[#This Row],[TA 1 - Total Bonus (out of 13)]]+Table1[[#This Row],[TA 2 - Total Bonus (out of 13)]])/2</f>
        <v/>
      </c>
      <c r="V259">
        <f>Table1[[#This Row],[Average Questions]]/35*20+Table1[[#This Row],[Average Bonus]]/13*5</f>
        <v/>
      </c>
      <c r="W259" t="n">
        <v>7</v>
      </c>
      <c r="X259" t="n">
        <v>0</v>
      </c>
      <c r="Y259" t="inlineStr">
        <is>
          <t>The student completed most tasks with minor issues. Transforms were mostly correct but the batch size in DataLoaders was too small. Sample images were displayed correctly. The model was loaded and adapted properly, but all parameters were frozen instead of just the backbone. Training and validation loops were implemented with label fixing, though there were some unnecessary loops for label adjustment. Training and validation losses and accuracies were plotted. The bonus task was not attempted.</t>
        </is>
      </c>
      <c r="Z259" t="n">
        <v>4</v>
      </c>
      <c r="AA259" t="n">
        <v>0</v>
      </c>
      <c r="AB259" t="inlineStr">
        <is>
          <t>The student partially completed Part 1 by setting up the dataset and DataLoaders with the correct transformations, but used incorrect paths and displayed images incorrectly. Part 2 had a flawed CNN model with incorrect input channels and incorrect calculations for the fully connected layer. Part 3 was not implemented correctly due to incorrect batch handling in the training and validation loops. Part 4 was not completed as the model setup and training loop were incorrect. No bonus tasks were attempted.</t>
        </is>
      </c>
      <c r="AC259" t="n">
        <v>8.5</v>
      </c>
      <c r="AD259" t="inlineStr">
        <is>
          <t>The student's submission largely follows the reference solution but contains minor issues. Task 1 is mostly correct with proper dataset class and DataLoader implementation, though the print statements for directory lengths are incorrect. Task 2 correctly defines the U-Net model with the specified encoder. Task 3 includes both training and validation loops with minor syntax issues. Task 4 defines the loss and optimizer correctly, trains the model, and plots the loss curve. Task 5 visualizes predictions but uses grayscale for masks instead of the specified colormap.</t>
        </is>
      </c>
      <c r="AE259" t="n">
        <v>0</v>
      </c>
      <c r="AF259" t="n">
        <v>0</v>
      </c>
      <c r="AG259" t="inlineStr">
        <is>
          <t>The student did not implement any of the required methods in the `ColorizationDataset` class. The `__init__`, `__len__`, `rgb_to_grayscale`, and `__getitem__` methods were left unimplemented with only placeholder comments. As a result, the code does not run and fails to produce the expected output.</t>
        </is>
      </c>
      <c r="AH259" t="n">
        <v>19.5</v>
      </c>
      <c r="AI259" t="n">
        <v>0</v>
      </c>
    </row>
    <row r="260">
      <c r="A260" t="n">
        <v>259</v>
      </c>
      <c r="B260" t="inlineStr">
        <is>
          <t>TA_5</t>
        </is>
      </c>
      <c r="C260" t="inlineStr">
        <is>
          <t>TA_15</t>
        </is>
      </c>
      <c r="D260" t="n">
        <v>12</v>
      </c>
      <c r="E260" t="n">
        <v>0</v>
      </c>
      <c r="F260" t="n">
        <v>10.5</v>
      </c>
      <c r="G260" t="n">
        <v>0</v>
      </c>
      <c r="H260" t="n">
        <v>8.5</v>
      </c>
      <c r="I260" t="n">
        <v>0</v>
      </c>
      <c r="J260" t="n">
        <v>11.5</v>
      </c>
      <c r="K260" t="n">
        <v>0</v>
      </c>
      <c r="L260" t="n">
        <v>10.5</v>
      </c>
      <c r="M260" t="n">
        <v>0</v>
      </c>
      <c r="N260" t="n">
        <v>9</v>
      </c>
      <c r="O260" t="n">
        <v>0</v>
      </c>
      <c r="P260">
        <f>Table1[[#This Row],[TA 1 - Q1 Score]]+Table1[[#This Row],[TA 1 - Q2 Score]]+Table1[[#This Row],[TA 1 - Q3 Score]]</f>
        <v/>
      </c>
      <c r="Q260">
        <f>Table1[[#This Row],[TA 1 - Q1 Bonus]]+Table1[[#This Row],[TA 1 - Q2 Bonus]]+Table1[[#This Row],[TA 1 - Q4 Bonus]]</f>
        <v/>
      </c>
      <c r="R260">
        <f>Table1[[#This Row],[TA 2 - Q1 Score]]+Table1[[#This Row],[TA 2 - Q2 Score]]+Table1[[#This Row],[TA 2 - Q3 Score]]</f>
        <v/>
      </c>
      <c r="S260">
        <f>Table1[[#This Row],[TA 2 - Q1 Bonus]]+Table1[[#This Row],[TA 2 - Q2 Bonus]]+Table1[[#This Row],[TA 2 - Q4 Bonus]]</f>
        <v/>
      </c>
      <c r="T260">
        <f>(Table1[[#This Row],[TA 1 - Total Score (out of 35)]]+Table1[[#This Row],[TA 2 - Total Score (out of 35)]])/2</f>
        <v/>
      </c>
      <c r="U260">
        <f>(Table1[[#This Row],[TA 1 - Total Bonus (out of 13)]]+Table1[[#This Row],[TA 2 - Total Bonus (out of 13)]])/2</f>
        <v/>
      </c>
      <c r="V260">
        <f>Table1[[#This Row],[Average Questions]]/35*20+Table1[[#This Row],[Average Bonus]]/13*5</f>
        <v/>
      </c>
      <c r="W260" t="n">
        <v>7</v>
      </c>
      <c r="X260" t="n">
        <v>0</v>
      </c>
      <c r="Y260" t="inlineStr">
        <is>
          <t>The student completed most tasks with minor issues. The data loading and preparation were mostly correct, with a small mistake in the DataLoader batch size. The model loading and adaptation were accurate, but the classifier head modification incorrectly set the number of classes to 2. The training and validation loops had syntax errors, particularly in the output squeezing and label adjustment. The plotting of losses and accuracies was correct, but the training loop did not run due to the errors. No bonus task was attempted.</t>
        </is>
      </c>
      <c r="Z260" t="n">
        <v>7</v>
      </c>
      <c r="AA260" t="n">
        <v>0</v>
      </c>
      <c r="AB260" t="inlineStr">
        <is>
          <t>The student successfully loaded and prepared the data with the correct transformations and displayed sample images. The CNN model has 5 convolutional layers with batch normalization, though the architecture differs from the reference solution. The training and validation loops are implemented correctly. However, the model's architecture does not match the required specifications, and the bonus task was not attempted.</t>
        </is>
      </c>
      <c r="AC260" t="n">
        <v>4</v>
      </c>
      <c r="AD260" t="inlineStr">
        <is>
          <t>The student attempted most tasks but made significant errors. The dataset class was partially correct but included unnecessary display calls within the __getitem__ method. DataLoaders were defined but with incorrect batch sizes and transformations. The model class used an incorrect number of output classes. Training and validation loops had issues with data types and loss calculation. The visualization code was mostly correct but used incorrect color maps and did not handle the remapping of mask values properly.</t>
        </is>
      </c>
      <c r="AE260" t="n">
        <v>0</v>
      </c>
      <c r="AF260" t="n">
        <v>0</v>
      </c>
      <c r="AG260" t="inlineStr">
        <is>
          <t>The student's implementation contains several errors and does not run correctly. In the `__len__` method, the variable `dataset` is undefined; it should be `self.dataset`. The `rgb_to_grayscale` method incorrectly accesses the image channels, leading to incorrect grayscale conversion. The `__getitem__` method returns the wrong tuple; it should return `(grayscale_image, color_image)` instead of `(color_image, color_image)`. Additionally, the student included unnecessary print statements and an unrelated line of code (`cifar_data[1][0][0] * 3`) that do not contribute to the task.</t>
        </is>
      </c>
      <c r="AH260" t="n">
        <v>18</v>
      </c>
      <c r="AI260" t="n">
        <v>0</v>
      </c>
    </row>
    <row r="261">
      <c r="A261" t="n">
        <v>260</v>
      </c>
      <c r="B261" t="inlineStr">
        <is>
          <t>TA_5</t>
        </is>
      </c>
      <c r="C261" t="inlineStr">
        <is>
          <t>TA_15</t>
        </is>
      </c>
      <c r="D261" t="n">
        <v>4</v>
      </c>
      <c r="E261" t="n">
        <v>0</v>
      </c>
      <c r="F261" t="n">
        <v>4</v>
      </c>
      <c r="G261" t="n">
        <v>0</v>
      </c>
      <c r="H261" t="n">
        <v>2</v>
      </c>
      <c r="I261" t="n">
        <v>0</v>
      </c>
      <c r="J261" t="n">
        <v>4.5</v>
      </c>
      <c r="K261" t="n">
        <v>0</v>
      </c>
      <c r="L261" t="n">
        <v>6.2</v>
      </c>
      <c r="M261" t="n">
        <v>0</v>
      </c>
      <c r="N261" t="n">
        <v>6</v>
      </c>
      <c r="O261" t="n">
        <v>0</v>
      </c>
      <c r="P261">
        <f>Table1[[#This Row],[TA 1 - Q1 Score]]+Table1[[#This Row],[TA 1 - Q2 Score]]+Table1[[#This Row],[TA 1 - Q3 Score]]</f>
        <v/>
      </c>
      <c r="Q261">
        <f>Table1[[#This Row],[TA 1 - Q1 Bonus]]+Table1[[#This Row],[TA 1 - Q2 Bonus]]+Table1[[#This Row],[TA 1 - Q4 Bonus]]</f>
        <v/>
      </c>
      <c r="R261">
        <f>Table1[[#This Row],[TA 2 - Q1 Score]]+Table1[[#This Row],[TA 2 - Q2 Score]]+Table1[[#This Row],[TA 2 - Q3 Score]]</f>
        <v/>
      </c>
      <c r="S261">
        <f>Table1[[#This Row],[TA 2 - Q1 Bonus]]+Table1[[#This Row],[TA 2 - Q2 Bonus]]+Table1[[#This Row],[TA 2 - Q4 Bonus]]</f>
        <v/>
      </c>
      <c r="T261">
        <f>(Table1[[#This Row],[TA 1 - Total Score (out of 35)]]+Table1[[#This Row],[TA 2 - Total Score (out of 35)]])/2</f>
        <v/>
      </c>
      <c r="U261">
        <f>(Table1[[#This Row],[TA 1 - Total Bonus (out of 13)]]+Table1[[#This Row],[TA 2 - Total Bonus (out of 13)]])/2</f>
        <v/>
      </c>
      <c r="V261">
        <f>Table1[[#This Row],[Average Questions]]/35*20+Table1[[#This Row],[Average Bonus]]/13*5</f>
        <v/>
      </c>
      <c r="W261" t="n">
        <v>2</v>
      </c>
      <c r="X261" t="n">
        <v>0</v>
      </c>
      <c r="Y261" t="inlineStr">
        <is>
          <t>The student attempted most tasks but made significant errors. The data loading and preparation section had issues with the test transform size and incorrect label mapping in the sample image display. The model loading section used the wrong model variant (EfficientNet-B0 instead of EfficientNetV2-Small) and incorrectly modified the classifier for binary classification. The training and validation loops contained errors due to squeezing outputs and using BCEWithLogitsLoss for multi-class classification. No bonus task was attempted.</t>
        </is>
      </c>
      <c r="Z261" t="n">
        <v>6</v>
      </c>
      <c r="AA261" t="n">
        <v>0</v>
      </c>
      <c r="AB261" t="inlineStr">
        <is>
          <t>The student implemented a custom dataset class and used appropriate transformations, earning full marks for Part 1. However, the CNN model had only 3 convolutional layers instead of 5, resulting in 50% for Part 2. The training and validation loops were correctly implemented, earning full marks for Part 3. The model setup, training, and plotting of losses and accuracies were also correct, earning full marks for Part 4. No bonus task was attempted.</t>
        </is>
      </c>
      <c r="AC261" t="n">
        <v>4</v>
      </c>
      <c r="AD261" t="inlineStr">
        <is>
          <t>The student attempted most tasks but made significant errors. In Task 1, the dataset class and data loaders were partially correct but used an incorrect directory structure and file filtering. Task 2 had a model definition error, specifying a single class instead of eight. Task 3 was not fully implemented due to incorrect loss functions and data handling. Task 4 had issues with the loss function and data types, leading to incorrect training and validation loops. Task 5 visualizations were attempted but used incorrect mask processing.</t>
        </is>
      </c>
      <c r="AE261" t="n">
        <v>0</v>
      </c>
      <c r="AF261" t="n">
        <v>0</v>
      </c>
      <c r="AG261" t="inlineStr">
        <is>
          <t>The student did not implement the `ColorizationDataset` class correctly. The methods `__init__`, `__len__`, `rgb_to_grayscale`, and `__getitem__` were left unimplemented with only placeholders. As a result, the code does not run and fails to produce the expected output.</t>
        </is>
      </c>
      <c r="AH261" t="n">
        <v>12</v>
      </c>
      <c r="AI261" t="n">
        <v>0</v>
      </c>
    </row>
    <row r="262">
      <c r="A262" t="n">
        <v>261</v>
      </c>
      <c r="B262" t="inlineStr">
        <is>
          <t>TA_5</t>
        </is>
      </c>
      <c r="C262" t="inlineStr">
        <is>
          <t>TA_15</t>
        </is>
      </c>
      <c r="D262" t="n">
        <v>12</v>
      </c>
      <c r="E262" t="n">
        <v>0</v>
      </c>
      <c r="F262" t="n">
        <v>9</v>
      </c>
      <c r="G262" t="n">
        <v>0</v>
      </c>
      <c r="H262" t="n">
        <v>8</v>
      </c>
      <c r="I262" t="n">
        <v>0</v>
      </c>
      <c r="J262" t="n">
        <v>10.5</v>
      </c>
      <c r="K262" t="n">
        <v>0</v>
      </c>
      <c r="L262" t="n">
        <v>8.5</v>
      </c>
      <c r="M262" t="n">
        <v>1</v>
      </c>
      <c r="N262" t="n">
        <v>8.25</v>
      </c>
      <c r="O262" t="n">
        <v>0</v>
      </c>
      <c r="P262">
        <f>Table1[[#This Row],[TA 1 - Q1 Score]]+Table1[[#This Row],[TA 1 - Q2 Score]]+Table1[[#This Row],[TA 1 - Q3 Score]]</f>
        <v/>
      </c>
      <c r="Q262">
        <f>Table1[[#This Row],[TA 1 - Q1 Bonus]]+Table1[[#This Row],[TA 1 - Q2 Bonus]]+Table1[[#This Row],[TA 1 - Q4 Bonus]]</f>
        <v/>
      </c>
      <c r="R262">
        <f>Table1[[#This Row],[TA 2 - Q1 Score]]+Table1[[#This Row],[TA 2 - Q2 Score]]+Table1[[#This Row],[TA 2 - Q3 Score]]</f>
        <v/>
      </c>
      <c r="S262">
        <f>Table1[[#This Row],[TA 2 - Q1 Bonus]]+Table1[[#This Row],[TA 2 - Q2 Bonus]]+Table1[[#This Row],[TA 2 - Q4 Bonus]]</f>
        <v/>
      </c>
      <c r="T262">
        <f>(Table1[[#This Row],[TA 1 - Total Score (out of 35)]]+Table1[[#This Row],[TA 2 - Total Score (out of 35)]])/2</f>
        <v/>
      </c>
      <c r="U262">
        <f>(Table1[[#This Row],[TA 1 - Total Bonus (out of 13)]]+Table1[[#This Row],[TA 2 - Total Bonus (out of 13)]])/2</f>
        <v/>
      </c>
      <c r="V262">
        <f>Table1[[#This Row],[Average Questions]]/35*20+Table1[[#This Row],[Average Bonus]]/13*5</f>
        <v/>
      </c>
      <c r="W262" t="n">
        <v>6.5</v>
      </c>
      <c r="X262" t="n">
        <v>0</v>
      </c>
      <c r="Y262" t="inlineStr">
        <is>
          <t>The student completed most tasks with minor issues. Transforms were correctly defined, but the batch size was set too low, affecting training efficiency. DataLoaders were created, and sample images were displayed. The pretrained EfficientNetV2-Small model was loaded and adapted correctly. However, the training and validation loops had issues with the model output shape and label adjustments. The plots were generated, but the bonus task was not attempted.</t>
        </is>
      </c>
      <c r="Z262" t="n">
        <v>6</v>
      </c>
      <c r="AA262" t="n">
        <v>0</v>
      </c>
      <c r="AB262" t="inlineStr">
        <is>
          <t>The student implemented a custom dataset class and used the correct transformations, including RandomRotation and resizing to 32x32, earning full marks for Part 1. The CNN model has 5 convolutional layers but does not include batch normalization, earning 1 point out of 2 for Part 2. The training and validation loops are correctly defined, earning full marks for Part 3. The model setup, training, and plotting of losses and accuracies are mostly correct, earning 1.5 points out of 2 for Part 4. The bonus task was not completed as the residual connection was incorrectly implemented and not retrained or plotted.</t>
        </is>
      </c>
      <c r="AC262" t="n">
        <v>4</v>
      </c>
      <c r="AD262" t="inlineStr">
        <is>
          <t>The student attempted most tasks but made significant errors. In Task 1, the dataset class and DataLoaders were mostly correct, but the image size was reduced to 32x32, which is too small for segmentation. Task 2 had an incorrect number of classes set to 1 instead of 8. Task 3 contained syntax errors in the training and validation loops, using BCEWithLogitsLoss instead of CrossEntropyLoss. Task 4 had issues with the loss function and optimizer, and the model was trained on CPU. Task 5 had visualization issues, converting predictions to binary masks instead of multi-class.</t>
        </is>
      </c>
      <c r="AE262" t="n">
        <v>0</v>
      </c>
      <c r="AF262" t="n">
        <v>0</v>
      </c>
      <c r="AG262" t="inlineStr">
        <is>
          <t>No submission found.</t>
        </is>
      </c>
      <c r="AH262" t="n">
        <v>16.5</v>
      </c>
      <c r="AI262" t="n">
        <v>0</v>
      </c>
    </row>
    <row r="263">
      <c r="A263" t="n">
        <v>262</v>
      </c>
      <c r="B263" t="inlineStr">
        <is>
          <t>TA_5</t>
        </is>
      </c>
      <c r="C263" t="inlineStr">
        <is>
          <t>TA_15</t>
        </is>
      </c>
      <c r="D263" t="n">
        <v>12</v>
      </c>
      <c r="E263" t="n">
        <v>0</v>
      </c>
      <c r="F263" t="n">
        <v>11</v>
      </c>
      <c r="G263" t="n">
        <v>0</v>
      </c>
      <c r="H263" t="n">
        <v>11</v>
      </c>
      <c r="I263" t="n">
        <v>5</v>
      </c>
      <c r="J263" t="n">
        <v>12</v>
      </c>
      <c r="K263" t="n">
        <v>0</v>
      </c>
      <c r="L263" t="n">
        <v>11</v>
      </c>
      <c r="M263" t="n">
        <v>0</v>
      </c>
      <c r="N263" t="n">
        <v>12</v>
      </c>
      <c r="O263" t="n">
        <v>5</v>
      </c>
      <c r="P263">
        <f>Table1[[#This Row],[TA 1 - Q1 Score]]+Table1[[#This Row],[TA 1 - Q2 Score]]+Table1[[#This Row],[TA 1 - Q3 Score]]</f>
        <v/>
      </c>
      <c r="Q263">
        <f>Table1[[#This Row],[TA 1 - Q1 Bonus]]+Table1[[#This Row],[TA 1 - Q2 Bonus]]+Table1[[#This Row],[TA 1 - Q4 Bonus]]</f>
        <v/>
      </c>
      <c r="R263">
        <f>Table1[[#This Row],[TA 2 - Q1 Score]]+Table1[[#This Row],[TA 2 - Q2 Score]]+Table1[[#This Row],[TA 2 - Q3 Score]]</f>
        <v/>
      </c>
      <c r="S263">
        <f>Table1[[#This Row],[TA 2 - Q1 Bonus]]+Table1[[#This Row],[TA 2 - Q2 Bonus]]+Table1[[#This Row],[TA 2 - Q4 Bonus]]</f>
        <v/>
      </c>
      <c r="T263">
        <f>(Table1[[#This Row],[TA 1 - Total Score (out of 35)]]+Table1[[#This Row],[TA 2 - Total Score (out of 35)]])/2</f>
        <v/>
      </c>
      <c r="U263">
        <f>(Table1[[#This Row],[TA 1 - Total Bonus (out of 13)]]+Table1[[#This Row],[TA 2 - Total Bonus (out of 13)]])/2</f>
        <v/>
      </c>
      <c r="V263">
        <f>Table1[[#This Row],[Average Questions]]/35*20+Table1[[#This Row],[Average Bonus]]/13*5</f>
        <v/>
      </c>
      <c r="W263" t="n">
        <v>10.5</v>
      </c>
      <c r="X263" t="n">
        <v>0</v>
      </c>
      <c r="Y263" t="inlineStr">
        <is>
          <t>The student completed most tasks correctly. The data loading and preparation were mostly accurate, with minor issues in displaying sample images. The model loading and adaptation were correct, though the student froze all parameters instead of just the backbone. The training and validation loops were implemented correctly, with proper label fixing. However, the bonus task was not attempted.</t>
        </is>
      </c>
      <c r="Z263" t="n">
        <v>9</v>
      </c>
      <c r="AA263" t="n">
        <v>0</v>
      </c>
      <c r="AB263" t="inlineStr">
        <is>
          <t>The student successfully completed most tasks with minor issues. The data loading and preparation section included correct transformations and displayed sample images. The CNN model had 5 convolutional layers with batch normalization, though the final convolutional layer had an incorrect number of output channels. The training and validation loops were implemented correctly, and the model trained and plotted losses and accuracies. However, the bonus task was not attempted.</t>
        </is>
      </c>
      <c r="AC263" t="n">
        <v>7</v>
      </c>
      <c r="AD263" t="inlineStr">
        <is>
          <t>The student's submission contains mostly correct code with minor issues. Task 1 is partially correct with a small mistake in displaying masks. Task 2 is correct except for using 'efficientnet-b1' instead of 'efficientnet-b0'. Task 3 has significant issues with the training and validation loops, using incorrect data types for masks. Task 4 is mostly correct with a minor issue in the learning rate. Task 5 is correct but uses grayscale for predictions instead of a color map.</t>
        </is>
      </c>
      <c r="AE263" t="n">
        <v>0</v>
      </c>
      <c r="AF263" t="n">
        <v>5</v>
      </c>
      <c r="AG263" t="inlineStr">
        <is>
          <t>The student's implementation of the ColorizationDataset class is correct and runs perfectly. It includes the proper initialization, length method, RGB to grayscale conversion, and getitem method. The visualization and DataLoader tests also execute correctly, producing the expected outputs.</t>
        </is>
      </c>
      <c r="AH263" t="n">
        <v>26.5</v>
      </c>
      <c r="AI263" t="n">
        <v>5</v>
      </c>
    </row>
    <row r="264">
      <c r="A264" t="n">
        <v>263</v>
      </c>
      <c r="B264" t="inlineStr">
        <is>
          <t>TA_5</t>
        </is>
      </c>
      <c r="C264" t="inlineStr">
        <is>
          <t>TA_15</t>
        </is>
      </c>
      <c r="D264" t="n">
        <v>12</v>
      </c>
      <c r="E264" t="n">
        <v>2</v>
      </c>
      <c r="F264" t="n">
        <v>9</v>
      </c>
      <c r="G264" t="n">
        <v>1</v>
      </c>
      <c r="H264" t="n">
        <v>9</v>
      </c>
      <c r="I264" t="n">
        <v>0</v>
      </c>
      <c r="J264" t="n">
        <v>11.5</v>
      </c>
      <c r="K264" t="n">
        <v>0</v>
      </c>
      <c r="L264" t="n">
        <v>9</v>
      </c>
      <c r="M264" t="n">
        <v>1</v>
      </c>
      <c r="N264" t="n">
        <v>8.75</v>
      </c>
      <c r="O264" t="n">
        <v>0</v>
      </c>
      <c r="P264">
        <f>Table1[[#This Row],[TA 1 - Q1 Score]]+Table1[[#This Row],[TA 1 - Q2 Score]]+Table1[[#This Row],[TA 1 - Q3 Score]]</f>
        <v/>
      </c>
      <c r="Q264">
        <f>Table1[[#This Row],[TA 1 - Q1 Bonus]]+Table1[[#This Row],[TA 1 - Q2 Bonus]]+Table1[[#This Row],[TA 1 - Q4 Bonus]]</f>
        <v/>
      </c>
      <c r="R264">
        <f>Table1[[#This Row],[TA 2 - Q1 Score]]+Table1[[#This Row],[TA 2 - Q2 Score]]+Table1[[#This Row],[TA 2 - Q3 Score]]</f>
        <v/>
      </c>
      <c r="S264">
        <f>Table1[[#This Row],[TA 2 - Q1 Bonus]]+Table1[[#This Row],[TA 2 - Q2 Bonus]]+Table1[[#This Row],[TA 2 - Q4 Bonus]]</f>
        <v/>
      </c>
      <c r="T264">
        <f>(Table1[[#This Row],[TA 1 - Total Score (out of 35)]]+Table1[[#This Row],[TA 2 - Total Score (out of 35)]])/2</f>
        <v/>
      </c>
      <c r="U264">
        <f>(Table1[[#This Row],[TA 1 - Total Bonus (out of 13)]]+Table1[[#This Row],[TA 2 - Total Bonus (out of 13)]])/2</f>
        <v/>
      </c>
      <c r="V264">
        <f>Table1[[#This Row],[Average Questions]]/35*20+Table1[[#This Row],[Average Bonus]]/13*5</f>
        <v/>
      </c>
      <c r="W264" t="n">
        <v>7</v>
      </c>
      <c r="X264" t="n">
        <v>0</v>
      </c>
      <c r="Y264" t="inlineStr">
        <is>
          <t>The student completed most tasks with minor issues. The data loading and preparation were mostly correct, but the visualization function had errors. The model loading and adaptation were partially correct, but the wrong model was initially loaded. The training and validation loops were implemented with some logical errors, particularly in the validation loop where the original predictions were used instead of averaged predictions. The bonus task was not correctly implemented, as the predictions were not averaged properly.</t>
        </is>
      </c>
      <c r="Z264" t="n">
        <v>6</v>
      </c>
      <c r="AA264" t="n">
        <v>0</v>
      </c>
      <c r="AB264" t="inlineStr">
        <is>
          <t>The student partially completed the tasks. They correctly set up the dataset with the required transformations and displayed sample images. However, the CNN model had incorrect layer configurations and lacked batch normalization. The training and validation loops were mostly correct but included unnecessary softmax operations. The bonus task was not attempted.</t>
        </is>
      </c>
      <c r="AC264" t="n">
        <v>4</v>
      </c>
      <c r="AD264" t="inlineStr">
        <is>
          <t>The student attempted most tasks but made significant errors. The dataset class and DataLoader were partially correct but used incorrect paths and transformations. The model definition used the wrong number of classes. The training and validation loops had issues with data types and loss functions. Visualization of predictions was incorrect due to improper handling of model outputs.</t>
        </is>
      </c>
      <c r="AE264" t="n">
        <v>0</v>
      </c>
      <c r="AF264" t="n">
        <v>0</v>
      </c>
      <c r="AG264" t="inlineStr">
        <is>
          <t>The student did not implement the required methods in the `ColorizationDataset` class. The `rgb_to_grayscale` method and `__getitem__` method were left incomplete with placeholder comments and incorrect code. The dataset loading and visualization parts were correct, but the core functionality needed for the bonus question was not implemented.</t>
        </is>
      </c>
      <c r="AH264" t="n">
        <v>17</v>
      </c>
      <c r="AI264" t="n">
        <v>0</v>
      </c>
    </row>
    <row r="265">
      <c r="A265" t="n">
        <v>264</v>
      </c>
      <c r="B265" t="inlineStr">
        <is>
          <t>TA_5</t>
        </is>
      </c>
      <c r="C265" t="inlineStr">
        <is>
          <t>TA_15</t>
        </is>
      </c>
      <c r="D265" t="n">
        <v>6.5</v>
      </c>
      <c r="E265" t="n">
        <v>0</v>
      </c>
      <c r="F265" t="n">
        <v>9</v>
      </c>
      <c r="G265" t="n">
        <v>0</v>
      </c>
      <c r="H265" t="n">
        <v>12</v>
      </c>
      <c r="I265" t="n">
        <v>0</v>
      </c>
      <c r="J265" t="n">
        <v>4</v>
      </c>
      <c r="K265" t="n">
        <v>0</v>
      </c>
      <c r="L265" t="n">
        <v>9</v>
      </c>
      <c r="M265" t="n">
        <v>0</v>
      </c>
      <c r="N265" t="n">
        <v>11.5</v>
      </c>
      <c r="O265" t="n">
        <v>0</v>
      </c>
      <c r="P265">
        <f>Table1[[#This Row],[TA 1 - Q1 Score]]+Table1[[#This Row],[TA 1 - Q2 Score]]+Table1[[#This Row],[TA 1 - Q3 Score]]</f>
        <v/>
      </c>
      <c r="Q265">
        <f>Table1[[#This Row],[TA 1 - Q1 Bonus]]+Table1[[#This Row],[TA 1 - Q2 Bonus]]+Table1[[#This Row],[TA 1 - Q4 Bonus]]</f>
        <v/>
      </c>
      <c r="R265">
        <f>Table1[[#This Row],[TA 2 - Q1 Score]]+Table1[[#This Row],[TA 2 - Q2 Score]]+Table1[[#This Row],[TA 2 - Q3 Score]]</f>
        <v/>
      </c>
      <c r="S265">
        <f>Table1[[#This Row],[TA 2 - Q1 Bonus]]+Table1[[#This Row],[TA 2 - Q2 Bonus]]+Table1[[#This Row],[TA 2 - Q4 Bonus]]</f>
        <v/>
      </c>
      <c r="T265">
        <f>(Table1[[#This Row],[TA 1 - Total Score (out of 35)]]+Table1[[#This Row],[TA 2 - Total Score (out of 35)]])/2</f>
        <v/>
      </c>
      <c r="U265">
        <f>(Table1[[#This Row],[TA 1 - Total Bonus (out of 13)]]+Table1[[#This Row],[TA 2 - Total Bonus (out of 13)]])/2</f>
        <v/>
      </c>
      <c r="V265">
        <f>Table1[[#This Row],[Average Questions]]/35*20+Table1[[#This Row],[Average Bonus]]/13*5</f>
        <v/>
      </c>
      <c r="W265" t="n">
        <v>4</v>
      </c>
      <c r="X265" t="n">
        <v>0</v>
      </c>
      <c r="Y265" t="inlineStr">
        <is>
          <t>The student completed the data loading and transformation tasks correctly, including resizing, converting to tensor, and normalizing the images. However, the DataLoader creation and sample image display were incomplete and contained errors. The model loading and adaptation section had issues, as the student used the wrong model variant (EfficientNetV2-M instead of EfficientNetV2-Small) and did not freeze the backbone. The training and validation loops were partially correct but contained errors, such as squeezing the model outputs incorrectly. The student did not attempt the bonus task.</t>
        </is>
      </c>
      <c r="Z265" t="n">
        <v>8</v>
      </c>
      <c r="AA265" t="n">
        <v>0</v>
      </c>
      <c r="AB265" t="inlineStr">
        <is>
          <t>The student successfully completed most tasks with minor issues. The data loading and preparation were mostly correct, with proper transformations and display of sample images. The CNN model had 5 convolutional layers but used fewer filters compared to the reference solution. Batch normalization was missing, resulting in a deduction. Training and validation functions were implemented correctly, and the model trained and plotted results. However, the bonus task was not attempted.</t>
        </is>
      </c>
      <c r="AC265" t="n">
        <v>8</v>
      </c>
      <c r="AD265" t="inlineStr">
        <is>
          <t>The student's submission includes most of the required tasks with minor issues. The dataset class is correctly implemented, and the DataLoaders are set up properly. However, the normalization parameters are missing from the image transforms. The model class uses the correct encoder but has a typo in the dataset download URL. The training and validation loops are implemented correctly, though the number of epochs is reduced to 3. The loss and optimizer are defined appropriately, and the training process prints the losses. The predictions are visualized, but the colormap used for the predicted masks is grayscale instead of 'tab10'.</t>
        </is>
      </c>
      <c r="AE265" t="n">
        <v>0</v>
      </c>
      <c r="AF265" t="n">
        <v>0</v>
      </c>
      <c r="AG265" t="inlineStr">
        <is>
          <t>No submission found.</t>
        </is>
      </c>
      <c r="AH265" t="n">
        <v>20</v>
      </c>
      <c r="AI265" t="n">
        <v>0</v>
      </c>
    </row>
    <row r="266">
      <c r="A266" t="n">
        <v>265</v>
      </c>
      <c r="B266" t="inlineStr">
        <is>
          <t>TA_5</t>
        </is>
      </c>
      <c r="C266" t="inlineStr">
        <is>
          <t>TA_15</t>
        </is>
      </c>
      <c r="D266" t="n">
        <v>11</v>
      </c>
      <c r="E266" t="n">
        <v>4</v>
      </c>
      <c r="F266" t="n">
        <v>10</v>
      </c>
      <c r="G266" t="n">
        <v>1</v>
      </c>
      <c r="H266" t="n">
        <v>12</v>
      </c>
      <c r="I266" t="n">
        <v>0</v>
      </c>
      <c r="J266" t="n">
        <v>10.25</v>
      </c>
      <c r="K266" t="n">
        <v>3</v>
      </c>
      <c r="L266" t="n">
        <v>10.5</v>
      </c>
      <c r="M266" t="n">
        <v>1</v>
      </c>
      <c r="N266" t="n">
        <v>12</v>
      </c>
      <c r="O266" t="n">
        <v>0</v>
      </c>
      <c r="P266">
        <f>Table1[[#This Row],[TA 1 - Q1 Score]]+Table1[[#This Row],[TA 1 - Q2 Score]]+Table1[[#This Row],[TA 1 - Q3 Score]]</f>
        <v/>
      </c>
      <c r="Q266">
        <f>Table1[[#This Row],[TA 1 - Q1 Bonus]]+Table1[[#This Row],[TA 1 - Q2 Bonus]]+Table1[[#This Row],[TA 1 - Q4 Bonus]]</f>
        <v/>
      </c>
      <c r="R266">
        <f>Table1[[#This Row],[TA 2 - Q1 Score]]+Table1[[#This Row],[TA 2 - Q2 Score]]+Table1[[#This Row],[TA 2 - Q3 Score]]</f>
        <v/>
      </c>
      <c r="S266">
        <f>Table1[[#This Row],[TA 2 - Q1 Bonus]]+Table1[[#This Row],[TA 2 - Q2 Bonus]]+Table1[[#This Row],[TA 2 - Q4 Bonus]]</f>
        <v/>
      </c>
      <c r="T266">
        <f>(Table1[[#This Row],[TA 1 - Total Score (out of 35)]]+Table1[[#This Row],[TA 2 - Total Score (out of 35)]])/2</f>
        <v/>
      </c>
      <c r="U266">
        <f>(Table1[[#This Row],[TA 1 - Total Bonus (out of 13)]]+Table1[[#This Row],[TA 2 - Total Bonus (out of 13)]])/2</f>
        <v/>
      </c>
      <c r="V266">
        <f>Table1[[#This Row],[Average Questions]]/35*20+Table1[[#This Row],[Average Bonus]]/13*5</f>
        <v/>
      </c>
      <c r="W266" t="n">
        <v>7</v>
      </c>
      <c r="X266" t="n">
        <v>0</v>
      </c>
      <c r="Y266" t="inlineStr">
        <is>
          <t>The student completed most tasks with minor issues. Transforms were correctly defined, and DataLoaders were set up properly. However, the student froze all model parameters instead of just the backbone, affecting the model's ability to learn. The training and validation loops had logical errors, such as squeezing outputs and incorrectly handling softmax and argmax operations. The student did not plot the training and validation losses and accuracies correctly. No bonus task was attempted.</t>
        </is>
      </c>
      <c r="Z266" t="n">
        <v>8.5</v>
      </c>
      <c r="AA266" t="n">
        <v>0</v>
      </c>
      <c r="AB266" t="inlineStr">
        <is>
          <t>The student implemented a custom dataset class and used the correct transformations, including RandomRotation and resizing to 32x32, earning full marks for Part 1. The CNN model has 5 convolutional layers with Batch Normalization, meeting Part 2 requirements. The training and validation loops are correctly defined in Part 3. The model setup, training, and plotting of losses and accuracies in Part 4 are also correct. However, the bonus task was not completed as the residual connection was not properly defined or implemented.</t>
        </is>
      </c>
      <c r="AC266" t="n">
        <v>8.5</v>
      </c>
      <c r="AD266" t="inlineStr">
        <is>
          <t>The student's submission demonstrates a strong understanding of the tasks, with most parts implemented correctly. However, there are minor issues in the dataset class and visualization section. The dataset class is mostly correct but could benefit from sorting the image and mask paths. The visualization section has a small mistake in the colormap used for predictions, which does not match the ground truth. The training and validation loops, model definition, and loss/optimizer setup are all correct and functional.</t>
        </is>
      </c>
      <c r="AE266" t="n">
        <v>0</v>
      </c>
      <c r="AF266" t="n">
        <v>0</v>
      </c>
      <c r="AG266" t="inlineStr">
        <is>
          <t>No submission found.</t>
        </is>
      </c>
      <c r="AH266" t="n">
        <v>24</v>
      </c>
      <c r="AI266" t="n">
        <v>0</v>
      </c>
    </row>
    <row r="267">
      <c r="A267" t="n">
        <v>266</v>
      </c>
      <c r="B267" t="inlineStr">
        <is>
          <t>TA_5</t>
        </is>
      </c>
      <c r="C267" t="inlineStr">
        <is>
          <t>TA_15</t>
        </is>
      </c>
      <c r="D267" t="n">
        <v>10.5</v>
      </c>
      <c r="E267" t="n">
        <v>0</v>
      </c>
      <c r="F267" t="n">
        <v>0</v>
      </c>
      <c r="G267" t="n">
        <v>0</v>
      </c>
      <c r="H267" t="n">
        <v>0</v>
      </c>
      <c r="I267" t="n">
        <v>0</v>
      </c>
      <c r="J267" t="n">
        <v>4</v>
      </c>
      <c r="K267" t="n">
        <v>0</v>
      </c>
      <c r="L267" t="n">
        <v>0</v>
      </c>
      <c r="M267" t="n">
        <v>0</v>
      </c>
      <c r="N267" t="n">
        <v>0</v>
      </c>
      <c r="O267" t="n">
        <v>0</v>
      </c>
      <c r="P267">
        <f>Table1[[#This Row],[TA 1 - Q1 Score]]+Table1[[#This Row],[TA 1 - Q2 Score]]+Table1[[#This Row],[TA 1 - Q3 Score]]</f>
        <v/>
      </c>
      <c r="Q267">
        <f>Table1[[#This Row],[TA 1 - Q1 Bonus]]+Table1[[#This Row],[TA 1 - Q2 Bonus]]+Table1[[#This Row],[TA 1 - Q4 Bonus]]</f>
        <v/>
      </c>
      <c r="R267">
        <f>Table1[[#This Row],[TA 2 - Q1 Score]]+Table1[[#This Row],[TA 2 - Q2 Score]]+Table1[[#This Row],[TA 2 - Q3 Score]]</f>
        <v/>
      </c>
      <c r="S267">
        <f>Table1[[#This Row],[TA 2 - Q1 Bonus]]+Table1[[#This Row],[TA 2 - Q2 Bonus]]+Table1[[#This Row],[TA 2 - Q4 Bonus]]</f>
        <v/>
      </c>
      <c r="T267">
        <f>(Table1[[#This Row],[TA 1 - Total Score (out of 35)]]+Table1[[#This Row],[TA 2 - Total Score (out of 35)]])/2</f>
        <v/>
      </c>
      <c r="U267">
        <f>(Table1[[#This Row],[TA 1 - Total Bonus (out of 13)]]+Table1[[#This Row],[TA 2 - Total Bonus (out of 13)]])/2</f>
        <v/>
      </c>
      <c r="V267">
        <f>Table1[[#This Row],[Average Questions]]/35*20+Table1[[#This Row],[Average Bonus]]/13*5</f>
        <v/>
      </c>
      <c r="W267" t="n">
        <v>4</v>
      </c>
      <c r="X267" t="n">
        <v>0</v>
      </c>
      <c r="Y267" t="inlineStr">
        <is>
          <t>The student partially completed several tasks but made significant errors. The data transformations were incorrect, resizing to 64x64 instead of 28x28. The DataLoader creation was mostly correct but used a different batch size. The model loading and adaptation had issues, using EfficientNet-B0 instead of EfficientNetV2-Small and incorrectly setting the number of classes to 28. The training and validation loops were implemented but contained logical errors, such as not adjusting labels to be 0-indexed. No bonus task was attempted.</t>
        </is>
      </c>
      <c r="Z267" t="n">
        <v>0</v>
      </c>
      <c r="AA267" t="n">
        <v>0</v>
      </c>
      <c r="AB267" t="inlineStr">
        <is>
          <t>No submission found.</t>
        </is>
      </c>
      <c r="AC267" t="n">
        <v>0</v>
      </c>
      <c r="AD267" t="inlineStr">
        <is>
          <t>No submission found.</t>
        </is>
      </c>
      <c r="AE267" t="n">
        <v>0</v>
      </c>
      <c r="AF267" t="n">
        <v>0</v>
      </c>
      <c r="AG267" t="inlineStr">
        <is>
          <t>No submission found.</t>
        </is>
      </c>
      <c r="AH267" t="n">
        <v>4</v>
      </c>
      <c r="AI267" t="n">
        <v>0</v>
      </c>
    </row>
    <row r="268">
      <c r="A268" t="n">
        <v>267</v>
      </c>
      <c r="B268" t="inlineStr">
        <is>
          <t>TA_5</t>
        </is>
      </c>
      <c r="C268" t="inlineStr">
        <is>
          <t>TA_15</t>
        </is>
      </c>
      <c r="D268" t="n">
        <v>11.5</v>
      </c>
      <c r="E268" t="n">
        <v>0</v>
      </c>
      <c r="F268" t="n">
        <v>9</v>
      </c>
      <c r="G268" t="n">
        <v>0</v>
      </c>
      <c r="H268" t="n">
        <v>11</v>
      </c>
      <c r="I268" t="n">
        <v>0</v>
      </c>
      <c r="J268" t="n">
        <v>12</v>
      </c>
      <c r="K268" t="n">
        <v>0</v>
      </c>
      <c r="L268" t="n">
        <v>10.5</v>
      </c>
      <c r="M268" t="n">
        <v>0</v>
      </c>
      <c r="N268" t="n">
        <v>11.25</v>
      </c>
      <c r="O268" t="n">
        <v>0</v>
      </c>
      <c r="P268">
        <f>Table1[[#This Row],[TA 1 - Q1 Score]]+Table1[[#This Row],[TA 1 - Q2 Score]]+Table1[[#This Row],[TA 1 - Q3 Score]]</f>
        <v/>
      </c>
      <c r="Q268">
        <f>Table1[[#This Row],[TA 1 - Q1 Bonus]]+Table1[[#This Row],[TA 1 - Q2 Bonus]]+Table1[[#This Row],[TA 1 - Q4 Bonus]]</f>
        <v/>
      </c>
      <c r="R268">
        <f>Table1[[#This Row],[TA 2 - Q1 Score]]+Table1[[#This Row],[TA 2 - Q2 Score]]+Table1[[#This Row],[TA 2 - Q3 Score]]</f>
        <v/>
      </c>
      <c r="S268">
        <f>Table1[[#This Row],[TA 2 - Q1 Bonus]]+Table1[[#This Row],[TA 2 - Q2 Bonus]]+Table1[[#This Row],[TA 2 - Q4 Bonus]]</f>
        <v/>
      </c>
      <c r="T268">
        <f>(Table1[[#This Row],[TA 1 - Total Score (out of 35)]]+Table1[[#This Row],[TA 2 - Total Score (out of 35)]])/2</f>
        <v/>
      </c>
      <c r="U268">
        <f>(Table1[[#This Row],[TA 1 - Total Bonus (out of 13)]]+Table1[[#This Row],[TA 2 - Total Bonus (out of 13)]])/2</f>
        <v/>
      </c>
      <c r="V268">
        <f>Table1[[#This Row],[Average Questions]]/35*20+Table1[[#This Row],[Average Bonus]]/13*5</f>
        <v/>
      </c>
      <c r="W268" t="n">
        <v>8.5</v>
      </c>
      <c r="X268" t="n">
        <v>0</v>
      </c>
      <c r="Y268" t="inlineStr">
        <is>
          <t>The student completed most tasks correctly but made some mistakes. The data loading and preparation section had incorrect image resizing (224x224 instead of 28x28) and used a different batch size (32 instead of 64). The model setup and adaptation were mostly correct, with the classifier head properly modified. The training and validation loops were implemented accurately, including label fixing. However, the bonus task was not attempted.</t>
        </is>
      </c>
      <c r="Z268" t="n">
        <v>6</v>
      </c>
      <c r="AA268" t="n">
        <v>0</v>
      </c>
      <c r="AB268" t="inlineStr">
        <is>
          <t>The student implemented a custom Dataset class and used appropriate transformations, including RandomRotation. However, the image resizing was set to 224x224 instead of 32x32 as specified. The CNN model had 5 convolutional layers with Batch Normalization, but the number of channels and dropout were different from the reference solution. The training and validation loops were implemented but contained errors in the data loaders used within the functions. The model was trained for only 2 epochs, which is insufficient for proper evaluation. No bonus task was attempted.</t>
        </is>
      </c>
      <c r="AC268" t="n">
        <v>10</v>
      </c>
      <c r="AD268" t="inlineStr">
        <is>
          <t>The student's submission is well-structured and follows the reference solution closely. The dataset class is correctly implemented with appropriate transformations and data loading. The model class uses the specified pretrained U-Net with efficientnet-b0 encoder. Training and validation loops are correctly defined and executed, with loss calculations and printing. The loss curve is plotted accurately. Predictions are visualized against ground truth, showing the model's performance. Minor differences such as batch size and optimizer type do not affect the correctness of the implementation.</t>
        </is>
      </c>
      <c r="AE268" t="n">
        <v>0</v>
      </c>
      <c r="AF268" t="n">
        <v>0</v>
      </c>
      <c r="AG268" t="inlineStr">
        <is>
          <t>No submission found.</t>
        </is>
      </c>
      <c r="AH268" t="n">
        <v>24.5</v>
      </c>
      <c r="AI268" t="n">
        <v>0</v>
      </c>
    </row>
    <row r="269">
      <c r="A269" t="n">
        <v>268</v>
      </c>
      <c r="B269" t="inlineStr">
        <is>
          <t>TA_5</t>
        </is>
      </c>
      <c r="C269" t="inlineStr">
        <is>
          <t>TA_15</t>
        </is>
      </c>
      <c r="D269" t="n">
        <v>6</v>
      </c>
      <c r="E269" t="n">
        <v>0</v>
      </c>
      <c r="F269" t="n">
        <v>4.5</v>
      </c>
      <c r="G269" t="n">
        <v>0</v>
      </c>
      <c r="H269" t="n">
        <v>9</v>
      </c>
      <c r="I269" t="n">
        <v>0</v>
      </c>
      <c r="J269" t="n">
        <v>4.75</v>
      </c>
      <c r="K269" t="n">
        <v>0</v>
      </c>
      <c r="L269" t="n">
        <v>4.7</v>
      </c>
      <c r="M269" t="n">
        <v>0</v>
      </c>
      <c r="N269" t="n">
        <v>10</v>
      </c>
      <c r="O269" t="n">
        <v>0</v>
      </c>
      <c r="P269">
        <f>Table1[[#This Row],[TA 1 - Q1 Score]]+Table1[[#This Row],[TA 1 - Q2 Score]]+Table1[[#This Row],[TA 1 - Q3 Score]]</f>
        <v/>
      </c>
      <c r="Q269">
        <f>Table1[[#This Row],[TA 1 - Q1 Bonus]]+Table1[[#This Row],[TA 1 - Q2 Bonus]]+Table1[[#This Row],[TA 1 - Q4 Bonus]]</f>
        <v/>
      </c>
      <c r="R269">
        <f>Table1[[#This Row],[TA 2 - Q1 Score]]+Table1[[#This Row],[TA 2 - Q2 Score]]+Table1[[#This Row],[TA 2 - Q3 Score]]</f>
        <v/>
      </c>
      <c r="S269">
        <f>Table1[[#This Row],[TA 2 - Q1 Bonus]]+Table1[[#This Row],[TA 2 - Q2 Bonus]]+Table1[[#This Row],[TA 2 - Q4 Bonus]]</f>
        <v/>
      </c>
      <c r="T269">
        <f>(Table1[[#This Row],[TA 1 - Total Score (out of 35)]]+Table1[[#This Row],[TA 2 - Total Score (out of 35)]])/2</f>
        <v/>
      </c>
      <c r="U269">
        <f>(Table1[[#This Row],[TA 1 - Total Bonus (out of 13)]]+Table1[[#This Row],[TA 2 - Total Bonus (out of 13)]])/2</f>
        <v/>
      </c>
      <c r="V269">
        <f>Table1[[#This Row],[Average Questions]]/35*20+Table1[[#This Row],[Average Bonus]]/13*5</f>
        <v/>
      </c>
      <c r="W269" t="n">
        <v>5</v>
      </c>
      <c r="X269" t="n">
        <v>0</v>
      </c>
      <c r="Y269" t="inlineStr">
        <is>
          <t>The student partially completed several tasks but made significant errors. The data loading and preparation section had missing transformations initially but were later added correctly. The DataLoader creation used an incorrect batch size and did not follow the reference solution. The model loading section incorrectly used EfficientNetV2-M instead of EfficientNetV2-Small and set the classifier to 27 classes instead of 26. The training and validation loops were mostly correct but did not adjust labels to be 0-indexed, resulting in a penalty. No bonus task was attempted.</t>
        </is>
      </c>
      <c r="Z269" t="n">
        <v>2.5</v>
      </c>
      <c r="AA269" t="n">
        <v>0</v>
      </c>
      <c r="AB269" t="inlineStr">
        <is>
          <t>The student used the CIFAR-10 dataset instead of the Potato Disease Dataset, which is a significant error. The student attempted to create a CNN model with fewer layers than required and did not include batch normalization. The training and validation loops were implemented correctly, but the dataset mismatch prevents the code from running as intended. No bonus task was attempted.</t>
        </is>
      </c>
      <c r="AC269" t="n">
        <v>8</v>
      </c>
      <c r="AD269" t="inlineStr">
        <is>
          <t>The student's submission mostly follows the reference solution but contains some errors. The dataset class and DataLoaders are correctly implemented, and sample images and masks are displayed. However, the model is defined with 5 classes instead of 8, which is a critical error. The training and validation loops are implemented correctly, and the loss curve is plotted. The predictions are visualized, but the model's performance is likely affected by the incorrect number of classes.</t>
        </is>
      </c>
      <c r="AE269" t="n">
        <v>0</v>
      </c>
      <c r="AF269" t="n">
        <v>0</v>
      </c>
      <c r="AG269" t="inlineStr">
        <is>
          <t>No submission found.</t>
        </is>
      </c>
      <c r="AH269" t="n">
        <v>15.5</v>
      </c>
      <c r="AI269" t="n">
        <v>0</v>
      </c>
    </row>
    <row r="270">
      <c r="A270" t="n">
        <v>269</v>
      </c>
      <c r="B270" t="inlineStr">
        <is>
          <t>TA_5</t>
        </is>
      </c>
      <c r="C270" t="inlineStr">
        <is>
          <t>TA_15</t>
        </is>
      </c>
      <c r="D270" t="n">
        <v>12</v>
      </c>
      <c r="E270" t="n">
        <v>4</v>
      </c>
      <c r="F270" t="n">
        <v>11</v>
      </c>
      <c r="G270" t="n">
        <v>1</v>
      </c>
      <c r="H270" t="n">
        <v>6.5</v>
      </c>
      <c r="I270" t="n">
        <v>0</v>
      </c>
      <c r="J270" t="n">
        <v>10.5</v>
      </c>
      <c r="K270" t="n">
        <v>4</v>
      </c>
      <c r="L270" t="n">
        <v>11</v>
      </c>
      <c r="M270" t="n">
        <v>1.5</v>
      </c>
      <c r="N270" t="n">
        <v>8.25</v>
      </c>
      <c r="O270" t="n">
        <v>0</v>
      </c>
      <c r="P270">
        <f>Table1[[#This Row],[TA 1 - Q1 Score]]+Table1[[#This Row],[TA 1 - Q2 Score]]+Table1[[#This Row],[TA 1 - Q3 Score]]</f>
        <v/>
      </c>
      <c r="Q270">
        <f>Table1[[#This Row],[TA 1 - Q1 Bonus]]+Table1[[#This Row],[TA 1 - Q2 Bonus]]+Table1[[#This Row],[TA 1 - Q4 Bonus]]</f>
        <v/>
      </c>
      <c r="R270">
        <f>Table1[[#This Row],[TA 2 - Q1 Score]]+Table1[[#This Row],[TA 2 - Q2 Score]]+Table1[[#This Row],[TA 2 - Q3 Score]]</f>
        <v/>
      </c>
      <c r="S270">
        <f>Table1[[#This Row],[TA 2 - Q1 Bonus]]+Table1[[#This Row],[TA 2 - Q2 Bonus]]+Table1[[#This Row],[TA 2 - Q4 Bonus]]</f>
        <v/>
      </c>
      <c r="T270">
        <f>(Table1[[#This Row],[TA 1 - Total Score (out of 35)]]+Table1[[#This Row],[TA 2 - Total Score (out of 35)]])/2</f>
        <v/>
      </c>
      <c r="U270">
        <f>(Table1[[#This Row],[TA 1 - Total Bonus (out of 13)]]+Table1[[#This Row],[TA 2 - Total Bonus (out of 13)]])/2</f>
        <v/>
      </c>
      <c r="V270">
        <f>Table1[[#This Row],[Average Questions]]/35*20+Table1[[#This Row],[Average Bonus]]/13*5</f>
        <v/>
      </c>
      <c r="W270" t="n">
        <v>7</v>
      </c>
      <c r="X270" t="n">
        <v>0</v>
      </c>
      <c r="Y270" t="inlineStr">
        <is>
          <t>The student completed most tasks with minor issues. The data loading and preparation were mostly correct, but the image display had a warning due to incorrect channel handling. The model loading and adaptation were accurate, but the student froze all parameters instead of just the backbone. The training and validation loops had logical errors, particularly in adjusting labels and computing outputs. The plotting was correct, but the bonus task was not implemented properly.</t>
        </is>
      </c>
      <c r="Z270" t="n">
        <v>8.5</v>
      </c>
      <c r="AA270" t="n">
        <v>0</v>
      </c>
      <c r="AB270" t="inlineStr">
        <is>
          <t>The student successfully loaded and prepared the data with the correct transformations and displayed sample images. The CNN model was built with five convolutional layers and batch normalization, though the final layer had more fully connected layers than required. The training and validation loops were implemented correctly, and the model was trained and plotted. However, the bonus task was not completed as the residual connection was not properly defined or implemented.</t>
        </is>
      </c>
      <c r="AC270" t="n">
        <v>5</v>
      </c>
      <c r="AD270" t="inlineStr">
        <is>
          <t>The student's submission partially completes several tasks but contains significant errors. Task 1 is mostly correct with minor issues in dataset class implementation and DataLoader creation. Task 2 has an error in specifying the number of classes for the U-Net model. Task 3 is incorrect due to improper handling of mask data types and loss functions. Task 4 has issues with the loss function choice and model training setup. Task 5 is partially correct but uses a binary threshold for multi-class segmentation, which is incorrect.</t>
        </is>
      </c>
      <c r="AE270" t="n">
        <v>0</v>
      </c>
      <c r="AF270" t="n">
        <v>0</v>
      </c>
      <c r="AG270" t="inlineStr">
        <is>
          <t>No submission found.</t>
        </is>
      </c>
      <c r="AH270" t="n">
        <v>20.5</v>
      </c>
      <c r="AI270" t="n">
        <v>0</v>
      </c>
    </row>
    <row r="271">
      <c r="A271" t="n">
        <v>270</v>
      </c>
      <c r="B271" t="inlineStr">
        <is>
          <t>TA_5</t>
        </is>
      </c>
      <c r="C271" t="inlineStr">
        <is>
          <t>TA_15</t>
        </is>
      </c>
      <c r="D271" t="n">
        <v>12</v>
      </c>
      <c r="E271" t="n">
        <v>4</v>
      </c>
      <c r="F271" t="n">
        <v>11</v>
      </c>
      <c r="G271" t="n">
        <v>4</v>
      </c>
      <c r="H271" t="n">
        <v>12</v>
      </c>
      <c r="I271" t="n">
        <v>5</v>
      </c>
      <c r="J271" t="n">
        <v>12</v>
      </c>
      <c r="K271" t="n">
        <v>4</v>
      </c>
      <c r="L271" t="n">
        <v>11</v>
      </c>
      <c r="M271" t="n">
        <v>4</v>
      </c>
      <c r="N271" t="n">
        <v>12</v>
      </c>
      <c r="O271" t="n">
        <v>5</v>
      </c>
      <c r="P271">
        <f>Table1[[#This Row],[TA 1 - Q1 Score]]+Table1[[#This Row],[TA 1 - Q2 Score]]+Table1[[#This Row],[TA 1 - Q3 Score]]</f>
        <v/>
      </c>
      <c r="Q271">
        <f>Table1[[#This Row],[TA 1 - Q1 Bonus]]+Table1[[#This Row],[TA 1 - Q2 Bonus]]+Table1[[#This Row],[TA 1 - Q4 Bonus]]</f>
        <v/>
      </c>
      <c r="R271">
        <f>Table1[[#This Row],[TA 2 - Q1 Score]]+Table1[[#This Row],[TA 2 - Q2 Score]]+Table1[[#This Row],[TA 2 - Q3 Score]]</f>
        <v/>
      </c>
      <c r="S271">
        <f>Table1[[#This Row],[TA 2 - Q1 Bonus]]+Table1[[#This Row],[TA 2 - Q2 Bonus]]+Table1[[#This Row],[TA 2 - Q4 Bonus]]</f>
        <v/>
      </c>
      <c r="T271">
        <f>(Table1[[#This Row],[TA 1 - Total Score (out of 35)]]+Table1[[#This Row],[TA 2 - Total Score (out of 35)]])/2</f>
        <v/>
      </c>
      <c r="U271">
        <f>(Table1[[#This Row],[TA 1 - Total Bonus (out of 13)]]+Table1[[#This Row],[TA 2 - Total Bonus (out of 13)]])/2</f>
        <v/>
      </c>
      <c r="V271">
        <f>Table1[[#This Row],[Average Questions]]/35*20+Table1[[#This Row],[Average Bonus]]/13*5</f>
        <v/>
      </c>
      <c r="W271" t="n">
        <v>11</v>
      </c>
      <c r="X271" t="n">
        <v>4</v>
      </c>
      <c r="Y271" t="inlineStr">
        <is>
          <t>The student's submission is mostly correct and runs end-to-end. They completed all required tasks with minor issues. In Part 1, the transforms and DataLoaders were correctly implemented, and sample images were displayed. In Part 2, the pretrained EfficientNetV2-Small model was loaded, the backbone was frozen, and the classifier head was replaced correctly. In Part 3, both training and validation loops were defined, and label fixing was done properly. In Part 4, the model was set up, trained, and the training and validation losses and accuracies were plotted. For the bonus task in Part 5, the student correctly implemented test time augmentation by averaging predictions from original, horizontally flipped, and vertically flipped images.</t>
        </is>
      </c>
      <c r="Z271" t="n">
        <v>9</v>
      </c>
      <c r="AA271" t="n">
        <v>3</v>
      </c>
      <c r="AB271" t="inlineStr">
        <is>
          <t>The student successfully completed most tasks, including loading and preparing the data, building the CNN model with batch normalization, defining training and validation loops, and training the model. However, the student used a batch size of 64 instead of the reference solution's 32, which may affect performance. In the bonus part, the student correctly implemented a residual connection from the second to the fourth convolutional layer and retrained the model, earning full bonus points.</t>
        </is>
      </c>
      <c r="AC271" t="n">
        <v>8.5</v>
      </c>
      <c r="AD271" t="inlineStr">
        <is>
          <t>The student's submission demonstrates a good understanding of the tasks but contains some minor issues. The dataset class is implemented correctly with proper image and mask pairing, and the data loaders are set up properly. However, the image normalization is missing. The model class uses the correct encoder ('efficientnet-b1') as specified. The training and validation loops are implemented but contain logical errors in loss calculation, as they do not account for the batch size correctly. The training process defines the loss and optimizer correctly and prints the losses, but the plot is not labeled. The visualization of predictions is mostly correct but could benefit from better image denormalization.</t>
        </is>
      </c>
      <c r="AE271" t="n">
        <v>0</v>
      </c>
      <c r="AF271" t="n">
        <v>5</v>
      </c>
      <c r="AG271" t="inlineStr">
        <is>
          <t>The student's implementation of the ColorizationDataset class is correct and runs perfectly, producing the expected output. The rgb_to_grayscale method uses a valid formula and maintains the correct dimensions. The __getitem__ method returns the correct (grayscale, color) tuple. Visualization is also correctly implemented. Therefore, the student receives full bonus points for this task.</t>
        </is>
      </c>
      <c r="AH271" t="n">
        <v>28.5</v>
      </c>
      <c r="AI271" t="n">
        <v>12</v>
      </c>
    </row>
    <row r="272">
      <c r="A272" t="n">
        <v>271</v>
      </c>
      <c r="B272" t="inlineStr">
        <is>
          <t>TA_5</t>
        </is>
      </c>
      <c r="C272" t="inlineStr">
        <is>
          <t>TA_15</t>
        </is>
      </c>
      <c r="D272" t="n">
        <v>12</v>
      </c>
      <c r="E272" t="n">
        <v>4</v>
      </c>
      <c r="F272" t="n">
        <v>11</v>
      </c>
      <c r="G272" t="n">
        <v>4</v>
      </c>
      <c r="H272" t="n">
        <v>12</v>
      </c>
      <c r="I272" t="n">
        <v>5</v>
      </c>
      <c r="J272" t="n">
        <v>12</v>
      </c>
      <c r="K272" t="n">
        <v>4</v>
      </c>
      <c r="L272" t="n">
        <v>11</v>
      </c>
      <c r="M272" t="n">
        <v>4</v>
      </c>
      <c r="N272" t="n">
        <v>12</v>
      </c>
      <c r="O272" t="n">
        <v>5</v>
      </c>
      <c r="P272">
        <f>Table1[[#This Row],[TA 1 - Q1 Score]]+Table1[[#This Row],[TA 1 - Q2 Score]]+Table1[[#This Row],[TA 1 - Q3 Score]]</f>
        <v/>
      </c>
      <c r="Q272">
        <f>Table1[[#This Row],[TA 1 - Q1 Bonus]]+Table1[[#This Row],[TA 1 - Q2 Bonus]]+Table1[[#This Row],[TA 1 - Q4 Bonus]]</f>
        <v/>
      </c>
      <c r="R272">
        <f>Table1[[#This Row],[TA 2 - Q1 Score]]+Table1[[#This Row],[TA 2 - Q2 Score]]+Table1[[#This Row],[TA 2 - Q3 Score]]</f>
        <v/>
      </c>
      <c r="S272">
        <f>Table1[[#This Row],[TA 2 - Q1 Bonus]]+Table1[[#This Row],[TA 2 - Q2 Bonus]]+Table1[[#This Row],[TA 2 - Q4 Bonus]]</f>
        <v/>
      </c>
      <c r="T272">
        <f>(Table1[[#This Row],[TA 1 - Total Score (out of 35)]]+Table1[[#This Row],[TA 2 - Total Score (out of 35)]])/2</f>
        <v/>
      </c>
      <c r="U272">
        <f>(Table1[[#This Row],[TA 1 - Total Bonus (out of 13)]]+Table1[[#This Row],[TA 2 - Total Bonus (out of 13)]])/2</f>
        <v/>
      </c>
      <c r="V272">
        <f>Table1[[#This Row],[Average Questions]]/35*20+Table1[[#This Row],[Average Bonus]]/13*5</f>
        <v/>
      </c>
      <c r="W272" t="n">
        <v>11.5</v>
      </c>
      <c r="X272" t="n">
        <v>4</v>
      </c>
      <c r="Y272" t="inlineStr">
        <is>
          <t>The student completed all required tasks with minor issues. The transforms were correctly defined, and DataLoaders were set up properly. Sample images were displayed accurately. The pretrained EfficientNetV2-Small model was loaded and adapted correctly, with the backbone frozen and the classifier head replaced. The training and validation loops were implemented with label fixing, and the model trained and plotted correctly. The bonus task for Test Time Augmentation was also correctly implemented, averaging predictions from original, horizontally flipped, and vertically flipped images.</t>
        </is>
      </c>
      <c r="Z272" t="n">
        <v>8.5</v>
      </c>
      <c r="AA272" t="n">
        <v>1</v>
      </c>
      <c r="AB272" t="inlineStr">
        <is>
          <t>The student successfully loaded and prepared the data with correct transformations and displayed sample images. The CNN model was built with 5 convolutional layers and batch normalization, though the number of channels and final fully connected layer dimensions differ from the reference. Training and validation functions were implemented correctly, and the model was trained and plotted. The bonus task included a residual connection, but the model architecture had minor issues with channel dimensions, and the plots were not compared to the original model.</t>
        </is>
      </c>
      <c r="AC272" t="n">
        <v>8</v>
      </c>
      <c r="AD272" t="inlineStr">
        <is>
          <t>The student's submission includes most of the required tasks with some minor issues. The dataset class is implemented correctly, but the mask loading and resizing could be improved. The model class uses the correct architecture but the encoder name specified in the task is 'efficientnet-b1', not 'efficientnet-b0'. The training and validation loops are mostly correct but the validation loop uses the training loader instead of a separate validation loader. The training process is executed with the correct loss and optimizer, and the loss curve is plotted. Predictions are visualized correctly against the ground truth.</t>
        </is>
      </c>
      <c r="AE272" t="n">
        <v>0</v>
      </c>
      <c r="AF272" t="n">
        <v>0</v>
      </c>
      <c r="AG272" t="inlineStr">
        <is>
          <t>The student's implementation contains a logical mistake in the `rgb_to_grayscale` method. Instead of correctly indexing the channels, the student used slicing which results in incorrect dimensions. This prevents the code from running correctly and producing the expected output.</t>
        </is>
      </c>
      <c r="AH272" t="n">
        <v>28</v>
      </c>
      <c r="AI272" t="n">
        <v>5</v>
      </c>
    </row>
    <row r="273">
      <c r="A273" t="n">
        <v>272</v>
      </c>
      <c r="B273" t="inlineStr">
        <is>
          <t>TA_5</t>
        </is>
      </c>
      <c r="C273" t="inlineStr">
        <is>
          <t>TA_15</t>
        </is>
      </c>
      <c r="D273" t="n">
        <v>4</v>
      </c>
      <c r="E273" t="n">
        <v>0</v>
      </c>
      <c r="F273" t="n">
        <v>4</v>
      </c>
      <c r="G273" t="n">
        <v>0</v>
      </c>
      <c r="H273" t="n">
        <v>5.5</v>
      </c>
      <c r="I273" t="n">
        <v>0</v>
      </c>
      <c r="J273" t="n">
        <v>3.25</v>
      </c>
      <c r="K273" t="n">
        <v>0</v>
      </c>
      <c r="L273" t="n">
        <v>5.5</v>
      </c>
      <c r="M273" t="n">
        <v>0</v>
      </c>
      <c r="N273" t="n">
        <v>6</v>
      </c>
      <c r="O273" t="n">
        <v>0</v>
      </c>
      <c r="P273">
        <f>Table1[[#This Row],[TA 1 - Q1 Score]]+Table1[[#This Row],[TA 1 - Q2 Score]]+Table1[[#This Row],[TA 1 - Q3 Score]]</f>
        <v/>
      </c>
      <c r="Q273">
        <f>Table1[[#This Row],[TA 1 - Q1 Bonus]]+Table1[[#This Row],[TA 1 - Q2 Bonus]]+Table1[[#This Row],[TA 1 - Q4 Bonus]]</f>
        <v/>
      </c>
      <c r="R273">
        <f>Table1[[#This Row],[TA 2 - Q1 Score]]+Table1[[#This Row],[TA 2 - Q2 Score]]+Table1[[#This Row],[TA 2 - Q3 Score]]</f>
        <v/>
      </c>
      <c r="S273">
        <f>Table1[[#This Row],[TA 2 - Q1 Bonus]]+Table1[[#This Row],[TA 2 - Q2 Bonus]]+Table1[[#This Row],[TA 2 - Q4 Bonus]]</f>
        <v/>
      </c>
      <c r="T273">
        <f>(Table1[[#This Row],[TA 1 - Total Score (out of 35)]]+Table1[[#This Row],[TA 2 - Total Score (out of 35)]])/2</f>
        <v/>
      </c>
      <c r="U273">
        <f>(Table1[[#This Row],[TA 1 - Total Bonus (out of 13)]]+Table1[[#This Row],[TA 2 - Total Bonus (out of 13)]])/2</f>
        <v/>
      </c>
      <c r="V273">
        <f>Table1[[#This Row],[Average Questions]]/35*20+Table1[[#This Row],[Average Bonus]]/13*5</f>
        <v/>
      </c>
      <c r="W273" t="n">
        <v>2</v>
      </c>
      <c r="X273" t="n">
        <v>0</v>
      </c>
      <c r="Y273" t="inlineStr">
        <is>
          <t>The student partially completed the tasks but made several mistakes. In Part 1, the resize transformation was missing. In Part 2, the student loaded the wrong model (EfficientNetV2-M instead of EfficientNetV2-Small) and incorrectly modified the classifier to have 12 classes instead of 26. In Part 3, the training and validation loops had issues, including squeezing the model outputs and using softmax unnecessarily. In Part 4, the student used an undefined DataLoader (`valid_loader`) and did not plot the accuracy curves correctly. No bonus tasks were attempted.</t>
        </is>
      </c>
      <c r="Z273" t="n">
        <v>5</v>
      </c>
      <c r="AA273" t="n">
        <v>0</v>
      </c>
      <c r="AB273" t="inlineStr">
        <is>
          <t>The student partially completed the tasks. They created a custom Dataset class and DataLoaders with the correct transformations, but the test DataLoader used a different image size (224x224 instead of 32x32). The CNN model had only 5 convolutional layers but did not include Batch Normalization. The training and validation loops were implemented correctly, but the model was not trained on the correct test DataLoader. No bonus tasks were attempted.</t>
        </is>
      </c>
      <c r="AC273" t="n">
        <v>5</v>
      </c>
      <c r="AD273" t="inlineStr">
        <is>
          <t>The student partially completed the tasks with some syntax and logical errors. The dataset class is mostly correct but uses incorrect directory paths and does not sort the image and mask paths. The DataLoader creation is correct. Sample images and masks are displayed properly. The model class uses the wrong number of classes (5 instead of 8). The training and validation loops contain errors in handling the masks, converting them to float instead of squeezing the channel dimension. The loss and optimizer are defined correctly, but the training loop does not run due to the previous issues.</t>
        </is>
      </c>
      <c r="AE273" t="n">
        <v>0</v>
      </c>
      <c r="AF273" t="n">
        <v>0</v>
      </c>
      <c r="AG273" t="inlineStr">
        <is>
          <t>The student did not implement the required methods in the `ColorizationDataset` class. The `rgb_to_grayscale` method is left as a `pass` statement without any implementation. The `__getitem__` method contains incorrect and incomplete code, attempting to open and convert an image which is not applicable here. The visualization and DataLoader tests were not executed due to these issues.</t>
        </is>
      </c>
      <c r="AH273" t="n">
        <v>12</v>
      </c>
      <c r="AI273" t="n">
        <v>0</v>
      </c>
    </row>
    <row r="274">
      <c r="A274" t="n">
        <v>273</v>
      </c>
      <c r="B274" t="inlineStr">
        <is>
          <t>TA_5</t>
        </is>
      </c>
      <c r="C274" t="inlineStr">
        <is>
          <t>TA_15</t>
        </is>
      </c>
      <c r="D274" t="n">
        <v>9</v>
      </c>
      <c r="E274" t="n">
        <v>0</v>
      </c>
      <c r="F274" t="n">
        <v>6.5</v>
      </c>
      <c r="G274" t="n">
        <v>0</v>
      </c>
      <c r="H274" t="n">
        <v>3.5</v>
      </c>
      <c r="I274" t="n">
        <v>0</v>
      </c>
      <c r="J274" t="n">
        <v>6.5</v>
      </c>
      <c r="K274" t="n">
        <v>0</v>
      </c>
      <c r="L274" t="n">
        <v>6.5</v>
      </c>
      <c r="M274" t="n">
        <v>0</v>
      </c>
      <c r="N274" t="n">
        <v>3.75</v>
      </c>
      <c r="O274" t="n">
        <v>0</v>
      </c>
      <c r="P274">
        <f>Table1[[#This Row],[TA 1 - Q1 Score]]+Table1[[#This Row],[TA 1 - Q2 Score]]+Table1[[#This Row],[TA 1 - Q3 Score]]</f>
        <v/>
      </c>
      <c r="Q274">
        <f>Table1[[#This Row],[TA 1 - Q1 Bonus]]+Table1[[#This Row],[TA 1 - Q2 Bonus]]+Table1[[#This Row],[TA 1 - Q4 Bonus]]</f>
        <v/>
      </c>
      <c r="R274">
        <f>Table1[[#This Row],[TA 2 - Q1 Score]]+Table1[[#This Row],[TA 2 - Q2 Score]]+Table1[[#This Row],[TA 2 - Q3 Score]]</f>
        <v/>
      </c>
      <c r="S274">
        <f>Table1[[#This Row],[TA 2 - Q1 Bonus]]+Table1[[#This Row],[TA 2 - Q2 Bonus]]+Table1[[#This Row],[TA 2 - Q4 Bonus]]</f>
        <v/>
      </c>
      <c r="T274">
        <f>(Table1[[#This Row],[TA 1 - Total Score (out of 35)]]+Table1[[#This Row],[TA 2 - Total Score (out of 35)]])/2</f>
        <v/>
      </c>
      <c r="U274">
        <f>(Table1[[#This Row],[TA 1 - Total Bonus (out of 13)]]+Table1[[#This Row],[TA 2 - Total Bonus (out of 13)]])/2</f>
        <v/>
      </c>
      <c r="V274">
        <f>Table1[[#This Row],[Average Questions]]/35*20+Table1[[#This Row],[Average Bonus]]/13*5</f>
        <v/>
      </c>
      <c r="W274" t="n">
        <v>5</v>
      </c>
      <c r="X274" t="n">
        <v>0</v>
      </c>
      <c r="Y274" t="inlineStr">
        <is>
          <t>The student completed the data loading and transformation tasks correctly, including resizing, converting to tensor, and normalizing the images. However, the data display section had issues as the images were not denormalized for proper visualization. In the model adaptation part, the student froze all parameters instead of just the backbone, and incorrectly subtracted 1 from the images tensor in the training loop rather than the labels. The training and validation loops were partially correct but contained logical errors. No bonus task was attempted.</t>
        </is>
      </c>
      <c r="Z274" t="n">
        <v>3</v>
      </c>
      <c r="AA274" t="n">
        <v>0</v>
      </c>
      <c r="AB274" t="inlineStr">
        <is>
          <t>The student partially completed several tasks but made significant errors. They correctly set up the dataset and DataLoaders with the required transformations, earning 1.5 points. However, the CNN model defined has only one convolutional layer instead of five, and it lacks batch normalization, resulting in 0 points for this part. The training and validation functions were implemented but did not calculate and return accuracy, earning 0.25 points. The model training section was incomplete, missing the collection of accuracy metrics, earning 0.25 points. No bonus task was attempted.</t>
        </is>
      </c>
      <c r="AC274" t="n">
        <v>2</v>
      </c>
      <c r="AD274" t="inlineStr">
        <is>
          <t>The student attempted Task 1 by creating a custom dataset class, but used a CSV file for metadata instead of directly accessing image and mask files. Task 2 was partially completed with the correct model definition but incorrect number of classes. Tasks 3, 4, and 5 were not fully implemented, with missing or incorrect code for training loops, loss functions, optimizers, and visualization.</t>
        </is>
      </c>
      <c r="AE274" t="n">
        <v>0</v>
      </c>
      <c r="AF274" t="n">
        <v>0</v>
      </c>
      <c r="AG274" t="inlineStr">
        <is>
          <t>No submission found.</t>
        </is>
      </c>
      <c r="AH274" t="n">
        <v>10</v>
      </c>
      <c r="AI274" t="n">
        <v>0</v>
      </c>
    </row>
    <row r="275">
      <c r="A275" t="n">
        <v>274</v>
      </c>
      <c r="B275" t="inlineStr">
        <is>
          <t>TA_5</t>
        </is>
      </c>
      <c r="C275" t="inlineStr">
        <is>
          <t>TA_15</t>
        </is>
      </c>
      <c r="D275" t="n">
        <v>10</v>
      </c>
      <c r="E275" t="n">
        <v>0</v>
      </c>
      <c r="F275" t="n">
        <v>8</v>
      </c>
      <c r="G275" t="n">
        <v>0</v>
      </c>
      <c r="H275" t="n">
        <v>7.5</v>
      </c>
      <c r="I275" t="n">
        <v>0</v>
      </c>
      <c r="J275" t="n">
        <v>7.5</v>
      </c>
      <c r="K275" t="n">
        <v>0</v>
      </c>
      <c r="L275" t="n">
        <v>10.5</v>
      </c>
      <c r="M275" t="n">
        <v>0</v>
      </c>
      <c r="N275" t="n">
        <v>5.25</v>
      </c>
      <c r="O275" t="n">
        <v>0</v>
      </c>
      <c r="P275">
        <f>Table1[[#This Row],[TA 1 - Q1 Score]]+Table1[[#This Row],[TA 1 - Q2 Score]]+Table1[[#This Row],[TA 1 - Q3 Score]]</f>
        <v/>
      </c>
      <c r="Q275">
        <f>Table1[[#This Row],[TA 1 - Q1 Bonus]]+Table1[[#This Row],[TA 1 - Q2 Bonus]]+Table1[[#This Row],[TA 1 - Q4 Bonus]]</f>
        <v/>
      </c>
      <c r="R275">
        <f>Table1[[#This Row],[TA 2 - Q1 Score]]+Table1[[#This Row],[TA 2 - Q2 Score]]+Table1[[#This Row],[TA 2 - Q3 Score]]</f>
        <v/>
      </c>
      <c r="S275">
        <f>Table1[[#This Row],[TA 2 - Q1 Bonus]]+Table1[[#This Row],[TA 2 - Q2 Bonus]]+Table1[[#This Row],[TA 2 - Q4 Bonus]]</f>
        <v/>
      </c>
      <c r="T275">
        <f>(Table1[[#This Row],[TA 1 - Total Score (out of 35)]]+Table1[[#This Row],[TA 2 - Total Score (out of 35)]])/2</f>
        <v/>
      </c>
      <c r="U275">
        <f>(Table1[[#This Row],[TA 1 - Total Bonus (out of 13)]]+Table1[[#This Row],[TA 2 - Total Bonus (out of 13)]])/2</f>
        <v/>
      </c>
      <c r="V275">
        <f>Table1[[#This Row],[Average Questions]]/35*20+Table1[[#This Row],[Average Bonus]]/13*5</f>
        <v/>
      </c>
      <c r="W275" t="n">
        <v>10.5</v>
      </c>
      <c r="X275" t="n">
        <v>0</v>
      </c>
      <c r="Y275" t="inlineStr">
        <is>
          <t>The student completed most tasks correctly. The data loading and preparation were accurate, including the necessary transformations and DataLoader creation. Sample images were displayed correctly. The pretrained EfficientNetV2-Small model was loaded and adapted properly, with the backbone frozen and the classifier head replaced. The training and validation loops were implemented correctly, with label adjustments made. However, the student did not implement the bonus task for Test Time Augmentation.</t>
        </is>
      </c>
      <c r="Z275" t="n">
        <v>8.5</v>
      </c>
      <c r="AA275" t="n">
        <v>0</v>
      </c>
      <c r="AB275" t="inlineStr">
        <is>
          <t>The student successfully completed most tasks with minor issues. The data loading and preparation section had a small mistake in the DataLoader shuffle parameter for the test set, which should be False. The CNN model was built with 5 convolutional layers and batch normalization, earning full points. The training and validation loops were implemented correctly, and the model was trained and plotted accurately. However, the bonus task was not attempted.</t>
        </is>
      </c>
      <c r="AC275" t="n">
        <v>2</v>
      </c>
      <c r="AD275" t="inlineStr">
        <is>
          <t>The student attempted most tasks but made significant errors. In Task 1, the dataset class has issues with attribute initialization and file path handling. The DataLoader creation is missing dataset definitions. Task 2 incorrectly sets the number of classes to 1 instead of 8 and uses the wrong encoder. Task 3 has incorrect loss function and mask handling. Task 4 and Task 5 are not fully implemented, with Task 4 missing dataset definitions and Task 5 not displaying predictions.</t>
        </is>
      </c>
      <c r="AE275" t="n">
        <v>0</v>
      </c>
      <c r="AF275" t="n">
        <v>0</v>
      </c>
      <c r="AG275" t="inlineStr">
        <is>
          <t>No submission found.</t>
        </is>
      </c>
      <c r="AH275" t="n">
        <v>21</v>
      </c>
      <c r="AI275" t="n">
        <v>0</v>
      </c>
    </row>
    <row r="276">
      <c r="A276" t="n">
        <v>275</v>
      </c>
      <c r="B276" t="inlineStr">
        <is>
          <t>TA_5</t>
        </is>
      </c>
      <c r="C276" t="inlineStr">
        <is>
          <t>TA_15</t>
        </is>
      </c>
      <c r="D276" t="n">
        <v>11</v>
      </c>
      <c r="E276" t="n">
        <v>0</v>
      </c>
      <c r="F276" t="n">
        <v>9</v>
      </c>
      <c r="G276" t="n">
        <v>0</v>
      </c>
      <c r="H276" t="n">
        <v>10</v>
      </c>
      <c r="I276" t="n">
        <v>0</v>
      </c>
      <c r="J276" t="n">
        <v>10.5</v>
      </c>
      <c r="K276" t="n">
        <v>0</v>
      </c>
      <c r="L276" t="n">
        <v>9</v>
      </c>
      <c r="M276" t="n">
        <v>0</v>
      </c>
      <c r="N276" t="n">
        <v>10.5</v>
      </c>
      <c r="O276" t="n">
        <v>0</v>
      </c>
      <c r="P276">
        <f>Table1[[#This Row],[TA 1 - Q1 Score]]+Table1[[#This Row],[TA 1 - Q2 Score]]+Table1[[#This Row],[TA 1 - Q3 Score]]</f>
        <v/>
      </c>
      <c r="Q276">
        <f>Table1[[#This Row],[TA 1 - Q1 Bonus]]+Table1[[#This Row],[TA 1 - Q2 Bonus]]+Table1[[#This Row],[TA 1 - Q4 Bonus]]</f>
        <v/>
      </c>
      <c r="R276">
        <f>Table1[[#This Row],[TA 2 - Q1 Score]]+Table1[[#This Row],[TA 2 - Q2 Score]]+Table1[[#This Row],[TA 2 - Q3 Score]]</f>
        <v/>
      </c>
      <c r="S276">
        <f>Table1[[#This Row],[TA 2 - Q1 Bonus]]+Table1[[#This Row],[TA 2 - Q2 Bonus]]+Table1[[#This Row],[TA 2 - Q4 Bonus]]</f>
        <v/>
      </c>
      <c r="T276">
        <f>(Table1[[#This Row],[TA 1 - Total Score (out of 35)]]+Table1[[#This Row],[TA 2 - Total Score (out of 35)]])/2</f>
        <v/>
      </c>
      <c r="U276">
        <f>(Table1[[#This Row],[TA 1 - Total Bonus (out of 13)]]+Table1[[#This Row],[TA 2 - Total Bonus (out of 13)]])/2</f>
        <v/>
      </c>
      <c r="V276">
        <f>Table1[[#This Row],[Average Questions]]/35*20+Table1[[#This Row],[Average Bonus]]/13*5</f>
        <v/>
      </c>
      <c r="W276" t="n">
        <v>8.5</v>
      </c>
      <c r="X276" t="n">
        <v>0</v>
      </c>
      <c r="Y276" t="inlineStr">
        <is>
          <t>The student completed most tasks correctly but made some minor mistakes. The data loading and preparation were mostly correct, with proper transformations and DataLoader creation. Sample images were displayed, though the batch size was smaller than in the reference. The model loading and adaptation were correct, with the backbone frozen and the classifier replaced. However, the training and validation loops had issues: the validation loop incorrectly placed the labels adjustment outside the loop, causing a runtime error. The training loop was mostly correct but used a lower learning rate and fewer epochs. No bonus task was attempted.</t>
        </is>
      </c>
      <c r="Z276" t="n">
        <v>7</v>
      </c>
      <c r="AA276" t="n">
        <v>0</v>
      </c>
      <c r="AB276" t="inlineStr">
        <is>
          <t>The student implemented a custom dataset class and used the correct transformations, including RandomRotation and resizing to 32x32, earning full marks for Part 1. The CNN model has 5 convolutional layers but does not include batch normalization, resulting in 50% for Part 2. Both training and validation loops are correctly defined, earning full marks for Part 3. The model setup, training, and plotting of losses and accuracies are mostly correct, though the number of epochs is reduced to 5, earning 50% for Part 4. No bonus task was attempted.</t>
        </is>
      </c>
      <c r="AC276" t="n">
        <v>4</v>
      </c>
      <c r="AD276" t="inlineStr">
        <is>
          <t>The student attempted most tasks but made significant errors. The dataset class and transformations were mostly correct, but the DataLoader setup was incorrect due to improper handling of datasets. The model definition used the correct architecture but had a typo in the dataset name. Training and validation loops were implemented correctly, but the loss and optimizer were not defined properly, leading to incorrect training. Visualization of predictions was attempted but failed due to incorrect handling of image and mask data.</t>
        </is>
      </c>
      <c r="AE276" t="n">
        <v>0</v>
      </c>
      <c r="AF276" t="n">
        <v>0</v>
      </c>
      <c r="AG276" t="inlineStr">
        <is>
          <t>No submission found.</t>
        </is>
      </c>
      <c r="AH276" t="n">
        <v>19.5</v>
      </c>
      <c r="AI276" t="n">
        <v>0</v>
      </c>
    </row>
    <row r="277">
      <c r="A277" t="n">
        <v>276</v>
      </c>
      <c r="B277" t="inlineStr">
        <is>
          <t>TA_5</t>
        </is>
      </c>
      <c r="C277" t="inlineStr">
        <is>
          <t>TA_15</t>
        </is>
      </c>
      <c r="D277" t="n">
        <v>11</v>
      </c>
      <c r="E277" t="n">
        <v>0</v>
      </c>
      <c r="F277" t="n">
        <v>9</v>
      </c>
      <c r="G277" t="n">
        <v>0</v>
      </c>
      <c r="H277" t="n">
        <v>12</v>
      </c>
      <c r="I277" t="n">
        <v>0</v>
      </c>
      <c r="J277" t="n">
        <v>7.25</v>
      </c>
      <c r="K277" t="n">
        <v>0</v>
      </c>
      <c r="L277" t="n">
        <v>8.5</v>
      </c>
      <c r="M277" t="n">
        <v>0</v>
      </c>
      <c r="N277" t="n">
        <v>10.5</v>
      </c>
      <c r="O277" t="n">
        <v>0</v>
      </c>
      <c r="P277">
        <f>Table1[[#This Row],[TA 1 - Q1 Score]]+Table1[[#This Row],[TA 1 - Q2 Score]]+Table1[[#This Row],[TA 1 - Q3 Score]]</f>
        <v/>
      </c>
      <c r="Q277">
        <f>Table1[[#This Row],[TA 1 - Q1 Bonus]]+Table1[[#This Row],[TA 1 - Q2 Bonus]]+Table1[[#This Row],[TA 1 - Q4 Bonus]]</f>
        <v/>
      </c>
      <c r="R277">
        <f>Table1[[#This Row],[TA 2 - Q1 Score]]+Table1[[#This Row],[TA 2 - Q2 Score]]+Table1[[#This Row],[TA 2 - Q3 Score]]</f>
        <v/>
      </c>
      <c r="S277">
        <f>Table1[[#This Row],[TA 2 - Q1 Bonus]]+Table1[[#This Row],[TA 2 - Q2 Bonus]]+Table1[[#This Row],[TA 2 - Q4 Bonus]]</f>
        <v/>
      </c>
      <c r="T277">
        <f>(Table1[[#This Row],[TA 1 - Total Score (out of 35)]]+Table1[[#This Row],[TA 2 - Total Score (out of 35)]])/2</f>
        <v/>
      </c>
      <c r="U277">
        <f>(Table1[[#This Row],[TA 1 - Total Bonus (out of 13)]]+Table1[[#This Row],[TA 2 - Total Bonus (out of 13)]])/2</f>
        <v/>
      </c>
      <c r="V277">
        <f>Table1[[#This Row],[Average Questions]]/35*20+Table1[[#This Row],[Average Bonus]]/13*5</f>
        <v/>
      </c>
      <c r="W277" t="n">
        <v>8.5</v>
      </c>
      <c r="X277" t="n">
        <v>0</v>
      </c>
      <c r="Y277" t="inlineStr">
        <is>
          <t>The student completed most tasks correctly but made several minor mistakes. In Part 1, the transforms were mostly correct but the batch size in DataLoaders was smaller than the reference solution. In Part 2, the model was loaded and modified correctly, but the backbone was not explicitly frozen. In Part 3, the training and validation loops were implemented correctly, but the labels were not adjusted for 0-indexing, resulting in a penalty. In Part 4, the setup and training were correct, but the plots used a different style. No bonus tasks were attempted.</t>
        </is>
      </c>
      <c r="Z277" t="n">
        <v>6</v>
      </c>
      <c r="AA277" t="n">
        <v>0</v>
      </c>
      <c r="AB277" t="inlineStr">
        <is>
          <t>The student implemented a custom dataset class and used DataLoaders with the required transformations, achieving full marks for Part 1. The CNN model has 5 convolutional layers but does not include Batch Normalization, earning 50% for Part 2. The training and validation loops are correctly defined, scoring full marks for Part 3. However, the model training is limited to only 1 epoch, and there are issues with the fully connected layer input size, resulting in partial marks for Part 4. No bonus tasks were attempted.</t>
        </is>
      </c>
      <c r="AC277" t="n">
        <v>8.5</v>
      </c>
      <c r="AD277" t="inlineStr">
        <is>
          <t>The student's submission largely follows the reference solution but contains minor issues. Task 1 is mostly correct with a small mistake in the mask transformation order. Task 2 correctly defines the U-Net model with the specified encoder. Task 3 implements the training and validation loops accurately. Task 4 defines the loss and optimizer correctly, trains the model, and plots the loss curve. Task 5 visualizes predictions but incorrectly converts the predicted mask to a binary mask instead of using the argmax function. These issues result in partial credit for most tasks.</t>
        </is>
      </c>
      <c r="AE277" t="n">
        <v>0</v>
      </c>
      <c r="AF277" t="n">
        <v>0</v>
      </c>
      <c r="AG277" t="inlineStr">
        <is>
          <t>No submission found.</t>
        </is>
      </c>
      <c r="AH277" t="n">
        <v>23</v>
      </c>
      <c r="AI277" t="n">
        <v>0</v>
      </c>
    </row>
    <row r="278">
      <c r="A278" t="n">
        <v>277</v>
      </c>
      <c r="B278" t="inlineStr">
        <is>
          <t>TA_5</t>
        </is>
      </c>
      <c r="C278" t="inlineStr">
        <is>
          <t>TA_15</t>
        </is>
      </c>
      <c r="D278" t="n">
        <v>10</v>
      </c>
      <c r="E278" t="n">
        <v>4</v>
      </c>
      <c r="F278" t="n">
        <v>10.5</v>
      </c>
      <c r="G278" t="n">
        <v>1</v>
      </c>
      <c r="H278" t="n">
        <v>6</v>
      </c>
      <c r="I278" t="n">
        <v>0</v>
      </c>
      <c r="J278" t="n">
        <v>7.5</v>
      </c>
      <c r="K278" t="n">
        <v>4</v>
      </c>
      <c r="L278" t="n">
        <v>10</v>
      </c>
      <c r="M278" t="n">
        <v>1</v>
      </c>
      <c r="N278" t="n">
        <v>5.5</v>
      </c>
      <c r="O278" t="n">
        <v>0</v>
      </c>
      <c r="P278">
        <f>Table1[[#This Row],[TA 1 - Q1 Score]]+Table1[[#This Row],[TA 1 - Q2 Score]]+Table1[[#This Row],[TA 1 - Q3 Score]]</f>
        <v/>
      </c>
      <c r="Q278">
        <f>Table1[[#This Row],[TA 1 - Q1 Bonus]]+Table1[[#This Row],[TA 1 - Q2 Bonus]]+Table1[[#This Row],[TA 1 - Q4 Bonus]]</f>
        <v/>
      </c>
      <c r="R278">
        <f>Table1[[#This Row],[TA 2 - Q1 Score]]+Table1[[#This Row],[TA 2 - Q2 Score]]+Table1[[#This Row],[TA 2 - Q3 Score]]</f>
        <v/>
      </c>
      <c r="S278">
        <f>Table1[[#This Row],[TA 2 - Q1 Bonus]]+Table1[[#This Row],[TA 2 - Q2 Bonus]]+Table1[[#This Row],[TA 2 - Q4 Bonus]]</f>
        <v/>
      </c>
      <c r="T278">
        <f>(Table1[[#This Row],[TA 1 - Total Score (out of 35)]]+Table1[[#This Row],[TA 2 - Total Score (out of 35)]])/2</f>
        <v/>
      </c>
      <c r="U278">
        <f>(Table1[[#This Row],[TA 1 - Total Bonus (out of 13)]]+Table1[[#This Row],[TA 2 - Total Bonus (out of 13)]])/2</f>
        <v/>
      </c>
      <c r="V278">
        <f>Table1[[#This Row],[Average Questions]]/35*20+Table1[[#This Row],[Average Bonus]]/13*5</f>
        <v/>
      </c>
      <c r="W278" t="n">
        <v>3</v>
      </c>
      <c r="X278" t="n">
        <v>0</v>
      </c>
      <c r="Y278" t="inlineStr">
        <is>
          <t>The student completed the data loading and transformation tasks correctly, including resizing, converting to tensor, and normalizing the images. They also created the DataLoaders and displayed sample images. However, they used an incorrect model (EfficientNet-B0 instead of EfficientNetV2-Small), modified the classifier incorrectly for 26 classes, and implemented flawed training and validation loops with incorrect handling of outputs and loss calculation. The bonus task was not attempted.</t>
        </is>
      </c>
      <c r="Z278" t="n">
        <v>6</v>
      </c>
      <c r="AA278" t="n">
        <v>0</v>
      </c>
      <c r="AB278" t="inlineStr">
        <is>
          <t>The student successfully loaded and prepared the data with the correct transformations and displayed sample images. The CNN model was built with five convolutional layers and batch normalization, though the architecture differs slightly from the reference. The training and validation functions were implemented correctly, and the model was trained and plotted. However, the bonus task was not completed due to incorrect implementation of the residual connection.</t>
        </is>
      </c>
      <c r="AC278" t="n">
        <v>4</v>
      </c>
      <c r="AD278" t="inlineStr">
        <is>
          <t>The student attempted most tasks but made significant errors. The dataset class is incorrectly implemented, using ImageFolder instead of a custom class, and the mask transformation is flawed. DataLoaders were created but not properly configured. The model class is a custom U-Net implementation rather than using a pretrained U-Net with efficientnet-b1 encoder. Training and validation loops are mostly correct but the model initialization and number of output classes are incorrect. Visualization of predictions is attempted but fails due to earlier errors.</t>
        </is>
      </c>
      <c r="AE278" t="n">
        <v>0</v>
      </c>
      <c r="AF278" t="n">
        <v>0</v>
      </c>
      <c r="AG278" t="inlineStr">
        <is>
          <t>No submission found.</t>
        </is>
      </c>
      <c r="AH278" t="n">
        <v>13</v>
      </c>
      <c r="AI278" t="n">
        <v>0</v>
      </c>
    </row>
    <row r="279">
      <c r="A279" t="n">
        <v>278</v>
      </c>
      <c r="B279" t="inlineStr">
        <is>
          <t>TA_5</t>
        </is>
      </c>
      <c r="C279" t="inlineStr">
        <is>
          <t>TA_15</t>
        </is>
      </c>
      <c r="D279" t="n">
        <v>10.5</v>
      </c>
      <c r="E279" t="n">
        <v>4</v>
      </c>
      <c r="F279" t="n">
        <v>9.5</v>
      </c>
      <c r="G279" t="n">
        <v>4</v>
      </c>
      <c r="H279" t="n">
        <v>12</v>
      </c>
      <c r="I279" t="n">
        <v>5</v>
      </c>
      <c r="J279" t="n">
        <v>10.5</v>
      </c>
      <c r="K279" t="n">
        <v>3</v>
      </c>
      <c r="L279" t="n">
        <v>9.5</v>
      </c>
      <c r="M279" t="n">
        <v>4</v>
      </c>
      <c r="N279" t="n">
        <v>12</v>
      </c>
      <c r="O279" t="n">
        <v>5</v>
      </c>
      <c r="P279">
        <f>Table1[[#This Row],[TA 1 - Q1 Score]]+Table1[[#This Row],[TA 1 - Q2 Score]]+Table1[[#This Row],[TA 1 - Q3 Score]]</f>
        <v/>
      </c>
      <c r="Q279">
        <f>Table1[[#This Row],[TA 1 - Q1 Bonus]]+Table1[[#This Row],[TA 1 - Q2 Bonus]]+Table1[[#This Row],[TA 1 - Q4 Bonus]]</f>
        <v/>
      </c>
      <c r="R279">
        <f>Table1[[#This Row],[TA 2 - Q1 Score]]+Table1[[#This Row],[TA 2 - Q2 Score]]+Table1[[#This Row],[TA 2 - Q3 Score]]</f>
        <v/>
      </c>
      <c r="S279">
        <f>Table1[[#This Row],[TA 2 - Q1 Bonus]]+Table1[[#This Row],[TA 2 - Q2 Bonus]]+Table1[[#This Row],[TA 2 - Q4 Bonus]]</f>
        <v/>
      </c>
      <c r="T279">
        <f>(Table1[[#This Row],[TA 1 - Total Score (out of 35)]]+Table1[[#This Row],[TA 2 - Total Score (out of 35)]])/2</f>
        <v/>
      </c>
      <c r="U279">
        <f>(Table1[[#This Row],[TA 1 - Total Bonus (out of 13)]]+Table1[[#This Row],[TA 2 - Total Bonus (out of 13)]])/2</f>
        <v/>
      </c>
      <c r="V279">
        <f>Table1[[#This Row],[Average Questions]]/35*20+Table1[[#This Row],[Average Bonus]]/13*5</f>
        <v/>
      </c>
      <c r="W279" t="n">
        <v>7</v>
      </c>
      <c r="X279" t="n">
        <v>0</v>
      </c>
      <c r="Y279" t="inlineStr">
        <is>
          <t>The student completed most tasks with minor issues. Transforms were correctly defined, but the DataLoader batch size was unusually large (400). Sample images were displayed correctly, though the indices were hardcoded. The model was loaded and modified correctly, but the classifier was initially set for binary classification. Training and validation loops were implemented with correct logic but used softmax unnecessarily. The bonus task was not attempted.</t>
        </is>
      </c>
      <c r="Z279" t="n">
        <v>5</v>
      </c>
      <c r="AA279" t="n">
        <v>0</v>
      </c>
      <c r="AB279" t="inlineStr">
        <is>
          <t>The student partially completed the tasks. They used ImageFolder for loading datasets and created DataLoaders, but the transformations did not include RandomRotation and resizing to 32x32. The CNN model had 5 convolutional layers with Batch Normalization, but it did not follow the specified architecture. The training and validation loops were implemented correctly, and the model was trained and plotted. However, the bonus task was not attempted.</t>
        </is>
      </c>
      <c r="AC279" t="n">
        <v>8.5</v>
      </c>
      <c r="AD279" t="inlineStr">
        <is>
          <t>The student's submission largely follows the reference solution but contains minor issues. The dataset class is correctly implemented, and the DataLoaders are set up properly. Sample images and masks are displayed correctly. The model class uses the correct U-Net architecture with the specified encoder. The training and validation loops are implemented with minor syntax issues. The loss and optimizer are defined, and the model trains for the specified number of epochs with loss printed and plotted. However, the visualization of predictions uses grayscale instead of a colormap, which affects clarity.</t>
        </is>
      </c>
      <c r="AE279" t="n">
        <v>0</v>
      </c>
      <c r="AF279" t="n">
        <v>5</v>
      </c>
      <c r="AG279" t="inlineStr">
        <is>
          <t>The student's implementation of the `ColorizationDataset` class is correct and runs perfectly, producing the expected output and following the optimal logic. The `__init__`, `__len__`, `rgb_to_grayscale`, and `__getitem__` methods are all implemented accurately. The visualization also works as intended, showing the grayscale and color images correctly. Therefore, the student receives full bonus points for this task.</t>
        </is>
      </c>
      <c r="AH279" t="n">
        <v>20.5</v>
      </c>
      <c r="AI279" t="n">
        <v>5</v>
      </c>
    </row>
    <row r="280">
      <c r="A280" t="n">
        <v>279</v>
      </c>
      <c r="B280" t="inlineStr">
        <is>
          <t>TA_5</t>
        </is>
      </c>
      <c r="C280" t="inlineStr">
        <is>
          <t>TA_15</t>
        </is>
      </c>
      <c r="D280" t="n">
        <v>9</v>
      </c>
      <c r="E280" t="n">
        <v>0</v>
      </c>
      <c r="F280" t="n">
        <v>7.5</v>
      </c>
      <c r="G280" t="n">
        <v>0</v>
      </c>
      <c r="H280" t="n">
        <v>11</v>
      </c>
      <c r="I280" t="n">
        <v>0</v>
      </c>
      <c r="J280" t="n">
        <v>6.5</v>
      </c>
      <c r="K280" t="n">
        <v>0</v>
      </c>
      <c r="L280" t="n">
        <v>8</v>
      </c>
      <c r="M280" t="n">
        <v>0</v>
      </c>
      <c r="N280" t="n">
        <v>11</v>
      </c>
      <c r="O280" t="n">
        <v>0</v>
      </c>
      <c r="P280">
        <f>Table1[[#This Row],[TA 1 - Q1 Score]]+Table1[[#This Row],[TA 1 - Q2 Score]]+Table1[[#This Row],[TA 1 - Q3 Score]]</f>
        <v/>
      </c>
      <c r="Q280">
        <f>Table1[[#This Row],[TA 1 - Q1 Bonus]]+Table1[[#This Row],[TA 1 - Q2 Bonus]]+Table1[[#This Row],[TA 1 - Q4 Bonus]]</f>
        <v/>
      </c>
      <c r="R280">
        <f>Table1[[#This Row],[TA 2 - Q1 Score]]+Table1[[#This Row],[TA 2 - Q2 Score]]+Table1[[#This Row],[TA 2 - Q3 Score]]</f>
        <v/>
      </c>
      <c r="S280">
        <f>Table1[[#This Row],[TA 2 - Q1 Bonus]]+Table1[[#This Row],[TA 2 - Q2 Bonus]]+Table1[[#This Row],[TA 2 - Q4 Bonus]]</f>
        <v/>
      </c>
      <c r="T280">
        <f>(Table1[[#This Row],[TA 1 - Total Score (out of 35)]]+Table1[[#This Row],[TA 2 - Total Score (out of 35)]])/2</f>
        <v/>
      </c>
      <c r="U280">
        <f>(Table1[[#This Row],[TA 1 - Total Bonus (out of 13)]]+Table1[[#This Row],[TA 2 - Total Bonus (out of 13)]])/2</f>
        <v/>
      </c>
      <c r="V280">
        <f>Table1[[#This Row],[Average Questions]]/35*20+Table1[[#This Row],[Average Bonus]]/13*5</f>
        <v/>
      </c>
      <c r="W280" t="n">
        <v>5</v>
      </c>
      <c r="X280" t="n">
        <v>0</v>
      </c>
      <c r="Y280" t="inlineStr">
        <is>
          <t>The student partially completed several tasks but made significant errors. The transforms were mostly correct but included unnecessary imports and incorrect label mapping. DataLoaders were created but with incorrect validation loader naming. Sample images were displayed with incorrect denormalization and class labels. The model loading and adaptation were mostly correct but lacked freezing of the backbone. Training and validation loops were implemented with logical errors in label fixing and accuracy calculation. No bonus task was attempted.</t>
        </is>
      </c>
      <c r="Z280" t="n">
        <v>0</v>
      </c>
      <c r="AA280" t="n">
        <v>0</v>
      </c>
      <c r="AB280" t="inlineStr">
        <is>
          <t>The student's submission does not follow the rubric and contains multiple issues. The dataset path is hardcoded, and the transformations do not match the requirements (e.g., resizing to 32x32 instead of 128x128). The model defined is an AlexNet variant, which does not meet the requirement of having 5 convolutional layers with batch normalization. Additionally, the bonus task is not attempted, and the UNet model is incorrectly implemented for this classification task.</t>
        </is>
      </c>
      <c r="AC280" t="n">
        <v>7</v>
      </c>
      <c r="AD280" t="inlineStr">
        <is>
          <t>The student's submission contains mostly correct code with some minor issues. Task 1 has a dataset class with logical errors in the initialization and usage of paths, and the DataLoader creation is partially correct. Task 2 correctly defines the U-Net model. Task 3 includes both training and validation loops with minor syntax issues. Task 4 defines the loss and optimizer correctly, trains the model, and plots the loss curve. Task 5 visualizes predictions but has issues with mask remapping and normalization.</t>
        </is>
      </c>
      <c r="AE280" t="n">
        <v>0</v>
      </c>
      <c r="AF280" t="n">
        <v>0</v>
      </c>
      <c r="AG280" t="inlineStr">
        <is>
          <t>No submission found.</t>
        </is>
      </c>
      <c r="AH280" t="n">
        <v>12</v>
      </c>
      <c r="AI280" t="n">
        <v>0</v>
      </c>
    </row>
    <row r="281">
      <c r="A281" t="n">
        <v>280</v>
      </c>
      <c r="B281" t="inlineStr">
        <is>
          <t>TA_5</t>
        </is>
      </c>
      <c r="C281" t="inlineStr">
        <is>
          <t>TA_15</t>
        </is>
      </c>
      <c r="D281" t="n">
        <v>7</v>
      </c>
      <c r="E281" t="n">
        <v>0</v>
      </c>
      <c r="F281" t="n">
        <v>8</v>
      </c>
      <c r="G281" t="n">
        <v>0</v>
      </c>
      <c r="H281" t="n">
        <v>8.5</v>
      </c>
      <c r="I281" t="n">
        <v>0</v>
      </c>
      <c r="J281" t="n">
        <v>1.25</v>
      </c>
      <c r="K281" t="n">
        <v>0</v>
      </c>
      <c r="L281" t="n">
        <v>7.5</v>
      </c>
      <c r="M281" t="n">
        <v>0</v>
      </c>
      <c r="N281" t="n">
        <v>7.5</v>
      </c>
      <c r="O281" t="n">
        <v>0</v>
      </c>
      <c r="P281">
        <f>Table1[[#This Row],[TA 1 - Q1 Score]]+Table1[[#This Row],[TA 1 - Q2 Score]]+Table1[[#This Row],[TA 1 - Q3 Score]]</f>
        <v/>
      </c>
      <c r="Q281">
        <f>Table1[[#This Row],[TA 1 - Q1 Bonus]]+Table1[[#This Row],[TA 1 - Q2 Bonus]]+Table1[[#This Row],[TA 1 - Q4 Bonus]]</f>
        <v/>
      </c>
      <c r="R281">
        <f>Table1[[#This Row],[TA 2 - Q1 Score]]+Table1[[#This Row],[TA 2 - Q2 Score]]+Table1[[#This Row],[TA 2 - Q3 Score]]</f>
        <v/>
      </c>
      <c r="S281">
        <f>Table1[[#This Row],[TA 2 - Q1 Bonus]]+Table1[[#This Row],[TA 2 - Q2 Bonus]]+Table1[[#This Row],[TA 2 - Q4 Bonus]]</f>
        <v/>
      </c>
      <c r="T281">
        <f>(Table1[[#This Row],[TA 1 - Total Score (out of 35)]]+Table1[[#This Row],[TA 2 - Total Score (out of 35)]])/2</f>
        <v/>
      </c>
      <c r="U281">
        <f>(Table1[[#This Row],[TA 1 - Total Bonus (out of 13)]]+Table1[[#This Row],[TA 2 - Total Bonus (out of 13)]])/2</f>
        <v/>
      </c>
      <c r="V281">
        <f>Table1[[#This Row],[Average Questions]]/35*20+Table1[[#This Row],[Average Bonus]]/13*5</f>
        <v/>
      </c>
      <c r="W281" t="n">
        <v>2</v>
      </c>
      <c r="X281" t="n">
        <v>0</v>
      </c>
      <c r="Y281" t="inlineStr">
        <is>
          <t>The student attempted most tasks but made significant errors. In Part 1, the resize and normalize transformations were incorrect. In Part 2, the model was incorrectly modified for 25 classes instead of 26. In Part 3, the training and validation loops had incorrect implementations, using BCEWithLogitsLoss and treating labels as masks. Part 4 was not completed, and no bonus task was attempted.</t>
        </is>
      </c>
      <c r="Z281" t="n">
        <v>7</v>
      </c>
      <c r="AA281" t="n">
        <v>0</v>
      </c>
      <c r="AB281" t="inlineStr">
        <is>
          <t>The student implemented a custom Dataset class and used ImageFolder for loading datasets, achieving full points for Part 1. The transformations were correctly applied, including RandomRotation and resizing to 32x32. However, the CNN model had only 5 convolutional layers but did not include Batch Normalization, earning 50% for Part 2. The training and validation loops were correctly defined and executed, scoring full points for Part 3. The model was trained and plotted, but no bonus task was attempted.</t>
        </is>
      </c>
      <c r="AC281" t="n">
        <v>4</v>
      </c>
      <c r="AD281" t="inlineStr">
        <is>
          <t>The student attempted most tasks but made significant errors. The dataset class was partially implemented with incorrect file handling and binary mask conversion. DataLoaders were created but with incorrect batch size and missing shuffling in the test loader. The model was defined with an incorrect number of classes. Training and validation loops had issues with loss calculation and mask handling. Visualization of predictions was attempted but used incorrect methods for displaying multi-class masks.</t>
        </is>
      </c>
      <c r="AE281" t="n">
        <v>0</v>
      </c>
      <c r="AF281" t="n">
        <v>0</v>
      </c>
      <c r="AG281" t="inlineStr">
        <is>
          <t>No submission found.</t>
        </is>
      </c>
      <c r="AH281" t="n">
        <v>13</v>
      </c>
      <c r="AI281" t="n">
        <v>0</v>
      </c>
    </row>
    <row r="282">
      <c r="A282" t="n">
        <v>281</v>
      </c>
      <c r="B282" t="inlineStr">
        <is>
          <t>TA_5</t>
        </is>
      </c>
      <c r="C282" t="inlineStr">
        <is>
          <t>TA_15</t>
        </is>
      </c>
      <c r="D282" t="n">
        <v>12</v>
      </c>
      <c r="E282" t="n">
        <v>4</v>
      </c>
      <c r="F282" t="n">
        <v>11</v>
      </c>
      <c r="G282" t="n">
        <v>2</v>
      </c>
      <c r="H282" t="n">
        <v>12</v>
      </c>
      <c r="I282" t="n">
        <v>5</v>
      </c>
      <c r="J282" t="n">
        <v>12</v>
      </c>
      <c r="K282" t="n">
        <v>4</v>
      </c>
      <c r="L282" t="n">
        <v>10.75</v>
      </c>
      <c r="M282" t="n">
        <v>3</v>
      </c>
      <c r="N282" t="n">
        <v>12</v>
      </c>
      <c r="O282" t="n">
        <v>5</v>
      </c>
      <c r="P282">
        <f>Table1[[#This Row],[TA 1 - Q1 Score]]+Table1[[#This Row],[TA 1 - Q2 Score]]+Table1[[#This Row],[TA 1 - Q3 Score]]</f>
        <v/>
      </c>
      <c r="Q282">
        <f>Table1[[#This Row],[TA 1 - Q1 Bonus]]+Table1[[#This Row],[TA 1 - Q2 Bonus]]+Table1[[#This Row],[TA 1 - Q4 Bonus]]</f>
        <v/>
      </c>
      <c r="R282">
        <f>Table1[[#This Row],[TA 2 - Q1 Score]]+Table1[[#This Row],[TA 2 - Q2 Score]]+Table1[[#This Row],[TA 2 - Q3 Score]]</f>
        <v/>
      </c>
      <c r="S282">
        <f>Table1[[#This Row],[TA 2 - Q1 Bonus]]+Table1[[#This Row],[TA 2 - Q2 Bonus]]+Table1[[#This Row],[TA 2 - Q4 Bonus]]</f>
        <v/>
      </c>
      <c r="T282">
        <f>(Table1[[#This Row],[TA 1 - Total Score (out of 35)]]+Table1[[#This Row],[TA 2 - Total Score (out of 35)]])/2</f>
        <v/>
      </c>
      <c r="U282">
        <f>(Table1[[#This Row],[TA 1 - Total Bonus (out of 13)]]+Table1[[#This Row],[TA 2 - Total Bonus (out of 13)]])/2</f>
        <v/>
      </c>
      <c r="V282">
        <f>Table1[[#This Row],[Average Questions]]/35*20+Table1[[#This Row],[Average Bonus]]/13*5</f>
        <v/>
      </c>
      <c r="W282" t="n">
        <v>10.5</v>
      </c>
      <c r="X282" t="n">
        <v>3</v>
      </c>
      <c r="Y282" t="inlineStr">
        <is>
          <t>The student completed most tasks correctly. The transforms were defined properly, and the DataLoaders were set up with appropriate batch sizes. Sample images were displayed correctly. The pretrained EfficientNetV2-Small model was loaded and adapted with the backbone frozen and the classifier head replaced for 26 classes. The training and validation loops were implemented correctly, including label fixing. The model was trained and plotted accurately. For the bonus task, the student correctly defined three predictions (original, horizontal flip, vertical flip) and averaged them, though the plotting of TTA results was not required.</t>
        </is>
      </c>
      <c r="Z282" t="n">
        <v>8.5</v>
      </c>
      <c r="AA282" t="n">
        <v>1</v>
      </c>
      <c r="AB282" t="inlineStr">
        <is>
          <t>The student successfully loaded and prepared the data with the correct transformations and displayed sample images. The CNN model was built with 5 convolutional layers and batch normalization, earning full marks for these tasks. The training and validation functions were implemented correctly, and the model was trained and plotted with appropriate metrics. However, the residual connection implementation had issues, specifically with the channel dimensions and the way the skip connection was added, leading to partial credit for the bonus task.</t>
        </is>
      </c>
      <c r="AC282" t="n">
        <v>8</v>
      </c>
      <c r="AD282" t="inlineStr">
        <is>
          <t>The student's submission includes most of the required tasks with minor issues. The dataset class is implemented correctly, but the mask resizing method could be improved for consistency. The model class uses the correct architecture but with a different encoder than specified. The training and validation loops are mostly correct but lack the necessary squeezing of the mask dimension for cross-entropy loss compatibility. The training process is executed with a different learning rate and fewer epochs, but the overall structure is sound. Visualization of predictions is attempted but uses a different colormap than specified.</t>
        </is>
      </c>
      <c r="AE282" t="n">
        <v>0</v>
      </c>
      <c r="AF282" t="n">
        <v>5</v>
      </c>
      <c r="AG282" t="inlineStr">
        <is>
          <t>The student's implementation of the `ColorizationDataset` class is correct and runs perfectly, producing the expected output and following the optimal logic. All required methods (`__init__`, `__len__`, `rgb_to_grayscale`, `__getitem__`) are implemented accurately, and the visualization step is also correctly executed. Therefore, the student receives full bonus points for this task.</t>
        </is>
      </c>
      <c r="AH282" t="n">
        <v>27</v>
      </c>
      <c r="AI282" t="n">
        <v>9</v>
      </c>
    </row>
    <row r="283">
      <c r="A283" t="n">
        <v>282</v>
      </c>
      <c r="B283" t="inlineStr">
        <is>
          <t>TA_5</t>
        </is>
      </c>
      <c r="C283" t="inlineStr">
        <is>
          <t>TA_15</t>
        </is>
      </c>
      <c r="D283" t="n">
        <v>9</v>
      </c>
      <c r="E283" t="n">
        <v>0</v>
      </c>
      <c r="F283" t="n">
        <v>6</v>
      </c>
      <c r="G283" t="n">
        <v>0</v>
      </c>
      <c r="H283" t="n">
        <v>4</v>
      </c>
      <c r="I283" t="n">
        <v>0</v>
      </c>
      <c r="J283" t="n">
        <v>6.5</v>
      </c>
      <c r="K283" t="n">
        <v>0</v>
      </c>
      <c r="L283" t="n">
        <v>5.5</v>
      </c>
      <c r="M283" t="n">
        <v>0</v>
      </c>
      <c r="N283" t="n">
        <v>3.5</v>
      </c>
      <c r="O283" t="n">
        <v>0</v>
      </c>
      <c r="P283">
        <f>Table1[[#This Row],[TA 1 - Q1 Score]]+Table1[[#This Row],[TA 1 - Q2 Score]]+Table1[[#This Row],[TA 1 - Q3 Score]]</f>
        <v/>
      </c>
      <c r="Q283">
        <f>Table1[[#This Row],[TA 1 - Q1 Bonus]]+Table1[[#This Row],[TA 1 - Q2 Bonus]]+Table1[[#This Row],[TA 1 - Q4 Bonus]]</f>
        <v/>
      </c>
      <c r="R283">
        <f>Table1[[#This Row],[TA 2 - Q1 Score]]+Table1[[#This Row],[TA 2 - Q2 Score]]+Table1[[#This Row],[TA 2 - Q3 Score]]</f>
        <v/>
      </c>
      <c r="S283">
        <f>Table1[[#This Row],[TA 2 - Q1 Bonus]]+Table1[[#This Row],[TA 2 - Q2 Bonus]]+Table1[[#This Row],[TA 2 - Q4 Bonus]]</f>
        <v/>
      </c>
      <c r="T283">
        <f>(Table1[[#This Row],[TA 1 - Total Score (out of 35)]]+Table1[[#This Row],[TA 2 - Total Score (out of 35)]])/2</f>
        <v/>
      </c>
      <c r="U283">
        <f>(Table1[[#This Row],[TA 1 - Total Bonus (out of 13)]]+Table1[[#This Row],[TA 2 - Total Bonus (out of 13)]])/2</f>
        <v/>
      </c>
      <c r="V283">
        <f>Table1[[#This Row],[Average Questions]]/35*20+Table1[[#This Row],[Average Bonus]]/13*5</f>
        <v/>
      </c>
      <c r="W283" t="n">
        <v>7</v>
      </c>
      <c r="X283" t="n">
        <v>0</v>
      </c>
      <c r="Y283" t="inlineStr">
        <is>
          <t>The student completed most tasks with minor issues. The data loading and preparation were mostly correct, but the batch size was smaller than the reference solution. The model loading and adaptation were correct, but the backbone was frozen incorrectly, affecting the trainable parameters count. The training and validation loops were implemented with some syntax errors, such as unnecessary squeezing of outputs and incorrect handling of labels. The plotting of losses and accuracies was correct. No bonus task was attempted.</t>
        </is>
      </c>
      <c r="Z283" t="n">
        <v>3</v>
      </c>
      <c r="AA283" t="n">
        <v>0</v>
      </c>
      <c r="AB283" t="inlineStr">
        <is>
          <t>The student attempted most tasks but made several mistakes. The data loading and preparation section had incorrect transformations and paths. The CNN model had incorrect dimensions and lacked batch normalization. The training and validation loops were mostly correct but used an incorrect number of epochs. No bonus task was attempted.</t>
        </is>
      </c>
      <c r="AC283" t="n">
        <v>2</v>
      </c>
      <c r="AD283" t="inlineStr">
        <is>
          <t>The student attempted Task 1 by creating a custom dataset class but incorrectly assumed the images and masks were in the same directory and used incorrect file extensions. Task 2 was partially completed with a custom U-Net implementation instead of using a pretrained U-Net with an efficientnet-b1 encoder. Tasks 3, 4, and 5 were not fully implemented or contained errors, such as incorrect data handling and visualization issues.</t>
        </is>
      </c>
      <c r="AE283" t="n">
        <v>0</v>
      </c>
      <c r="AF283" t="n">
        <v>0</v>
      </c>
      <c r="AG283" t="inlineStr">
        <is>
          <t>No submission found.</t>
        </is>
      </c>
      <c r="AH283" t="n">
        <v>12</v>
      </c>
      <c r="AI283" t="n">
        <v>0</v>
      </c>
    </row>
    <row r="284">
      <c r="A284" t="n">
        <v>283</v>
      </c>
      <c r="B284" t="inlineStr">
        <is>
          <t>TA_5</t>
        </is>
      </c>
      <c r="C284" t="inlineStr">
        <is>
          <t>TA_15</t>
        </is>
      </c>
      <c r="D284" t="n">
        <v>8.5</v>
      </c>
      <c r="E284" t="n">
        <v>0</v>
      </c>
      <c r="F284" t="n">
        <v>11</v>
      </c>
      <c r="G284" t="n">
        <v>0</v>
      </c>
      <c r="H284" t="n">
        <v>6</v>
      </c>
      <c r="I284" t="n">
        <v>0</v>
      </c>
      <c r="J284" t="n">
        <v>6</v>
      </c>
      <c r="K284" t="n">
        <v>0</v>
      </c>
      <c r="L284" t="n">
        <v>9</v>
      </c>
      <c r="M284" t="n">
        <v>0</v>
      </c>
      <c r="N284" t="n">
        <v>6.25</v>
      </c>
      <c r="O284" t="n">
        <v>0</v>
      </c>
      <c r="P284">
        <f>Table1[[#This Row],[TA 1 - Q1 Score]]+Table1[[#This Row],[TA 1 - Q2 Score]]+Table1[[#This Row],[TA 1 - Q3 Score]]</f>
        <v/>
      </c>
      <c r="Q284">
        <f>Table1[[#This Row],[TA 1 - Q1 Bonus]]+Table1[[#This Row],[TA 1 - Q2 Bonus]]+Table1[[#This Row],[TA 1 - Q4 Bonus]]</f>
        <v/>
      </c>
      <c r="R284">
        <f>Table1[[#This Row],[TA 2 - Q1 Score]]+Table1[[#This Row],[TA 2 - Q2 Score]]+Table1[[#This Row],[TA 2 - Q3 Score]]</f>
        <v/>
      </c>
      <c r="S284">
        <f>Table1[[#This Row],[TA 2 - Q1 Bonus]]+Table1[[#This Row],[TA 2 - Q2 Bonus]]+Table1[[#This Row],[TA 2 - Q4 Bonus]]</f>
        <v/>
      </c>
      <c r="T284">
        <f>(Table1[[#This Row],[TA 1 - Total Score (out of 35)]]+Table1[[#This Row],[TA 2 - Total Score (out of 35)]])/2</f>
        <v/>
      </c>
      <c r="U284">
        <f>(Table1[[#This Row],[TA 1 - Total Bonus (out of 13)]]+Table1[[#This Row],[TA 2 - Total Bonus (out of 13)]])/2</f>
        <v/>
      </c>
      <c r="V284">
        <f>Table1[[#This Row],[Average Questions]]/35*20+Table1[[#This Row],[Average Bonus]]/13*5</f>
        <v/>
      </c>
      <c r="W284" t="n">
        <v>5.5</v>
      </c>
      <c r="X284" t="n">
        <v>0</v>
      </c>
      <c r="Y284" t="inlineStr">
        <is>
          <t>The student completed the data loading and transformation tasks correctly, including resizing, converting to tensor, and normalizing the images. However, there were issues in creating and displaying sample images, where the DataLoader setup had inconsistent batch sizes and the image display used hardcoded indices. The model loading and adaptation were mostly correct, but the student incorrectly used a different method to freeze the backbone. The training and validation loops contained syntax errors and logical mistakes, such as squeezing the model outputs and using an incorrect learning rate. The plotting of losses and accuracies was correct, but the bonus task was not attempted.</t>
        </is>
      </c>
      <c r="Z284" t="n">
        <v>8</v>
      </c>
      <c r="AA284" t="n">
        <v>0</v>
      </c>
      <c r="AB284" t="inlineStr">
        <is>
          <t>The student successfully loaded and prepared the data with the correct transformations and displayed sample images. The CNN model has 5 convolutional layers but does not include batch normalization, earning partial credit. The training and validation functions are implemented correctly, and the model is trained and plotted with losses and accuracies. However, the bonus task for adding a residual connection was not completed.</t>
        </is>
      </c>
      <c r="AC284" t="n">
        <v>2</v>
      </c>
      <c r="AD284" t="inlineStr">
        <is>
          <t>The student attempted most tasks but made significant errors. In Task 1, the dataset class incorrectly loads images and masks without proper file paths. The data splitting and loading also failed due to missing metadata handling. Task 2 correctly defined the U-Net model. Task 3 had issues with the training and validation loops, using float masks instead of long for CrossEntropyLoss. Task 4 partially defined the loss and optimizer but trained for only two epochs. Task 5 was left incomplete.</t>
        </is>
      </c>
      <c r="AE284" t="n">
        <v>0</v>
      </c>
      <c r="AF284" t="n">
        <v>0</v>
      </c>
      <c r="AG284" t="inlineStr">
        <is>
          <t>No submission found.</t>
        </is>
      </c>
      <c r="AH284" t="n">
        <v>15.5</v>
      </c>
      <c r="AI284" t="n">
        <v>0</v>
      </c>
    </row>
    <row r="285">
      <c r="A285" t="n">
        <v>284</v>
      </c>
      <c r="B285" t="inlineStr">
        <is>
          <t>TA_5</t>
        </is>
      </c>
      <c r="C285" t="inlineStr">
        <is>
          <t>TA_15</t>
        </is>
      </c>
      <c r="D285" t="n">
        <v>10.5</v>
      </c>
      <c r="E285" t="n">
        <v>3</v>
      </c>
      <c r="F285" t="n">
        <v>9</v>
      </c>
      <c r="G285" t="n">
        <v>0</v>
      </c>
      <c r="H285" t="n">
        <v>12</v>
      </c>
      <c r="I285" t="n">
        <v>0</v>
      </c>
      <c r="J285" t="n">
        <v>10.5</v>
      </c>
      <c r="K285" t="n">
        <v>3</v>
      </c>
      <c r="L285" t="n">
        <v>8.5</v>
      </c>
      <c r="M285" t="n">
        <v>0</v>
      </c>
      <c r="N285" t="n">
        <v>12</v>
      </c>
      <c r="O285" t="n">
        <v>0</v>
      </c>
      <c r="P285">
        <f>Table1[[#This Row],[TA 1 - Q1 Score]]+Table1[[#This Row],[TA 1 - Q2 Score]]+Table1[[#This Row],[TA 1 - Q3 Score]]</f>
        <v/>
      </c>
      <c r="Q285">
        <f>Table1[[#This Row],[TA 1 - Q1 Bonus]]+Table1[[#This Row],[TA 1 - Q2 Bonus]]+Table1[[#This Row],[TA 1 - Q4 Bonus]]</f>
        <v/>
      </c>
      <c r="R285">
        <f>Table1[[#This Row],[TA 2 - Q1 Score]]+Table1[[#This Row],[TA 2 - Q2 Score]]+Table1[[#This Row],[TA 2 - Q3 Score]]</f>
        <v/>
      </c>
      <c r="S285">
        <f>Table1[[#This Row],[TA 2 - Q1 Bonus]]+Table1[[#This Row],[TA 2 - Q2 Bonus]]+Table1[[#This Row],[TA 2 - Q4 Bonus]]</f>
        <v/>
      </c>
      <c r="T285">
        <f>(Table1[[#This Row],[TA 1 - Total Score (out of 35)]]+Table1[[#This Row],[TA 2 - Total Score (out of 35)]])/2</f>
        <v/>
      </c>
      <c r="U285">
        <f>(Table1[[#This Row],[TA 1 - Total Bonus (out of 13)]]+Table1[[#This Row],[TA 2 - Total Bonus (out of 13)]])/2</f>
        <v/>
      </c>
      <c r="V285">
        <f>Table1[[#This Row],[Average Questions]]/35*20+Table1[[#This Row],[Average Bonus]]/13*5</f>
        <v/>
      </c>
      <c r="W285" t="n">
        <v>7</v>
      </c>
      <c r="X285" t="n">
        <v>0</v>
      </c>
      <c r="Y285" t="inlineStr">
        <is>
          <t>The student completed most tasks with minor issues. The data loading and preparation section had a correct transform pipeline but used a batch size of 32 instead of 64. The model loading and adaptation were mostly correct, but the student did not freeze the backbone. The training and validation loops were implemented with label fixing, but the training loop used softmax and argmax unnecessarily. The plotting of losses and accuracies was correct. The bonus task was not fully implemented correctly, as the averaging of predictions was done incorrectly.</t>
        </is>
      </c>
      <c r="Z285" t="n">
        <v>8.5</v>
      </c>
      <c r="AA285" t="n">
        <v>0</v>
      </c>
      <c r="AB285" t="inlineStr">
        <is>
          <t>The student successfully completed most tasks with minor issues. The dataset loading and preparation were mostly correct, with the exception of using a batch size of 16 instead of 32. The CNN model had 5 convolutional layers but used different channel sizes than specified in the rubric. Batch normalization was not added, resulting in a deduction. The training and validation loops were implemented correctly, and the model trained and plotted the results accurately. No bonus task was attempted.</t>
        </is>
      </c>
      <c r="AC285" t="n">
        <v>8.5</v>
      </c>
      <c r="AD285" t="inlineStr">
        <is>
          <t>The student's submission demonstrates a good understanding of the tasks but contains some minor issues. Task 1 is mostly correct with a small mistake in the image path. Task 2 is correct except for the encoder name specified in the reference solution. Task 3 is correctly implemented. Task 4 has a few issues, including the number of epochs and the optimizer choice, but the overall structure is correct. Task 5 is mostly correct with a minor issue in the colormap used for displaying predictions.</t>
        </is>
      </c>
      <c r="AE285" t="n">
        <v>0</v>
      </c>
      <c r="AF285" t="n">
        <v>0</v>
      </c>
      <c r="AG285" t="inlineStr">
        <is>
          <t>The student did not implement the required methods in the `ColorizationDataset` class. The `rgb_to_grayscale` method and the `__getitem__` method were left unimplemented, containing only placeholders and comments. As a result, the code does not run and does not meet the requirements for the bonus question.</t>
        </is>
      </c>
      <c r="AH285" t="n">
        <v>24</v>
      </c>
      <c r="AI285" t="n">
        <v>0</v>
      </c>
    </row>
    <row r="286">
      <c r="A286" t="n">
        <v>285</v>
      </c>
      <c r="B286" t="inlineStr">
        <is>
          <t>TA_6</t>
        </is>
      </c>
      <c r="C286" t="inlineStr">
        <is>
          <t>TA_16</t>
        </is>
      </c>
      <c r="D286" t="n">
        <v>7.5</v>
      </c>
      <c r="E286" t="n">
        <v>0</v>
      </c>
      <c r="F286" t="n">
        <v>9</v>
      </c>
      <c r="G286" t="n">
        <v>0</v>
      </c>
      <c r="H286" t="n">
        <v>10.5</v>
      </c>
      <c r="I286" t="n">
        <v>0</v>
      </c>
      <c r="J286" t="n">
        <v>7.5</v>
      </c>
      <c r="K286" t="n">
        <v>0</v>
      </c>
      <c r="L286" t="n">
        <v>9</v>
      </c>
      <c r="M286" t="n">
        <v>0</v>
      </c>
      <c r="N286" t="n">
        <v>10.5</v>
      </c>
      <c r="O286" t="n">
        <v>0</v>
      </c>
      <c r="P286">
        <f>Table1[[#This Row],[TA 1 - Q1 Score]]+Table1[[#This Row],[TA 1 - Q2 Score]]+Table1[[#This Row],[TA 1 - Q3 Score]]</f>
        <v/>
      </c>
      <c r="Q286">
        <f>Table1[[#This Row],[TA 1 - Q1 Bonus]]+Table1[[#This Row],[TA 1 - Q2 Bonus]]+Table1[[#This Row],[TA 1 - Q4 Bonus]]</f>
        <v/>
      </c>
      <c r="R286">
        <f>Table1[[#This Row],[TA 2 - Q1 Score]]+Table1[[#This Row],[TA 2 - Q2 Score]]+Table1[[#This Row],[TA 2 - Q3 Score]]</f>
        <v/>
      </c>
      <c r="S286">
        <f>Table1[[#This Row],[TA 2 - Q1 Bonus]]+Table1[[#This Row],[TA 2 - Q2 Bonus]]+Table1[[#This Row],[TA 2 - Q4 Bonus]]</f>
        <v/>
      </c>
      <c r="T286">
        <f>(Table1[[#This Row],[TA 1 - Total Score (out of 35)]]+Table1[[#This Row],[TA 2 - Total Score (out of 35)]])/2</f>
        <v/>
      </c>
      <c r="U286">
        <f>(Table1[[#This Row],[TA 1 - Total Bonus (out of 13)]]+Table1[[#This Row],[TA 2 - Total Bonus (out of 13)]])/2</f>
        <v/>
      </c>
      <c r="V286">
        <f>Table1[[#This Row],[Average Questions]]/35*20+Table1[[#This Row],[Average Bonus]]/13*5</f>
        <v/>
      </c>
      <c r="W286" t="n">
        <v>7</v>
      </c>
      <c r="X286" t="n">
        <v>0</v>
      </c>
      <c r="Y286" t="inlineStr">
        <is>
          <t>The student completed most tasks with minor issues. The transforms were mostly correct but used incorrect normalization values. DataLoaders were created with a batch size of 128, which is acceptable. Sample images were displayed, though the visualization function was more complex than necessary. The model was loaded and adapted correctly, but all layers were frozen instead of just the backbone. Training and validation loops were implemented with a softmax step, which is redundant with CrossEntropyLoss. The plots were generated correctly. No bonus task was attempted.</t>
        </is>
      </c>
      <c r="Z286" t="n">
        <v>8.5</v>
      </c>
      <c r="AA286" t="n">
        <v>0</v>
      </c>
      <c r="AB286" t="inlineStr">
        <is>
          <t>The student successfully completed most tasks with minor issues. The data loading and preparation section had a typo in DataLoader variable names (train_dataloder instead of train_loader, test_dataloder instead of test_loader) but otherwise followed the instructions correctly. The CNN model was built with 5 convolutional layers but did not include batch normalization, resulting in partial credit. The training and validation loops were implemented correctly, and the model was trained and plotted accurately. The bonus task was not attempted.</t>
        </is>
      </c>
      <c r="AC286" t="n">
        <v>5</v>
      </c>
      <c r="AD286" t="inlineStr">
        <is>
          <t>The student attempted most tasks but made several mistakes. In Task 1, the dataset class was partially correct but used incorrect file paths and did not sort the images and masks. The DataLoader creation was mostly correct but used a different dataset structure. Task 2 correctly defined the U-Net model with the specified encoder. Task 3 had issues with the training and validation loops, using float masks with CrossEntropyLoss, which is incorrect. Task 4 defined the loss and optimizer but had incorrect training and validation loops. Task 5 attempted to visualize predictions but used a binary threshold instead of argmax for multi-class segmentation.</t>
        </is>
      </c>
      <c r="AE286" t="n">
        <v>0</v>
      </c>
      <c r="AF286" t="n">
        <v>0</v>
      </c>
      <c r="AG286" t="inlineStr">
        <is>
          <t>No submission found.</t>
        </is>
      </c>
      <c r="AH286" t="n">
        <v>20.5</v>
      </c>
      <c r="AI286" t="n">
        <v>0</v>
      </c>
    </row>
    <row r="287">
      <c r="A287" t="n">
        <v>286</v>
      </c>
      <c r="B287" t="inlineStr">
        <is>
          <t>TA_6</t>
        </is>
      </c>
      <c r="C287" t="inlineStr">
        <is>
          <t>TA_16</t>
        </is>
      </c>
      <c r="D287" t="n">
        <v>10.75</v>
      </c>
      <c r="E287" t="n">
        <v>0</v>
      </c>
      <c r="F287" t="n">
        <v>7</v>
      </c>
      <c r="G287" t="n">
        <v>0</v>
      </c>
      <c r="H287" t="n">
        <v>9.5</v>
      </c>
      <c r="I287" t="n">
        <v>0</v>
      </c>
      <c r="J287" t="n">
        <v>10.25</v>
      </c>
      <c r="K287" t="n">
        <v>0</v>
      </c>
      <c r="L287" t="n">
        <v>7</v>
      </c>
      <c r="M287" t="n">
        <v>0</v>
      </c>
      <c r="N287" t="n">
        <v>8.5</v>
      </c>
      <c r="O287" t="n">
        <v>0</v>
      </c>
      <c r="P287">
        <f>Table1[[#This Row],[TA 1 - Q1 Score]]+Table1[[#This Row],[TA 1 - Q2 Score]]+Table1[[#This Row],[TA 1 - Q3 Score]]</f>
        <v/>
      </c>
      <c r="Q287">
        <f>Table1[[#This Row],[TA 1 - Q1 Bonus]]+Table1[[#This Row],[TA 1 - Q2 Bonus]]+Table1[[#This Row],[TA 1 - Q4 Bonus]]</f>
        <v/>
      </c>
      <c r="R287">
        <f>Table1[[#This Row],[TA 2 - Q1 Score]]+Table1[[#This Row],[TA 2 - Q2 Score]]+Table1[[#This Row],[TA 2 - Q3 Score]]</f>
        <v/>
      </c>
      <c r="S287">
        <f>Table1[[#This Row],[TA 2 - Q1 Bonus]]+Table1[[#This Row],[TA 2 - Q2 Bonus]]+Table1[[#This Row],[TA 2 - Q4 Bonus]]</f>
        <v/>
      </c>
      <c r="T287">
        <f>(Table1[[#This Row],[TA 1 - Total Score (out of 35)]]+Table1[[#This Row],[TA 2 - Total Score (out of 35)]])/2</f>
        <v/>
      </c>
      <c r="U287">
        <f>(Table1[[#This Row],[TA 1 - Total Bonus (out of 13)]]+Table1[[#This Row],[TA 2 - Total Bonus (out of 13)]])/2</f>
        <v/>
      </c>
      <c r="V287">
        <f>Table1[[#This Row],[Average Questions]]/35*20+Table1[[#This Row],[Average Bonus]]/13*5</f>
        <v/>
      </c>
      <c r="W287" t="n">
        <v>6</v>
      </c>
      <c r="X287" t="n">
        <v>0</v>
      </c>
      <c r="Y287" t="inlineStr">
        <is>
          <t>The student completed the data loading and preparation with minor issues, such as not displaying labels. The model loading and adaptation were mostly correct but the student did not freeze the backbone. The training and validation loops were implemented with some syntax errors, particularly in the handling of model outputs. The plotting of losses and accuracies was correct. No bonus task was attempted.</t>
        </is>
      </c>
      <c r="Z287" t="n">
        <v>7</v>
      </c>
      <c r="AA287" t="n">
        <v>0</v>
      </c>
      <c r="AB287" t="inlineStr">
        <is>
          <t>The student successfully loaded and prepared the data with the correct transformations and displayed sample images. The CNN model has 5 convolutional layers but does not include batch normalization, earning partial credit. The training and validation functions are implemented correctly. The model is trained and the losses and accuracies are plotted. However, the bonus task for adding a residual connection was not completed.</t>
        </is>
      </c>
      <c r="AC287" t="n">
        <v>4</v>
      </c>
      <c r="AD287" t="inlineStr">
        <is>
          <t>The student attempted most tasks but made significant errors. In Task 1, the dataset class has issues with incorrect paths and missing metadata handling. DataLoader creation uses incorrect dataset instances. Task 2 incorrectly sets the number of classes to 1 instead of 8. Task 3 has incorrect implementation of training and validation loops, converting masks to float instead of long. Task 4 uses incorrect DataLoader instances and has syntax errors. Task 5 visualizes predictions but with incorrect mask conversion and uses a binary threshold instead of argmax for multi-class segmentation.</t>
        </is>
      </c>
      <c r="AE287" t="n">
        <v>0</v>
      </c>
      <c r="AF287" t="n">
        <v>0</v>
      </c>
      <c r="AG287" t="inlineStr">
        <is>
          <t>No submission found.</t>
        </is>
      </c>
      <c r="AH287" t="n">
        <v>17</v>
      </c>
      <c r="AI287" t="n">
        <v>0</v>
      </c>
    </row>
    <row r="288">
      <c r="A288" t="n">
        <v>287</v>
      </c>
      <c r="B288" t="inlineStr">
        <is>
          <t>TA_6</t>
        </is>
      </c>
      <c r="C288" t="inlineStr">
        <is>
          <t>TA_16</t>
        </is>
      </c>
      <c r="D288" t="n">
        <v>7.25</v>
      </c>
      <c r="E288" t="n">
        <v>0</v>
      </c>
      <c r="F288" t="n">
        <v>8</v>
      </c>
      <c r="G288" t="n">
        <v>0</v>
      </c>
      <c r="H288" t="n">
        <v>9.5</v>
      </c>
      <c r="I288" t="n">
        <v>0</v>
      </c>
      <c r="J288" t="n">
        <v>7.75</v>
      </c>
      <c r="K288" t="n">
        <v>0</v>
      </c>
      <c r="L288" t="n">
        <v>10</v>
      </c>
      <c r="M288" t="n">
        <v>0</v>
      </c>
      <c r="N288" t="n">
        <v>9.5</v>
      </c>
      <c r="O288" t="n">
        <v>0</v>
      </c>
      <c r="P288">
        <f>Table1[[#This Row],[TA 1 - Q1 Score]]+Table1[[#This Row],[TA 1 - Q2 Score]]+Table1[[#This Row],[TA 1 - Q3 Score]]</f>
        <v/>
      </c>
      <c r="Q288">
        <f>Table1[[#This Row],[TA 1 - Q1 Bonus]]+Table1[[#This Row],[TA 1 - Q2 Bonus]]+Table1[[#This Row],[TA 1 - Q4 Bonus]]</f>
        <v/>
      </c>
      <c r="R288">
        <f>Table1[[#This Row],[TA 2 - Q1 Score]]+Table1[[#This Row],[TA 2 - Q2 Score]]+Table1[[#This Row],[TA 2 - Q3 Score]]</f>
        <v/>
      </c>
      <c r="S288">
        <f>Table1[[#This Row],[TA 2 - Q1 Bonus]]+Table1[[#This Row],[TA 2 - Q2 Bonus]]+Table1[[#This Row],[TA 2 - Q4 Bonus]]</f>
        <v/>
      </c>
      <c r="T288">
        <f>(Table1[[#This Row],[TA 1 - Total Score (out of 35)]]+Table1[[#This Row],[TA 2 - Total Score (out of 35)]])/2</f>
        <v/>
      </c>
      <c r="U288">
        <f>(Table1[[#This Row],[TA 1 - Total Bonus (out of 13)]]+Table1[[#This Row],[TA 2 - Total Bonus (out of 13)]])/2</f>
        <v/>
      </c>
      <c r="V288">
        <f>Table1[[#This Row],[Average Questions]]/35*20+Table1[[#This Row],[Average Bonus]]/13*5</f>
        <v/>
      </c>
      <c r="W288" t="n">
        <v>6</v>
      </c>
      <c r="X288" t="n">
        <v>0</v>
      </c>
      <c r="Y288" t="inlineStr">
        <is>
          <t>The student partially completed the tasks with some syntax and logical errors. The data loading and preparation section had incorrect resizing dimensions and missing comments. The model adaptation section correctly froze the backbone and replaced the classifier head. The training and validation loops were implemented but did not adjust the labels, resulting in a penalty. The plotting of losses and accuracies was correct. No bonus task was attempted.</t>
        </is>
      </c>
      <c r="Z288" t="n">
        <v>7</v>
      </c>
      <c r="AA288" t="n">
        <v>0</v>
      </c>
      <c r="AB288" t="inlineStr">
        <is>
          <t>The student successfully loaded and prepared the data with correct transformations and displayed sample images. However, the CNN model defined does not meet the requirement of having 5 convolutional layers and lacks batch normalization. The training and validation functions are mostly correct but contain unnecessary softmax operations. The model training and plotting sections are executed properly.</t>
        </is>
      </c>
      <c r="AC288" t="n">
        <v>7</v>
      </c>
      <c r="AD288" t="inlineStr">
        <is>
          <t>The student's submission contains mostly correct code with some minor issues. Task 1 has a dataset class with logical errors in splitting the dataset, leading to incorrect lengths for train and test sets. Task 2 correctly defines the U-Net model with the specified encoder. Task 3 includes correct training and validation loops. Task 4 defines the loss and optimizer correctly, trains the model, and plots the loss curve. Task 5 visualizes predictions but uses grayscale for the predicted mask instead of the specified colormap.</t>
        </is>
      </c>
      <c r="AE288" t="n">
        <v>0</v>
      </c>
      <c r="AF288" t="n">
        <v>0</v>
      </c>
      <c r="AG288" t="inlineStr">
        <is>
          <t>No submission found.</t>
        </is>
      </c>
      <c r="AH288" t="n">
        <v>20</v>
      </c>
      <c r="AI288" t="n">
        <v>0</v>
      </c>
    </row>
    <row r="289">
      <c r="A289" t="n">
        <v>288</v>
      </c>
      <c r="B289" t="inlineStr">
        <is>
          <t>TA_6</t>
        </is>
      </c>
      <c r="C289" t="inlineStr">
        <is>
          <t>TA_16</t>
        </is>
      </c>
      <c r="D289" t="n">
        <v>6.5</v>
      </c>
      <c r="E289" t="n">
        <v>0</v>
      </c>
      <c r="F289" t="n">
        <v>3.75</v>
      </c>
      <c r="G289" t="n">
        <v>0</v>
      </c>
      <c r="H289" t="n">
        <v>5.5</v>
      </c>
      <c r="I289" t="n">
        <v>0</v>
      </c>
      <c r="J289" t="n">
        <v>4.5</v>
      </c>
      <c r="K289" t="n">
        <v>0</v>
      </c>
      <c r="L289" t="n">
        <v>3.25</v>
      </c>
      <c r="M289" t="n">
        <v>0</v>
      </c>
      <c r="N289" t="n">
        <v>5.5</v>
      </c>
      <c r="O289" t="n">
        <v>0</v>
      </c>
      <c r="P289">
        <f>Table1[[#This Row],[TA 1 - Q1 Score]]+Table1[[#This Row],[TA 1 - Q2 Score]]+Table1[[#This Row],[TA 1 - Q3 Score]]</f>
        <v/>
      </c>
      <c r="Q289">
        <f>Table1[[#This Row],[TA 1 - Q1 Bonus]]+Table1[[#This Row],[TA 1 - Q2 Bonus]]+Table1[[#This Row],[TA 1 - Q4 Bonus]]</f>
        <v/>
      </c>
      <c r="R289">
        <f>Table1[[#This Row],[TA 2 - Q1 Score]]+Table1[[#This Row],[TA 2 - Q2 Score]]+Table1[[#This Row],[TA 2 - Q3 Score]]</f>
        <v/>
      </c>
      <c r="S289">
        <f>Table1[[#This Row],[TA 2 - Q1 Bonus]]+Table1[[#This Row],[TA 2 - Q2 Bonus]]+Table1[[#This Row],[TA 2 - Q4 Bonus]]</f>
        <v/>
      </c>
      <c r="T289">
        <f>(Table1[[#This Row],[TA 1 - Total Score (out of 35)]]+Table1[[#This Row],[TA 2 - Total Score (out of 35)]])/2</f>
        <v/>
      </c>
      <c r="U289">
        <f>(Table1[[#This Row],[TA 1 - Total Bonus (out of 13)]]+Table1[[#This Row],[TA 2 - Total Bonus (out of 13)]])/2</f>
        <v/>
      </c>
      <c r="V289">
        <f>Table1[[#This Row],[Average Questions]]/35*20+Table1[[#This Row],[Average Bonus]]/13*5</f>
        <v/>
      </c>
      <c r="W289" t="n">
        <v>5</v>
      </c>
      <c r="X289" t="n">
        <v>0</v>
      </c>
      <c r="Y289" t="inlineStr">
        <is>
          <t>The student completed the data loading and transformation tasks correctly, including resizing, converting to tensor, and normalizing the images. However, there were issues in creating and displaying sample images, where the code was incomplete and incorrectly set up. The model loading and adaptation part had a mistake in loading the wrong model variant (EfficientNet-B0 instead of EfficientNetV2-Small). The training and validation loops contained errors, such as squeezing the model outputs unnecessarily and using an incorrect learning rate. No bonus task was attempted.</t>
        </is>
      </c>
      <c r="Z289" t="n">
        <v>2</v>
      </c>
      <c r="AA289" t="n">
        <v>0</v>
      </c>
      <c r="AB289" t="inlineStr">
        <is>
          <t>The student did not complete most of the required tasks. They attempted to load and display images but used incorrect paths and transformations. The CNN model definition had syntax errors and logical mistakes, such as incorrect usage of BatchNormalization. Training and validation functions were defined correctly, but the training loop failed due to undefined DataLoaders. No bonus tasks were attempted.</t>
        </is>
      </c>
      <c r="AC289" t="n">
        <v>5</v>
      </c>
      <c r="AD289" t="inlineStr">
        <is>
          <t>The student attempted most tasks but made several mistakes. In Task 1, the dataset class had issues with loading images and masks due to incorrect path handling. Task 2 incorrectly defined the model with 5 classes instead of 8. Task 3 was partially correct with training and validation loops but had syntax errors. Task 4 correctly defined the loss and optimizer but had issues with the number of classes. Task 5 was mostly correct for visualizing predictions but did not fully implement the required functionality.</t>
        </is>
      </c>
      <c r="AE289" t="n">
        <v>0</v>
      </c>
      <c r="AF289" t="n">
        <v>0</v>
      </c>
      <c r="AG289" t="inlineStr">
        <is>
          <t>No submission found.</t>
        </is>
      </c>
      <c r="AH289" t="n">
        <v>12</v>
      </c>
      <c r="AI289" t="n">
        <v>0</v>
      </c>
    </row>
    <row r="290">
      <c r="A290" t="n">
        <v>289</v>
      </c>
      <c r="B290" t="inlineStr">
        <is>
          <t>TA_6</t>
        </is>
      </c>
      <c r="C290" t="inlineStr">
        <is>
          <t>TA_16</t>
        </is>
      </c>
      <c r="D290" t="n">
        <v>8</v>
      </c>
      <c r="E290" t="n">
        <v>4</v>
      </c>
      <c r="F290" t="n">
        <v>3</v>
      </c>
      <c r="G290" t="n">
        <v>0</v>
      </c>
      <c r="H290" t="n">
        <v>4.5</v>
      </c>
      <c r="I290" t="n">
        <v>0</v>
      </c>
      <c r="J290" t="n">
        <v>7</v>
      </c>
      <c r="K290" t="n">
        <v>4</v>
      </c>
      <c r="L290" t="n">
        <v>3</v>
      </c>
      <c r="M290" t="n">
        <v>0</v>
      </c>
      <c r="N290" t="n">
        <v>3.5</v>
      </c>
      <c r="O290" t="n">
        <v>0</v>
      </c>
      <c r="P290">
        <f>Table1[[#This Row],[TA 1 - Q1 Score]]+Table1[[#This Row],[TA 1 - Q2 Score]]+Table1[[#This Row],[TA 1 - Q3 Score]]</f>
        <v/>
      </c>
      <c r="Q290">
        <f>Table1[[#This Row],[TA 1 - Q1 Bonus]]+Table1[[#This Row],[TA 1 - Q2 Bonus]]+Table1[[#This Row],[TA 1 - Q4 Bonus]]</f>
        <v/>
      </c>
      <c r="R290">
        <f>Table1[[#This Row],[TA 2 - Q1 Score]]+Table1[[#This Row],[TA 2 - Q2 Score]]+Table1[[#This Row],[TA 2 - Q3 Score]]</f>
        <v/>
      </c>
      <c r="S290">
        <f>Table1[[#This Row],[TA 2 - Q1 Bonus]]+Table1[[#This Row],[TA 2 - Q2 Bonus]]+Table1[[#This Row],[TA 2 - Q4 Bonus]]</f>
        <v/>
      </c>
      <c r="T290">
        <f>(Table1[[#This Row],[TA 1 - Total Score (out of 35)]]+Table1[[#This Row],[TA 2 - Total Score (out of 35)]])/2</f>
        <v/>
      </c>
      <c r="U290">
        <f>(Table1[[#This Row],[TA 1 - Total Bonus (out of 13)]]+Table1[[#This Row],[TA 2 - Total Bonus (out of 13)]])/2</f>
        <v/>
      </c>
      <c r="V290">
        <f>Table1[[#This Row],[Average Questions]]/35*20+Table1[[#This Row],[Average Bonus]]/13*5</f>
        <v/>
      </c>
      <c r="W290" t="n">
        <v>5</v>
      </c>
      <c r="X290" t="n">
        <v>0</v>
      </c>
      <c r="Y290" t="inlineStr">
        <is>
          <t>The student partially completed the tasks with some syntax and logical errors. The data loading and preparation section had issues with displaying sample images and incorrect batch sizes. The model loading and adaptation section used an incorrect model variant and had unnecessary additional layers. The training and validation loops did not adjust labels for 0-indexing, resulting in a penalty. The bonus task was not implemented correctly.</t>
        </is>
      </c>
      <c r="Z290" t="n">
        <v>3</v>
      </c>
      <c r="AA290" t="n">
        <v>0</v>
      </c>
      <c r="AB290" t="inlineStr">
        <is>
          <t>The student attempted most tasks but made several mistakes. In Part 1, the dataset paths were incorrect, and the transformations were inconsistent between training and testing datasets. Part 2 had incorrect batch normalization layer assignments and an incorrect fully connected layer input size. Part 3 and Part 4 were mostly correct but redundant, with the training loop defined twice. The bonus task was not attempted correctly, as the U-Net architecture was used instead of adding a residual connection to the CNN.</t>
        </is>
      </c>
      <c r="AC290" t="n">
        <v>5</v>
      </c>
      <c r="AD290" t="inlineStr">
        <is>
          <t>The student partially completed the tasks. The dataset class and data loaders were implemented correctly, and sample images and masks were displayed. However, the model class used a custom U-Net implementation instead of a pretrained U-Net with an efficientnet-b1 encoder. The training and validation loops were correctly defined and executed, and the loss curve was plotted. The predictions were visualized, but the model architecture did not follow the specified instructions.</t>
        </is>
      </c>
      <c r="AE290" t="n">
        <v>0</v>
      </c>
      <c r="AF290" t="n">
        <v>0</v>
      </c>
      <c r="AG290" t="inlineStr">
        <is>
          <t>The student's implementation contains several errors and incomplete sections. The `__init__` method incorrectly stores the dataset as `self.cifar_dataset` instead of `self.dataset`. The `__len__` method incorrectly references `self.image_paths`, which is undefined. The `rgb_to_grayscale` method incorrectly attempts to open an image file using `Image.open` and uses undefined variables `R`, `G`, `B`, and `idx`. The `__getitem__` method incorrectly calls `rgb_to_grayscale` without passing the correct arguments and returns a tuple with an incorrect grayscale image. The visualization and DataLoader tests fail due to these issues.</t>
        </is>
      </c>
      <c r="AH290" t="n">
        <v>13</v>
      </c>
      <c r="AI290" t="n">
        <v>0</v>
      </c>
    </row>
    <row r="291">
      <c r="A291" t="n">
        <v>290</v>
      </c>
      <c r="B291" t="inlineStr">
        <is>
          <t>TA_6</t>
        </is>
      </c>
      <c r="C291" t="inlineStr">
        <is>
          <t>TA_16</t>
        </is>
      </c>
      <c r="D291" t="n">
        <v>11.75</v>
      </c>
      <c r="E291" t="n">
        <v>0</v>
      </c>
      <c r="F291" t="n">
        <v>11</v>
      </c>
      <c r="G291" t="n">
        <v>0</v>
      </c>
      <c r="H291" t="n">
        <v>1.5</v>
      </c>
      <c r="I291" t="n">
        <v>0</v>
      </c>
      <c r="J291" t="n">
        <v>11.25</v>
      </c>
      <c r="K291" t="n">
        <v>0</v>
      </c>
      <c r="L291" t="n">
        <v>11</v>
      </c>
      <c r="M291" t="n">
        <v>0</v>
      </c>
      <c r="N291" t="n">
        <v>3.5</v>
      </c>
      <c r="O291" t="n">
        <v>0</v>
      </c>
      <c r="P291">
        <f>Table1[[#This Row],[TA 1 - Q1 Score]]+Table1[[#This Row],[TA 1 - Q2 Score]]+Table1[[#This Row],[TA 1 - Q3 Score]]</f>
        <v/>
      </c>
      <c r="Q291">
        <f>Table1[[#This Row],[TA 1 - Q1 Bonus]]+Table1[[#This Row],[TA 1 - Q2 Bonus]]+Table1[[#This Row],[TA 1 - Q4 Bonus]]</f>
        <v/>
      </c>
      <c r="R291">
        <f>Table1[[#This Row],[TA 2 - Q1 Score]]+Table1[[#This Row],[TA 2 - Q2 Score]]+Table1[[#This Row],[TA 2 - Q3 Score]]</f>
        <v/>
      </c>
      <c r="S291">
        <f>Table1[[#This Row],[TA 2 - Q1 Bonus]]+Table1[[#This Row],[TA 2 - Q2 Bonus]]+Table1[[#This Row],[TA 2 - Q4 Bonus]]</f>
        <v/>
      </c>
      <c r="T291">
        <f>(Table1[[#This Row],[TA 1 - Total Score (out of 35)]]+Table1[[#This Row],[TA 2 - Total Score (out of 35)]])/2</f>
        <v/>
      </c>
      <c r="U291">
        <f>(Table1[[#This Row],[TA 1 - Total Bonus (out of 13)]]+Table1[[#This Row],[TA 2 - Total Bonus (out of 13)]])/2</f>
        <v/>
      </c>
      <c r="V291">
        <f>Table1[[#This Row],[Average Questions]]/35*20+Table1[[#This Row],[Average Bonus]]/13*5</f>
        <v/>
      </c>
      <c r="W291" t="n">
        <v>5</v>
      </c>
      <c r="X291" t="n">
        <v>0</v>
      </c>
      <c r="Y291" t="inlineStr">
        <is>
          <t>The student completed the data loading and preparation with minor issues, such as incorrect batch size and incorrect class names. The model loading and adaptation were partially correct, but the student used the wrong model name and did not freeze the backbone correctly. The training and validation loops were attempted but contained syntax errors and logical mistakes, such as incorrect variable names and missing accuracy calculations. The plotting section was not fully implemented due to missing accuracy data. No bonus tasks were attempted.</t>
        </is>
      </c>
      <c r="Z291" t="n">
        <v>8</v>
      </c>
      <c r="AA291" t="n">
        <v>0</v>
      </c>
      <c r="AB291" t="inlineStr">
        <is>
          <t>The student successfully completed most tasks with minor issues. The data loading and preparation section had correct transformations and displayed sample images. The CNN model had 5 convolutional layers with batch normalization, though the number of channels was different from the reference. The training and validation loops were implemented correctly, and the model trained and plotted losses and accuracies. However, the bonus task was not attempted.</t>
        </is>
      </c>
      <c r="AC291" t="n">
        <v>2</v>
      </c>
      <c r="AD291" t="inlineStr">
        <is>
          <t>The student has completed Task 1 partially by defining the dataset class and creating DataLoaders, but did not display sample images and masks. Task 2 is not started. Tasks 3, 4, and 5 are completely missing.</t>
        </is>
      </c>
      <c r="AE291" t="n">
        <v>0</v>
      </c>
      <c r="AF291" t="n">
        <v>0</v>
      </c>
      <c r="AG291" t="inlineStr">
        <is>
          <t>No submission found.</t>
        </is>
      </c>
      <c r="AH291" t="n">
        <v>15</v>
      </c>
      <c r="AI291" t="n">
        <v>0</v>
      </c>
    </row>
    <row r="292">
      <c r="A292" t="n">
        <v>291</v>
      </c>
      <c r="B292" t="inlineStr">
        <is>
          <t>TA_6</t>
        </is>
      </c>
      <c r="C292" t="inlineStr">
        <is>
          <t>TA_16</t>
        </is>
      </c>
      <c r="D292" t="n">
        <v>3.75</v>
      </c>
      <c r="E292" t="n">
        <v>0</v>
      </c>
      <c r="F292" t="n">
        <v>6.5</v>
      </c>
      <c r="G292" t="n">
        <v>0</v>
      </c>
      <c r="H292" t="n">
        <v>4</v>
      </c>
      <c r="I292" t="n">
        <v>0</v>
      </c>
      <c r="J292" t="n">
        <v>3.25</v>
      </c>
      <c r="K292" t="n">
        <v>0</v>
      </c>
      <c r="L292" t="n">
        <v>6.5</v>
      </c>
      <c r="M292" t="n">
        <v>0</v>
      </c>
      <c r="N292" t="n">
        <v>4</v>
      </c>
      <c r="O292" t="n">
        <v>0</v>
      </c>
      <c r="P292">
        <f>Table1[[#This Row],[TA 1 - Q1 Score]]+Table1[[#This Row],[TA 1 - Q2 Score]]+Table1[[#This Row],[TA 1 - Q3 Score]]</f>
        <v/>
      </c>
      <c r="Q292">
        <f>Table1[[#This Row],[TA 1 - Q1 Bonus]]+Table1[[#This Row],[TA 1 - Q2 Bonus]]+Table1[[#This Row],[TA 1 - Q4 Bonus]]</f>
        <v/>
      </c>
      <c r="R292">
        <f>Table1[[#This Row],[TA 2 - Q1 Score]]+Table1[[#This Row],[TA 2 - Q2 Score]]+Table1[[#This Row],[TA 2 - Q3 Score]]</f>
        <v/>
      </c>
      <c r="S292">
        <f>Table1[[#This Row],[TA 2 - Q1 Bonus]]+Table1[[#This Row],[TA 2 - Q2 Bonus]]+Table1[[#This Row],[TA 2 - Q4 Bonus]]</f>
        <v/>
      </c>
      <c r="T292">
        <f>(Table1[[#This Row],[TA 1 - Total Score (out of 35)]]+Table1[[#This Row],[TA 2 - Total Score (out of 35)]])/2</f>
        <v/>
      </c>
      <c r="U292">
        <f>(Table1[[#This Row],[TA 1 - Total Bonus (out of 13)]]+Table1[[#This Row],[TA 2 - Total Bonus (out of 13)]])/2</f>
        <v/>
      </c>
      <c r="V292">
        <f>Table1[[#This Row],[Average Questions]]/35*20+Table1[[#This Row],[Average Bonus]]/13*5</f>
        <v/>
      </c>
      <c r="W292" t="n">
        <v>2</v>
      </c>
      <c r="X292" t="n">
        <v>0</v>
      </c>
      <c r="Y292" t="inlineStr">
        <is>
          <t>The student partially completed the tasks with some syntax and logical errors. The data loading and preparation section had redundant resize transformations and incorrect DataLoader creation. The model loading and adaptation section froze all parameters instead of just the backbone and incorrectly set the classifier output to 1 class. The training and validation loops used binary classification loss and logic, which is inappropriate for multi-class classification. No bonus tasks were attempted.</t>
        </is>
      </c>
      <c r="Z292" t="n">
        <v>7</v>
      </c>
      <c r="AA292" t="n">
        <v>0</v>
      </c>
      <c r="AB292" t="inlineStr">
        <is>
          <t>The student implemented a custom dataset class and used the correct transformations, including RandomRotation and resizing to 32x32, earning full marks for Part 1. The CNN model has 5 convolutional layers but does not include batch normalization, resulting in 50% for Part 2. The training and validation loops are correctly defined, earning full marks for Part 3. The model setup, training, and plotting of losses and accuracies are also correct, earning full marks for Part 4. However, no bonus task was attempted, so no bonus points are awarded.</t>
        </is>
      </c>
      <c r="AC292" t="n">
        <v>4</v>
      </c>
      <c r="AD292" t="inlineStr">
        <is>
          <t>The student attempted most tasks but made significant errors. The dataset class is mostly correct but has issues with splitting the dataset. The model class incorrectly sets the number of classes to 1 instead of 8. The training and validation loops use BCEWithLogitsLoss, which is inappropriate for multi-class segmentation. The visualization code is mostly correct but uses a binary threshold for predictions.</t>
        </is>
      </c>
      <c r="AE292" t="n">
        <v>0</v>
      </c>
      <c r="AF292" t="n">
        <v>0</v>
      </c>
      <c r="AG292" t="inlineStr">
        <is>
          <t>No submission found.</t>
        </is>
      </c>
      <c r="AH292" t="n">
        <v>13</v>
      </c>
      <c r="AI292" t="n">
        <v>0</v>
      </c>
    </row>
    <row r="293">
      <c r="A293" t="n">
        <v>292</v>
      </c>
      <c r="B293" t="inlineStr">
        <is>
          <t>TA_6</t>
        </is>
      </c>
      <c r="C293" t="inlineStr">
        <is>
          <t>TA_16</t>
        </is>
      </c>
      <c r="D293" t="n">
        <v>12</v>
      </c>
      <c r="E293" t="n">
        <v>4</v>
      </c>
      <c r="F293" t="n">
        <v>8</v>
      </c>
      <c r="G293" t="n">
        <v>1</v>
      </c>
      <c r="H293" t="n">
        <v>12</v>
      </c>
      <c r="I293" t="n">
        <v>5</v>
      </c>
      <c r="J293" t="n">
        <v>12</v>
      </c>
      <c r="K293" t="n">
        <v>4</v>
      </c>
      <c r="L293" t="n">
        <v>8</v>
      </c>
      <c r="M293" t="n">
        <v>1</v>
      </c>
      <c r="N293" t="n">
        <v>12</v>
      </c>
      <c r="O293" t="n">
        <v>5</v>
      </c>
      <c r="P293">
        <f>Table1[[#This Row],[TA 1 - Q1 Score]]+Table1[[#This Row],[TA 1 - Q2 Score]]+Table1[[#This Row],[TA 1 - Q3 Score]]</f>
        <v/>
      </c>
      <c r="Q293">
        <f>Table1[[#This Row],[TA 1 - Q1 Bonus]]+Table1[[#This Row],[TA 1 - Q2 Bonus]]+Table1[[#This Row],[TA 1 - Q4 Bonus]]</f>
        <v/>
      </c>
      <c r="R293">
        <f>Table1[[#This Row],[TA 2 - Q1 Score]]+Table1[[#This Row],[TA 2 - Q2 Score]]+Table1[[#This Row],[TA 2 - Q3 Score]]</f>
        <v/>
      </c>
      <c r="S293">
        <f>Table1[[#This Row],[TA 2 - Q1 Bonus]]+Table1[[#This Row],[TA 2 - Q2 Bonus]]+Table1[[#This Row],[TA 2 - Q4 Bonus]]</f>
        <v/>
      </c>
      <c r="T293">
        <f>(Table1[[#This Row],[TA 1 - Total Score (out of 35)]]+Table1[[#This Row],[TA 2 - Total Score (out of 35)]])/2</f>
        <v/>
      </c>
      <c r="U293">
        <f>(Table1[[#This Row],[TA 1 - Total Bonus (out of 13)]]+Table1[[#This Row],[TA 2 - Total Bonus (out of 13)]])/2</f>
        <v/>
      </c>
      <c r="V293">
        <f>Table1[[#This Row],[Average Questions]]/35*20+Table1[[#This Row],[Average Bonus]]/13*5</f>
        <v/>
      </c>
      <c r="W293" t="n">
        <v>8.5</v>
      </c>
      <c r="X293" t="n">
        <v>3</v>
      </c>
      <c r="Y293" t="inlineStr">
        <is>
          <t>The student completed most tasks correctly. The data loading and preparation were mostly accurate, with minor issues in displaying sample images. The model loading and adaptation were correct, though the classifier freezing was incomplete. The training and validation loops were implemented properly, including label fixing. The bonus task for test time augmentation was correctly defined and executed, averaging predictions from original, horizontally flipped, and vertically flipped images.</t>
        </is>
      </c>
      <c r="Z293" t="n">
        <v>6</v>
      </c>
      <c r="AA293" t="n">
        <v>0</v>
      </c>
      <c r="AB293" t="inlineStr">
        <is>
          <t>The student successfully loaded and prepared the data with the correct transformations and displayed sample images. The CNN model was built with five convolutional layers and batch normalization, though the number of channels and architecture differ from the reference. The training and validation loops were implemented correctly. However, the residual connection implementation was incorrect, and the model definition for the residual connection was incomplete and did not run.</t>
        </is>
      </c>
      <c r="AC293" t="n">
        <v>8</v>
      </c>
      <c r="AD293" t="inlineStr">
        <is>
          <t>The student's submission contains mostly correct code with minor issues. Task 1 is partially correct due to a mismatch in file extensions and missing sorting of paths. Task 2 is correct except for the encoder name specified as 'efficientnet-b1' instead of 'efficientnet-b0'. Task 3 is correct with proper training and validation loops. Task 4 is mostly correct with defined loss and optimizer, but the learning rate is different from the reference. Task 5 is correct with visualization of predictions.</t>
        </is>
      </c>
      <c r="AE293" t="n">
        <v>0</v>
      </c>
      <c r="AF293" t="n">
        <v>0</v>
      </c>
      <c r="AG293" t="inlineStr">
        <is>
          <t>The student's implementation contains several issues that prevent it from being fully correct. In the `__init__` method, the comment suggests storing the dataset, but no actual code is provided. The `rgb_to_grayscale` method does not add a channel dimension to the grayscale image, which is required according to the rubric. Despite these issues, the student has attempted the tasks and the code is structured similarly to the reference solution.</t>
        </is>
      </c>
      <c r="AH293" t="n">
        <v>22.5</v>
      </c>
      <c r="AI293" t="n">
        <v>3</v>
      </c>
    </row>
    <row r="294">
      <c r="A294" t="n">
        <v>293</v>
      </c>
      <c r="B294" t="inlineStr">
        <is>
          <t>TA_6</t>
        </is>
      </c>
      <c r="C294" t="inlineStr">
        <is>
          <t>TA_16</t>
        </is>
      </c>
      <c r="D294" t="n">
        <v>12</v>
      </c>
      <c r="E294" t="n">
        <v>0</v>
      </c>
      <c r="F294" t="n">
        <v>11</v>
      </c>
      <c r="G294" t="n">
        <v>0</v>
      </c>
      <c r="H294" t="n">
        <v>9.5</v>
      </c>
      <c r="I294" t="n">
        <v>0</v>
      </c>
      <c r="J294" t="n">
        <v>12</v>
      </c>
      <c r="K294" t="n">
        <v>0</v>
      </c>
      <c r="L294" t="n">
        <v>11</v>
      </c>
      <c r="M294" t="n">
        <v>0</v>
      </c>
      <c r="N294" t="n">
        <v>9.5</v>
      </c>
      <c r="O294" t="n">
        <v>0</v>
      </c>
      <c r="P294">
        <f>Table1[[#This Row],[TA 1 - Q1 Score]]+Table1[[#This Row],[TA 1 - Q2 Score]]+Table1[[#This Row],[TA 1 - Q3 Score]]</f>
        <v/>
      </c>
      <c r="Q294">
        <f>Table1[[#This Row],[TA 1 - Q1 Bonus]]+Table1[[#This Row],[TA 1 - Q2 Bonus]]+Table1[[#This Row],[TA 1 - Q4 Bonus]]</f>
        <v/>
      </c>
      <c r="R294">
        <f>Table1[[#This Row],[TA 2 - Q1 Score]]+Table1[[#This Row],[TA 2 - Q2 Score]]+Table1[[#This Row],[TA 2 - Q3 Score]]</f>
        <v/>
      </c>
      <c r="S294">
        <f>Table1[[#This Row],[TA 2 - Q1 Bonus]]+Table1[[#This Row],[TA 2 - Q2 Bonus]]+Table1[[#This Row],[TA 2 - Q4 Bonus]]</f>
        <v/>
      </c>
      <c r="T294">
        <f>(Table1[[#This Row],[TA 1 - Total Score (out of 35)]]+Table1[[#This Row],[TA 2 - Total Score (out of 35)]])/2</f>
        <v/>
      </c>
      <c r="U294">
        <f>(Table1[[#This Row],[TA 1 - Total Bonus (out of 13)]]+Table1[[#This Row],[TA 2 - Total Bonus (out of 13)]])/2</f>
        <v/>
      </c>
      <c r="V294">
        <f>Table1[[#This Row],[Average Questions]]/35*20+Table1[[#This Row],[Average Bonus]]/13*5</f>
        <v/>
      </c>
      <c r="W294" t="n">
        <v>8</v>
      </c>
      <c r="X294" t="n">
        <v>0</v>
      </c>
      <c r="Y294" t="inlineStr">
        <is>
          <t>The student completed most tasks with minor issues. Transforms were correctly defined, and DataLoaders were set up properly. Sample images were displayed, though the labels were not shown. The pretrained EfficientNetV2-Small model was loaded and adapted correctly, with the backbone frozen and the classifier head replaced. Training and validation loops were implemented with label fixing, but the training loop used softmax and argmax unnecessarily. The model was trained and plotted, but only for two epochs. No bonus task was attempted.</t>
        </is>
      </c>
      <c r="Z294" t="n">
        <v>8.5</v>
      </c>
      <c r="AA294" t="n">
        <v>0</v>
      </c>
      <c r="AB294" t="inlineStr">
        <is>
          <t>The student successfully completed most tasks with minor issues. The data loading and preparation section included correct transformations and visualization, though the test loader was incorrectly set to shuffle. The CNN model was correctly implemented with five convolutional layers and batch normalization. The training and validation loops were mostly correct but used softmax unnecessarily. The training process ran without issues, and the plots were generated correctly. The bonus task was not attempted.</t>
        </is>
      </c>
      <c r="AC294" t="n">
        <v>8</v>
      </c>
      <c r="AD294" t="inlineStr">
        <is>
          <t>The student's submission includes most of the required tasks with some minor issues. Task 1 is mostly complete with a functional dataset class and dataloaders, though the display of images and masks could be improved. Task 2 correctly defines a pretrained U-Net model with the specified encoder. Task 3 includes both training and validation loops with minor syntax issues. Task 4 defines the loss and optimizer, trains the model, and plots the loss curve, but the optimizer choice differs from the reference. Task 5 visualizes predictions but uses a different colormap and does not follow the reference exactly.</t>
        </is>
      </c>
      <c r="AE294" t="n">
        <v>0</v>
      </c>
      <c r="AF294" t="n">
        <v>0</v>
      </c>
      <c r="AG294" t="inlineStr">
        <is>
          <t>No submission found.</t>
        </is>
      </c>
      <c r="AH294" t="n">
        <v>24.5</v>
      </c>
      <c r="AI294" t="n">
        <v>0</v>
      </c>
    </row>
    <row r="295">
      <c r="A295" t="n">
        <v>294</v>
      </c>
      <c r="B295" t="inlineStr">
        <is>
          <t>TA_6</t>
        </is>
      </c>
      <c r="C295" t="inlineStr">
        <is>
          <t>TA_16</t>
        </is>
      </c>
      <c r="D295" t="n">
        <v>10</v>
      </c>
      <c r="E295" t="n">
        <v>1</v>
      </c>
      <c r="F295" t="n">
        <v>10.5</v>
      </c>
      <c r="G295" t="n">
        <v>0</v>
      </c>
      <c r="H295" t="n">
        <v>8</v>
      </c>
      <c r="I295" t="n">
        <v>0</v>
      </c>
      <c r="J295" t="n">
        <v>10</v>
      </c>
      <c r="K295" t="n">
        <v>1</v>
      </c>
      <c r="L295" t="n">
        <v>10.5</v>
      </c>
      <c r="M295" t="n">
        <v>0</v>
      </c>
      <c r="N295" t="n">
        <v>8</v>
      </c>
      <c r="O295" t="n">
        <v>0</v>
      </c>
      <c r="P295">
        <f>Table1[[#This Row],[TA 1 - Q1 Score]]+Table1[[#This Row],[TA 1 - Q2 Score]]+Table1[[#This Row],[TA 1 - Q3 Score]]</f>
        <v/>
      </c>
      <c r="Q295">
        <f>Table1[[#This Row],[TA 1 - Q1 Bonus]]+Table1[[#This Row],[TA 1 - Q2 Bonus]]+Table1[[#This Row],[TA 1 - Q4 Bonus]]</f>
        <v/>
      </c>
      <c r="R295">
        <f>Table1[[#This Row],[TA 2 - Q1 Score]]+Table1[[#This Row],[TA 2 - Q2 Score]]+Table1[[#This Row],[TA 2 - Q3 Score]]</f>
        <v/>
      </c>
      <c r="S295">
        <f>Table1[[#This Row],[TA 2 - Q1 Bonus]]+Table1[[#This Row],[TA 2 - Q2 Bonus]]+Table1[[#This Row],[TA 2 - Q4 Bonus]]</f>
        <v/>
      </c>
      <c r="T295">
        <f>(Table1[[#This Row],[TA 1 - Total Score (out of 35)]]+Table1[[#This Row],[TA 2 - Total Score (out of 35)]])/2</f>
        <v/>
      </c>
      <c r="U295">
        <f>(Table1[[#This Row],[TA 1 - Total Bonus (out of 13)]]+Table1[[#This Row],[TA 2 - Total Bonus (out of 13)]])/2</f>
        <v/>
      </c>
      <c r="V295">
        <f>Table1[[#This Row],[Average Questions]]/35*20+Table1[[#This Row],[Average Bonus]]/13*5</f>
        <v/>
      </c>
      <c r="W295" t="n">
        <v>7</v>
      </c>
      <c r="X295" t="n">
        <v>0</v>
      </c>
      <c r="Y295" t="inlineStr">
        <is>
          <t>The student completed most tasks with minor issues. The data loading and preparation were mostly correct, but the batch size was smaller than the reference solution. The model loading and adaptation were accurate, though all parameters were frozen instead of just the backbone. The training and validation loops were implemented correctly, including label fixing. However, the bonus task for test time augmentation was incorrectly implemented, with repeated forward passes and incorrect averaging.</t>
        </is>
      </c>
      <c r="Z295" t="n">
        <v>7</v>
      </c>
      <c r="AA295" t="n">
        <v>0</v>
      </c>
      <c r="AB295" t="inlineStr">
        <is>
          <t>The student successfully loaded and prepared the data with the correct transformations and displayed sample images. The CNN model was built with five convolutional layers and batch normalization, though the number of channels in some layers was unusually high. The training and validation loops were implemented correctly, and the model was trained and plotted. However, the residual connection bonus task was not completed.</t>
        </is>
      </c>
      <c r="AC295" t="n">
        <v>10</v>
      </c>
      <c r="AD295" t="inlineStr">
        <is>
          <t>The student's submission is mostly correct and runs end-to-end. The dataset class is implemented properly, and the DataLoaders are correctly set up. Sample images and masks are displayed correctly. The U-Net model with the efficientnet-b0 encoder is defined as required. Training and validation loops are implemented correctly, and the model is trained for 10 epochs with loss printed and plotted. Predictions are visualized against ground truth. Minor issues include using AdamW instead of Adam for optimization and a slightly different dataset splitting method, but these do not significantly impact the overall correctness of the implementation.</t>
        </is>
      </c>
      <c r="AE295" t="n">
        <v>0</v>
      </c>
      <c r="AF295" t="n">
        <v>0</v>
      </c>
      <c r="AG295" t="inlineStr">
        <is>
          <t>No submission found.</t>
        </is>
      </c>
      <c r="AH295" t="n">
        <v>24</v>
      </c>
      <c r="AI295" t="n">
        <v>0</v>
      </c>
    </row>
    <row r="296">
      <c r="A296" t="n">
        <v>295</v>
      </c>
      <c r="B296" t="inlineStr">
        <is>
          <t>TA_6</t>
        </is>
      </c>
      <c r="C296" t="inlineStr">
        <is>
          <t>TA_16</t>
        </is>
      </c>
      <c r="D296" t="n">
        <v>11</v>
      </c>
      <c r="E296" t="n">
        <v>0</v>
      </c>
      <c r="F296" t="n">
        <v>7</v>
      </c>
      <c r="G296" t="n">
        <v>0</v>
      </c>
      <c r="H296" t="n">
        <v>6</v>
      </c>
      <c r="I296" t="n">
        <v>0</v>
      </c>
      <c r="J296" t="n">
        <v>11</v>
      </c>
      <c r="K296" t="n">
        <v>0</v>
      </c>
      <c r="L296" t="n">
        <v>6</v>
      </c>
      <c r="M296" t="n">
        <v>0</v>
      </c>
      <c r="N296" t="n">
        <v>6</v>
      </c>
      <c r="O296" t="n">
        <v>0</v>
      </c>
      <c r="P296">
        <f>Table1[[#This Row],[TA 1 - Q1 Score]]+Table1[[#This Row],[TA 1 - Q2 Score]]+Table1[[#This Row],[TA 1 - Q3 Score]]</f>
        <v/>
      </c>
      <c r="Q296">
        <f>Table1[[#This Row],[TA 1 - Q1 Bonus]]+Table1[[#This Row],[TA 1 - Q2 Bonus]]+Table1[[#This Row],[TA 1 - Q4 Bonus]]</f>
        <v/>
      </c>
      <c r="R296">
        <f>Table1[[#This Row],[TA 2 - Q1 Score]]+Table1[[#This Row],[TA 2 - Q2 Score]]+Table1[[#This Row],[TA 2 - Q3 Score]]</f>
        <v/>
      </c>
      <c r="S296">
        <f>Table1[[#This Row],[TA 2 - Q1 Bonus]]+Table1[[#This Row],[TA 2 - Q2 Bonus]]+Table1[[#This Row],[TA 2 - Q4 Bonus]]</f>
        <v/>
      </c>
      <c r="T296">
        <f>(Table1[[#This Row],[TA 1 - Total Score (out of 35)]]+Table1[[#This Row],[TA 2 - Total Score (out of 35)]])/2</f>
        <v/>
      </c>
      <c r="U296">
        <f>(Table1[[#This Row],[TA 1 - Total Bonus (out of 13)]]+Table1[[#This Row],[TA 2 - Total Bonus (out of 13)]])/2</f>
        <v/>
      </c>
      <c r="V296">
        <f>Table1[[#This Row],[Average Questions]]/35*20+Table1[[#This Row],[Average Bonus]]/13*5</f>
        <v/>
      </c>
      <c r="W296" t="n">
        <v>8.5</v>
      </c>
      <c r="X296" t="n">
        <v>0</v>
      </c>
      <c r="Y296" t="inlineStr">
        <is>
          <t>The student completed most tasks correctly but made some mistakes. The data loading and preparation were mostly correct, though the batch size for the training DataLoader was unusually large (700). The model loading and adaptation were accurate, with the backbone frozen and the classifier head replaced correctly. The training and validation loops were implemented with minor issues, such as unnecessary softmax and argmax operations. The plotting of losses and accuracies was done correctly. No bonus task was attempted.</t>
        </is>
      </c>
      <c r="Z296" t="n">
        <v>5</v>
      </c>
      <c r="AA296" t="n">
        <v>0</v>
      </c>
      <c r="AB296" t="inlineStr">
        <is>
          <t>The student partially completed several tasks but made significant errors. They correctly set up data loading and transformations, including resizing to 32x32 and random rotation. However, they used PILToTensor instead of ToTensor in the test transform, which is a mistake. The CNN model had incorrect dimensions and fewer convolutional layers than required, leading to a mismatch in the fully connected layer. Training and validation loops were implemented correctly, but the model setup issues prevented successful training. No bonus tasks were attempted.</t>
        </is>
      </c>
      <c r="AC296" t="n">
        <v>2</v>
      </c>
      <c r="AD296" t="inlineStr">
        <is>
          <t>The student attempted most tasks but made significant errors. The dataset class incorrectly assumes a directory structure that does not match the provided dataset, leading to incorrect loading of images and masks. The model class correctly defines a U-Net with the specified encoder. The training and validation loops contain logical errors, particularly in handling mask data types and dimensions. The training process uses an incorrect optimizer and learning rate, and the visualization section is incomplete.</t>
        </is>
      </c>
      <c r="AE296" t="n">
        <v>0</v>
      </c>
      <c r="AF296" t="n">
        <v>0</v>
      </c>
      <c r="AG296" t="inlineStr">
        <is>
          <t>No submission found.</t>
        </is>
      </c>
      <c r="AH296" t="n">
        <v>15.5</v>
      </c>
      <c r="AI296" t="n">
        <v>0</v>
      </c>
    </row>
    <row r="297">
      <c r="A297" t="n">
        <v>296</v>
      </c>
      <c r="B297" t="inlineStr">
        <is>
          <t>TA_6</t>
        </is>
      </c>
      <c r="C297" t="inlineStr">
        <is>
          <t>TA_16</t>
        </is>
      </c>
      <c r="D297" t="n">
        <v>10.5</v>
      </c>
      <c r="E297" t="n">
        <v>0</v>
      </c>
      <c r="F297" t="n">
        <v>6.5</v>
      </c>
      <c r="G297" t="n">
        <v>0</v>
      </c>
      <c r="H297" t="n">
        <v>11.5</v>
      </c>
      <c r="I297" t="n">
        <v>5</v>
      </c>
      <c r="J297" t="n">
        <v>10.5</v>
      </c>
      <c r="K297" t="n">
        <v>0</v>
      </c>
      <c r="L297" t="n">
        <v>6.5</v>
      </c>
      <c r="M297" t="n">
        <v>0</v>
      </c>
      <c r="N297" t="n">
        <v>11.5</v>
      </c>
      <c r="O297" t="n">
        <v>5</v>
      </c>
      <c r="P297">
        <f>Table1[[#This Row],[TA 1 - Q1 Score]]+Table1[[#This Row],[TA 1 - Q2 Score]]+Table1[[#This Row],[TA 1 - Q3 Score]]</f>
        <v/>
      </c>
      <c r="Q297">
        <f>Table1[[#This Row],[TA 1 - Q1 Bonus]]+Table1[[#This Row],[TA 1 - Q2 Bonus]]+Table1[[#This Row],[TA 1 - Q4 Bonus]]</f>
        <v/>
      </c>
      <c r="R297">
        <f>Table1[[#This Row],[TA 2 - Q1 Score]]+Table1[[#This Row],[TA 2 - Q2 Score]]+Table1[[#This Row],[TA 2 - Q3 Score]]</f>
        <v/>
      </c>
      <c r="S297">
        <f>Table1[[#This Row],[TA 2 - Q1 Bonus]]+Table1[[#This Row],[TA 2 - Q2 Bonus]]+Table1[[#This Row],[TA 2 - Q4 Bonus]]</f>
        <v/>
      </c>
      <c r="T297">
        <f>(Table1[[#This Row],[TA 1 - Total Score (out of 35)]]+Table1[[#This Row],[TA 2 - Total Score (out of 35)]])/2</f>
        <v/>
      </c>
      <c r="U297">
        <f>(Table1[[#This Row],[TA 1 - Total Bonus (out of 13)]]+Table1[[#This Row],[TA 2 - Total Bonus (out of 13)]])/2</f>
        <v/>
      </c>
      <c r="V297">
        <f>Table1[[#This Row],[Average Questions]]/35*20+Table1[[#This Row],[Average Bonus]]/13*5</f>
        <v/>
      </c>
      <c r="W297" t="n">
        <v>7</v>
      </c>
      <c r="X297" t="n">
        <v>0</v>
      </c>
      <c r="Y297" t="inlineStr">
        <is>
          <t>The student completed most tasks with minor issues. The transforms were mostly correct but included a comment suggesting resizing to 64x64 instead of 28x28. DataLoaders were created correctly, and sample images were displayed with labels. The model was loaded and adapted properly, but the backbone was not explicitly frozen. The training and validation loops were implemented with a remapping function that was unnecessary and caused issues. Labels were not fixed to be 0-indexed, resulting in a penalty. Training and validation losses and accuracies were plotted correctly. No bonus task was attempted.</t>
        </is>
      </c>
      <c r="Z297" t="n">
        <v>5</v>
      </c>
      <c r="AA297" t="n">
        <v>0</v>
      </c>
      <c r="AB297" t="inlineStr">
        <is>
          <t>The student partially completed the tasks. They used the correct dataset and applied transformations, but the resize dimensions were incorrect (224x224 instead of 32x32). The CNN model had fewer than 5 convolutional layers and incorrect fully connected layer sizes. The training and validation loops were mostly correct but included unnecessary softmax operations. No bonus task was attempted.</t>
        </is>
      </c>
      <c r="AC297" t="n">
        <v>7</v>
      </c>
      <c r="AD297" t="inlineStr">
        <is>
          <t>The student's submission partially completes most tasks but contains several issues. The dataset class is implemented with logical errors in file path handling and mask remapping. DataLoaders are incorrectly created using random subsets instead of a proper train-test split. The model class is correctly defined, but the training and validation loops contain minor syntax issues. The training process is mostly correct, but the learning rate is unusually low, and the visualization of predictions has some errors in mask processing.</t>
        </is>
      </c>
      <c r="AE297" t="n">
        <v>0</v>
      </c>
      <c r="AF297" t="n">
        <v>5</v>
      </c>
      <c r="AG297" t="inlineStr">
        <is>
          <t>The student's implementation of the ColorizationDataset class is correct and runs perfectly. The class stores the dataset, returns the correct length, implements the rgb_to_grayscale method accurately, and returns the correct (grayscale, color) tuple in the __getitem__ method. The visualization also works as expected. Therefore, the student receives full bonus points.</t>
        </is>
      </c>
      <c r="AH297" t="n">
        <v>19</v>
      </c>
      <c r="AI297" t="n">
        <v>5</v>
      </c>
    </row>
    <row r="298">
      <c r="A298" t="n">
        <v>297</v>
      </c>
      <c r="B298" t="inlineStr">
        <is>
          <t>TA_6</t>
        </is>
      </c>
      <c r="C298" t="inlineStr">
        <is>
          <t>TA_16</t>
        </is>
      </c>
      <c r="D298" t="n">
        <v>9.5</v>
      </c>
      <c r="E298" t="n">
        <v>1</v>
      </c>
      <c r="F298" t="n">
        <v>6</v>
      </c>
      <c r="G298" t="n">
        <v>1.5</v>
      </c>
      <c r="H298" t="n">
        <v>12</v>
      </c>
      <c r="I298" t="n">
        <v>0</v>
      </c>
      <c r="J298" t="n">
        <v>7.5</v>
      </c>
      <c r="K298" t="n">
        <v>1</v>
      </c>
      <c r="L298" t="n">
        <v>6</v>
      </c>
      <c r="M298" t="n">
        <v>1.5</v>
      </c>
      <c r="N298" t="n">
        <v>12</v>
      </c>
      <c r="O298" t="n">
        <v>0</v>
      </c>
      <c r="P298">
        <f>Table1[[#This Row],[TA 1 - Q1 Score]]+Table1[[#This Row],[TA 1 - Q2 Score]]+Table1[[#This Row],[TA 1 - Q3 Score]]</f>
        <v/>
      </c>
      <c r="Q298">
        <f>Table1[[#This Row],[TA 1 - Q1 Bonus]]+Table1[[#This Row],[TA 1 - Q2 Bonus]]+Table1[[#This Row],[TA 1 - Q4 Bonus]]</f>
        <v/>
      </c>
      <c r="R298">
        <f>Table1[[#This Row],[TA 2 - Q1 Score]]+Table1[[#This Row],[TA 2 - Q2 Score]]+Table1[[#This Row],[TA 2 - Q3 Score]]</f>
        <v/>
      </c>
      <c r="S298">
        <f>Table1[[#This Row],[TA 2 - Q1 Bonus]]+Table1[[#This Row],[TA 2 - Q2 Bonus]]+Table1[[#This Row],[TA 2 - Q4 Bonus]]</f>
        <v/>
      </c>
      <c r="T298">
        <f>(Table1[[#This Row],[TA 1 - Total Score (out of 35)]]+Table1[[#This Row],[TA 2 - Total Score (out of 35)]])/2</f>
        <v/>
      </c>
      <c r="U298">
        <f>(Table1[[#This Row],[TA 1 - Total Bonus (out of 13)]]+Table1[[#This Row],[TA 2 - Total Bonus (out of 13)]])/2</f>
        <v/>
      </c>
      <c r="V298">
        <f>Table1[[#This Row],[Average Questions]]/35*20+Table1[[#This Row],[Average Bonus]]/13*5</f>
        <v/>
      </c>
      <c r="W298" t="n">
        <v>5</v>
      </c>
      <c r="X298" t="n">
        <v>0</v>
      </c>
      <c r="Y298" t="inlineStr">
        <is>
          <t>The student completed the data loading and preparation with minor issues, such as using a batch size of 32 instead of 64 and not displaying sample images. The model loading and adaptation were partially correct, but the student incorrectly froze the entire model instead of just the backbone. The training and validation loops had syntax errors, particularly in handling the output dimensions and label adjustments. The student did not attempt the bonus task correctly, as the TTA implementation contained logical errors and did not compute the average predictions properly.</t>
        </is>
      </c>
      <c r="Z298" t="n">
        <v>5</v>
      </c>
      <c r="AA298" t="n">
        <v>0</v>
      </c>
      <c r="AB298" t="inlineStr">
        <is>
          <t>The student partially completed the tasks. They correctly set up the dataset and DataLoaders with the required transformations, achieving full points for Part 1. However, the CNN model in Part 2 has incorrect layer sizes and lacks batch normalization, earning 0%. The training and validation loops in Part 3 were implemented correctly, earning full points. In Part 4, the student trained the model but used an incorrect fully connected layer size, resulting in a runtime error, earning 0%. The bonus part was not attempted correctly, with syntax errors and incorrect implementation of the residual connection, earning 0%.</t>
        </is>
      </c>
      <c r="AC298" t="n">
        <v>8.5</v>
      </c>
      <c r="AD298" t="inlineStr">
        <is>
          <t>The student's submission demonstrates a good understanding of the tasks but contains some minor issues. The dataset class and data loaders are correctly implemented, and sample images and masks are displayed. The model class is defined using the correct encoder, and the training and validation loops are mostly correct with some syntax issues. The loss and optimizer are defined, and the model is trained for 5 epochs with loss printed and plotted. However, the visualization of predictions has some issues with the colormap and the number of samples displayed.</t>
        </is>
      </c>
      <c r="AE298" t="n">
        <v>0</v>
      </c>
      <c r="AF298" t="n">
        <v>0</v>
      </c>
      <c r="AG298" t="inlineStr">
        <is>
          <t>The student's implementation contains several errors and does not follow the required structure. The `ColorizationDataset` class is incorrectly defined with unnecessary arguments and incorrect methods. The `rgb_to_grayscale` method is not implemented correctly, and the `__getitem__` method uses incorrect approaches for converting images. Additionally, the student included unrelated code for an autoencoder, which is not part of the task requirements.</t>
        </is>
      </c>
      <c r="AH298" t="n">
        <v>18.5</v>
      </c>
      <c r="AI298" t="n">
        <v>0</v>
      </c>
    </row>
    <row r="299">
      <c r="A299" t="n">
        <v>298</v>
      </c>
      <c r="B299" t="inlineStr">
        <is>
          <t>TA_6</t>
        </is>
      </c>
      <c r="C299" t="inlineStr">
        <is>
          <t>TA_16</t>
        </is>
      </c>
      <c r="D299" t="n">
        <v>3</v>
      </c>
      <c r="E299" t="n">
        <v>0</v>
      </c>
      <c r="F299" t="n">
        <v>0</v>
      </c>
      <c r="G299" t="n">
        <v>0</v>
      </c>
      <c r="H299" t="n">
        <v>-1</v>
      </c>
      <c r="I299" t="n">
        <v>0</v>
      </c>
      <c r="J299" t="n">
        <v>4</v>
      </c>
      <c r="K299" t="n">
        <v>0</v>
      </c>
      <c r="L299" t="n">
        <v>0</v>
      </c>
      <c r="M299" t="n">
        <v>0</v>
      </c>
      <c r="N299" t="n">
        <v>0</v>
      </c>
      <c r="O299" t="n">
        <v>0</v>
      </c>
      <c r="P299">
        <f>Table1[[#This Row],[TA 1 - Q1 Score]]+Table1[[#This Row],[TA 1 - Q2 Score]]+Table1[[#This Row],[TA 1 - Q3 Score]]</f>
        <v/>
      </c>
      <c r="Q299">
        <f>Table1[[#This Row],[TA 1 - Q1 Bonus]]+Table1[[#This Row],[TA 1 - Q2 Bonus]]+Table1[[#This Row],[TA 1 - Q4 Bonus]]</f>
        <v/>
      </c>
      <c r="R299">
        <f>Table1[[#This Row],[TA 2 - Q1 Score]]+Table1[[#This Row],[TA 2 - Q2 Score]]+Table1[[#This Row],[TA 2 - Q3 Score]]</f>
        <v/>
      </c>
      <c r="S299">
        <f>Table1[[#This Row],[TA 2 - Q1 Bonus]]+Table1[[#This Row],[TA 2 - Q2 Bonus]]+Table1[[#This Row],[TA 2 - Q4 Bonus]]</f>
        <v/>
      </c>
      <c r="T299">
        <f>(Table1[[#This Row],[TA 1 - Total Score (out of 35)]]+Table1[[#This Row],[TA 2 - Total Score (out of 35)]])/2</f>
        <v/>
      </c>
      <c r="U299">
        <f>(Table1[[#This Row],[TA 1 - Total Bonus (out of 13)]]+Table1[[#This Row],[TA 2 - Total Bonus (out of 13)]])/2</f>
        <v/>
      </c>
      <c r="V299">
        <f>Table1[[#This Row],[Average Questions]]/35*20+Table1[[#This Row],[Average Bonus]]/13*5</f>
        <v/>
      </c>
      <c r="W299" t="n">
        <v>0</v>
      </c>
      <c r="X299" t="n">
        <v>0</v>
      </c>
      <c r="Y299" t="inlineStr">
        <is>
          <t>The student's submission contains multiple critical errors and does not follow the required steps. The resize transformation is incorrectly set to 224x224 instead of 28x28, and the DataLoader creation is inconsistent with the reference solution. The model used is VGG16 instead of EfficientNetV2-Small, and the classifier head is incorrectly adapted for CIFAR-10 rather than the EMNIST dataset. The training and validation loops are implemented for binary classification with BCEWithLogitsLoss, which is inappropriate for multi-class classification. The code does not fix the labels to be 0-indexed, leading to potential errors. Overall, the submission is fundamentally flawed and does not meet the requirements of the task.</t>
        </is>
      </c>
      <c r="Z299" t="n">
        <v>2</v>
      </c>
      <c r="AA299" t="n">
        <v>0</v>
      </c>
      <c r="AB299" t="inlineStr">
        <is>
          <t>The student used the CIFAR-10 dataset instead of the Potato Disease Dataset, which is a significant deviation from the instructions. The CNN model has only 3 convolutional layers instead of 5, and it lacks batch normalization. The training and validation loops are implemented correctly, but the dataset mismatch and model architecture issues prevent full credit.</t>
        </is>
      </c>
      <c r="AC299" t="n">
        <v>3</v>
      </c>
      <c r="AD299" t="inlineStr">
        <is>
          <t>The student attempted Task 1 by creating a dataset class and data loaders, but used the SUIM dataset instead of the specified dataset. Task 2 was incorrectly implemented with a custom U-Net architecture instead of using a pretrained U-Net with an efficientnet-b1 encoder. Tasks 3, 4, and 5 were not completed as the model definition was incorrect, leading to subsequent failures in training, validation, and visualization.</t>
        </is>
      </c>
      <c r="AE299" t="n">
        <v>0</v>
      </c>
      <c r="AF299" t="n">
        <v>0</v>
      </c>
      <c r="AG299" t="inlineStr">
        <is>
          <t>The student's implementation contains multiple issues. In the `__init__` method, the dataset is not stored properly, and a return statement is incorrectly used. The `__len__` method references an undefined variable `nSamples`. The `rgb_to_grayscale` method incorrectly uses a transform pipeline instead of manually converting the image to grayscale using the specified formula. Additionally, the `__getitem__` method does not implement the logic to retrieve and convert images, returning undefined variables instead.</t>
        </is>
      </c>
      <c r="AH299" t="n">
        <v>5</v>
      </c>
      <c r="AI299" t="n">
        <v>0</v>
      </c>
    </row>
    <row r="300">
      <c r="A300" t="n">
        <v>299</v>
      </c>
      <c r="B300" t="inlineStr">
        <is>
          <t>TA_6</t>
        </is>
      </c>
      <c r="C300" t="inlineStr">
        <is>
          <t>TA_16</t>
        </is>
      </c>
      <c r="D300" t="n">
        <v>3</v>
      </c>
      <c r="E300" t="n">
        <v>0</v>
      </c>
      <c r="F300" t="n">
        <v>6</v>
      </c>
      <c r="G300" t="n">
        <v>0</v>
      </c>
      <c r="H300" t="n">
        <v>2</v>
      </c>
      <c r="I300" t="n">
        <v>0</v>
      </c>
      <c r="J300" t="n">
        <v>3</v>
      </c>
      <c r="K300" t="n">
        <v>0</v>
      </c>
      <c r="L300" t="n">
        <v>6</v>
      </c>
      <c r="M300" t="n">
        <v>0</v>
      </c>
      <c r="N300" t="n">
        <v>0</v>
      </c>
      <c r="O300" t="n">
        <v>0</v>
      </c>
      <c r="P300">
        <f>Table1[[#This Row],[TA 1 - Q1 Score]]+Table1[[#This Row],[TA 1 - Q2 Score]]+Table1[[#This Row],[TA 1 - Q3 Score]]</f>
        <v/>
      </c>
      <c r="Q300">
        <f>Table1[[#This Row],[TA 1 - Q1 Bonus]]+Table1[[#This Row],[TA 1 - Q2 Bonus]]+Table1[[#This Row],[TA 1 - Q4 Bonus]]</f>
        <v/>
      </c>
      <c r="R300">
        <f>Table1[[#This Row],[TA 2 - Q1 Score]]+Table1[[#This Row],[TA 2 - Q2 Score]]+Table1[[#This Row],[TA 2 - Q3 Score]]</f>
        <v/>
      </c>
      <c r="S300">
        <f>Table1[[#This Row],[TA 2 - Q1 Bonus]]+Table1[[#This Row],[TA 2 - Q2 Bonus]]+Table1[[#This Row],[TA 2 - Q4 Bonus]]</f>
        <v/>
      </c>
      <c r="T300">
        <f>(Table1[[#This Row],[TA 1 - Total Score (out of 35)]]+Table1[[#This Row],[TA 2 - Total Score (out of 35)]])/2</f>
        <v/>
      </c>
      <c r="U300">
        <f>(Table1[[#This Row],[TA 1 - Total Bonus (out of 13)]]+Table1[[#This Row],[TA 2 - Total Bonus (out of 13)]])/2</f>
        <v/>
      </c>
      <c r="V300">
        <f>Table1[[#This Row],[Average Questions]]/35*20+Table1[[#This Row],[Average Bonus]]/13*5</f>
        <v/>
      </c>
      <c r="W300" t="n">
        <v>2</v>
      </c>
      <c r="X300" t="n">
        <v>0</v>
      </c>
      <c r="Y300" t="inlineStr">
        <is>
          <t>The student attempted most tasks but made significant errors. In Part 1, the Grayscale transformation was incorrectly placed after normalization. In Part 2, the model was loaded without pretraining, and the classifier head was incorrectly set to output a single class. In Part 3, both training and validation loops had issues with the model's output being squeezed and using sigmoid activation, which is unsuitable for multi-class classification. In Part 4, the code ran but did not produce meaningful results due to the previous errors. No bonus tasks were attempted.</t>
        </is>
      </c>
      <c r="Z300" t="n">
        <v>2.5</v>
      </c>
      <c r="AA300" t="n">
        <v>0</v>
      </c>
      <c r="AB300" t="inlineStr">
        <is>
          <t>The student used the CIFAR-10 dataset instead of the Potato Disease Dataset, which is a significant error. The dataset class and transformations were partially correct but used incorrect dimensions and dataset. The CNN model had fewer convolutional layers and incorrect fully connected layer sizes. The training and validation loops were mostly correct but used the wrong dataset. No bonus task was attempted.</t>
        </is>
      </c>
      <c r="AC300" t="n">
        <v>4</v>
      </c>
      <c r="AD300" t="inlineStr">
        <is>
          <t>The student attempted most tasks but made significant errors. The dataset class was partially implemented but lacked proper initialization of image and mask paths. DataLoaders were created but with incorrect batch size and missing num_workers. Training and validation loops had issues with mask handling and loss calculation. The model used BCEWithLogitsLoss instead of CrossEntropyLoss, which is incorrect for multi-class segmentation. Visualization of predictions was attempted but contained errors in mask processing and plotting.</t>
        </is>
      </c>
      <c r="AE300" t="n">
        <v>0</v>
      </c>
      <c r="AF300" t="n">
        <v>0</v>
      </c>
      <c r="AG300" t="inlineStr">
        <is>
          <t>No submission found.</t>
        </is>
      </c>
      <c r="AH300" t="n">
        <v>8.5</v>
      </c>
      <c r="AI300" t="n">
        <v>0</v>
      </c>
    </row>
    <row r="301">
      <c r="A301" t="n">
        <v>300</v>
      </c>
      <c r="B301" t="inlineStr">
        <is>
          <t>TA_6</t>
        </is>
      </c>
      <c r="C301" t="inlineStr">
        <is>
          <t>TA_16</t>
        </is>
      </c>
      <c r="D301" t="n">
        <v>5</v>
      </c>
      <c r="E301" t="n">
        <v>0</v>
      </c>
      <c r="F301" t="n">
        <v>8</v>
      </c>
      <c r="G301" t="n">
        <v>0</v>
      </c>
      <c r="H301" t="n">
        <v>8</v>
      </c>
      <c r="I301" t="n">
        <v>0</v>
      </c>
      <c r="J301" t="n">
        <v>3</v>
      </c>
      <c r="K301" t="n">
        <v>0</v>
      </c>
      <c r="L301" t="n">
        <v>8</v>
      </c>
      <c r="M301" t="n">
        <v>0</v>
      </c>
      <c r="N301" t="n">
        <v>7</v>
      </c>
      <c r="O301" t="n">
        <v>0</v>
      </c>
      <c r="P301">
        <f>Table1[[#This Row],[TA 1 - Q1 Score]]+Table1[[#This Row],[TA 1 - Q2 Score]]+Table1[[#This Row],[TA 1 - Q3 Score]]</f>
        <v/>
      </c>
      <c r="Q301">
        <f>Table1[[#This Row],[TA 1 - Q1 Bonus]]+Table1[[#This Row],[TA 1 - Q2 Bonus]]+Table1[[#This Row],[TA 1 - Q4 Bonus]]</f>
        <v/>
      </c>
      <c r="R301">
        <f>Table1[[#This Row],[TA 2 - Q1 Score]]+Table1[[#This Row],[TA 2 - Q2 Score]]+Table1[[#This Row],[TA 2 - Q3 Score]]</f>
        <v/>
      </c>
      <c r="S301">
        <f>Table1[[#This Row],[TA 2 - Q1 Bonus]]+Table1[[#This Row],[TA 2 - Q2 Bonus]]+Table1[[#This Row],[TA 2 - Q4 Bonus]]</f>
        <v/>
      </c>
      <c r="T301">
        <f>(Table1[[#This Row],[TA 1 - Total Score (out of 35)]]+Table1[[#This Row],[TA 2 - Total Score (out of 35)]])/2</f>
        <v/>
      </c>
      <c r="U301">
        <f>(Table1[[#This Row],[TA 1 - Total Bonus (out of 13)]]+Table1[[#This Row],[TA 2 - Total Bonus (out of 13)]])/2</f>
        <v/>
      </c>
      <c r="V301">
        <f>Table1[[#This Row],[Average Questions]]/35*20+Table1[[#This Row],[Average Bonus]]/13*5</f>
        <v/>
      </c>
      <c r="W301" t="n">
        <v>7</v>
      </c>
      <c r="X301" t="n">
        <v>0</v>
      </c>
      <c r="Y301" t="inlineStr">
        <is>
          <t>The student completed the data loading and preparation with minor issues, such as using a different batch size and not displaying sample images as required. The model loading and adaptation were mostly correct, but the student did not freeze the backbone. The training and validation loops were implemented but contained logical errors, particularly in not adjusting the labels to be 0-indexed. The student did not attempt the bonus task.</t>
        </is>
      </c>
      <c r="Z301" t="n">
        <v>7</v>
      </c>
      <c r="AA301" t="n">
        <v>0</v>
      </c>
      <c r="AB301" t="inlineStr">
        <is>
          <t>The student implemented a custom Dataset class and used DataLoader correctly, earning full marks for Part 1. However, the CNN model had incorrect channel sizes and dimensions, resulting in a 25% score for Part 2. The training and validation loops were implemented correctly, earning full marks for Part 3. The model setup, training, and plotting were also correct, earning full marks for Part 4. No bonus task was attempted.</t>
        </is>
      </c>
      <c r="AC301" t="n">
        <v>6</v>
      </c>
      <c r="AD301" t="inlineStr">
        <is>
          <t>The student's submission partially completes the tasks. The dataset class is correctly implemented, and the DataLoaders are set up properly. However, the mask transformation is incorrect as it scales the mask values, which should not happen. The model class is correctly defined with the specified encoder. The training and validation loops contain logical errors, particularly in handling the mask data types for the loss function. The training process is attempted but fails due to these issues. Visualization of predictions is attempted but incorrectly converts the predicted mask to a binary mask instead of using argmax for multi-class segmentation.</t>
        </is>
      </c>
      <c r="AE301" t="n">
        <v>0</v>
      </c>
      <c r="AF301" t="n">
        <v>0</v>
      </c>
      <c r="AG301" t="inlineStr">
        <is>
          <t>The student's implementation is entirely incorrect and does not follow the required approach. The `ColorizationDataset` class is incorrectly initialized with a `root_dir` instead of using the provided CIFAR-10 dataset. The `rgb_to_grayscale` method is incomplete and incorrectly placed outside the class. The `__getitem__` method does not convert images to grayscale and returns incorrect values. The visualization and DataLoader tests also fail due to these issues.</t>
        </is>
      </c>
      <c r="AH301" t="n">
        <v>20</v>
      </c>
      <c r="AI301" t="n">
        <v>0</v>
      </c>
    </row>
    <row r="302">
      <c r="A302" t="n">
        <v>301</v>
      </c>
      <c r="B302" t="inlineStr">
        <is>
          <t>TA_6</t>
        </is>
      </c>
      <c r="C302" t="inlineStr">
        <is>
          <t>TA_16</t>
        </is>
      </c>
      <c r="D302" t="n">
        <v>4.5</v>
      </c>
      <c r="E302" t="n">
        <v>0</v>
      </c>
      <c r="F302" t="n">
        <v>8.5</v>
      </c>
      <c r="G302" t="n">
        <v>0</v>
      </c>
      <c r="H302" t="n">
        <v>0</v>
      </c>
      <c r="I302" t="n">
        <v>0</v>
      </c>
      <c r="J302" t="n">
        <v>4.5</v>
      </c>
      <c r="K302" t="n">
        <v>0</v>
      </c>
      <c r="L302" t="n">
        <v>8.5</v>
      </c>
      <c r="M302" t="n">
        <v>0</v>
      </c>
      <c r="N302" t="n">
        <v>0</v>
      </c>
      <c r="O302" t="n">
        <v>0</v>
      </c>
      <c r="P302">
        <f>Table1[[#This Row],[TA 1 - Q1 Score]]+Table1[[#This Row],[TA 1 - Q2 Score]]+Table1[[#This Row],[TA 1 - Q3 Score]]</f>
        <v/>
      </c>
      <c r="Q302">
        <f>Table1[[#This Row],[TA 1 - Q1 Bonus]]+Table1[[#This Row],[TA 1 - Q2 Bonus]]+Table1[[#This Row],[TA 1 - Q4 Bonus]]</f>
        <v/>
      </c>
      <c r="R302">
        <f>Table1[[#This Row],[TA 2 - Q1 Score]]+Table1[[#This Row],[TA 2 - Q2 Score]]+Table1[[#This Row],[TA 2 - Q3 Score]]</f>
        <v/>
      </c>
      <c r="S302">
        <f>Table1[[#This Row],[TA 2 - Q1 Bonus]]+Table1[[#This Row],[TA 2 - Q2 Bonus]]+Table1[[#This Row],[TA 2 - Q4 Bonus]]</f>
        <v/>
      </c>
      <c r="T302">
        <f>(Table1[[#This Row],[TA 1 - Total Score (out of 35)]]+Table1[[#This Row],[TA 2 - Total Score (out of 35)]])/2</f>
        <v/>
      </c>
      <c r="U302">
        <f>(Table1[[#This Row],[TA 1 - Total Bonus (out of 13)]]+Table1[[#This Row],[TA 2 - Total Bonus (out of 13)]])/2</f>
        <v/>
      </c>
      <c r="V302">
        <f>Table1[[#This Row],[Average Questions]]/35*20+Table1[[#This Row],[Average Bonus]]/13*5</f>
        <v/>
      </c>
      <c r="W302" t="n">
        <v>2</v>
      </c>
      <c r="X302" t="n">
        <v>0</v>
      </c>
      <c r="Y302" t="inlineStr">
        <is>
          <t>The student attempted most tasks but made significant errors. The data loading and preparation section had incomplete transformations and incorrect DataLoader batch sizes. The model loading and adaptation section lacked proper freezing of the backbone and replacement of the classifier head. The training and validation loops were partially implemented but contained logical errors, such as not adjusting labels. The training setup and execution were missing crucial components like the training loop and plotting functions. No bonus tasks were attempted.</t>
        </is>
      </c>
      <c r="Z302" t="n">
        <v>8.5</v>
      </c>
      <c r="AA302" t="n">
        <v>0</v>
      </c>
      <c r="AB302" t="inlineStr">
        <is>
          <t>The student implemented a custom dataset class and used ImageFolder, created train/test datasets and DataLoaders, applied the required transformations, and displayed sample images with labels. The CNN model has 5 convolutional layers but does not include batch normalization. The training and validation functions are correctly defined and executed, and the model is trained and plotted. However, the bonus task for adding a residual connection was not completed.</t>
        </is>
      </c>
      <c r="AC302" t="n">
        <v>0</v>
      </c>
      <c r="AD302" t="inlineStr">
        <is>
          <t>No submission found.</t>
        </is>
      </c>
      <c r="AE302" t="n">
        <v>0</v>
      </c>
      <c r="AF302" t="n">
        <v>0</v>
      </c>
      <c r="AG302" t="inlineStr">
        <is>
          <t>No submission found.</t>
        </is>
      </c>
      <c r="AH302" t="n">
        <v>10.5</v>
      </c>
      <c r="AI302" t="n">
        <v>0</v>
      </c>
    </row>
    <row r="303">
      <c r="A303" t="n">
        <v>302</v>
      </c>
      <c r="B303" t="inlineStr">
        <is>
          <t>TA_6</t>
        </is>
      </c>
      <c r="C303" t="inlineStr">
        <is>
          <t>TA_16</t>
        </is>
      </c>
      <c r="D303" t="n">
        <v>7.5</v>
      </c>
      <c r="E303" t="n">
        <v>4</v>
      </c>
      <c r="F303" t="n">
        <v>11</v>
      </c>
      <c r="G303" t="n">
        <v>0</v>
      </c>
      <c r="H303" t="n">
        <v>12</v>
      </c>
      <c r="I303" t="n">
        <v>0</v>
      </c>
      <c r="J303" t="n">
        <v>7.5</v>
      </c>
      <c r="K303" t="n">
        <v>4</v>
      </c>
      <c r="L303" t="n">
        <v>11</v>
      </c>
      <c r="M303" t="n">
        <v>0</v>
      </c>
      <c r="N303" t="n">
        <v>12</v>
      </c>
      <c r="O303" t="n">
        <v>0</v>
      </c>
      <c r="P303">
        <f>Table1[[#This Row],[TA 1 - Q1 Score]]+Table1[[#This Row],[TA 1 - Q2 Score]]+Table1[[#This Row],[TA 1 - Q3 Score]]</f>
        <v/>
      </c>
      <c r="Q303">
        <f>Table1[[#This Row],[TA 1 - Q1 Bonus]]+Table1[[#This Row],[TA 1 - Q2 Bonus]]+Table1[[#This Row],[TA 1 - Q4 Bonus]]</f>
        <v/>
      </c>
      <c r="R303">
        <f>Table1[[#This Row],[TA 2 - Q1 Score]]+Table1[[#This Row],[TA 2 - Q2 Score]]+Table1[[#This Row],[TA 2 - Q3 Score]]</f>
        <v/>
      </c>
      <c r="S303">
        <f>Table1[[#This Row],[TA 2 - Q1 Bonus]]+Table1[[#This Row],[TA 2 - Q2 Bonus]]+Table1[[#This Row],[TA 2 - Q4 Bonus]]</f>
        <v/>
      </c>
      <c r="T303">
        <f>(Table1[[#This Row],[TA 1 - Total Score (out of 35)]]+Table1[[#This Row],[TA 2 - Total Score (out of 35)]])/2</f>
        <v/>
      </c>
      <c r="U303">
        <f>(Table1[[#This Row],[TA 1 - Total Bonus (out of 13)]]+Table1[[#This Row],[TA 2 - Total Bonus (out of 13)]])/2</f>
        <v/>
      </c>
      <c r="V303">
        <f>Table1[[#This Row],[Average Questions]]/35*20+Table1[[#This Row],[Average Bonus]]/13*5</f>
        <v/>
      </c>
      <c r="W303" t="n">
        <v>5</v>
      </c>
      <c r="X303" t="n">
        <v>0</v>
      </c>
      <c r="Y303" t="inlineStr">
        <is>
          <t>The student completed the data loading and preparation with minor issues, such as incorrect batch size and hardcoded image indices. The model loading and adaptation were mostly correct, but the classifier replacement had a typo. The training and validation loops contained significant errors, including incorrect loss calculation and label handling. The plotting section had incorrect epoch ranges. The bonus task was not implemented correctly, with issues in flipping images and averaging predictions.</t>
        </is>
      </c>
      <c r="Z303" t="n">
        <v>7</v>
      </c>
      <c r="AA303" t="n">
        <v>0</v>
      </c>
      <c r="AB303" t="inlineStr">
        <is>
          <t>The student successfully loaded and prepared the data with the correct transformations and displayed sample images. The CNN model has 5 convolutional layers and includes batch normalization, though the number of channels and fully connected layer sizes differ from the reference solution. The training and validation loops are implemented correctly, and the model is trained and plotted. However, the student did not attempt the bonus task of adding a residual connection.</t>
        </is>
      </c>
      <c r="AC303" t="n">
        <v>8.5</v>
      </c>
      <c r="AD303" t="inlineStr">
        <is>
          <t>The student's submission demonstrates a good understanding of the tasks but contains some minor issues. Task 1 is mostly correct with proper dataset and DataLoader creation, though the image normalization parameters are missing. Task 2 correctly defines the U-Net model with the specified encoder. Task 3 includes both training and validation loops with minor syntax issues. Task 4 defines the loss and optimizer correctly, trains the model, prints losses, and plots the loss curve. Task 5 visualizes predictions but uses grayscale for masks instead of the specified colormap.</t>
        </is>
      </c>
      <c r="AE303" t="n">
        <v>0</v>
      </c>
      <c r="AF303" t="n">
        <v>0</v>
      </c>
      <c r="AG303" t="inlineStr">
        <is>
          <t>The student's implementation contains several errors and does not run correctly. In the `__init__` method, the dataset is incorrectly stored as `image_paths`, which should be the dataset itself. The `rgb_to_grayscale` method is partially correct but lacks adding a channel dimension to the grayscale image. The `__getitem__` method has issues: it attempts to open an image using `Image.open` instead of using the dataset directly, and it does not return any values. These errors prevent the code from running as intended.</t>
        </is>
      </c>
      <c r="AH303" t="n">
        <v>20.5</v>
      </c>
      <c r="AI303" t="n">
        <v>0</v>
      </c>
    </row>
    <row r="304">
      <c r="A304" t="n">
        <v>303</v>
      </c>
      <c r="B304" t="inlineStr">
        <is>
          <t>TA_6</t>
        </is>
      </c>
      <c r="C304" t="inlineStr">
        <is>
          <t>TA_16</t>
        </is>
      </c>
      <c r="D304" t="n">
        <v>12</v>
      </c>
      <c r="E304" t="n">
        <v>3</v>
      </c>
      <c r="F304" t="n">
        <v>11</v>
      </c>
      <c r="G304" t="n">
        <v>4</v>
      </c>
      <c r="H304" t="n">
        <v>12</v>
      </c>
      <c r="I304" t="n">
        <v>0</v>
      </c>
      <c r="J304" t="n">
        <v>12</v>
      </c>
      <c r="K304" t="n">
        <v>3</v>
      </c>
      <c r="L304" t="n">
        <v>11</v>
      </c>
      <c r="M304" t="n">
        <v>4</v>
      </c>
      <c r="N304" t="n">
        <v>12</v>
      </c>
      <c r="O304" t="n">
        <v>0</v>
      </c>
      <c r="P304">
        <f>Table1[[#This Row],[TA 1 - Q1 Score]]+Table1[[#This Row],[TA 1 - Q2 Score]]+Table1[[#This Row],[TA 1 - Q3 Score]]</f>
        <v/>
      </c>
      <c r="Q304">
        <f>Table1[[#This Row],[TA 1 - Q1 Bonus]]+Table1[[#This Row],[TA 1 - Q2 Bonus]]+Table1[[#This Row],[TA 1 - Q4 Bonus]]</f>
        <v/>
      </c>
      <c r="R304">
        <f>Table1[[#This Row],[TA 2 - Q1 Score]]+Table1[[#This Row],[TA 2 - Q2 Score]]+Table1[[#This Row],[TA 2 - Q3 Score]]</f>
        <v/>
      </c>
      <c r="S304">
        <f>Table1[[#This Row],[TA 2 - Q1 Bonus]]+Table1[[#This Row],[TA 2 - Q2 Bonus]]+Table1[[#This Row],[TA 2 - Q4 Bonus]]</f>
        <v/>
      </c>
      <c r="T304">
        <f>(Table1[[#This Row],[TA 1 - Total Score (out of 35)]]+Table1[[#This Row],[TA 2 - Total Score (out of 35)]])/2</f>
        <v/>
      </c>
      <c r="U304">
        <f>(Table1[[#This Row],[TA 1 - Total Bonus (out of 13)]]+Table1[[#This Row],[TA 2 - Total Bonus (out of 13)]])/2</f>
        <v/>
      </c>
      <c r="V304">
        <f>Table1[[#This Row],[Average Questions]]/35*20+Table1[[#This Row],[Average Bonus]]/13*5</f>
        <v/>
      </c>
      <c r="W304" t="n">
        <v>8.5</v>
      </c>
      <c r="X304" t="n">
        <v>0</v>
      </c>
      <c r="Y304" t="inlineStr">
        <is>
          <t>The student completed most tasks correctly but made several minor mistakes. In Part 1, the transforms were correctly implemented, and sample images were displayed. However, the DataLoader batch size was smaller than the reference solution. In Part 2, the student loaded the wrong model (EfficientNet-B0 instead of EfficientNetV2-Small) and froze all parameters instead of just the backbone. In Part 3, the training and validation loops were mostly correct, but the student used softmax and argmax unnecessarily. In Part 4, the student trained the model but used a different learning rate and more epochs than the reference. In Part 5, the student attempted TTA but incorrectly used the original images for all three predictions.</t>
        </is>
      </c>
      <c r="Z304" t="n">
        <v>7</v>
      </c>
      <c r="AA304" t="n">
        <v>0</v>
      </c>
      <c r="AB304" t="inlineStr">
        <is>
          <t>The student implemented a custom dataset class and used the correct transformations, achieving full marks for Part 1. The CNN model has 5 convolutional layers with batch normalization, earning full marks for Part 2. The training and validation loops are correctly defined, scoring full marks for Part 3. However, the model's architecture in Part 4 has issues with the number of output channels and the fully connected layer dimensions, leading to incorrect flattening and fully connected layer sizes, resulting in partial credit. No bonus task was attempted.</t>
        </is>
      </c>
      <c r="AC304" t="n">
        <v>8.5</v>
      </c>
      <c r="AD304" t="inlineStr">
        <is>
          <t>The student's submission includes most of the required tasks with minor issues. Task 1 is mostly complete with a small mistake in the dataset directory listing command. Task 2 is correct except for the encoder name specified in the U-Net model definition. Task 3 is correctly implemented. Task 4 has a slight issue with the learning rate and optimizer choice but otherwise functions as intended. Task 5 is mostly correct with a minor issue in the colormap used for displaying masks.</t>
        </is>
      </c>
      <c r="AE304" t="n">
        <v>0</v>
      </c>
      <c r="AF304" t="n">
        <v>0</v>
      </c>
      <c r="AG304" t="inlineStr">
        <is>
          <t>No submission found.</t>
        </is>
      </c>
      <c r="AH304" t="n">
        <v>24</v>
      </c>
      <c r="AI304" t="n">
        <v>0</v>
      </c>
    </row>
    <row r="305">
      <c r="A305" t="n">
        <v>304</v>
      </c>
      <c r="B305" t="inlineStr">
        <is>
          <t>TA_6</t>
        </is>
      </c>
      <c r="C305" t="inlineStr">
        <is>
          <t>TA_16</t>
        </is>
      </c>
      <c r="D305" t="n">
        <v>5</v>
      </c>
      <c r="E305" t="n">
        <v>0</v>
      </c>
      <c r="F305" t="n">
        <v>6</v>
      </c>
      <c r="G305" t="n">
        <v>0</v>
      </c>
      <c r="H305" t="n">
        <v>3</v>
      </c>
      <c r="I305" t="n">
        <v>0</v>
      </c>
      <c r="J305" t="n">
        <v>3</v>
      </c>
      <c r="K305" t="n">
        <v>0</v>
      </c>
      <c r="L305" t="n">
        <v>6</v>
      </c>
      <c r="M305" t="n">
        <v>0</v>
      </c>
      <c r="N305" t="n">
        <v>1</v>
      </c>
      <c r="O305" t="n">
        <v>0</v>
      </c>
      <c r="P305">
        <f>Table1[[#This Row],[TA 1 - Q1 Score]]+Table1[[#This Row],[TA 1 - Q2 Score]]+Table1[[#This Row],[TA 1 - Q3 Score]]</f>
        <v/>
      </c>
      <c r="Q305">
        <f>Table1[[#This Row],[TA 1 - Q1 Bonus]]+Table1[[#This Row],[TA 1 - Q2 Bonus]]+Table1[[#This Row],[TA 1 - Q4 Bonus]]</f>
        <v/>
      </c>
      <c r="R305">
        <f>Table1[[#This Row],[TA 2 - Q1 Score]]+Table1[[#This Row],[TA 2 - Q2 Score]]+Table1[[#This Row],[TA 2 - Q3 Score]]</f>
        <v/>
      </c>
      <c r="S305">
        <f>Table1[[#This Row],[TA 2 - Q1 Bonus]]+Table1[[#This Row],[TA 2 - Q2 Bonus]]+Table1[[#This Row],[TA 2 - Q4 Bonus]]</f>
        <v/>
      </c>
      <c r="T305">
        <f>(Table1[[#This Row],[TA 1 - Total Score (out of 35)]]+Table1[[#This Row],[TA 2 - Total Score (out of 35)]])/2</f>
        <v/>
      </c>
      <c r="U305">
        <f>(Table1[[#This Row],[TA 1 - Total Bonus (out of 13)]]+Table1[[#This Row],[TA 2 - Total Bonus (out of 13)]])/2</f>
        <v/>
      </c>
      <c r="V305">
        <f>Table1[[#This Row],[Average Questions]]/35*20+Table1[[#This Row],[Average Bonus]]/13*5</f>
        <v/>
      </c>
      <c r="W305" t="n">
        <v>4</v>
      </c>
      <c r="X305" t="n">
        <v>0</v>
      </c>
      <c r="Y305" t="inlineStr">
        <is>
          <t>The student partially completed several tasks but made significant errors. The data loading and preparation section had issues with the DataLoader batch size and custom dataset class. The model adaptation section incorrectly froze all parameters and misconfigured the classifier head. The training and validation loops were implemented but lacked label fixing, resulting in a penalty. No bonus task was attempted.</t>
        </is>
      </c>
      <c r="Z305" t="n">
        <v>3</v>
      </c>
      <c r="AA305" t="n">
        <v>0</v>
      </c>
      <c r="AB305" t="inlineStr">
        <is>
          <t>The student partially completed several tasks but made significant errors. The data loading and preparation section included correct transformations and data loaders but used incorrect normalization values. The model definition had multiple issues, including incorrect input channels, repeated layers, and incorrect flattening dimensions. The training and validation loops were implemented but lacked proper loss calculation and accuracy tracking. The bonus task was not attempted.</t>
        </is>
      </c>
      <c r="AC305" t="n">
        <v>5</v>
      </c>
      <c r="AD305" t="inlineStr">
        <is>
          <t>The student attempted most tasks but made several mistakes. The dataset class has issues with loading images and masks, leading to a FileNotFoundError. The model class incorrectly sets the number of classes to 1 instead of 8. The training and validation loops are mostly correct but contain minor issues. The training process and loss plotting are attempted but not fully functional due to the model configuration error. Visualization of predictions is attempted but does not correctly display the predicted masks.</t>
        </is>
      </c>
      <c r="AE305" t="n">
        <v>0</v>
      </c>
      <c r="AF305" t="n">
        <v>0</v>
      </c>
      <c r="AG305" t="inlineStr">
        <is>
          <t>No submission found.</t>
        </is>
      </c>
      <c r="AH305" t="n">
        <v>12</v>
      </c>
      <c r="AI305" t="n">
        <v>0</v>
      </c>
    </row>
    <row r="306">
      <c r="A306" t="n">
        <v>305</v>
      </c>
      <c r="B306" t="inlineStr">
        <is>
          <t>TA_6</t>
        </is>
      </c>
      <c r="C306" t="inlineStr">
        <is>
          <t>TA_16</t>
        </is>
      </c>
      <c r="D306" t="n">
        <v>4.5</v>
      </c>
      <c r="E306" t="n">
        <v>0</v>
      </c>
      <c r="F306" t="n">
        <v>5</v>
      </c>
      <c r="G306" t="n">
        <v>0</v>
      </c>
      <c r="H306" t="n">
        <v>1.5</v>
      </c>
      <c r="I306" t="n">
        <v>0</v>
      </c>
      <c r="J306" t="n">
        <v>5.5</v>
      </c>
      <c r="K306" t="n">
        <v>0</v>
      </c>
      <c r="L306" t="n">
        <v>5</v>
      </c>
      <c r="M306" t="n">
        <v>0</v>
      </c>
      <c r="N306" t="n">
        <v>0.5</v>
      </c>
      <c r="O306" t="n">
        <v>0</v>
      </c>
      <c r="P306">
        <f>Table1[[#This Row],[TA 1 - Q1 Score]]+Table1[[#This Row],[TA 1 - Q2 Score]]+Table1[[#This Row],[TA 1 - Q3 Score]]</f>
        <v/>
      </c>
      <c r="Q306">
        <f>Table1[[#This Row],[TA 1 - Q1 Bonus]]+Table1[[#This Row],[TA 1 - Q2 Bonus]]+Table1[[#This Row],[TA 1 - Q4 Bonus]]</f>
        <v/>
      </c>
      <c r="R306">
        <f>Table1[[#This Row],[TA 2 - Q1 Score]]+Table1[[#This Row],[TA 2 - Q2 Score]]+Table1[[#This Row],[TA 2 - Q3 Score]]</f>
        <v/>
      </c>
      <c r="S306">
        <f>Table1[[#This Row],[TA 2 - Q1 Bonus]]+Table1[[#This Row],[TA 2 - Q2 Bonus]]+Table1[[#This Row],[TA 2 - Q4 Bonus]]</f>
        <v/>
      </c>
      <c r="T306">
        <f>(Table1[[#This Row],[TA 1 - Total Score (out of 35)]]+Table1[[#This Row],[TA 2 - Total Score (out of 35)]])/2</f>
        <v/>
      </c>
      <c r="U306">
        <f>(Table1[[#This Row],[TA 1 - Total Bonus (out of 13)]]+Table1[[#This Row],[TA 2 - Total Bonus (out of 13)]])/2</f>
        <v/>
      </c>
      <c r="V306">
        <f>Table1[[#This Row],[Average Questions]]/35*20+Table1[[#This Row],[Average Bonus]]/13*5</f>
        <v/>
      </c>
      <c r="W306" t="n">
        <v>5</v>
      </c>
      <c r="X306" t="n">
        <v>0</v>
      </c>
      <c r="Y306" t="inlineStr">
        <is>
          <t>The student completed the data loading and preparation with minor issues, such as incorrect batch size and unnecessary manual image selection for display. The model loading and adaptation were mostly correct but used an incorrect import statement. The training and validation loops had significant errors, including incorrect loss function choice and incorrect handling of model outputs. No bonus task was attempted.</t>
        </is>
      </c>
      <c r="Z306" t="n">
        <v>5</v>
      </c>
      <c r="AA306" t="n">
        <v>0</v>
      </c>
      <c r="AB306" t="inlineStr">
        <is>
          <t>The student partially completed the tasks. The dataset loading and preparation section has issues with directory paths and uses a custom dataset class instead of ImageFolder. The CNN model has fewer convolutional layers and incorrect fully connected layer dimensions. The training and validation loops are mostly correct but use softmax unnecessarily. No bonus tasks were attempted.</t>
        </is>
      </c>
      <c r="AC306" t="n">
        <v>2</v>
      </c>
      <c r="AD306" t="inlineStr">
        <is>
          <t>The student attempted most tasks but made significant errors. In Task 1, the dataset class was correctly implemented, but the DataLoader creation and sample display were incorrect due to improper handling of dataset splits and paths. In Task 2, the model definition used an incorrect number of output classes. Task 3 had syntax errors in the training and validation loops. Task 4 included incorrect loss function and optimizer settings, and Task 5 was incomplete.</t>
        </is>
      </c>
      <c r="AE306" t="n">
        <v>0</v>
      </c>
      <c r="AF306" t="n">
        <v>0</v>
      </c>
      <c r="AG306" t="inlineStr">
        <is>
          <t>No submission found.</t>
        </is>
      </c>
      <c r="AH306" t="n">
        <v>12</v>
      </c>
      <c r="AI306" t="n">
        <v>0</v>
      </c>
    </row>
    <row r="307">
      <c r="A307" t="n">
        <v>306</v>
      </c>
      <c r="B307" t="inlineStr">
        <is>
          <t>TA_6</t>
        </is>
      </c>
      <c r="C307" t="inlineStr">
        <is>
          <t>TA_16</t>
        </is>
      </c>
      <c r="D307" t="n">
        <v>5</v>
      </c>
      <c r="E307" t="n">
        <v>0</v>
      </c>
      <c r="F307" t="n">
        <v>8</v>
      </c>
      <c r="G307" t="n">
        <v>0</v>
      </c>
      <c r="H307" t="n">
        <v>9</v>
      </c>
      <c r="I307" t="n">
        <v>0</v>
      </c>
      <c r="J307" t="n">
        <v>5</v>
      </c>
      <c r="K307" t="n">
        <v>0</v>
      </c>
      <c r="L307" t="n">
        <v>9</v>
      </c>
      <c r="M307" t="n">
        <v>0</v>
      </c>
      <c r="N307" t="n">
        <v>8</v>
      </c>
      <c r="O307" t="n">
        <v>0</v>
      </c>
      <c r="P307">
        <f>Table1[[#This Row],[TA 1 - Q1 Score]]+Table1[[#This Row],[TA 1 - Q2 Score]]+Table1[[#This Row],[TA 1 - Q3 Score]]</f>
        <v/>
      </c>
      <c r="Q307">
        <f>Table1[[#This Row],[TA 1 - Q1 Bonus]]+Table1[[#This Row],[TA 1 - Q2 Bonus]]+Table1[[#This Row],[TA 1 - Q4 Bonus]]</f>
        <v/>
      </c>
      <c r="R307">
        <f>Table1[[#This Row],[TA 2 - Q1 Score]]+Table1[[#This Row],[TA 2 - Q2 Score]]+Table1[[#This Row],[TA 2 - Q3 Score]]</f>
        <v/>
      </c>
      <c r="S307">
        <f>Table1[[#This Row],[TA 2 - Q1 Bonus]]+Table1[[#This Row],[TA 2 - Q2 Bonus]]+Table1[[#This Row],[TA 2 - Q4 Bonus]]</f>
        <v/>
      </c>
      <c r="T307">
        <f>(Table1[[#This Row],[TA 1 - Total Score (out of 35)]]+Table1[[#This Row],[TA 2 - Total Score (out of 35)]])/2</f>
        <v/>
      </c>
      <c r="U307">
        <f>(Table1[[#This Row],[TA 1 - Total Bonus (out of 13)]]+Table1[[#This Row],[TA 2 - Total Bonus (out of 13)]])/2</f>
        <v/>
      </c>
      <c r="V307">
        <f>Table1[[#This Row],[Average Questions]]/35*20+Table1[[#This Row],[Average Bonus]]/13*5</f>
        <v/>
      </c>
      <c r="W307" t="n">
        <v>3</v>
      </c>
      <c r="X307" t="n">
        <v>0</v>
      </c>
      <c r="Y307" t="inlineStr">
        <is>
          <t>The student completed the data loading and transformation tasks correctly, including resizing, converting to tensor, and normalizing the images. They also created the DataLoaders and displayed sample images. However, they used an incorrect model (EfficientNet-B0 instead of EfficientNetV2-Small), froze all parameters instead of just the backbone, and incorrectly set up the classifier head for a binary classification problem instead of 26 classes. The training and validation loops were partially correct but contained logical errors due to the incorrect model setup. No bonus tasks were attempted.</t>
        </is>
      </c>
      <c r="Z307" t="n">
        <v>6</v>
      </c>
      <c r="AA307" t="n">
        <v>0</v>
      </c>
      <c r="AB307" t="inlineStr">
        <is>
          <t>The student successfully loaded and prepared the data with the correct transformations and displayed sample images. However, the CNN model architecture deviated significantly from the required specifications, using more layers and different configurations. The training and validation functions were implemented correctly, and the model was trained and plotted. The bonus task was not attempted.</t>
        </is>
      </c>
      <c r="AC307" t="n">
        <v>4</v>
      </c>
      <c r="AD307" t="inlineStr">
        <is>
          <t>The student partially completed Task 1 by creating a custom dataset class and DataLoaders, but made mistakes in the mask transformation and did not display sample images and masks correctly. Task 2 was incomplete due to using an incorrect number of classes for the U-Net model. Task 3 had syntax errors in the training and validation loops. Task 4 was not fully implemented, with incorrect loss and optimizer definitions and no plotting of loss curves. Task 5 had issues with mask prediction and visualization.</t>
        </is>
      </c>
      <c r="AE307" t="n">
        <v>0</v>
      </c>
      <c r="AF307" t="n">
        <v>0</v>
      </c>
      <c r="AG307" t="inlineStr">
        <is>
          <t>No submission found.</t>
        </is>
      </c>
      <c r="AH307" t="n">
        <v>13</v>
      </c>
      <c r="AI307" t="n">
        <v>0</v>
      </c>
    </row>
    <row r="308">
      <c r="A308" t="n">
        <v>307</v>
      </c>
      <c r="B308" t="inlineStr">
        <is>
          <t>TA_6</t>
        </is>
      </c>
      <c r="C308" t="inlineStr">
        <is>
          <t>TA_16</t>
        </is>
      </c>
      <c r="D308" t="n">
        <v>6</v>
      </c>
      <c r="E308" t="n">
        <v>0</v>
      </c>
      <c r="F308" t="n">
        <v>9.25</v>
      </c>
      <c r="G308" t="n">
        <v>0</v>
      </c>
      <c r="H308" t="n">
        <v>7.5</v>
      </c>
      <c r="I308" t="n">
        <v>0</v>
      </c>
      <c r="J308" t="n">
        <v>6</v>
      </c>
      <c r="K308" t="n">
        <v>0</v>
      </c>
      <c r="L308" t="n">
        <v>8.75</v>
      </c>
      <c r="M308" t="n">
        <v>0</v>
      </c>
      <c r="N308" t="n">
        <v>8.5</v>
      </c>
      <c r="O308" t="n">
        <v>0</v>
      </c>
      <c r="P308">
        <f>Table1[[#This Row],[TA 1 - Q1 Score]]+Table1[[#This Row],[TA 1 - Q2 Score]]+Table1[[#This Row],[TA 1 - Q3 Score]]</f>
        <v/>
      </c>
      <c r="Q308">
        <f>Table1[[#This Row],[TA 1 - Q1 Bonus]]+Table1[[#This Row],[TA 1 - Q2 Bonus]]+Table1[[#This Row],[TA 1 - Q4 Bonus]]</f>
        <v/>
      </c>
      <c r="R308">
        <f>Table1[[#This Row],[TA 2 - Q1 Score]]+Table1[[#This Row],[TA 2 - Q2 Score]]+Table1[[#This Row],[TA 2 - Q3 Score]]</f>
        <v/>
      </c>
      <c r="S308">
        <f>Table1[[#This Row],[TA 2 - Q1 Bonus]]+Table1[[#This Row],[TA 2 - Q2 Bonus]]+Table1[[#This Row],[TA 2 - Q4 Bonus]]</f>
        <v/>
      </c>
      <c r="T308">
        <f>(Table1[[#This Row],[TA 1 - Total Score (out of 35)]]+Table1[[#This Row],[TA 2 - Total Score (out of 35)]])/2</f>
        <v/>
      </c>
      <c r="U308">
        <f>(Table1[[#This Row],[TA 1 - Total Bonus (out of 13)]]+Table1[[#This Row],[TA 2 - Total Bonus (out of 13)]])/2</f>
        <v/>
      </c>
      <c r="V308">
        <f>Table1[[#This Row],[Average Questions]]/35*20+Table1[[#This Row],[Average Bonus]]/13*5</f>
        <v/>
      </c>
      <c r="W308" t="n">
        <v>5</v>
      </c>
      <c r="X308" t="n">
        <v>0</v>
      </c>
      <c r="Y308" t="inlineStr">
        <is>
          <t>The student completed the data loading and preparation with correct transformations, including resizing, converting to tensor, and normalizing. However, the DataLoader creation had incorrect batch sizes and used num_workers without justification. The sample image display was partially correct but used hardcoded indices and lacked randomness. The model loading and adaptation were mostly correct, but the student froze all parameters instead of just the backbone. The training and validation loops contained significant errors, such as incorrect handling of labels and outputs, leading to incorrect loss calculations and accuracy tracking. The bonus task was not attempted.</t>
        </is>
      </c>
      <c r="Z308" t="n">
        <v>5</v>
      </c>
      <c r="AA308" t="n">
        <v>0</v>
      </c>
      <c r="AB308" t="inlineStr">
        <is>
          <t>The student partially completed the tasks. They implemented a custom dataset class and used ImageFolder correctly, applied the required transformations, and displayed sample images. However, the CNN model had incorrect architecture with only 5 layers but different channel sizes and a mismatch in fully connected layer input size. The training and validation loops were mostly correct but had unnecessary softmax application. The bonus task was not attempted.</t>
        </is>
      </c>
      <c r="AC308" t="n">
        <v>4</v>
      </c>
      <c r="AD308" t="inlineStr">
        <is>
          <t>The student's submission has several issues. In Task 1, the dataset class is partially correct but uses a different class name and has minor issues with mask transformation. The DataLoader creation and sample display are mostly correct. In Task 2, the model is incorrectly defined with only one class instead of eight. Task 3 has syntax errors in the training and validation loops. Task 4 uses the wrong loss function and has issues with mask handling. Task 5 has syntax errors and uses a binary threshold for multi-class segmentation.</t>
        </is>
      </c>
      <c r="AE308" t="n">
        <v>0</v>
      </c>
      <c r="AF308" t="n">
        <v>0</v>
      </c>
      <c r="AG308" t="inlineStr">
        <is>
          <t>The student's implementation contains several critical errors. The `__init__` method incorrectly attempts to collect image paths and labels from a directory structure that does not exist, as the CIFAR-10 dataset is already loaded as a PyTorch dataset object. The `__len__` method references an undefined `self.cifar_dataset` instead of `self.dataset`. The `rgb_to_grayscale` method does not return the grayscale image tensor. The `__getitem__` method incorrectly attempts to open images using PIL from undefined paths and returns the same image for both grayscale and color, failing to perform any conversion.</t>
        </is>
      </c>
      <c r="AH308" t="n">
        <v>14</v>
      </c>
      <c r="AI308" t="n">
        <v>0</v>
      </c>
    </row>
    <row r="309">
      <c r="A309" t="n">
        <v>308</v>
      </c>
      <c r="B309" t="inlineStr">
        <is>
          <t>TA_6</t>
        </is>
      </c>
      <c r="C309" t="inlineStr">
        <is>
          <t>TA_16</t>
        </is>
      </c>
      <c r="D309" t="n">
        <v>10.5</v>
      </c>
      <c r="E309" t="n">
        <v>0</v>
      </c>
      <c r="F309" t="n">
        <v>10</v>
      </c>
      <c r="G309" t="n">
        <v>0</v>
      </c>
      <c r="H309" t="n">
        <v>0</v>
      </c>
      <c r="I309" t="n">
        <v>0</v>
      </c>
      <c r="J309" t="n">
        <v>10.5</v>
      </c>
      <c r="K309" t="n">
        <v>0</v>
      </c>
      <c r="L309" t="n">
        <v>12</v>
      </c>
      <c r="M309" t="n">
        <v>0</v>
      </c>
      <c r="N309" t="n">
        <v>0</v>
      </c>
      <c r="O309" t="n">
        <v>0</v>
      </c>
      <c r="P309">
        <f>Table1[[#This Row],[TA 1 - Q1 Score]]+Table1[[#This Row],[TA 1 - Q2 Score]]+Table1[[#This Row],[TA 1 - Q3 Score]]</f>
        <v/>
      </c>
      <c r="Q309">
        <f>Table1[[#This Row],[TA 1 - Q1 Bonus]]+Table1[[#This Row],[TA 1 - Q2 Bonus]]+Table1[[#This Row],[TA 1 - Q4 Bonus]]</f>
        <v/>
      </c>
      <c r="R309">
        <f>Table1[[#This Row],[TA 2 - Q1 Score]]+Table1[[#This Row],[TA 2 - Q2 Score]]+Table1[[#This Row],[TA 2 - Q3 Score]]</f>
        <v/>
      </c>
      <c r="S309">
        <f>Table1[[#This Row],[TA 2 - Q1 Bonus]]+Table1[[#This Row],[TA 2 - Q2 Bonus]]+Table1[[#This Row],[TA 2 - Q4 Bonus]]</f>
        <v/>
      </c>
      <c r="T309">
        <f>(Table1[[#This Row],[TA 1 - Total Score (out of 35)]]+Table1[[#This Row],[TA 2 - Total Score (out of 35)]])/2</f>
        <v/>
      </c>
      <c r="U309">
        <f>(Table1[[#This Row],[TA 1 - Total Bonus (out of 13)]]+Table1[[#This Row],[TA 2 - Total Bonus (out of 13)]])/2</f>
        <v/>
      </c>
      <c r="V309">
        <f>Table1[[#This Row],[Average Questions]]/35*20+Table1[[#This Row],[Average Bonus]]/13*5</f>
        <v/>
      </c>
      <c r="W309" t="n">
        <v>8.5</v>
      </c>
      <c r="X309" t="n">
        <v>0</v>
      </c>
      <c r="Y309" t="inlineStr">
        <is>
          <t>The student completed most tasks correctly but made some minor mistakes. The data loading and preparation were mostly accurate, with the correct transformations applied. However, the batch size was smaller than in the reference solution, which could affect performance. The model loading and adaptation were correct, with the backbone frozen and the classifier head replaced properly. The training and validation loops were implemented with some issues: the `.squeeze()` method was incorrectly used, affecting the output shape compatibility with the loss function. Labels were correctly adjusted for 0-indexing. The training process ran with a different learning rate and more epochs, which is acceptable. No bonus task was attempted.</t>
        </is>
      </c>
      <c r="Z309" t="n">
        <v>8.5</v>
      </c>
      <c r="AA309" t="n">
        <v>0</v>
      </c>
      <c r="AB309" t="inlineStr">
        <is>
          <t>The student successfully completed most tasks with minor issues. The dataset loading and preparation were mostly correct, with the exception of using 32x32 resizing instead of 128x128 as specified. The CNN model was built with 5 convolutional layers and batch normalization, earning full points. Training and validation functions were implemented correctly. The model was trained and plotted with 5 epochs instead of 10, which is acceptable. No bonus task was attempted.</t>
        </is>
      </c>
      <c r="AC309" t="n">
        <v>0</v>
      </c>
      <c r="AD309" t="inlineStr">
        <is>
          <t>No submission found.</t>
        </is>
      </c>
      <c r="AE309" t="n">
        <v>0</v>
      </c>
      <c r="AF309" t="n">
        <v>0</v>
      </c>
      <c r="AG309" t="inlineStr">
        <is>
          <t>No submission found.</t>
        </is>
      </c>
      <c r="AH309" t="n">
        <v>17</v>
      </c>
      <c r="AI309" t="n">
        <v>0</v>
      </c>
    </row>
    <row r="310">
      <c r="A310" t="n">
        <v>309</v>
      </c>
      <c r="B310" t="inlineStr">
        <is>
          <t>TA_6</t>
        </is>
      </c>
      <c r="C310" t="inlineStr">
        <is>
          <t>TA_16</t>
        </is>
      </c>
      <c r="D310" t="n">
        <v>11</v>
      </c>
      <c r="E310" t="n">
        <v>0</v>
      </c>
      <c r="F310" t="n">
        <v>11</v>
      </c>
      <c r="G310" t="n">
        <v>0</v>
      </c>
      <c r="H310" t="n">
        <v>11</v>
      </c>
      <c r="I310" t="n">
        <v>0</v>
      </c>
      <c r="J310" t="n">
        <v>11</v>
      </c>
      <c r="K310" t="n">
        <v>0</v>
      </c>
      <c r="L310" t="n">
        <v>11</v>
      </c>
      <c r="M310" t="n">
        <v>0</v>
      </c>
      <c r="N310" t="n">
        <v>11</v>
      </c>
      <c r="O310" t="n">
        <v>0</v>
      </c>
      <c r="P310">
        <f>Table1[[#This Row],[TA 1 - Q1 Score]]+Table1[[#This Row],[TA 1 - Q2 Score]]+Table1[[#This Row],[TA 1 - Q3 Score]]</f>
        <v/>
      </c>
      <c r="Q310">
        <f>Table1[[#This Row],[TA 1 - Q1 Bonus]]+Table1[[#This Row],[TA 1 - Q2 Bonus]]+Table1[[#This Row],[TA 1 - Q4 Bonus]]</f>
        <v/>
      </c>
      <c r="R310">
        <f>Table1[[#This Row],[TA 2 - Q1 Score]]+Table1[[#This Row],[TA 2 - Q2 Score]]+Table1[[#This Row],[TA 2 - Q3 Score]]</f>
        <v/>
      </c>
      <c r="S310">
        <f>Table1[[#This Row],[TA 2 - Q1 Bonus]]+Table1[[#This Row],[TA 2 - Q2 Bonus]]+Table1[[#This Row],[TA 2 - Q4 Bonus]]</f>
        <v/>
      </c>
      <c r="T310">
        <f>(Table1[[#This Row],[TA 1 - Total Score (out of 35)]]+Table1[[#This Row],[TA 2 - Total Score (out of 35)]])/2</f>
        <v/>
      </c>
      <c r="U310">
        <f>(Table1[[#This Row],[TA 1 - Total Bonus (out of 13)]]+Table1[[#This Row],[TA 2 - Total Bonus (out of 13)]])/2</f>
        <v/>
      </c>
      <c r="V310">
        <f>Table1[[#This Row],[Average Questions]]/35*20+Table1[[#This Row],[Average Bonus]]/13*5</f>
        <v/>
      </c>
      <c r="W310" t="n">
        <v>8.5</v>
      </c>
      <c r="X310" t="n">
        <v>0</v>
      </c>
      <c r="Y310" t="inlineStr">
        <is>
          <t>The student completed most tasks correctly, including defining transforms, creating DataLoaders, displaying sample images, loading and adapting the pretrained model, and setting up the training and validation loops. However, there were minor issues such as using SGD instead of Adam for optimization, and the label fixing was done within the loops rather than directly in the data pipeline. The bonus task was not attempted.</t>
        </is>
      </c>
      <c r="Z310" t="n">
        <v>8.5</v>
      </c>
      <c r="AA310" t="n">
        <v>0</v>
      </c>
      <c r="AB310" t="inlineStr">
        <is>
          <t>The student implemented a custom dataset class and used the correct transformations, including RandomRotation and resizing to 32x32. Sample images were displayed with labels. The CNN model has 5 convolutional layers with batch normalization, though the number of channels is different from the reference solution. Training and validation loops were correctly defined and executed, with plots showing loss and accuracy over epochs. The bonus task was not attempted.</t>
        </is>
      </c>
      <c r="AC310" t="n">
        <v>7</v>
      </c>
      <c r="AD310" t="inlineStr">
        <is>
          <t>The student's submission partially completes most tasks but contains several issues. The dataset class is implemented correctly, but the DataLoader setup uses a batch size of 1, which is inefficient. The model class is defined with the correct encoder, but the training and validation loops contain minor syntax errors. The training process runs, but the number of epochs is reduced to 5, and the learning rate is set to 0.0001. Visualization of predictions is attempted but uses a grayscale colormap instead of 'tab10'.</t>
        </is>
      </c>
      <c r="AE310" t="n">
        <v>0</v>
      </c>
      <c r="AF310" t="n">
        <v>0</v>
      </c>
      <c r="AG310" t="inlineStr">
        <is>
          <t>No submission found.</t>
        </is>
      </c>
      <c r="AH310" t="n">
        <v>24</v>
      </c>
      <c r="AI310" t="n">
        <v>0</v>
      </c>
    </row>
    <row r="311">
      <c r="A311" t="n">
        <v>310</v>
      </c>
      <c r="B311" t="inlineStr">
        <is>
          <t>TA_6</t>
        </is>
      </c>
      <c r="C311" t="inlineStr">
        <is>
          <t>TA_16</t>
        </is>
      </c>
      <c r="D311" t="n">
        <v>4.5</v>
      </c>
      <c r="E311" t="n">
        <v>0</v>
      </c>
      <c r="F311" t="n">
        <v>8.5</v>
      </c>
      <c r="G311" t="n">
        <v>0</v>
      </c>
      <c r="H311" t="n">
        <v>10.25</v>
      </c>
      <c r="I311" t="n">
        <v>0</v>
      </c>
      <c r="J311" t="n">
        <v>5.5</v>
      </c>
      <c r="K311" t="n">
        <v>0</v>
      </c>
      <c r="L311" t="n">
        <v>8.5</v>
      </c>
      <c r="M311" t="n">
        <v>0</v>
      </c>
      <c r="N311" t="n">
        <v>9.75</v>
      </c>
      <c r="O311" t="n">
        <v>0</v>
      </c>
      <c r="P311">
        <f>Table1[[#This Row],[TA 1 - Q1 Score]]+Table1[[#This Row],[TA 1 - Q2 Score]]+Table1[[#This Row],[TA 1 - Q3 Score]]</f>
        <v/>
      </c>
      <c r="Q311">
        <f>Table1[[#This Row],[TA 1 - Q1 Bonus]]+Table1[[#This Row],[TA 1 - Q2 Bonus]]+Table1[[#This Row],[TA 1 - Q4 Bonus]]</f>
        <v/>
      </c>
      <c r="R311">
        <f>Table1[[#This Row],[TA 2 - Q1 Score]]+Table1[[#This Row],[TA 2 - Q2 Score]]+Table1[[#This Row],[TA 2 - Q3 Score]]</f>
        <v/>
      </c>
      <c r="S311">
        <f>Table1[[#This Row],[TA 2 - Q1 Bonus]]+Table1[[#This Row],[TA 2 - Q2 Bonus]]+Table1[[#This Row],[TA 2 - Q4 Bonus]]</f>
        <v/>
      </c>
      <c r="T311">
        <f>(Table1[[#This Row],[TA 1 - Total Score (out of 35)]]+Table1[[#This Row],[TA 2 - Total Score (out of 35)]])/2</f>
        <v/>
      </c>
      <c r="U311">
        <f>(Table1[[#This Row],[TA 1 - Total Bonus (out of 13)]]+Table1[[#This Row],[TA 2 - Total Bonus (out of 13)]])/2</f>
        <v/>
      </c>
      <c r="V311">
        <f>Table1[[#This Row],[Average Questions]]/35*20+Table1[[#This Row],[Average Bonus]]/13*5</f>
        <v/>
      </c>
      <c r="W311" t="n">
        <v>4</v>
      </c>
      <c r="X311" t="n">
        <v>0</v>
      </c>
      <c r="Y311" t="inlineStr">
        <is>
          <t>The student completed the data loading and preparation with correct transformations, including resizing, converting to tensor, and normalizing. However, the DataLoader creation had incorrect batch sizes and did not display sample images properly. The model loading and adaptation were partially correct but used the wrong model (EfficientNet-B0 instead of EfficientNetV2-Small). The training and validation loops contained significant errors, such as incorrect handling of outputs and labels, and the use of sigmoid activation with CrossEntropyLoss. No bonus task was attempted.</t>
        </is>
      </c>
      <c r="Z311" t="n">
        <v>7</v>
      </c>
      <c r="AA311" t="n">
        <v>0</v>
      </c>
      <c r="AB311" t="inlineStr">
        <is>
          <t>The student successfully implemented a custom dataset class, created train/test datasets and DataLoaders, applied the required transformations, and displayed sample images with labels. The CNN model has 5 convolutional layers but does not include batch normalization. The training and validation loops are correctly defined and executed, and the losses and accuracies are plotted. However, the bonus task was not completed.</t>
        </is>
      </c>
      <c r="AC311" t="n">
        <v>5</v>
      </c>
      <c r="AD311" t="inlineStr">
        <is>
          <t>The student's submission partially completes several tasks but contains significant errors. Task 1 is mostly correct with a minor issue in the mask transformation. Task 2 incorrectly sets the number of classes to 1 instead of 8. Task 3 has syntax errors in the training and validation loops, specifically in how masks are handled. Task 4 runs for only 2 epochs and uses an incorrect loss function for multi-class segmentation. Task 5 visualizes predictions but does not correctly handle the output of the model.</t>
        </is>
      </c>
      <c r="AE311" t="n">
        <v>0</v>
      </c>
      <c r="AF311" t="n">
        <v>0</v>
      </c>
      <c r="AG311" t="inlineStr">
        <is>
          <t>No submission found.</t>
        </is>
      </c>
      <c r="AH311" t="n">
        <v>16</v>
      </c>
      <c r="AI311" t="n">
        <v>0</v>
      </c>
    </row>
    <row r="312">
      <c r="A312" t="n">
        <v>311</v>
      </c>
      <c r="B312" t="inlineStr">
        <is>
          <t>TA_6</t>
        </is>
      </c>
      <c r="C312" t="inlineStr">
        <is>
          <t>TA_16</t>
        </is>
      </c>
      <c r="D312" t="n">
        <v>6.5</v>
      </c>
      <c r="E312" t="n">
        <v>0</v>
      </c>
      <c r="F312" t="n">
        <v>9.5</v>
      </c>
      <c r="G312" t="n">
        <v>0</v>
      </c>
      <c r="H312" t="n">
        <v>10</v>
      </c>
      <c r="I312" t="n">
        <v>0</v>
      </c>
      <c r="J312" t="n">
        <v>6.5</v>
      </c>
      <c r="K312" t="n">
        <v>0</v>
      </c>
      <c r="L312" t="n">
        <v>8.5</v>
      </c>
      <c r="M312" t="n">
        <v>0</v>
      </c>
      <c r="N312" t="n">
        <v>11</v>
      </c>
      <c r="O312" t="n">
        <v>0</v>
      </c>
      <c r="P312">
        <f>Table1[[#This Row],[TA 1 - Q1 Score]]+Table1[[#This Row],[TA 1 - Q2 Score]]+Table1[[#This Row],[TA 1 - Q3 Score]]</f>
        <v/>
      </c>
      <c r="Q312">
        <f>Table1[[#This Row],[TA 1 - Q1 Bonus]]+Table1[[#This Row],[TA 1 - Q2 Bonus]]+Table1[[#This Row],[TA 1 - Q4 Bonus]]</f>
        <v/>
      </c>
      <c r="R312">
        <f>Table1[[#This Row],[TA 2 - Q1 Score]]+Table1[[#This Row],[TA 2 - Q2 Score]]+Table1[[#This Row],[TA 2 - Q3 Score]]</f>
        <v/>
      </c>
      <c r="S312">
        <f>Table1[[#This Row],[TA 2 - Q1 Bonus]]+Table1[[#This Row],[TA 2 - Q2 Bonus]]+Table1[[#This Row],[TA 2 - Q4 Bonus]]</f>
        <v/>
      </c>
      <c r="T312">
        <f>(Table1[[#This Row],[TA 1 - Total Score (out of 35)]]+Table1[[#This Row],[TA 2 - Total Score (out of 35)]])/2</f>
        <v/>
      </c>
      <c r="U312">
        <f>(Table1[[#This Row],[TA 1 - Total Bonus (out of 13)]]+Table1[[#This Row],[TA 2 - Total Bonus (out of 13)]])/2</f>
        <v/>
      </c>
      <c r="V312">
        <f>Table1[[#This Row],[Average Questions]]/35*20+Table1[[#This Row],[Average Bonus]]/13*5</f>
        <v/>
      </c>
      <c r="W312" t="n">
        <v>4</v>
      </c>
      <c r="X312" t="n">
        <v>0</v>
      </c>
      <c r="Y312" t="inlineStr">
        <is>
          <t>The student completed the data loading and transformation tasks correctly, including resizing, converting to tensor, and normalizing the images. However, there were issues in creating and displaying the DataLoaders, where the test loader used the training dataset instead of the test dataset. The model loading and adaptation tasks were partially correct, but the student froze the entire model instead of just the backbone. The training and validation loops had significant errors, including incorrect handling of model outputs and labels, leading to incorrect loss calculations and accuracy measurements. No bonus tasks were attempted.</t>
        </is>
      </c>
      <c r="Z312" t="n">
        <v>7.5</v>
      </c>
      <c r="AA312" t="n">
        <v>0</v>
      </c>
      <c r="AB312" t="inlineStr">
        <is>
          <t>The student successfully loaded and prepared the data with correct transformations and displayed sample images. However, the CNN model has incorrect layer sizes and output dimensions, leading to a failure in training. The training and validation loops are mostly correct but contain unnecessary softmax operations. The model was trained for only 5 epochs instead of 10, and the bonus task was not attempted.</t>
        </is>
      </c>
      <c r="AC312" t="n">
        <v>6</v>
      </c>
      <c r="AD312" t="inlineStr">
        <is>
          <t>The student's submission partially completes several tasks but contains significant errors. The dataset class is implemented correctly, and DataLoaders are created, but the image and mask transformations are incorrect. The model class is defined with the correct architecture but uses 'efficientnet-b1' instead of 'efficientnet-b0'. The training and validation loops contain logical errors, particularly in handling the mask data types and dimensions. The training process is attempted but crashes due to these issues. Visualization of predictions is attempted but fails due to incorrect handling of mask data.</t>
        </is>
      </c>
      <c r="AE312" t="n">
        <v>0</v>
      </c>
      <c r="AF312" t="n">
        <v>0</v>
      </c>
      <c r="AG312" t="inlineStr">
        <is>
          <t>No submission found.</t>
        </is>
      </c>
      <c r="AH312" t="n">
        <v>17.5</v>
      </c>
      <c r="AI312" t="n">
        <v>0</v>
      </c>
    </row>
    <row r="313">
      <c r="A313" t="n">
        <v>312</v>
      </c>
      <c r="B313" t="inlineStr">
        <is>
          <t>TA_6</t>
        </is>
      </c>
      <c r="C313" t="inlineStr">
        <is>
          <t>TA_16</t>
        </is>
      </c>
      <c r="D313" t="n">
        <v>11</v>
      </c>
      <c r="E313" t="n">
        <v>0</v>
      </c>
      <c r="F313" t="n">
        <v>11</v>
      </c>
      <c r="G313" t="n">
        <v>0</v>
      </c>
      <c r="H313" t="n">
        <v>12</v>
      </c>
      <c r="I313" t="n">
        <v>0</v>
      </c>
      <c r="J313" t="n">
        <v>11</v>
      </c>
      <c r="K313" t="n">
        <v>0</v>
      </c>
      <c r="L313" t="n">
        <v>11</v>
      </c>
      <c r="M313" t="n">
        <v>0</v>
      </c>
      <c r="N313" t="n">
        <v>12</v>
      </c>
      <c r="O313" t="n">
        <v>0</v>
      </c>
      <c r="P313">
        <f>Table1[[#This Row],[TA 1 - Q1 Score]]+Table1[[#This Row],[TA 1 - Q2 Score]]+Table1[[#This Row],[TA 1 - Q3 Score]]</f>
        <v/>
      </c>
      <c r="Q313">
        <f>Table1[[#This Row],[TA 1 - Q1 Bonus]]+Table1[[#This Row],[TA 1 - Q2 Bonus]]+Table1[[#This Row],[TA 1 - Q4 Bonus]]</f>
        <v/>
      </c>
      <c r="R313">
        <f>Table1[[#This Row],[TA 2 - Q1 Score]]+Table1[[#This Row],[TA 2 - Q2 Score]]+Table1[[#This Row],[TA 2 - Q3 Score]]</f>
        <v/>
      </c>
      <c r="S313">
        <f>Table1[[#This Row],[TA 2 - Q1 Bonus]]+Table1[[#This Row],[TA 2 - Q2 Bonus]]+Table1[[#This Row],[TA 2 - Q4 Bonus]]</f>
        <v/>
      </c>
      <c r="T313">
        <f>(Table1[[#This Row],[TA 1 - Total Score (out of 35)]]+Table1[[#This Row],[TA 2 - Total Score (out of 35)]])/2</f>
        <v/>
      </c>
      <c r="U313">
        <f>(Table1[[#This Row],[TA 1 - Total Bonus (out of 13)]]+Table1[[#This Row],[TA 2 - Total Bonus (out of 13)]])/2</f>
        <v/>
      </c>
      <c r="V313">
        <f>Table1[[#This Row],[Average Questions]]/35*20+Table1[[#This Row],[Average Bonus]]/13*5</f>
        <v/>
      </c>
      <c r="W313" t="n">
        <v>6</v>
      </c>
      <c r="X313" t="n">
        <v>0</v>
      </c>
      <c r="Y313" t="inlineStr">
        <is>
          <t>The student completed the data loading and preparation with minor issues, such as using a smaller batch size and not displaying five random samples. The model loading and adaptation were partially correct, but the student froze the entire model instead of just the backbone. The training and validation loops were mostly correct but contained a mistake in the accuracy calculation due to not adjusting the labels properly. The student did not attempt the bonus task.</t>
        </is>
      </c>
      <c r="Z313" t="n">
        <v>7</v>
      </c>
      <c r="AA313" t="n">
        <v>0</v>
      </c>
      <c r="AB313" t="inlineStr">
        <is>
          <t>The student successfully loaded and prepared the data with the correct transformations and displayed sample images. The CNN model was built with five convolutional layers and batch normalization, though the architecture differs from the reference solution. The training and validation loops were implemented correctly, and the model was trained and plotted. However, the bonus task was not attempted.</t>
        </is>
      </c>
      <c r="AC313" t="n">
        <v>8.5</v>
      </c>
      <c r="AD313" t="inlineStr">
        <is>
          <t>The student's submission largely follows the reference solution but contains minor issues. Task 1 is mostly correct with a small mistake in the mask transformation. Task 2 correctly defines the U-Net model with the specified encoder. Task 3 implements the training and validation loops accurately. Task 4 defines the loss and optimizer correctly, trains the model, and plots the loss curve. Task 5 visualizes predictions but has a minor issue with the predicted mask's shape handling.</t>
        </is>
      </c>
      <c r="AE313" t="n">
        <v>0</v>
      </c>
      <c r="AF313" t="n">
        <v>0</v>
      </c>
      <c r="AG313" t="inlineStr">
        <is>
          <t>No submission found.</t>
        </is>
      </c>
      <c r="AH313" t="n">
        <v>21.5</v>
      </c>
      <c r="AI313" t="n">
        <v>0</v>
      </c>
    </row>
    <row r="314">
      <c r="A314" t="n">
        <v>313</v>
      </c>
      <c r="B314" t="inlineStr">
        <is>
          <t>TA_6</t>
        </is>
      </c>
      <c r="C314" t="inlineStr">
        <is>
          <t>TA_16</t>
        </is>
      </c>
      <c r="D314" t="n">
        <v>12</v>
      </c>
      <c r="E314" t="n">
        <v>2.5</v>
      </c>
      <c r="F314" t="n">
        <v>11</v>
      </c>
      <c r="G314" t="n">
        <v>1</v>
      </c>
      <c r="H314" t="n">
        <v>12</v>
      </c>
      <c r="I314" t="n">
        <v>0</v>
      </c>
      <c r="J314" t="n">
        <v>12</v>
      </c>
      <c r="K314" t="n">
        <v>2.5</v>
      </c>
      <c r="L314" t="n">
        <v>11</v>
      </c>
      <c r="M314" t="n">
        <v>1</v>
      </c>
      <c r="N314" t="n">
        <v>12</v>
      </c>
      <c r="O314" t="n">
        <v>0</v>
      </c>
      <c r="P314">
        <f>Table1[[#This Row],[TA 1 - Q1 Score]]+Table1[[#This Row],[TA 1 - Q2 Score]]+Table1[[#This Row],[TA 1 - Q3 Score]]</f>
        <v/>
      </c>
      <c r="Q314">
        <f>Table1[[#This Row],[TA 1 - Q1 Bonus]]+Table1[[#This Row],[TA 1 - Q2 Bonus]]+Table1[[#This Row],[TA 1 - Q4 Bonus]]</f>
        <v/>
      </c>
      <c r="R314">
        <f>Table1[[#This Row],[TA 2 - Q1 Score]]+Table1[[#This Row],[TA 2 - Q2 Score]]+Table1[[#This Row],[TA 2 - Q3 Score]]</f>
        <v/>
      </c>
      <c r="S314">
        <f>Table1[[#This Row],[TA 2 - Q1 Bonus]]+Table1[[#This Row],[TA 2 - Q2 Bonus]]+Table1[[#This Row],[TA 2 - Q4 Bonus]]</f>
        <v/>
      </c>
      <c r="T314">
        <f>(Table1[[#This Row],[TA 1 - Total Score (out of 35)]]+Table1[[#This Row],[TA 2 - Total Score (out of 35)]])/2</f>
        <v/>
      </c>
      <c r="U314">
        <f>(Table1[[#This Row],[TA 1 - Total Bonus (out of 13)]]+Table1[[#This Row],[TA 2 - Total Bonus (out of 13)]])/2</f>
        <v/>
      </c>
      <c r="V314">
        <f>Table1[[#This Row],[Average Questions]]/35*20+Table1[[#This Row],[Average Bonus]]/13*5</f>
        <v/>
      </c>
      <c r="W314" t="n">
        <v>7</v>
      </c>
      <c r="X314" t="n">
        <v>0</v>
      </c>
      <c r="Y314" t="inlineStr">
        <is>
          <t>The student completed most tasks with minor issues. The data loading and preparation were mostly correct, though the DataLoader batch size was smaller than the reference. The model loading and adaptation were accurate, but the student used EfficientNetV2-Small incorrectly labeled as B0. The training and validation loops were implemented correctly with label fixing. However, the plotting section had an incorrect number of epochs. The bonus task was not correctly implemented, with multiple validation loops instead of averaging predictions.</t>
        </is>
      </c>
      <c r="Z314" t="n">
        <v>7</v>
      </c>
      <c r="AA314" t="n">
        <v>0</v>
      </c>
      <c r="AB314" t="inlineStr">
        <is>
          <t>The student successfully loaded and prepared the data with the correct transformations and displayed sample images. However, the CNN model has incorrect architecture with only 5 layers instead of 5 convolutional layers and lacks proper flattening dimensions. The training and validation functions are mostly correct but contain minor issues like incorrect label handling. The model training section is partially correct with some syntax errors in the accuracy calculation. No bonus task was attempted.</t>
        </is>
      </c>
      <c r="AC314" t="n">
        <v>8</v>
      </c>
      <c r="AD314" t="inlineStr">
        <is>
          <t>The student's submission contains mostly correct code with minor issues. Task 1 is partially correct with a small mistake in the dataset split. Task 2 is correct except for the encoder name specified in the model definition. Task 3 is correct. Task 4 is mostly correct with a minor issue in the optimizer choice. Task 5 is correct with a slight difference in the colormap used for visualization.</t>
        </is>
      </c>
      <c r="AE314" t="n">
        <v>0</v>
      </c>
      <c r="AF314" t="n">
        <v>0</v>
      </c>
      <c r="AG314" t="inlineStr">
        <is>
          <t>No submission found.</t>
        </is>
      </c>
      <c r="AH314" t="n">
        <v>22</v>
      </c>
      <c r="AI314" t="n">
        <v>0</v>
      </c>
    </row>
    <row r="315">
      <c r="A315" t="n">
        <v>314</v>
      </c>
      <c r="B315" t="inlineStr">
        <is>
          <t>TA_6</t>
        </is>
      </c>
      <c r="C315" t="inlineStr">
        <is>
          <t>TA_16</t>
        </is>
      </c>
      <c r="D315" t="n">
        <v>4</v>
      </c>
      <c r="E315" t="n">
        <v>0</v>
      </c>
      <c r="F315" t="n">
        <v>7</v>
      </c>
      <c r="G315" t="n">
        <v>0</v>
      </c>
      <c r="H315" t="n">
        <v>0</v>
      </c>
      <c r="I315" t="n">
        <v>0</v>
      </c>
      <c r="J315" t="n">
        <v>2</v>
      </c>
      <c r="K315" t="n">
        <v>0</v>
      </c>
      <c r="L315" t="n">
        <v>7</v>
      </c>
      <c r="M315" t="n">
        <v>0</v>
      </c>
      <c r="N315" t="n">
        <v>0</v>
      </c>
      <c r="O315" t="n">
        <v>0</v>
      </c>
      <c r="P315">
        <f>Table1[[#This Row],[TA 1 - Q1 Score]]+Table1[[#This Row],[TA 1 - Q2 Score]]+Table1[[#This Row],[TA 1 - Q3 Score]]</f>
        <v/>
      </c>
      <c r="Q315">
        <f>Table1[[#This Row],[TA 1 - Q1 Bonus]]+Table1[[#This Row],[TA 1 - Q2 Bonus]]+Table1[[#This Row],[TA 1 - Q4 Bonus]]</f>
        <v/>
      </c>
      <c r="R315">
        <f>Table1[[#This Row],[TA 2 - Q1 Score]]+Table1[[#This Row],[TA 2 - Q2 Score]]+Table1[[#This Row],[TA 2 - Q3 Score]]</f>
        <v/>
      </c>
      <c r="S315">
        <f>Table1[[#This Row],[TA 2 - Q1 Bonus]]+Table1[[#This Row],[TA 2 - Q2 Bonus]]+Table1[[#This Row],[TA 2 - Q4 Bonus]]</f>
        <v/>
      </c>
      <c r="T315">
        <f>(Table1[[#This Row],[TA 1 - Total Score (out of 35)]]+Table1[[#This Row],[TA 2 - Total Score (out of 35)]])/2</f>
        <v/>
      </c>
      <c r="U315">
        <f>(Table1[[#This Row],[TA 1 - Total Bonus (out of 13)]]+Table1[[#This Row],[TA 2 - Total Bonus (out of 13)]])/2</f>
        <v/>
      </c>
      <c r="V315">
        <f>Table1[[#This Row],[Average Questions]]/35*20+Table1[[#This Row],[Average Bonus]]/13*5</f>
        <v/>
      </c>
      <c r="W315" t="n">
        <v>5</v>
      </c>
      <c r="X315" t="n">
        <v>0</v>
      </c>
      <c r="Y315" t="inlineStr">
        <is>
          <t>The student partially completed several tasks but made significant errors. The data loading and preparation section had issues with the DataLoader setup and image display. The model loading and adaptation were mostly correct but used the wrong model type (EfficientNet-B0 instead of EfficientNetV2-Small) and incorrectly set the number of output classes. The training and validation loops contained logical errors, such as using sigmoid activation and binary classification logic for a multi-class problem. No bonus task was attempted.</t>
        </is>
      </c>
      <c r="Z315" t="n">
        <v>6</v>
      </c>
      <c r="AA315" t="n">
        <v>0</v>
      </c>
      <c r="AB315" t="inlineStr">
        <is>
          <t>The student successfully loaded and prepared the data with the correct transformations, including resizing to 32x32 and random rotation. However, the CNN model only includes 3 convolutional layers instead of 5, and batch normalization is missing. The training and validation loops are implemented correctly, and the model is trained and plotted. The bonus task was not attempted.</t>
        </is>
      </c>
      <c r="AC315" t="n">
        <v>3</v>
      </c>
      <c r="AD315" t="inlineStr">
        <is>
          <t>The student's submission contains significant issues across multiple tasks. In Task 1, the dataset class incorrectly uses a CSV file for metadata, which is not provided in the reference solution. The remapping function is defined twice, and the binary remapping function is used instead of the correct multi-class remapping. Task 2 defines a binary segmentation model with one output channel instead of a multi-class model with eight channels. Task 3 has incorrect training and validation loops using BCEWithLogitsLoss for a multi-class problem. Task 4 uses an incorrect loss function and does not plot the loss curve. Task 5 visualizes predictions incorrectly as binary masks instead of multi-class masks.</t>
        </is>
      </c>
      <c r="AE315" t="n">
        <v>0</v>
      </c>
      <c r="AF315" t="n">
        <v>0</v>
      </c>
      <c r="AG315" t="inlineStr">
        <is>
          <t>No submission found.</t>
        </is>
      </c>
      <c r="AH315" t="n">
        <v>14</v>
      </c>
      <c r="AI315" t="n">
        <v>0</v>
      </c>
    </row>
    <row r="316">
      <c r="A316" t="n">
        <v>315</v>
      </c>
      <c r="B316" t="inlineStr">
        <is>
          <t>TA_6</t>
        </is>
      </c>
      <c r="C316" t="inlineStr">
        <is>
          <t>TA_16</t>
        </is>
      </c>
      <c r="D316" t="n">
        <v>7.5</v>
      </c>
      <c r="E316" t="n">
        <v>0</v>
      </c>
      <c r="F316" t="n">
        <v>11</v>
      </c>
      <c r="G316" t="n">
        <v>0</v>
      </c>
      <c r="H316" t="n">
        <v>8.5</v>
      </c>
      <c r="I316" t="n">
        <v>0</v>
      </c>
      <c r="J316" t="n">
        <v>7.5</v>
      </c>
      <c r="K316" t="n">
        <v>0</v>
      </c>
      <c r="L316" t="n">
        <v>11</v>
      </c>
      <c r="M316" t="n">
        <v>0</v>
      </c>
      <c r="N316" t="n">
        <v>8.5</v>
      </c>
      <c r="O316" t="n">
        <v>0</v>
      </c>
      <c r="P316">
        <f>Table1[[#This Row],[TA 1 - Q1 Score]]+Table1[[#This Row],[TA 1 - Q2 Score]]+Table1[[#This Row],[TA 1 - Q3 Score]]</f>
        <v/>
      </c>
      <c r="Q316">
        <f>Table1[[#This Row],[TA 1 - Q1 Bonus]]+Table1[[#This Row],[TA 1 - Q2 Bonus]]+Table1[[#This Row],[TA 1 - Q4 Bonus]]</f>
        <v/>
      </c>
      <c r="R316">
        <f>Table1[[#This Row],[TA 2 - Q1 Score]]+Table1[[#This Row],[TA 2 - Q2 Score]]+Table1[[#This Row],[TA 2 - Q3 Score]]</f>
        <v/>
      </c>
      <c r="S316">
        <f>Table1[[#This Row],[TA 2 - Q1 Bonus]]+Table1[[#This Row],[TA 2 - Q2 Bonus]]+Table1[[#This Row],[TA 2 - Q4 Bonus]]</f>
        <v/>
      </c>
      <c r="T316">
        <f>(Table1[[#This Row],[TA 1 - Total Score (out of 35)]]+Table1[[#This Row],[TA 2 - Total Score (out of 35)]])/2</f>
        <v/>
      </c>
      <c r="U316">
        <f>(Table1[[#This Row],[TA 1 - Total Bonus (out of 13)]]+Table1[[#This Row],[TA 2 - Total Bonus (out of 13)]])/2</f>
        <v/>
      </c>
      <c r="V316">
        <f>Table1[[#This Row],[Average Questions]]/35*20+Table1[[#This Row],[Average Bonus]]/13*5</f>
        <v/>
      </c>
      <c r="W316" t="n">
        <v>7</v>
      </c>
      <c r="X316" t="n">
        <v>0</v>
      </c>
      <c r="Y316" t="inlineStr">
        <is>
          <t>The student completed the data loading and preparation with minor issues, such as incorrect label descriptions in the plot. The model loading and adaptation were mostly correct, but the student did not freeze the backbone properly. The training and validation loops were implemented but contained logical errors, particularly in label handling. The plotting of losses and accuracies was correct. No bonus task was attempted.</t>
        </is>
      </c>
      <c r="Z316" t="n">
        <v>7</v>
      </c>
      <c r="AA316" t="n">
        <v>0</v>
      </c>
      <c r="AB316" t="inlineStr">
        <is>
          <t>The student successfully loaded and prepared the data with the correct transformations and displayed sample images. The CNN model has 5 convolutional layers with batch normalization, though the architecture differs from the reference solution. The training and validation loops are implemented correctly, and the model is trained and plotted. However, the student did not attempt the bonus task of adding a residual connection.</t>
        </is>
      </c>
      <c r="AC316" t="n">
        <v>5</v>
      </c>
      <c r="AD316" t="inlineStr">
        <is>
          <t>The student attempted most tasks but made several mistakes. The dataset class has issues with mask conversion and path splitting. The DataLoader setup incorrectly splits images and masks. The model definition uses the correct architecture but runs on CPU. Training and validation loops contain syntax errors and logical issues, such as incorrect mask handling and loss computation. Visualization code has errors in displaying images and masks. Despite these issues, the student showed effort in attempting each task.</t>
        </is>
      </c>
      <c r="AE316" t="n">
        <v>0</v>
      </c>
      <c r="AF316" t="n">
        <v>0</v>
      </c>
      <c r="AG316" t="inlineStr">
        <is>
          <t>No submission found.</t>
        </is>
      </c>
      <c r="AH316" t="n">
        <v>19</v>
      </c>
      <c r="AI316" t="n">
        <v>0</v>
      </c>
    </row>
    <row r="317">
      <c r="A317" t="n">
        <v>316</v>
      </c>
      <c r="B317" t="inlineStr">
        <is>
          <t>TA_6</t>
        </is>
      </c>
      <c r="C317" t="inlineStr">
        <is>
          <t>TA_16</t>
        </is>
      </c>
      <c r="D317" t="n">
        <v>12</v>
      </c>
      <c r="E317" t="n">
        <v>0</v>
      </c>
      <c r="F317" t="n">
        <v>11</v>
      </c>
      <c r="G317" t="n">
        <v>4</v>
      </c>
      <c r="H317" t="n">
        <v>12</v>
      </c>
      <c r="I317" t="n">
        <v>0</v>
      </c>
      <c r="J317" t="n">
        <v>12</v>
      </c>
      <c r="K317" t="n">
        <v>0</v>
      </c>
      <c r="L317" t="n">
        <v>11</v>
      </c>
      <c r="M317" t="n">
        <v>4</v>
      </c>
      <c r="N317" t="n">
        <v>12</v>
      </c>
      <c r="O317" t="n">
        <v>0</v>
      </c>
      <c r="P317">
        <f>Table1[[#This Row],[TA 1 - Q1 Score]]+Table1[[#This Row],[TA 1 - Q2 Score]]+Table1[[#This Row],[TA 1 - Q3 Score]]</f>
        <v/>
      </c>
      <c r="Q317">
        <f>Table1[[#This Row],[TA 1 - Q1 Bonus]]+Table1[[#This Row],[TA 1 - Q2 Bonus]]+Table1[[#This Row],[TA 1 - Q4 Bonus]]</f>
        <v/>
      </c>
      <c r="R317">
        <f>Table1[[#This Row],[TA 2 - Q1 Score]]+Table1[[#This Row],[TA 2 - Q2 Score]]+Table1[[#This Row],[TA 2 - Q3 Score]]</f>
        <v/>
      </c>
      <c r="S317">
        <f>Table1[[#This Row],[TA 2 - Q1 Bonus]]+Table1[[#This Row],[TA 2 - Q2 Bonus]]+Table1[[#This Row],[TA 2 - Q4 Bonus]]</f>
        <v/>
      </c>
      <c r="T317">
        <f>(Table1[[#This Row],[TA 1 - Total Score (out of 35)]]+Table1[[#This Row],[TA 2 - Total Score (out of 35)]])/2</f>
        <v/>
      </c>
      <c r="U317">
        <f>(Table1[[#This Row],[TA 1 - Total Bonus (out of 13)]]+Table1[[#This Row],[TA 2 - Total Bonus (out of 13)]])/2</f>
        <v/>
      </c>
      <c r="V317">
        <f>Table1[[#This Row],[Average Questions]]/35*20+Table1[[#This Row],[Average Bonus]]/13*5</f>
        <v/>
      </c>
      <c r="W317" t="n">
        <v>11</v>
      </c>
      <c r="X317" t="n">
        <v>0</v>
      </c>
      <c r="Y317" t="inlineStr">
        <is>
          <t>The student completed all base tasks with minor issues. The transforms were correctly defined, and the DataLoaders were set up properly. Sample images were displayed with labels. The pretrained EfficientNetV2-Small model was loaded and adapted correctly, with the backbone frozen and the classifier head replaced. The training and validation loops were implemented with label fixing. However, the student did not plot the training and validation losses and accuracies as required, resulting in a deduction. No bonus tasks were attempted.</t>
        </is>
      </c>
      <c r="Z317" t="n">
        <v>9</v>
      </c>
      <c r="AA317" t="n">
        <v>1</v>
      </c>
      <c r="AB317" t="inlineStr">
        <is>
          <t>The student successfully completed most tasks, including loading and preparing the data, building the CNN model with batch normalization, defining training and validation loops, and training the model. However, the CNN model architecture did not meet the requirement of having 5 convolutional layers, instead having only 5 layers in total (including pooling layers). The residual connection implementation was partially correct, using a 1x1 convolution to match channels, but the spatial dimensions were not properly handled. The plots for training and validation metrics were correctly generated.</t>
        </is>
      </c>
      <c r="AC317" t="n">
        <v>10</v>
      </c>
      <c r="AD317" t="inlineStr">
        <is>
          <t>The student's submission is mostly correct and runs end-to-end. The dataset class is implemented correctly with proper data loading and transformations. DataLoaders are created and used appropriately. Sample images and masks are displayed correctly. The U-Net model with efficientnet-b0 encoder is defined and initialized properly. Training and validation loops are implemented with minor issues, such as using AdamW instead of Adam for optimization. Losses are printed and plotted correctly. Predictions are visualized against ground truth masks. The only notable issue is the use of AdamW optimizer instead of Adam, which slightly deviates from the reference solution.</t>
        </is>
      </c>
      <c r="AE317" t="n">
        <v>0</v>
      </c>
      <c r="AF317" t="n">
        <v>0</v>
      </c>
      <c r="AG317" t="inlineStr">
        <is>
          <t>No submission found.</t>
        </is>
      </c>
      <c r="AH317" t="n">
        <v>30</v>
      </c>
      <c r="AI317" t="n">
        <v>1</v>
      </c>
    </row>
    <row r="318">
      <c r="A318" t="n">
        <v>317</v>
      </c>
      <c r="B318" t="inlineStr">
        <is>
          <t>TA_6</t>
        </is>
      </c>
      <c r="C318" t="inlineStr">
        <is>
          <t>TA_16</t>
        </is>
      </c>
      <c r="D318" t="n">
        <v>12</v>
      </c>
      <c r="E318" t="n">
        <v>0</v>
      </c>
      <c r="F318" t="n">
        <v>11</v>
      </c>
      <c r="G318" t="n">
        <v>0</v>
      </c>
      <c r="H318" t="n">
        <v>11.5</v>
      </c>
      <c r="I318" t="n">
        <v>0</v>
      </c>
      <c r="J318" t="n">
        <v>12</v>
      </c>
      <c r="K318" t="n">
        <v>0</v>
      </c>
      <c r="L318" t="n">
        <v>11</v>
      </c>
      <c r="M318" t="n">
        <v>0</v>
      </c>
      <c r="N318" t="n">
        <v>11.5</v>
      </c>
      <c r="O318" t="n">
        <v>0</v>
      </c>
      <c r="P318">
        <f>Table1[[#This Row],[TA 1 - Q1 Score]]+Table1[[#This Row],[TA 1 - Q2 Score]]+Table1[[#This Row],[TA 1 - Q3 Score]]</f>
        <v/>
      </c>
      <c r="Q318">
        <f>Table1[[#This Row],[TA 1 - Q1 Bonus]]+Table1[[#This Row],[TA 1 - Q2 Bonus]]+Table1[[#This Row],[TA 1 - Q4 Bonus]]</f>
        <v/>
      </c>
      <c r="R318">
        <f>Table1[[#This Row],[TA 2 - Q1 Score]]+Table1[[#This Row],[TA 2 - Q2 Score]]+Table1[[#This Row],[TA 2 - Q3 Score]]</f>
        <v/>
      </c>
      <c r="S318">
        <f>Table1[[#This Row],[TA 2 - Q1 Bonus]]+Table1[[#This Row],[TA 2 - Q2 Bonus]]+Table1[[#This Row],[TA 2 - Q4 Bonus]]</f>
        <v/>
      </c>
      <c r="T318">
        <f>(Table1[[#This Row],[TA 1 - Total Score (out of 35)]]+Table1[[#This Row],[TA 2 - Total Score (out of 35)]])/2</f>
        <v/>
      </c>
      <c r="U318">
        <f>(Table1[[#This Row],[TA 1 - Total Bonus (out of 13)]]+Table1[[#This Row],[TA 2 - Total Bonus (out of 13)]])/2</f>
        <v/>
      </c>
      <c r="V318">
        <f>Table1[[#This Row],[Average Questions]]/35*20+Table1[[#This Row],[Average Bonus]]/13*5</f>
        <v/>
      </c>
      <c r="W318" t="n">
        <v>7</v>
      </c>
      <c r="X318" t="n">
        <v>0</v>
      </c>
      <c r="Y318" t="inlineStr">
        <is>
          <t>The student completed most tasks with minor issues. The transforms were mostly correct but included an unnecessary custom module for subtracting one from labels, which was already handled in the training and validation loops. DataLoaders were created correctly, but the batch size was smaller than the reference solution. Sample images were displayed, though the plot formatting could be improved. The pretrained model was loaded and adapted properly, with the backbone frozen and the classifier head replaced. Training and validation loops were implemented with correct logic, including label fixing. However, the learning rate was set too low, potentially affecting performance. No bonus task was attempted.</t>
        </is>
      </c>
      <c r="Z318" t="n">
        <v>6</v>
      </c>
      <c r="AA318" t="n">
        <v>0</v>
      </c>
      <c r="AB318" t="inlineStr">
        <is>
          <t>The student successfully loaded and prepared the data with the correct transformations and displayed sample images. The CNN model was built with five convolutional layers and batch normalization, though the architecture differs from the reference solution. The training and validation functions were implemented correctly, and the model was trained and plotted. However, the bonus task was not attempted.</t>
        </is>
      </c>
      <c r="AC318" t="n">
        <v>8</v>
      </c>
      <c r="AD318" t="inlineStr">
        <is>
          <t>The student's submission includes most of the required tasks with minor issues. The dataset class is implemented correctly, but the image and mask transformations use a different size (240x240 instead of 256x256). The DataLoader creation is mostly correct but lacks shuffling in the training set. Sample images and masks are displayed, though the shapes printed are incorrect due to the transformation differences. The U-Net model is defined with the correct encoder, but the optimizer uses AdamW instead of Adam. Training and validation loops are implemented correctly, and losses are printed and plotted. Predictions are visualized, but the colormap used for predicted masks is gray instead of tab10.</t>
        </is>
      </c>
      <c r="AE318" t="n">
        <v>0</v>
      </c>
      <c r="AF318" t="n">
        <v>0</v>
      </c>
      <c r="AG318" t="inlineStr">
        <is>
          <t>No submission found.</t>
        </is>
      </c>
      <c r="AH318" t="n">
        <v>21</v>
      </c>
      <c r="AI318" t="n">
        <v>0</v>
      </c>
    </row>
    <row r="319">
      <c r="A319" t="n">
        <v>318</v>
      </c>
      <c r="B319" t="inlineStr">
        <is>
          <t>TA_6</t>
        </is>
      </c>
      <c r="C319" t="inlineStr">
        <is>
          <t>TA_16</t>
        </is>
      </c>
      <c r="D319" t="n">
        <v>12</v>
      </c>
      <c r="E319" t="n">
        <v>0</v>
      </c>
      <c r="F319" t="n">
        <v>10</v>
      </c>
      <c r="G319" t="n">
        <v>0</v>
      </c>
      <c r="H319" t="n">
        <v>10</v>
      </c>
      <c r="I319" t="n">
        <v>0</v>
      </c>
      <c r="J319" t="n">
        <v>12</v>
      </c>
      <c r="K319" t="n">
        <v>0</v>
      </c>
      <c r="L319" t="n">
        <v>10</v>
      </c>
      <c r="M319" t="n">
        <v>0</v>
      </c>
      <c r="N319" t="n">
        <v>10</v>
      </c>
      <c r="O319" t="n">
        <v>0</v>
      </c>
      <c r="P319">
        <f>Table1[[#This Row],[TA 1 - Q1 Score]]+Table1[[#This Row],[TA 1 - Q2 Score]]+Table1[[#This Row],[TA 1 - Q3 Score]]</f>
        <v/>
      </c>
      <c r="Q319">
        <f>Table1[[#This Row],[TA 1 - Q1 Bonus]]+Table1[[#This Row],[TA 1 - Q2 Bonus]]+Table1[[#This Row],[TA 1 - Q4 Bonus]]</f>
        <v/>
      </c>
      <c r="R319">
        <f>Table1[[#This Row],[TA 2 - Q1 Score]]+Table1[[#This Row],[TA 2 - Q2 Score]]+Table1[[#This Row],[TA 2 - Q3 Score]]</f>
        <v/>
      </c>
      <c r="S319">
        <f>Table1[[#This Row],[TA 2 - Q1 Bonus]]+Table1[[#This Row],[TA 2 - Q2 Bonus]]+Table1[[#This Row],[TA 2 - Q4 Bonus]]</f>
        <v/>
      </c>
      <c r="T319">
        <f>(Table1[[#This Row],[TA 1 - Total Score (out of 35)]]+Table1[[#This Row],[TA 2 - Total Score (out of 35)]])/2</f>
        <v/>
      </c>
      <c r="U319">
        <f>(Table1[[#This Row],[TA 1 - Total Bonus (out of 13)]]+Table1[[#This Row],[TA 2 - Total Bonus (out of 13)]])/2</f>
        <v/>
      </c>
      <c r="V319">
        <f>Table1[[#This Row],[Average Questions]]/35*20+Table1[[#This Row],[Average Bonus]]/13*5</f>
        <v/>
      </c>
      <c r="W319" t="n">
        <v>7.5</v>
      </c>
      <c r="X319" t="n">
        <v>0</v>
      </c>
      <c r="Y319" t="inlineStr">
        <is>
          <t>The student completed most tasks with minor issues. Transforms were correctly defined, and DataLoaders were set up properly. Sample images were displayed, though with hardcoded indices. The pretrained model was loaded and adapted correctly, but the backbone was incorrectly frozen. Training and validation loops were implemented with label fixing, but there were unnecessary softmax operations. The training process ran for only one epoch, and plots were generated. No bonus task was attempted.</t>
        </is>
      </c>
      <c r="Z319" t="n">
        <v>7</v>
      </c>
      <c r="AA319" t="n">
        <v>0</v>
      </c>
      <c r="AB319" t="inlineStr">
        <is>
          <t>The student successfully loaded and prepared the data with the correct transformations and displayed sample images. The CNN model was built with 5 convolutional layers and batch normalization, though the number of channels in the fully connected layer was incorrect. The training and validation loops were implemented correctly, but only one epoch was trained due to time constraints. No bonus task was attempted.</t>
        </is>
      </c>
      <c r="AC319" t="n">
        <v>8</v>
      </c>
      <c r="AD319" t="inlineStr">
        <is>
          <t>The student's submission contains mostly correct code with minor issues. Task 1 is partially correct due to incorrect dataset splitting logic. Task 2 is fully correct with the correct model definition. Task 3 is fully correct with proper training and validation loops. Task 4 is mostly correct with a slight issue in the optimizer choice. Task 5 is partially correct with a minor issue in mask visualization.</t>
        </is>
      </c>
      <c r="AE319" t="n">
        <v>0</v>
      </c>
      <c r="AF319" t="n">
        <v>0</v>
      </c>
      <c r="AG319" t="inlineStr">
        <is>
          <t>The student's implementation contains significant errors and does not follow the required structure. The `__init__` method incorrectly initializes attributes and attempts to list directories, which is not needed for the CIFAR-10 dataset. The `__len__` method returns nothing instead of the length of the dataset. The `rgb_to_grayscale` method is incomplete and does not perform the conversion. The `__getitem__` method incorrectly accesses image paths and does not properly convert images to grayscale. The code fails to run end-to-end due to these issues.</t>
        </is>
      </c>
      <c r="AH319" t="n">
        <v>22.5</v>
      </c>
      <c r="AI319" t="n">
        <v>0</v>
      </c>
    </row>
    <row r="320">
      <c r="A320" t="n">
        <v>319</v>
      </c>
      <c r="B320" t="inlineStr">
        <is>
          <t>TA_6</t>
        </is>
      </c>
      <c r="C320" t="inlineStr">
        <is>
          <t>TA_16</t>
        </is>
      </c>
      <c r="D320" t="n">
        <v>0</v>
      </c>
      <c r="E320" t="n">
        <v>0</v>
      </c>
      <c r="F320" t="n">
        <v>11</v>
      </c>
      <c r="G320" t="n">
        <v>0</v>
      </c>
      <c r="H320" t="n">
        <v>12</v>
      </c>
      <c r="I320" t="n">
        <v>0</v>
      </c>
      <c r="J320" t="n">
        <v>2</v>
      </c>
      <c r="K320" t="n">
        <v>0</v>
      </c>
      <c r="L320" t="n">
        <v>11</v>
      </c>
      <c r="M320" t="n">
        <v>0</v>
      </c>
      <c r="N320" t="n">
        <v>11</v>
      </c>
      <c r="O320" t="n">
        <v>0</v>
      </c>
      <c r="P320">
        <f>Table1[[#This Row],[TA 1 - Q1 Score]]+Table1[[#This Row],[TA 1 - Q2 Score]]+Table1[[#This Row],[TA 1 - Q3 Score]]</f>
        <v/>
      </c>
      <c r="Q320">
        <f>Table1[[#This Row],[TA 1 - Q1 Bonus]]+Table1[[#This Row],[TA 1 - Q2 Bonus]]+Table1[[#This Row],[TA 1 - Q4 Bonus]]</f>
        <v/>
      </c>
      <c r="R320">
        <f>Table1[[#This Row],[TA 2 - Q1 Score]]+Table1[[#This Row],[TA 2 - Q2 Score]]+Table1[[#This Row],[TA 2 - Q3 Score]]</f>
        <v/>
      </c>
      <c r="S320">
        <f>Table1[[#This Row],[TA 2 - Q1 Bonus]]+Table1[[#This Row],[TA 2 - Q2 Bonus]]+Table1[[#This Row],[TA 2 - Q4 Bonus]]</f>
        <v/>
      </c>
      <c r="T320">
        <f>(Table1[[#This Row],[TA 1 - Total Score (out of 35)]]+Table1[[#This Row],[TA 2 - Total Score (out of 35)]])/2</f>
        <v/>
      </c>
      <c r="U320">
        <f>(Table1[[#This Row],[TA 1 - Total Bonus (out of 13)]]+Table1[[#This Row],[TA 2 - Total Bonus (out of 13)]])/2</f>
        <v/>
      </c>
      <c r="V320">
        <f>Table1[[#This Row],[Average Questions]]/35*20+Table1[[#This Row],[Average Bonus]]/13*5</f>
        <v/>
      </c>
      <c r="W320" t="n">
        <v>3</v>
      </c>
      <c r="X320" t="n">
        <v>0</v>
      </c>
      <c r="Y320" t="inlineStr">
        <is>
          <t>The student completed the data loading and transformation tasks correctly, including resizing, converting to tensor, and normalizing the images. They also created the DataLoaders and displayed sample images. However, the model loading and adaptation section contains significant errors, such as freezing the entire model instead of just the backbone and incorrectly replacing the classifier head. The training and validation functions were not implemented correctly, with issues in handling the data batches and calculating accuracy. The training loop and plotting sections were not completed, and no attempt was made at the bonus task.</t>
        </is>
      </c>
      <c r="Z320" t="n">
        <v>6</v>
      </c>
      <c r="AA320" t="n">
        <v>0</v>
      </c>
      <c r="AB320" t="inlineStr">
        <is>
          <t>The student partially completed the tasks. They correctly set up the dataset and DataLoaders with the required transformations, including RandomRotation and resizing to 32x32. Sample images were displayed with labels. However, the CNN model had issues with channel sizes and output dimensions, leading to runtime errors. The training and validation loops were implemented correctly, but the model used was not aligned with the task requirements. No bonus task was attempted.</t>
        </is>
      </c>
      <c r="AC320" t="n">
        <v>8</v>
      </c>
      <c r="AD320" t="inlineStr">
        <is>
          <t>The student's submission includes most of the required tasks with minor issues. The dataset class and DataLoader creation are mostly correct, though the dataset splitting could be improved. The model definition uses the correct architecture but with a typo in the dataset name. The training and validation loops are implemented correctly, and the loss and optimizer are defined properly. However, the training loop prints the loss twice per epoch. Visualization of predictions is attempted but uses grayscale instead of a colormap for better distinction between classes.</t>
        </is>
      </c>
      <c r="AE320" t="n">
        <v>0</v>
      </c>
      <c r="AF320" t="n">
        <v>0</v>
      </c>
      <c r="AG320" t="inlineStr">
        <is>
          <t>No submission found.</t>
        </is>
      </c>
      <c r="AH320" t="n">
        <v>17</v>
      </c>
      <c r="AI320" t="n">
        <v>0</v>
      </c>
    </row>
    <row r="321">
      <c r="A321" t="n">
        <v>320</v>
      </c>
      <c r="B321" t="inlineStr">
        <is>
          <t>TA_6</t>
        </is>
      </c>
      <c r="C321" t="inlineStr">
        <is>
          <t>TA_16</t>
        </is>
      </c>
      <c r="D321" t="n">
        <v>6</v>
      </c>
      <c r="E321" t="n">
        <v>0</v>
      </c>
      <c r="F321" t="n">
        <v>6.5</v>
      </c>
      <c r="G321" t="n">
        <v>0</v>
      </c>
      <c r="H321" t="n">
        <v>10.5</v>
      </c>
      <c r="I321" t="n">
        <v>0</v>
      </c>
      <c r="J321" t="n">
        <v>7</v>
      </c>
      <c r="K321" t="n">
        <v>0</v>
      </c>
      <c r="L321" t="n">
        <v>7.5</v>
      </c>
      <c r="M321" t="n">
        <v>0</v>
      </c>
      <c r="N321" t="n">
        <v>10.5</v>
      </c>
      <c r="O321" t="n">
        <v>0</v>
      </c>
      <c r="P321">
        <f>Table1[[#This Row],[TA 1 - Q1 Score]]+Table1[[#This Row],[TA 1 - Q2 Score]]+Table1[[#This Row],[TA 1 - Q3 Score]]</f>
        <v/>
      </c>
      <c r="Q321">
        <f>Table1[[#This Row],[TA 1 - Q1 Bonus]]+Table1[[#This Row],[TA 1 - Q2 Bonus]]+Table1[[#This Row],[TA 1 - Q4 Bonus]]</f>
        <v/>
      </c>
      <c r="R321">
        <f>Table1[[#This Row],[TA 2 - Q1 Score]]+Table1[[#This Row],[TA 2 - Q2 Score]]+Table1[[#This Row],[TA 2 - Q3 Score]]</f>
        <v/>
      </c>
      <c r="S321">
        <f>Table1[[#This Row],[TA 2 - Q1 Bonus]]+Table1[[#This Row],[TA 2 - Q2 Bonus]]+Table1[[#This Row],[TA 2 - Q4 Bonus]]</f>
        <v/>
      </c>
      <c r="T321">
        <f>(Table1[[#This Row],[TA 1 - Total Score (out of 35)]]+Table1[[#This Row],[TA 2 - Total Score (out of 35)]])/2</f>
        <v/>
      </c>
      <c r="U321">
        <f>(Table1[[#This Row],[TA 1 - Total Bonus (out of 13)]]+Table1[[#This Row],[TA 2 - Total Bonus (out of 13)]])/2</f>
        <v/>
      </c>
      <c r="V321">
        <f>Table1[[#This Row],[Average Questions]]/35*20+Table1[[#This Row],[Average Bonus]]/13*5</f>
        <v/>
      </c>
      <c r="W321" t="n">
        <v>7</v>
      </c>
      <c r="X321" t="n">
        <v>0</v>
      </c>
      <c r="Y321" t="inlineStr">
        <is>
          <t>The student completed most tasks with minor issues. The data loading and preparation were mostly correct, though the batch size was smaller than in the reference solution. The model loading and adaptation were correct, but the student used EfficientNet-B0 instead of EfficientNetV2-Small. The training and validation loops had syntax errors and logical mistakes, such as squeezing the model outputs and using an incorrect learning rate. The plotting of losses and accuracies was not implemented. No bonus task was attempted.</t>
        </is>
      </c>
      <c r="Z321" t="n">
        <v>7</v>
      </c>
      <c r="AA321" t="n">
        <v>0</v>
      </c>
      <c r="AB321" t="inlineStr">
        <is>
          <t>The student completed most tasks with minor issues. The dataset loading and preparation were mostly correct, but the image resizing was set to 224x224 instead of 32x32 as specified. The CNN model had 5 convolutional layers but did not include batch normalization, resulting in partial credit. The training and validation loops were implemented correctly, and the model was trained for 5 epochs. However, the bonus task was not attempted.</t>
        </is>
      </c>
      <c r="AC321" t="n">
        <v>8</v>
      </c>
      <c r="AD321" t="inlineStr">
        <is>
          <t>The student's submission contains mostly correct code with minor issues. Task 1 is mostly complete with a small mistake in splitting the dataset, which should be done within the dataset class rather than creating separate directories. Task 2 has a critical error where the model is defined with 5 classes instead of 8. Task 3 is correctly implemented. Task 4 has a few issues: the number of epochs is reduced to 5, and the optimizer is changed to AdamW with a different learning rate. Task 5 is mostly correct but visualizes 5 samples instead of 3, and the colormap for predicted masks is set to gray instead of tab10.</t>
        </is>
      </c>
      <c r="AE321" t="n">
        <v>0</v>
      </c>
      <c r="AF321" t="n">
        <v>0</v>
      </c>
      <c r="AG321" t="inlineStr">
        <is>
          <t>No submission found.</t>
        </is>
      </c>
      <c r="AH321" t="n">
        <v>22</v>
      </c>
      <c r="AI321" t="n">
        <v>0</v>
      </c>
    </row>
    <row r="322">
      <c r="A322" t="n">
        <v>321</v>
      </c>
      <c r="B322" t="inlineStr">
        <is>
          <t>TA_6</t>
        </is>
      </c>
      <c r="C322" t="inlineStr">
        <is>
          <t>TA_16</t>
        </is>
      </c>
      <c r="D322" t="n">
        <v>11</v>
      </c>
      <c r="E322" t="n">
        <v>0</v>
      </c>
      <c r="F322" t="n">
        <v>6.5</v>
      </c>
      <c r="G322" t="n">
        <v>0</v>
      </c>
      <c r="H322" t="n">
        <v>6.75</v>
      </c>
      <c r="I322" t="n">
        <v>0</v>
      </c>
      <c r="J322" t="n">
        <v>11</v>
      </c>
      <c r="K322" t="n">
        <v>0</v>
      </c>
      <c r="L322" t="n">
        <v>7.5</v>
      </c>
      <c r="M322" t="n">
        <v>0</v>
      </c>
      <c r="N322" t="n">
        <v>5.75</v>
      </c>
      <c r="O322" t="n">
        <v>0</v>
      </c>
      <c r="P322">
        <f>Table1[[#This Row],[TA 1 - Q1 Score]]+Table1[[#This Row],[TA 1 - Q2 Score]]+Table1[[#This Row],[TA 1 - Q3 Score]]</f>
        <v/>
      </c>
      <c r="Q322">
        <f>Table1[[#This Row],[TA 1 - Q1 Bonus]]+Table1[[#This Row],[TA 1 - Q2 Bonus]]+Table1[[#This Row],[TA 1 - Q4 Bonus]]</f>
        <v/>
      </c>
      <c r="R322">
        <f>Table1[[#This Row],[TA 2 - Q1 Score]]+Table1[[#This Row],[TA 2 - Q2 Score]]+Table1[[#This Row],[TA 2 - Q3 Score]]</f>
        <v/>
      </c>
      <c r="S322">
        <f>Table1[[#This Row],[TA 2 - Q1 Bonus]]+Table1[[#This Row],[TA 2 - Q2 Bonus]]+Table1[[#This Row],[TA 2 - Q4 Bonus]]</f>
        <v/>
      </c>
      <c r="T322">
        <f>(Table1[[#This Row],[TA 1 - Total Score (out of 35)]]+Table1[[#This Row],[TA 2 - Total Score (out of 35)]])/2</f>
        <v/>
      </c>
      <c r="U322">
        <f>(Table1[[#This Row],[TA 1 - Total Bonus (out of 13)]]+Table1[[#This Row],[TA 2 - Total Bonus (out of 13)]])/2</f>
        <v/>
      </c>
      <c r="V322">
        <f>Table1[[#This Row],[Average Questions]]/35*20+Table1[[#This Row],[Average Bonus]]/13*5</f>
        <v/>
      </c>
      <c r="W322" t="n">
        <v>5</v>
      </c>
      <c r="X322" t="n">
        <v>0</v>
      </c>
      <c r="Y322" t="inlineStr">
        <is>
          <t>The student completed the data loading and preparation with minor issues, such as incorrect comments and missing normalization. DataLoaders were created correctly, but the sample image display had errors in denormalization and label mapping. The pretrained model was loaded and adapted with some confusion in freezing parameters, affecting the backbone. Training and validation loops were implemented with logical errors, particularly in handling model outputs and labels. No bonus task was attempted.</t>
        </is>
      </c>
      <c r="Z322" t="n">
        <v>7</v>
      </c>
      <c r="AA322" t="n">
        <v>0</v>
      </c>
      <c r="AB322" t="inlineStr">
        <is>
          <t>The student successfully loaded and prepared the data with the correct transformations and displayed sample images. However, the CNN model has incorrect layer configurations and output dimensions, leading to a logical mistake. The training and validation functions were implemented correctly, and the model was trained and plotted accurately. No bonus task was attempted.</t>
        </is>
      </c>
      <c r="AC322" t="n">
        <v>6</v>
      </c>
      <c r="AD322" t="inlineStr">
        <is>
          <t>The student's submission partially completes several tasks but contains significant errors. Task 1 is mostly correct with minor issues in dataset splitting and image resizing. Task 2 correctly defines the U-Net model with the specified encoder. Task 3 has syntax errors in the training and validation loops, specifically in handling mask data types. Task 4 incorrectly uses binary cross-entropy loss and does not plot the loss curve correctly. Task 5 visualizes predictions but uses a binary threshold instead of argmax for multi-class segmentation.</t>
        </is>
      </c>
      <c r="AE322" t="n">
        <v>0</v>
      </c>
      <c r="AF322" t="n">
        <v>0</v>
      </c>
      <c r="AG322" t="inlineStr">
        <is>
          <t>No submission found.</t>
        </is>
      </c>
      <c r="AH322" t="n">
        <v>18</v>
      </c>
      <c r="AI322" t="n">
        <v>0</v>
      </c>
    </row>
    <row r="323">
      <c r="A323" t="n">
        <v>322</v>
      </c>
      <c r="B323" t="inlineStr">
        <is>
          <t>TA_6</t>
        </is>
      </c>
      <c r="C323" t="inlineStr">
        <is>
          <t>TA_16</t>
        </is>
      </c>
      <c r="D323" t="n">
        <v>4.5</v>
      </c>
      <c r="E323" t="n">
        <v>0</v>
      </c>
      <c r="F323" t="n">
        <v>11</v>
      </c>
      <c r="G323" t="n">
        <v>4</v>
      </c>
      <c r="H323" t="n">
        <v>8.5</v>
      </c>
      <c r="I323" t="n">
        <v>0</v>
      </c>
      <c r="J323" t="n">
        <v>4.5</v>
      </c>
      <c r="K323" t="n">
        <v>0</v>
      </c>
      <c r="L323" t="n">
        <v>9</v>
      </c>
      <c r="M323" t="n">
        <v>4</v>
      </c>
      <c r="N323" t="n">
        <v>7.5</v>
      </c>
      <c r="O323" t="n">
        <v>0</v>
      </c>
      <c r="P323">
        <f>Table1[[#This Row],[TA 1 - Q1 Score]]+Table1[[#This Row],[TA 1 - Q2 Score]]+Table1[[#This Row],[TA 1 - Q3 Score]]</f>
        <v/>
      </c>
      <c r="Q323">
        <f>Table1[[#This Row],[TA 1 - Q1 Bonus]]+Table1[[#This Row],[TA 1 - Q2 Bonus]]+Table1[[#This Row],[TA 1 - Q4 Bonus]]</f>
        <v/>
      </c>
      <c r="R323">
        <f>Table1[[#This Row],[TA 2 - Q1 Score]]+Table1[[#This Row],[TA 2 - Q2 Score]]+Table1[[#This Row],[TA 2 - Q3 Score]]</f>
        <v/>
      </c>
      <c r="S323">
        <f>Table1[[#This Row],[TA 2 - Q1 Bonus]]+Table1[[#This Row],[TA 2 - Q2 Bonus]]+Table1[[#This Row],[TA 2 - Q4 Bonus]]</f>
        <v/>
      </c>
      <c r="T323">
        <f>(Table1[[#This Row],[TA 1 - Total Score (out of 35)]]+Table1[[#This Row],[TA 2 - Total Score (out of 35)]])/2</f>
        <v/>
      </c>
      <c r="U323">
        <f>(Table1[[#This Row],[TA 1 - Total Bonus (out of 13)]]+Table1[[#This Row],[TA 2 - Total Bonus (out of 13)]])/2</f>
        <v/>
      </c>
      <c r="V323">
        <f>Table1[[#This Row],[Average Questions]]/35*20+Table1[[#This Row],[Average Bonus]]/13*5</f>
        <v/>
      </c>
      <c r="W323" t="n">
        <v>5.5</v>
      </c>
      <c r="X323" t="n">
        <v>0</v>
      </c>
      <c r="Y323" t="inlineStr">
        <is>
          <t>The student completed the data loading and transformation tasks correctly, including resizing, converting to tensor, and normalizing the images. However, there were issues in creating and displaying sample images, where the code was incomplete and did not properly display the images. The model loading and adaptation tasks were partially correct, with the model being loaded and the classifier head replaced, but the backbone was not frozen. The training and validation loops had syntax errors and logical mistakes, such as incorrect loss functions and label adjustments. The device setup was incorrect, assigning CPU when CUDA was available. No bonus tasks were attempted.</t>
        </is>
      </c>
      <c r="Z323" t="n">
        <v>7</v>
      </c>
      <c r="AA323" t="n">
        <v>0</v>
      </c>
      <c r="AB323" t="inlineStr">
        <is>
          <t>The student partially completed the tasks. They correctly set up the dataset and DataLoaders with the required transformations, including RandomRotation and resizing to 32x32. However, they did not display sample images with labels. The CNN model has 5 convolutional layers with Batch Normalization, but the architecture differs from the reference solution. The training and validation functions were implemented correctly, and the model was trained and plotted. The bonus task was not attempted.</t>
        </is>
      </c>
      <c r="AC323" t="n">
        <v>5</v>
      </c>
      <c r="AD323" t="inlineStr">
        <is>
          <t>The student's submission contains several issues. In Task 1, the dataset class is partially correct but uses pandas unnecessarily. The DataLoader creation is correct, but the display of sample images and masks is incomplete. In Task 2, the model is incorrectly defined with only one class instead of eight. Task 3 has syntax errors in the training and validation loops due to incorrect handling of mask types. Task 4 defines the loss and optimizer correctly but uses BCEWithLogitsLoss, which is inappropriate for multi-class segmentation. The training loop also has issues with mask type conversion. Task 5 visualizes predictions but incorrectly converts the predicted mask to binary, failing to show multi-class segmentation.</t>
        </is>
      </c>
      <c r="AE323" t="n">
        <v>0</v>
      </c>
      <c r="AF323" t="n">
        <v>0</v>
      </c>
      <c r="AG323" t="inlineStr">
        <is>
          <t>The student's implementation contains several errors and does not follow the required structure. The `__init__` method incorrectly uses `tuple(zip(cifar_dataset))` instead of storing the dataset. The `__len__` method returns `len(Dataset)` instead of `len(self.dataset)`. The `rgb_to_grayscale` method incorrectly converts the image to a NumPy array and uses `np.clip`, which is unnecessary since the values are already in [0, 1]. The `__getitem__` method incorrectly attempts to open images using `Image.open` and does not properly convert the RGB image to grayscale. The visualization and DataLoader tests also fail due to these issues.</t>
        </is>
      </c>
      <c r="AH323" t="n">
        <v>17.5</v>
      </c>
      <c r="AI323" t="n">
        <v>0</v>
      </c>
    </row>
    <row r="324">
      <c r="A324" t="n">
        <v>323</v>
      </c>
      <c r="B324" t="inlineStr">
        <is>
          <t>TA_6</t>
        </is>
      </c>
      <c r="C324" t="inlineStr">
        <is>
          <t>TA_16</t>
        </is>
      </c>
      <c r="D324" t="n">
        <v>7.5</v>
      </c>
      <c r="E324" t="n">
        <v>0</v>
      </c>
      <c r="F324" t="n">
        <v>8.5</v>
      </c>
      <c r="G324" t="n">
        <v>0</v>
      </c>
      <c r="H324" t="n">
        <v>12</v>
      </c>
      <c r="I324" t="n">
        <v>0</v>
      </c>
      <c r="J324" t="n">
        <v>7.5</v>
      </c>
      <c r="K324" t="n">
        <v>0</v>
      </c>
      <c r="L324" t="n">
        <v>8.5</v>
      </c>
      <c r="M324" t="n">
        <v>0</v>
      </c>
      <c r="N324" t="n">
        <v>12</v>
      </c>
      <c r="O324" t="n">
        <v>0</v>
      </c>
      <c r="P324">
        <f>Table1[[#This Row],[TA 1 - Q1 Score]]+Table1[[#This Row],[TA 1 - Q2 Score]]+Table1[[#This Row],[TA 1 - Q3 Score]]</f>
        <v/>
      </c>
      <c r="Q324">
        <f>Table1[[#This Row],[TA 1 - Q1 Bonus]]+Table1[[#This Row],[TA 1 - Q2 Bonus]]+Table1[[#This Row],[TA 1 - Q4 Bonus]]</f>
        <v/>
      </c>
      <c r="R324">
        <f>Table1[[#This Row],[TA 2 - Q1 Score]]+Table1[[#This Row],[TA 2 - Q2 Score]]+Table1[[#This Row],[TA 2 - Q3 Score]]</f>
        <v/>
      </c>
      <c r="S324">
        <f>Table1[[#This Row],[TA 2 - Q1 Bonus]]+Table1[[#This Row],[TA 2 - Q2 Bonus]]+Table1[[#This Row],[TA 2 - Q4 Bonus]]</f>
        <v/>
      </c>
      <c r="T324">
        <f>(Table1[[#This Row],[TA 1 - Total Score (out of 35)]]+Table1[[#This Row],[TA 2 - Total Score (out of 35)]])/2</f>
        <v/>
      </c>
      <c r="U324">
        <f>(Table1[[#This Row],[TA 1 - Total Bonus (out of 13)]]+Table1[[#This Row],[TA 2 - Total Bonus (out of 13)]])/2</f>
        <v/>
      </c>
      <c r="V324">
        <f>Table1[[#This Row],[Average Questions]]/35*20+Table1[[#This Row],[Average Bonus]]/13*5</f>
        <v/>
      </c>
      <c r="W324" t="n">
        <v>7</v>
      </c>
      <c r="X324" t="n">
        <v>0</v>
      </c>
      <c r="Y324" t="inlineStr">
        <is>
          <t>The student completed most tasks with minor issues. The data loading and preparation were mostly correct, but the image display lacked denormalization for proper visualization. The model loading and adaptation were partially correct, but the backbone was not selectively frozen. The training and validation loops were implemented with some syntax errors, particularly in label fixing. The training setup and execution were mostly correct, but the device was set to CPU instead of GPU. No bonus tasks were attempted.</t>
        </is>
      </c>
      <c r="Z324" t="n">
        <v>7</v>
      </c>
      <c r="AA324" t="n">
        <v>0</v>
      </c>
      <c r="AB324" t="inlineStr">
        <is>
          <t>The student successfully loaded and prepared the data with the correct transformations and displayed sample images. The CNN model was built with 5 convolutional layers, but the number of channels and fully connected layer sizes differ from the reference solution. The training and validation functions were implemented correctly, and the model was trained and plotted. However, the bonus task was not completed.</t>
        </is>
      </c>
      <c r="AC324" t="n">
        <v>8.5</v>
      </c>
      <c r="AD324" t="inlineStr">
        <is>
          <t>The student's submission largely follows the reference solution but contains minor issues. Task 1 is mostly correct with a small mistake in the mask transformation. Task 2 correctly defines the U-Net model with the specified encoder. Task 3 implements the training and validation loops accurately. Task 4 defines the loss and optimizer correctly, trains the model, and plots the loss curve. Task 5 visualizes predictions but uses grayscale for the predicted mask instead of the specified colormap.</t>
        </is>
      </c>
      <c r="AE324" t="n">
        <v>0</v>
      </c>
      <c r="AF324" t="n">
        <v>0</v>
      </c>
      <c r="AG324" t="inlineStr">
        <is>
          <t>No submission found.</t>
        </is>
      </c>
      <c r="AH324" t="n">
        <v>22.5</v>
      </c>
      <c r="AI324" t="n">
        <v>0</v>
      </c>
    </row>
    <row r="325">
      <c r="A325" t="n">
        <v>324</v>
      </c>
      <c r="B325" t="inlineStr">
        <is>
          <t>TA_6</t>
        </is>
      </c>
      <c r="C325" t="inlineStr">
        <is>
          <t>TA_16</t>
        </is>
      </c>
      <c r="D325" t="n">
        <v>3</v>
      </c>
      <c r="E325" t="n">
        <v>0</v>
      </c>
      <c r="F325" t="n">
        <v>4.5</v>
      </c>
      <c r="G325" t="n">
        <v>0</v>
      </c>
      <c r="H325" t="n">
        <v>9</v>
      </c>
      <c r="I325" t="n">
        <v>0</v>
      </c>
      <c r="J325" t="n">
        <v>3</v>
      </c>
      <c r="K325" t="n">
        <v>0</v>
      </c>
      <c r="L325" t="n">
        <v>6.5</v>
      </c>
      <c r="M325" t="n">
        <v>0</v>
      </c>
      <c r="N325" t="n">
        <v>9</v>
      </c>
      <c r="O325" t="n">
        <v>0</v>
      </c>
      <c r="P325">
        <f>Table1[[#This Row],[TA 1 - Q1 Score]]+Table1[[#This Row],[TA 1 - Q2 Score]]+Table1[[#This Row],[TA 1 - Q3 Score]]</f>
        <v/>
      </c>
      <c r="Q325">
        <f>Table1[[#This Row],[TA 1 - Q1 Bonus]]+Table1[[#This Row],[TA 1 - Q2 Bonus]]+Table1[[#This Row],[TA 1 - Q4 Bonus]]</f>
        <v/>
      </c>
      <c r="R325">
        <f>Table1[[#This Row],[TA 2 - Q1 Score]]+Table1[[#This Row],[TA 2 - Q2 Score]]+Table1[[#This Row],[TA 2 - Q3 Score]]</f>
        <v/>
      </c>
      <c r="S325">
        <f>Table1[[#This Row],[TA 2 - Q1 Bonus]]+Table1[[#This Row],[TA 2 - Q2 Bonus]]+Table1[[#This Row],[TA 2 - Q4 Bonus]]</f>
        <v/>
      </c>
      <c r="T325">
        <f>(Table1[[#This Row],[TA 1 - Total Score (out of 35)]]+Table1[[#This Row],[TA 2 - Total Score (out of 35)]])/2</f>
        <v/>
      </c>
      <c r="U325">
        <f>(Table1[[#This Row],[TA 1 - Total Bonus (out of 13)]]+Table1[[#This Row],[TA 2 - Total Bonus (out of 13)]])/2</f>
        <v/>
      </c>
      <c r="V325">
        <f>Table1[[#This Row],[Average Questions]]/35*20+Table1[[#This Row],[Average Bonus]]/13*5</f>
        <v/>
      </c>
      <c r="W325" t="n">
        <v>2</v>
      </c>
      <c r="X325" t="n">
        <v>0</v>
      </c>
      <c r="Y325" t="inlineStr">
        <is>
          <t>The student partially completed the tasks but made several mistakes. The data loading and preparation section was mostly correct, but the DataLoader creation had inconsistent batch sizes and lacked image display. The model loading and adaptation section had errors in freezing the backbone and replacing the classifier. The training and validation loops were incorrectly implemented, with syntax errors and logical mistakes. The training setup and execution were incomplete, and no plots were generated. The bonus task was not attempted.</t>
        </is>
      </c>
      <c r="Z325" t="n">
        <v>6</v>
      </c>
      <c r="AA325" t="n">
        <v>0</v>
      </c>
      <c r="AB325" t="inlineStr">
        <is>
          <t>The student implemented a custom dataset class and used DataLoader correctly, earning full points for Part 1. The CNN model has 5 convolutional layers but does not include batch normalization, earning 1 point out of 2 for Part 2. The training and validation loops are implemented correctly, earning full points for Part 3. The model setup, training, and plotting of losses and accuracies are also correct, earning full points for Part 4. However, no bonus task was attempted, so no bonus points are awarded.</t>
        </is>
      </c>
      <c r="AC325" t="n">
        <v>8</v>
      </c>
      <c r="AD325" t="inlineStr">
        <is>
          <t>The student's submission includes most of the required tasks with minor issues. The dataset class is implemented correctly, but the mask transformation incorrectly squeezes the mask, which could lead to errors. The model class uses the correct encoder but is instantiated on CPU instead of GPU. The training and validation loops are mostly correct but use AdamW optimizer instead of Adam. The training process runs for fewer epochs than specified in the reference solution. Visualization of predictions is not included, resulting in a deduction.</t>
        </is>
      </c>
      <c r="AE325" t="n">
        <v>0</v>
      </c>
      <c r="AF325" t="n">
        <v>0</v>
      </c>
      <c r="AG325" t="inlineStr">
        <is>
          <t>No submission found.</t>
        </is>
      </c>
      <c r="AH325" t="n">
        <v>16</v>
      </c>
      <c r="AI325" t="n">
        <v>0</v>
      </c>
    </row>
    <row r="326">
      <c r="A326" t="n">
        <v>325</v>
      </c>
      <c r="B326" t="inlineStr">
        <is>
          <t>TA_6</t>
        </is>
      </c>
      <c r="C326" t="inlineStr">
        <is>
          <t>TA_16</t>
        </is>
      </c>
      <c r="D326" t="n">
        <v>7.5</v>
      </c>
      <c r="E326" t="n">
        <v>0</v>
      </c>
      <c r="F326" t="n">
        <v>7.5</v>
      </c>
      <c r="G326" t="n">
        <v>0</v>
      </c>
      <c r="H326" t="n">
        <v>7.5</v>
      </c>
      <c r="I326" t="n">
        <v>0</v>
      </c>
      <c r="J326" t="n">
        <v>7.5</v>
      </c>
      <c r="K326" t="n">
        <v>0</v>
      </c>
      <c r="L326" t="n">
        <v>5.5</v>
      </c>
      <c r="M326" t="n">
        <v>0</v>
      </c>
      <c r="N326" t="n">
        <v>7.5</v>
      </c>
      <c r="O326" t="n">
        <v>0</v>
      </c>
      <c r="P326">
        <f>Table1[[#This Row],[TA 1 - Q1 Score]]+Table1[[#This Row],[TA 1 - Q2 Score]]+Table1[[#This Row],[TA 1 - Q3 Score]]</f>
        <v/>
      </c>
      <c r="Q326">
        <f>Table1[[#This Row],[TA 1 - Q1 Bonus]]+Table1[[#This Row],[TA 1 - Q2 Bonus]]+Table1[[#This Row],[TA 1 - Q4 Bonus]]</f>
        <v/>
      </c>
      <c r="R326">
        <f>Table1[[#This Row],[TA 2 - Q1 Score]]+Table1[[#This Row],[TA 2 - Q2 Score]]+Table1[[#This Row],[TA 2 - Q3 Score]]</f>
        <v/>
      </c>
      <c r="S326">
        <f>Table1[[#This Row],[TA 2 - Q1 Bonus]]+Table1[[#This Row],[TA 2 - Q2 Bonus]]+Table1[[#This Row],[TA 2 - Q4 Bonus]]</f>
        <v/>
      </c>
      <c r="T326">
        <f>(Table1[[#This Row],[TA 1 - Total Score (out of 35)]]+Table1[[#This Row],[TA 2 - Total Score (out of 35)]])/2</f>
        <v/>
      </c>
      <c r="U326">
        <f>(Table1[[#This Row],[TA 1 - Total Bonus (out of 13)]]+Table1[[#This Row],[TA 2 - Total Bonus (out of 13)]])/2</f>
        <v/>
      </c>
      <c r="V326">
        <f>Table1[[#This Row],[Average Questions]]/35*20+Table1[[#This Row],[Average Bonus]]/13*5</f>
        <v/>
      </c>
      <c r="W326" t="n">
        <v>7</v>
      </c>
      <c r="X326" t="n">
        <v>0</v>
      </c>
      <c r="Y326" t="inlineStr">
        <is>
          <t>The student completed most tasks with minor issues. The data loading and preparation were mostly correct, but the batch size was smaller than the reference. The model loading and adaptation had a mistake in the number of classes (25 instead of 26). The training and validation loops were implemented with some syntax errors, such as unnecessary squeezing of outputs. The plotting of losses and accuracies was correct. No bonus task was attempted.</t>
        </is>
      </c>
      <c r="Z326" t="n">
        <v>5</v>
      </c>
      <c r="AA326" t="n">
        <v>0</v>
      </c>
      <c r="AB326" t="inlineStr">
        <is>
          <t>The student partially completed the tasks. They correctly set up the dataset and DataLoaders with the required transformations, but used incorrect paths and labels. The CNN model has 5 convolutional layers but lacks Batch Normalization. The training and validation functions are mostly correct but contain unnecessary softmax operations. The model training loop and plotting were not implemented.</t>
        </is>
      </c>
      <c r="AC326" t="n">
        <v>7</v>
      </c>
      <c r="AD326" t="inlineStr">
        <is>
          <t>The student's submission contains mostly correct code with some minor issues. Task 1 is partially correct with a small syntax error in the image loading line. Task 2 has a mistake in specifying the number of classes. Task 3 is correctly implemented. Task 4 is mostly correct but uses a different learning rate and optimizer. Task 5 is correct except for the colormap used in visualizations.</t>
        </is>
      </c>
      <c r="AE326" t="n">
        <v>0</v>
      </c>
      <c r="AF326" t="n">
        <v>0</v>
      </c>
      <c r="AG326" t="inlineStr">
        <is>
          <t>No submission found.</t>
        </is>
      </c>
      <c r="AH326" t="n">
        <v>19</v>
      </c>
      <c r="AI326" t="n">
        <v>0</v>
      </c>
    </row>
    <row r="327">
      <c r="A327" t="n">
        <v>326</v>
      </c>
      <c r="B327" t="inlineStr">
        <is>
          <t>TA_6</t>
        </is>
      </c>
      <c r="C327" t="inlineStr">
        <is>
          <t>TA_16</t>
        </is>
      </c>
      <c r="D327" t="n">
        <v>1.5</v>
      </c>
      <c r="E327" t="n">
        <v>0</v>
      </c>
      <c r="F327" t="n">
        <v>4.5</v>
      </c>
      <c r="G327" t="n">
        <v>0</v>
      </c>
      <c r="H327" t="n">
        <v>3.5</v>
      </c>
      <c r="I327" t="n">
        <v>0</v>
      </c>
      <c r="J327" t="n">
        <v>1.5</v>
      </c>
      <c r="K327" t="n">
        <v>0</v>
      </c>
      <c r="L327" t="n">
        <v>3.5</v>
      </c>
      <c r="M327" t="n">
        <v>0</v>
      </c>
      <c r="N327" t="n">
        <v>3.5</v>
      </c>
      <c r="O327" t="n">
        <v>0</v>
      </c>
      <c r="P327">
        <f>Table1[[#This Row],[TA 1 - Q1 Score]]+Table1[[#This Row],[TA 1 - Q2 Score]]+Table1[[#This Row],[TA 1 - Q3 Score]]</f>
        <v/>
      </c>
      <c r="Q327">
        <f>Table1[[#This Row],[TA 1 - Q1 Bonus]]+Table1[[#This Row],[TA 1 - Q2 Bonus]]+Table1[[#This Row],[TA 1 - Q4 Bonus]]</f>
        <v/>
      </c>
      <c r="R327">
        <f>Table1[[#This Row],[TA 2 - Q1 Score]]+Table1[[#This Row],[TA 2 - Q2 Score]]+Table1[[#This Row],[TA 2 - Q3 Score]]</f>
        <v/>
      </c>
      <c r="S327">
        <f>Table1[[#This Row],[TA 2 - Q1 Bonus]]+Table1[[#This Row],[TA 2 - Q2 Bonus]]+Table1[[#This Row],[TA 2 - Q4 Bonus]]</f>
        <v/>
      </c>
      <c r="T327">
        <f>(Table1[[#This Row],[TA 1 - Total Score (out of 35)]]+Table1[[#This Row],[TA 2 - Total Score (out of 35)]])/2</f>
        <v/>
      </c>
      <c r="U327">
        <f>(Table1[[#This Row],[TA 1 - Total Bonus (out of 13)]]+Table1[[#This Row],[TA 2 - Total Bonus (out of 13)]])/2</f>
        <v/>
      </c>
      <c r="V327">
        <f>Table1[[#This Row],[Average Questions]]/35*20+Table1[[#This Row],[Average Bonus]]/13*5</f>
        <v/>
      </c>
      <c r="W327" t="n">
        <v>3</v>
      </c>
      <c r="X327" t="n">
        <v>0</v>
      </c>
      <c r="Y327" t="inlineStr">
        <is>
          <t>The student completed the data loading and transformation tasks correctly, including resizing, converting to tensor, and normalizing the images. They also created the DataLoaders and displayed sample images. However, the student did not attempt the model adaptation, training, validation, or bonus tasks. The code for these sections is missing or incorrect.</t>
        </is>
      </c>
      <c r="Z327" t="n">
        <v>3</v>
      </c>
      <c r="AA327" t="n">
        <v>0</v>
      </c>
      <c r="AB327" t="inlineStr">
        <is>
          <t>The student attempted most tasks but made several mistakes. The dataset loading and preparation were not implemented, resulting in undefined variables in the training loop. The CNN model had incorrect architecture, including mismatched input/output sizes in fully connected layers. The training and validation loops were mostly correct but contained unnecessary softmax operations. No bonus task was attempted.</t>
        </is>
      </c>
      <c r="AC327" t="n">
        <v>4</v>
      </c>
      <c r="AD327" t="inlineStr">
        <is>
          <t>The student attempted most tasks but made significant errors. The dataset class uses a CSV file for paths instead of directly listing files, which is incorrect. The model class specifies 3 classes instead of 8, and the loss function is BCEWithLogitsLoss, which is unsuitable for multi-class segmentation. The training and validation loops convert masks to float, causing issues with CrossEntropyLoss. Visualization code is partially correct but uses a binary threshold for multi-class predictions.</t>
        </is>
      </c>
      <c r="AE327" t="n">
        <v>0</v>
      </c>
      <c r="AF327" t="n">
        <v>0</v>
      </c>
      <c r="AG327" t="inlineStr">
        <is>
          <t>The student did not implement any part of the `ColorizationDataset` class, leaving all methods as placeholders with 'pass'. Therefore, no functionality is provided, and the code does not run as expected.</t>
        </is>
      </c>
      <c r="AH327" t="n">
        <v>10</v>
      </c>
      <c r="AI327" t="n">
        <v>0</v>
      </c>
    </row>
    <row r="328">
      <c r="A328" t="n">
        <v>327</v>
      </c>
      <c r="B328" t="inlineStr">
        <is>
          <t>TA_6</t>
        </is>
      </c>
      <c r="C328" t="inlineStr">
        <is>
          <t>TA_16</t>
        </is>
      </c>
      <c r="D328" t="n">
        <v>5</v>
      </c>
      <c r="E328" t="n">
        <v>0</v>
      </c>
      <c r="F328" t="n">
        <v>7.5</v>
      </c>
      <c r="G328" t="n">
        <v>0</v>
      </c>
      <c r="H328" t="n">
        <v>7.5</v>
      </c>
      <c r="I328" t="n">
        <v>0</v>
      </c>
      <c r="J328" t="n">
        <v>5</v>
      </c>
      <c r="K328" t="n">
        <v>0</v>
      </c>
      <c r="L328" t="n">
        <v>5.5</v>
      </c>
      <c r="M328" t="n">
        <v>0</v>
      </c>
      <c r="N328" t="n">
        <v>7.5</v>
      </c>
      <c r="O328" t="n">
        <v>0</v>
      </c>
      <c r="P328">
        <f>Table1[[#This Row],[TA 1 - Q1 Score]]+Table1[[#This Row],[TA 1 - Q2 Score]]+Table1[[#This Row],[TA 1 - Q3 Score]]</f>
        <v/>
      </c>
      <c r="Q328">
        <f>Table1[[#This Row],[TA 1 - Q1 Bonus]]+Table1[[#This Row],[TA 1 - Q2 Bonus]]+Table1[[#This Row],[TA 1 - Q4 Bonus]]</f>
        <v/>
      </c>
      <c r="R328">
        <f>Table1[[#This Row],[TA 2 - Q1 Score]]+Table1[[#This Row],[TA 2 - Q2 Score]]+Table1[[#This Row],[TA 2 - Q3 Score]]</f>
        <v/>
      </c>
      <c r="S328">
        <f>Table1[[#This Row],[TA 2 - Q1 Bonus]]+Table1[[#This Row],[TA 2 - Q2 Bonus]]+Table1[[#This Row],[TA 2 - Q4 Bonus]]</f>
        <v/>
      </c>
      <c r="T328">
        <f>(Table1[[#This Row],[TA 1 - Total Score (out of 35)]]+Table1[[#This Row],[TA 2 - Total Score (out of 35)]])/2</f>
        <v/>
      </c>
      <c r="U328">
        <f>(Table1[[#This Row],[TA 1 - Total Bonus (out of 13)]]+Table1[[#This Row],[TA 2 - Total Bonus (out of 13)]])/2</f>
        <v/>
      </c>
      <c r="V328">
        <f>Table1[[#This Row],[Average Questions]]/35*20+Table1[[#This Row],[Average Bonus]]/13*5</f>
        <v/>
      </c>
      <c r="W328" t="n">
        <v>5</v>
      </c>
      <c r="X328" t="n">
        <v>0</v>
      </c>
      <c r="Y328" t="inlineStr">
        <is>
          <t>The student partially completed several tasks but made significant errors. The data loading and preparation section was mostly correct, including the transforms and DataLoaders, but the sample image display was missing. The model loading and adaptation were partially correct, but the student froze only part of the backbone instead of the entire feature extractor. The training and validation loops had issues, particularly with label fixing and the use of an unnecessary remap function. The training setup and execution were incomplete, with incorrect freezing of layers and an insufficient number of epochs. No bonus tasks were attempted.</t>
        </is>
      </c>
      <c r="Z328" t="n">
        <v>5</v>
      </c>
      <c r="AA328" t="n">
        <v>0</v>
      </c>
      <c r="AB328" t="inlineStr">
        <is>
          <t>The student partially completed the tasks. In Part 1, the student defined the transforms but mistakenly used two separate transform definitions instead of one for training and one for testing. The student also correctly set up the datasets and DataLoaders. In Part 2, the student created a CNN model with 5 convolutional layers but did not add Batch Normalization. In Part 3, the student correctly implemented the training and validation loops. In Part 4, the student set up the device, model, loss function, and optimizer, trained the model, and plotted the losses and accuracies. However, the student did not attempt the bonus task.</t>
        </is>
      </c>
      <c r="AC328" t="n">
        <v>4</v>
      </c>
      <c r="AD328" t="inlineStr">
        <is>
          <t>The student attempted most tasks but made significant errors. The dataset class and data loaders were correctly implemented, earning full points for Task 1. However, the model class used 'efficientnet-b1' with only one class, which is incorrect for multi-class segmentation, resulting in 0 points for Task 2. The training and validation loops were partially correct but used BCEWithLogitsLoss instead of CrossEntropyLoss, leading to 0 points for Task 3. The training process was attempted but with incorrect loss and optimizer settings, earning 0 points for Task 4. Visualization of predictions was attempted but incorrectly converted the output to a binary mask, earning 0 points for Task 5.</t>
        </is>
      </c>
      <c r="AE328" t="n">
        <v>0</v>
      </c>
      <c r="AF328" t="n">
        <v>0</v>
      </c>
      <c r="AG328" t="inlineStr">
        <is>
          <t>The student did not implement the required methods in the `ColorizationDataset` class. The `__init__` method incorrectly assigns `self.cifar_dataset` but does not store it properly. The `__len__` method is incomplete and does not return the length of the dataset. The `rgb_to_grayscale` method contains syntax errors and does not correctly implement the grayscale conversion formula. The `__getitem__` method is also incomplete and does not return the required (grayscale, color) tuple. As a result, the code does not run and fails to produce the expected output.</t>
        </is>
      </c>
      <c r="AH328" t="n">
        <v>14</v>
      </c>
      <c r="AI328" t="n">
        <v>0</v>
      </c>
    </row>
    <row r="329">
      <c r="A329" t="n">
        <v>328</v>
      </c>
      <c r="B329" t="inlineStr">
        <is>
          <t>TA_6</t>
        </is>
      </c>
      <c r="C329" t="inlineStr">
        <is>
          <t>TA_16</t>
        </is>
      </c>
      <c r="D329" t="n">
        <v>11</v>
      </c>
      <c r="E329" t="n">
        <v>4</v>
      </c>
      <c r="F329" t="n">
        <v>11</v>
      </c>
      <c r="G329" t="n">
        <v>0</v>
      </c>
      <c r="H329" t="n">
        <v>8.5</v>
      </c>
      <c r="I329" t="n">
        <v>0</v>
      </c>
      <c r="J329" t="n">
        <v>11</v>
      </c>
      <c r="K329" t="n">
        <v>4</v>
      </c>
      <c r="L329" t="n">
        <v>11</v>
      </c>
      <c r="M329" t="n">
        <v>0</v>
      </c>
      <c r="N329" t="n">
        <v>8.5</v>
      </c>
      <c r="O329" t="n">
        <v>0</v>
      </c>
      <c r="P329">
        <f>Table1[[#This Row],[TA 1 - Q1 Score]]+Table1[[#This Row],[TA 1 - Q2 Score]]+Table1[[#This Row],[TA 1 - Q3 Score]]</f>
        <v/>
      </c>
      <c r="Q329">
        <f>Table1[[#This Row],[TA 1 - Q1 Bonus]]+Table1[[#This Row],[TA 1 - Q2 Bonus]]+Table1[[#This Row],[TA 1 - Q4 Bonus]]</f>
        <v/>
      </c>
      <c r="R329">
        <f>Table1[[#This Row],[TA 2 - Q1 Score]]+Table1[[#This Row],[TA 2 - Q2 Score]]+Table1[[#This Row],[TA 2 - Q3 Score]]</f>
        <v/>
      </c>
      <c r="S329">
        <f>Table1[[#This Row],[TA 2 - Q1 Bonus]]+Table1[[#This Row],[TA 2 - Q2 Bonus]]+Table1[[#This Row],[TA 2 - Q4 Bonus]]</f>
        <v/>
      </c>
      <c r="T329">
        <f>(Table1[[#This Row],[TA 1 - Total Score (out of 35)]]+Table1[[#This Row],[TA 2 - Total Score (out of 35)]])/2</f>
        <v/>
      </c>
      <c r="U329">
        <f>(Table1[[#This Row],[TA 1 - Total Bonus (out of 13)]]+Table1[[#This Row],[TA 2 - Total Bonus (out of 13)]])/2</f>
        <v/>
      </c>
      <c r="V329">
        <f>Table1[[#This Row],[Average Questions]]/35*20+Table1[[#This Row],[Average Bonus]]/13*5</f>
        <v/>
      </c>
      <c r="W329" t="n">
        <v>7</v>
      </c>
      <c r="X329" t="n">
        <v>0</v>
      </c>
      <c r="Y329" t="inlineStr">
        <is>
          <t>The student completed most tasks with minor issues. Transforms were correctly defined, and DataLoaders were set up properly. Sample images were displayed, though the DataLoader variable name was inconsistent. The pretrained model was loaded and adapted correctly, but the backbone freezing had a syntax error. Training and validation loops were implemented with logical mistakes, such as subtracting 1 from both outputs and labels. The plots were generated correctly, but the bonus task was incorrectly implemented with syntax errors and logical issues in the TTA validation function.</t>
        </is>
      </c>
      <c r="Z329" t="n">
        <v>7</v>
      </c>
      <c r="AA329" t="n">
        <v>0</v>
      </c>
      <c r="AB329" t="inlineStr">
        <is>
          <t>The student successfully loaded and prepared the data with the correct transformations, including RandomRotation and resizing to 32x32. The CNN model was built with 5 convolutional layers and batch normalization, though the number of channels and final fully connected layer dimensions were different from the reference solution. The training and validation loops were implemented correctly, and the model was trained and plotted. However, the bonus task was not attempted.</t>
        </is>
      </c>
      <c r="AC329" t="n">
        <v>5</v>
      </c>
      <c r="AD329" t="inlineStr">
        <is>
          <t>The student attempted most tasks but made several mistakes. The dataset class was mostly correct but used an incorrect class name and did not sort the image and mask paths. DataLoaders were created but with incorrect batch sizes and missing num_workers. Sample images and masks were displayed correctly. The model class used the wrong number of classes (1 instead of 8). Training and validation loops had incorrect loss functions and mask handling. The training process was partially implemented but stopped early. Predictions were visualized but incorrectly handled the output of the model.</t>
        </is>
      </c>
      <c r="AE329" t="n">
        <v>0</v>
      </c>
      <c r="AF329" t="n">
        <v>0</v>
      </c>
      <c r="AG329" t="inlineStr">
        <is>
          <t>No submission found.</t>
        </is>
      </c>
      <c r="AH329" t="n">
        <v>19</v>
      </c>
      <c r="AI329" t="n">
        <v>0</v>
      </c>
    </row>
    <row r="330">
      <c r="A330" t="n">
        <v>329</v>
      </c>
      <c r="B330" t="inlineStr">
        <is>
          <t>TA_6</t>
        </is>
      </c>
      <c r="C330" t="inlineStr">
        <is>
          <t>TA_16</t>
        </is>
      </c>
      <c r="D330" t="n">
        <v>12</v>
      </c>
      <c r="E330" t="n">
        <v>0</v>
      </c>
      <c r="F330" t="n">
        <v>11</v>
      </c>
      <c r="G330" t="n">
        <v>0</v>
      </c>
      <c r="H330" t="n">
        <v>12</v>
      </c>
      <c r="I330" t="n">
        <v>5</v>
      </c>
      <c r="J330" t="n">
        <v>12</v>
      </c>
      <c r="K330" t="n">
        <v>0</v>
      </c>
      <c r="L330" t="n">
        <v>11</v>
      </c>
      <c r="M330" t="n">
        <v>0</v>
      </c>
      <c r="N330" t="n">
        <v>12</v>
      </c>
      <c r="O330" t="n">
        <v>5</v>
      </c>
      <c r="P330">
        <f>Table1[[#This Row],[TA 1 - Q1 Score]]+Table1[[#This Row],[TA 1 - Q2 Score]]+Table1[[#This Row],[TA 1 - Q3 Score]]</f>
        <v/>
      </c>
      <c r="Q330">
        <f>Table1[[#This Row],[TA 1 - Q1 Bonus]]+Table1[[#This Row],[TA 1 - Q2 Bonus]]+Table1[[#This Row],[TA 1 - Q4 Bonus]]</f>
        <v/>
      </c>
      <c r="R330">
        <f>Table1[[#This Row],[TA 2 - Q1 Score]]+Table1[[#This Row],[TA 2 - Q2 Score]]+Table1[[#This Row],[TA 2 - Q3 Score]]</f>
        <v/>
      </c>
      <c r="S330">
        <f>Table1[[#This Row],[TA 2 - Q1 Bonus]]+Table1[[#This Row],[TA 2 - Q2 Bonus]]+Table1[[#This Row],[TA 2 - Q4 Bonus]]</f>
        <v/>
      </c>
      <c r="T330">
        <f>(Table1[[#This Row],[TA 1 - Total Score (out of 35)]]+Table1[[#This Row],[TA 2 - Total Score (out of 35)]])/2</f>
        <v/>
      </c>
      <c r="U330">
        <f>(Table1[[#This Row],[TA 1 - Total Bonus (out of 13)]]+Table1[[#This Row],[TA 2 - Total Bonus (out of 13)]])/2</f>
        <v/>
      </c>
      <c r="V330">
        <f>Table1[[#This Row],[Average Questions]]/35*20+Table1[[#This Row],[Average Bonus]]/13*5</f>
        <v/>
      </c>
      <c r="W330" t="n">
        <v>8</v>
      </c>
      <c r="X330" t="n">
        <v>0</v>
      </c>
      <c r="Y330" t="inlineStr">
        <is>
          <t>The student completed most tasks correctly but made some minor mistakes. The data loading and preparation were mostly correct, though the batch size was unusually large. The model loading and adaptation were accurate, but the student froze all parameters instead of just the backbone. The training and validation loops were implemented correctly, including label fixing. However, the student did not plot the training and validation losses and accuracies as required. No bonus tasks were attempted.</t>
        </is>
      </c>
      <c r="Z330" t="n">
        <v>6</v>
      </c>
      <c r="AA330" t="n">
        <v>0</v>
      </c>
      <c r="AB330" t="inlineStr">
        <is>
          <t>The student successfully loaded and prepared the data with the correct transformations and displayed sample images. The CNN model has 5 convolutional layers with batch normalization, though the architecture differs from the reference solution. The training and validation loops are implemented correctly, and the model is trained and plotted. However, the model class name and some parameters (like learning rate and optimizer) differ from the reference, and the bonus task was not attempted.</t>
        </is>
      </c>
      <c r="AC330" t="n">
        <v>8</v>
      </c>
      <c r="AD330" t="inlineStr">
        <is>
          <t>The student's submission includes most of the required tasks with minor issues. The dataset class is implemented correctly, but the mask preprocessing has a mistake (mask.squeeze(0)). DataLoaders are created and used properly. Sample images and masks are displayed, though the indices are off. The model is defined with the correct encoder, but the optimizer learning rate is very low. Training and validation loops are implemented correctly, and losses are printed and plotted. Predictions are visualized against ground truth, but only two samples are shown instead of multiple.</t>
        </is>
      </c>
      <c r="AE330" t="n">
        <v>0</v>
      </c>
      <c r="AF330" t="n">
        <v>5</v>
      </c>
      <c r="AG330" t="inlineStr">
        <is>
          <t>The student's implementation of the ColorizationDataset class is correct and runs perfectly. It includes the proper initialization, length method, grayscale conversion, and item retrieval methods. The visualization and DataLoader tests also execute without issues, producing the expected outputs.</t>
        </is>
      </c>
      <c r="AH330" t="n">
        <v>22</v>
      </c>
      <c r="AI330" t="n">
        <v>5</v>
      </c>
    </row>
    <row r="331">
      <c r="A331" t="n">
        <v>330</v>
      </c>
      <c r="B331" t="inlineStr">
        <is>
          <t>TA_6</t>
        </is>
      </c>
      <c r="C331" t="inlineStr">
        <is>
          <t>TA_16</t>
        </is>
      </c>
      <c r="D331" t="n">
        <v>9.5</v>
      </c>
      <c r="E331" t="n">
        <v>0</v>
      </c>
      <c r="F331" t="n">
        <v>6.25</v>
      </c>
      <c r="G331" t="n">
        <v>0</v>
      </c>
      <c r="H331" t="n">
        <v>0</v>
      </c>
      <c r="I331" t="n">
        <v>0</v>
      </c>
      <c r="J331" t="n">
        <v>9.5</v>
      </c>
      <c r="K331" t="n">
        <v>0</v>
      </c>
      <c r="L331" t="n">
        <v>5.75</v>
      </c>
      <c r="M331" t="n">
        <v>0</v>
      </c>
      <c r="N331" t="n">
        <v>0</v>
      </c>
      <c r="O331" t="n">
        <v>0</v>
      </c>
      <c r="P331">
        <f>Table1[[#This Row],[TA 1 - Q1 Score]]+Table1[[#This Row],[TA 1 - Q2 Score]]+Table1[[#This Row],[TA 1 - Q3 Score]]</f>
        <v/>
      </c>
      <c r="Q331">
        <f>Table1[[#This Row],[TA 1 - Q1 Bonus]]+Table1[[#This Row],[TA 1 - Q2 Bonus]]+Table1[[#This Row],[TA 1 - Q4 Bonus]]</f>
        <v/>
      </c>
      <c r="R331">
        <f>Table1[[#This Row],[TA 2 - Q1 Score]]+Table1[[#This Row],[TA 2 - Q2 Score]]+Table1[[#This Row],[TA 2 - Q3 Score]]</f>
        <v/>
      </c>
      <c r="S331">
        <f>Table1[[#This Row],[TA 2 - Q1 Bonus]]+Table1[[#This Row],[TA 2 - Q2 Bonus]]+Table1[[#This Row],[TA 2 - Q4 Bonus]]</f>
        <v/>
      </c>
      <c r="T331">
        <f>(Table1[[#This Row],[TA 1 - Total Score (out of 35)]]+Table1[[#This Row],[TA 2 - Total Score (out of 35)]])/2</f>
        <v/>
      </c>
      <c r="U331">
        <f>(Table1[[#This Row],[TA 1 - Total Bonus (out of 13)]]+Table1[[#This Row],[TA 2 - Total Bonus (out of 13)]])/2</f>
        <v/>
      </c>
      <c r="V331">
        <f>Table1[[#This Row],[Average Questions]]/35*20+Table1[[#This Row],[Average Bonus]]/13*5</f>
        <v/>
      </c>
      <c r="W331" t="n">
        <v>8.5</v>
      </c>
      <c r="X331" t="n">
        <v>0</v>
      </c>
      <c r="Y331" t="inlineStr">
        <is>
          <t>The student completed most tasks correctly, including defining the necessary transforms, creating DataLoaders, loading and adapting the pretrained model, and implementing training and validation loops. However, there were minor issues such as unnecessary squeezing of outputs in the training and validation functions, which could lead to errors. The student did not attempt the bonus task for Test Time Augmentation.</t>
        </is>
      </c>
      <c r="Z331" t="n">
        <v>6</v>
      </c>
      <c r="AA331" t="n">
        <v>0</v>
      </c>
      <c r="AB331" t="inlineStr">
        <is>
          <t>The student successfully loaded and prepared the data with the correct transformations and displayed sample images. The CNN model has 5 convolutional layers but does not include batch normalization, resulting in partial credit. The training and validation functions are implemented correctly. The model is trained and the losses and accuracies are plotted. However, the bonus task for adding a residual connection was not completed.</t>
        </is>
      </c>
      <c r="AC331" t="n">
        <v>0</v>
      </c>
      <c r="AD331" t="inlineStr">
        <is>
          <t>The student did not provide any code for Tasks 1, 3, 4, and 5. Task 2 was partially attempted but used an incorrect model (efficientnet_v2_s instead of U-Net with efficientnet-b1 encoder).</t>
        </is>
      </c>
      <c r="AE331" t="n">
        <v>0</v>
      </c>
      <c r="AF331" t="n">
        <v>0</v>
      </c>
      <c r="AG331" t="inlineStr">
        <is>
          <t>No submission found.</t>
        </is>
      </c>
      <c r="AH331" t="n">
        <v>14.5</v>
      </c>
      <c r="AI331" t="n">
        <v>0</v>
      </c>
    </row>
    <row r="332">
      <c r="A332" t="n">
        <v>331</v>
      </c>
      <c r="B332" t="inlineStr">
        <is>
          <t>TA_6</t>
        </is>
      </c>
      <c r="C332" t="inlineStr">
        <is>
          <t>TA_16</t>
        </is>
      </c>
      <c r="D332" t="n">
        <v>12</v>
      </c>
      <c r="E332" t="n">
        <v>4</v>
      </c>
      <c r="F332" t="n">
        <v>10.5</v>
      </c>
      <c r="G332" t="n">
        <v>4</v>
      </c>
      <c r="H332" t="n">
        <v>8</v>
      </c>
      <c r="I332" t="n">
        <v>5</v>
      </c>
      <c r="J332" t="n">
        <v>12</v>
      </c>
      <c r="K332" t="n">
        <v>4</v>
      </c>
      <c r="L332" t="n">
        <v>10.5</v>
      </c>
      <c r="M332" t="n">
        <v>4</v>
      </c>
      <c r="N332" t="n">
        <v>8</v>
      </c>
      <c r="O332" t="n">
        <v>5</v>
      </c>
      <c r="P332">
        <f>Table1[[#This Row],[TA 1 - Q1 Score]]+Table1[[#This Row],[TA 1 - Q2 Score]]+Table1[[#This Row],[TA 1 - Q3 Score]]</f>
        <v/>
      </c>
      <c r="Q332">
        <f>Table1[[#This Row],[TA 1 - Q1 Bonus]]+Table1[[#This Row],[TA 1 - Q2 Bonus]]+Table1[[#This Row],[TA 1 - Q4 Bonus]]</f>
        <v/>
      </c>
      <c r="R332">
        <f>Table1[[#This Row],[TA 2 - Q1 Score]]+Table1[[#This Row],[TA 2 - Q2 Score]]+Table1[[#This Row],[TA 2 - Q3 Score]]</f>
        <v/>
      </c>
      <c r="S332">
        <f>Table1[[#This Row],[TA 2 - Q1 Bonus]]+Table1[[#This Row],[TA 2 - Q2 Bonus]]+Table1[[#This Row],[TA 2 - Q4 Bonus]]</f>
        <v/>
      </c>
      <c r="T332">
        <f>(Table1[[#This Row],[TA 1 - Total Score (out of 35)]]+Table1[[#This Row],[TA 2 - Total Score (out of 35)]])/2</f>
        <v/>
      </c>
      <c r="U332">
        <f>(Table1[[#This Row],[TA 1 - Total Bonus (out of 13)]]+Table1[[#This Row],[TA 2 - Total Bonus (out of 13)]])/2</f>
        <v/>
      </c>
      <c r="V332">
        <f>Table1[[#This Row],[Average Questions]]/35*20+Table1[[#This Row],[Average Bonus]]/13*5</f>
        <v/>
      </c>
      <c r="W332" t="n">
        <v>7</v>
      </c>
      <c r="X332" t="n">
        <v>0</v>
      </c>
      <c r="Y332" t="inlineStr">
        <is>
          <t>The student completed most tasks with minor issues. The data loading and preparation were mostly correct, though the batch size was unusually large (256). The model loading and adaptation were partially correct, but the student froze the entire model instead of just the backbone. The training and validation loops were implemented with syntax errors in the accuracy calculation. The student did not plot the training and validation accuracy. The bonus task was not fully implemented correctly.</t>
        </is>
      </c>
      <c r="Z332" t="n">
        <v>6</v>
      </c>
      <c r="AA332" t="n">
        <v>1</v>
      </c>
      <c r="AB332" t="inlineStr">
        <is>
          <t>The student partially completed the tasks. They correctly set up the dataset with the required transformations and displayed sample images. However, the CNN model did not meet the requirements, using an incorrect architecture with more layers and different parameters than specified. The training and validation loops were implemented correctly, and the model was trained and plotted. For the bonus, the student attempted to add a residual connection but used an incorrect approach, resulting in a partial implementation.</t>
        </is>
      </c>
      <c r="AC332" t="n">
        <v>4</v>
      </c>
      <c r="AD332" t="inlineStr">
        <is>
          <t>The student partially completed the tasks with some syntax and logical errors. The dataset class and data loaders were implemented correctly, but the model class used 'efficientnet-b0' instead of 'efficientnet-b1'. The training and validation loops had issues with the loss function and mask handling. The visualization of predictions was attempted but incorrectly converted the output to binary masks.</t>
        </is>
      </c>
      <c r="AE332" t="n">
        <v>0</v>
      </c>
      <c r="AF332" t="n">
        <v>0</v>
      </c>
      <c r="AG332" t="inlineStr">
        <is>
          <t>The student's implementation contains several issues. In the `__init__` method, the dataset attribute is incorrectly named `cifar_dataset` instead of `dataset`. The `rgb_to_grayscale` method does not add a channel dimension to the grayscale image, resulting in an incorrect shape. The visualization code is present but relies on the incorrect dataset attribute name, causing it to fail. The DataLoader test also fails due to the incorrect shape of the grayscale images.</t>
        </is>
      </c>
      <c r="AH332" t="n">
        <v>17</v>
      </c>
      <c r="AI332" t="n">
        <v>1</v>
      </c>
    </row>
    <row r="333">
      <c r="A333" t="n">
        <v>332</v>
      </c>
      <c r="B333" t="inlineStr">
        <is>
          <t>TA_6</t>
        </is>
      </c>
      <c r="C333" t="inlineStr">
        <is>
          <t>TA_16</t>
        </is>
      </c>
      <c r="D333" t="n">
        <v>2</v>
      </c>
      <c r="E333" t="n">
        <v>0</v>
      </c>
      <c r="F333" t="n">
        <v>7.25</v>
      </c>
      <c r="G333" t="n">
        <v>0</v>
      </c>
      <c r="H333" t="n">
        <v>7</v>
      </c>
      <c r="I333" t="n">
        <v>0</v>
      </c>
      <c r="J333" t="n">
        <v>2</v>
      </c>
      <c r="K333" t="n">
        <v>0</v>
      </c>
      <c r="L333" t="n">
        <v>7.75</v>
      </c>
      <c r="M333" t="n">
        <v>0</v>
      </c>
      <c r="N333" t="n">
        <v>9</v>
      </c>
      <c r="O333" t="n">
        <v>0</v>
      </c>
      <c r="P333">
        <f>Table1[[#This Row],[TA 1 - Q1 Score]]+Table1[[#This Row],[TA 1 - Q2 Score]]+Table1[[#This Row],[TA 1 - Q3 Score]]</f>
        <v/>
      </c>
      <c r="Q333">
        <f>Table1[[#This Row],[TA 1 - Q1 Bonus]]+Table1[[#This Row],[TA 1 - Q2 Bonus]]+Table1[[#This Row],[TA 1 - Q4 Bonus]]</f>
        <v/>
      </c>
      <c r="R333">
        <f>Table1[[#This Row],[TA 2 - Q1 Score]]+Table1[[#This Row],[TA 2 - Q2 Score]]+Table1[[#This Row],[TA 2 - Q3 Score]]</f>
        <v/>
      </c>
      <c r="S333">
        <f>Table1[[#This Row],[TA 2 - Q1 Bonus]]+Table1[[#This Row],[TA 2 - Q2 Bonus]]+Table1[[#This Row],[TA 2 - Q4 Bonus]]</f>
        <v/>
      </c>
      <c r="T333">
        <f>(Table1[[#This Row],[TA 1 - Total Score (out of 35)]]+Table1[[#This Row],[TA 2 - Total Score (out of 35)]])/2</f>
        <v/>
      </c>
      <c r="U333">
        <f>(Table1[[#This Row],[TA 1 - Total Bonus (out of 13)]]+Table1[[#This Row],[TA 2 - Total Bonus (out of 13)]])/2</f>
        <v/>
      </c>
      <c r="V333">
        <f>Table1[[#This Row],[Average Questions]]/35*20+Table1[[#This Row],[Average Bonus]]/13*5</f>
        <v/>
      </c>
      <c r="W333" t="n">
        <v>4</v>
      </c>
      <c r="X333" t="n">
        <v>0</v>
      </c>
      <c r="Y333" t="inlineStr">
        <is>
          <t>The student partially completed several tasks but made significant errors. The data loading and preparation section had issues with displaying sample images and included unnecessary code unrelated to the task. The model loading and adaptation section used the wrong model (EfficientNet-B0 instead of EfficientNetV2-Small) and did not freeze the backbone. The training and validation loops contained mistakes, such as using sigmoid activation and binary cross-entropy loss, which are inappropriate for multi-class classification. No bonus task was attempted.</t>
        </is>
      </c>
      <c r="Z333" t="n">
        <v>7</v>
      </c>
      <c r="AA333" t="n">
        <v>0</v>
      </c>
      <c r="AB333" t="inlineStr">
        <is>
          <t>The student successfully loaded and prepared the data with the correct transformations and displayed sample images. However, the CNN model has only 5 layers but does not include batch normalization, resulting in partial credit. The training and validation functions are mostly correct but contain minor issues like unnecessary softmax usage. The model was trained and plotted, but the number of epochs was set to 20 instead of 10 as specified. No bonus task was attempted.</t>
        </is>
      </c>
      <c r="AC333" t="n">
        <v>8</v>
      </c>
      <c r="AD333" t="inlineStr">
        <is>
          <t>The student's submission includes most of the required tasks with minor issues. The dataset class is correctly implemented, and the data loaders are set up properly. However, the number of classes in the U-Net model is incorrectly set to 5 instead of 8, which is a significant mistake. The training and validation loops are mostly correct but contain a small syntax error in converting masks to long tensors. The loss and optimizer are defined correctly, and the training process runs without errors. The loss curve is plotted accurately. The visualization of predictions is missing, resulting in no points for that task.</t>
        </is>
      </c>
      <c r="AE333" t="n">
        <v>0</v>
      </c>
      <c r="AF333" t="n">
        <v>0</v>
      </c>
      <c r="AG333" t="inlineStr">
        <is>
          <t>No submission found.</t>
        </is>
      </c>
      <c r="AH333" t="n">
        <v>19</v>
      </c>
      <c r="AI333" t="n">
        <v>0</v>
      </c>
    </row>
    <row r="334">
      <c r="A334" t="n">
        <v>333</v>
      </c>
      <c r="B334" t="inlineStr">
        <is>
          <t>TA_6</t>
        </is>
      </c>
      <c r="C334" t="inlineStr">
        <is>
          <t>TA_16</t>
        </is>
      </c>
      <c r="D334" t="n">
        <v>1</v>
      </c>
      <c r="E334" t="n">
        <v>0</v>
      </c>
      <c r="F334" t="n">
        <v>0</v>
      </c>
      <c r="G334" t="n">
        <v>0</v>
      </c>
      <c r="H334" t="n">
        <v>0</v>
      </c>
      <c r="I334" t="n">
        <v>0</v>
      </c>
      <c r="J334" t="n">
        <v>1</v>
      </c>
      <c r="K334" t="n">
        <v>0</v>
      </c>
      <c r="L334" t="n">
        <v>0</v>
      </c>
      <c r="M334" t="n">
        <v>0</v>
      </c>
      <c r="N334" t="n">
        <v>0</v>
      </c>
      <c r="O334" t="n">
        <v>0</v>
      </c>
      <c r="P334">
        <f>Table1[[#This Row],[TA 1 - Q1 Score]]+Table1[[#This Row],[TA 1 - Q2 Score]]+Table1[[#This Row],[TA 1 - Q3 Score]]</f>
        <v/>
      </c>
      <c r="Q334">
        <f>Table1[[#This Row],[TA 1 - Q1 Bonus]]+Table1[[#This Row],[TA 1 - Q2 Bonus]]+Table1[[#This Row],[TA 1 - Q4 Bonus]]</f>
        <v/>
      </c>
      <c r="R334">
        <f>Table1[[#This Row],[TA 2 - Q1 Score]]+Table1[[#This Row],[TA 2 - Q2 Score]]+Table1[[#This Row],[TA 2 - Q3 Score]]</f>
        <v/>
      </c>
      <c r="S334">
        <f>Table1[[#This Row],[TA 2 - Q1 Bonus]]+Table1[[#This Row],[TA 2 - Q2 Bonus]]+Table1[[#This Row],[TA 2 - Q4 Bonus]]</f>
        <v/>
      </c>
      <c r="T334">
        <f>(Table1[[#This Row],[TA 1 - Total Score (out of 35)]]+Table1[[#This Row],[TA 2 - Total Score (out of 35)]])/2</f>
        <v/>
      </c>
      <c r="U334">
        <f>(Table1[[#This Row],[TA 1 - Total Bonus (out of 13)]]+Table1[[#This Row],[TA 2 - Total Bonus (out of 13)]])/2</f>
        <v/>
      </c>
      <c r="V334">
        <f>Table1[[#This Row],[Average Questions]]/35*20+Table1[[#This Row],[Average Bonus]]/13*5</f>
        <v/>
      </c>
      <c r="W334" t="n">
        <v>0</v>
      </c>
      <c r="X334" t="n">
        <v>0</v>
      </c>
      <c r="Y334" t="inlineStr">
        <is>
          <t>The student's submission does not follow the required structure and tasks. It starts with incomplete data transformations and then shifts to using the CIFAR-10 dataset instead of EMNIST. The model defined is VGG16, not EfficientNetV2-Small. The training and validation loops are not implemented correctly, and the code does not run end-to-end as required.</t>
        </is>
      </c>
      <c r="Z334" t="n">
        <v>0</v>
      </c>
      <c r="AA334" t="n">
        <v>0</v>
      </c>
      <c r="AB334" t="inlineStr">
        <is>
          <t>The student's submission does not follow the required structure and contains multiple errors. The dataset loading and preparation section uses incorrect paths and transformations, and the dataset classes are incorrectly specified. The CNN model implementation is entirely wrong, using VGG16 instead of a custom CNN with 5 convolutional layers and batch normalization. The training and validation functions are missing, and there is no attempt to plot losses and accuracies. The bonus task is also not attempted.</t>
        </is>
      </c>
      <c r="AC334" t="n">
        <v>0</v>
      </c>
      <c r="AD334" t="inlineStr">
        <is>
          <t>The student's submission does not follow the required structure and instructions. Instead of using the provided underwater imagery dataset, the student used CIFAR-10 and EMNIST datasets, which are unrelated to the task. Additionally, the model defined is a VGG16-based classifier rather than a U-Net for segmentation. The code does not implement the necessary components for multi-class segmentation, including the custom dataset class, DataLoaders, training and validation loops, and visualization of predictions.</t>
        </is>
      </c>
      <c r="AE334" t="n">
        <v>0</v>
      </c>
      <c r="AF334" t="n">
        <v>0</v>
      </c>
      <c r="AG334" t="inlineStr">
        <is>
          <t>No submission found.</t>
        </is>
      </c>
      <c r="AH334" t="n">
        <v>0</v>
      </c>
      <c r="AI334" t="n">
        <v>0</v>
      </c>
    </row>
    <row r="335">
      <c r="A335" t="n">
        <v>334</v>
      </c>
      <c r="B335" t="inlineStr">
        <is>
          <t>TA_6</t>
        </is>
      </c>
      <c r="C335" t="inlineStr">
        <is>
          <t>TA_16</t>
        </is>
      </c>
      <c r="D335" t="n">
        <v>12</v>
      </c>
      <c r="E335" t="n">
        <v>0</v>
      </c>
      <c r="F335" t="n">
        <v>10</v>
      </c>
      <c r="G335" t="n">
        <v>0</v>
      </c>
      <c r="H335" t="n">
        <v>8</v>
      </c>
      <c r="I335" t="n">
        <v>0</v>
      </c>
      <c r="J335" t="n">
        <v>12</v>
      </c>
      <c r="K335" t="n">
        <v>0</v>
      </c>
      <c r="L335" t="n">
        <v>10</v>
      </c>
      <c r="M335" t="n">
        <v>0</v>
      </c>
      <c r="N335" t="n">
        <v>8</v>
      </c>
      <c r="O335" t="n">
        <v>0</v>
      </c>
      <c r="P335">
        <f>Table1[[#This Row],[TA 1 - Q1 Score]]+Table1[[#This Row],[TA 1 - Q2 Score]]+Table1[[#This Row],[TA 1 - Q3 Score]]</f>
        <v/>
      </c>
      <c r="Q335">
        <f>Table1[[#This Row],[TA 1 - Q1 Bonus]]+Table1[[#This Row],[TA 1 - Q2 Bonus]]+Table1[[#This Row],[TA 1 - Q4 Bonus]]</f>
        <v/>
      </c>
      <c r="R335">
        <f>Table1[[#This Row],[TA 2 - Q1 Score]]+Table1[[#This Row],[TA 2 - Q2 Score]]+Table1[[#This Row],[TA 2 - Q3 Score]]</f>
        <v/>
      </c>
      <c r="S335">
        <f>Table1[[#This Row],[TA 2 - Q1 Bonus]]+Table1[[#This Row],[TA 2 - Q2 Bonus]]+Table1[[#This Row],[TA 2 - Q4 Bonus]]</f>
        <v/>
      </c>
      <c r="T335">
        <f>(Table1[[#This Row],[TA 1 - Total Score (out of 35)]]+Table1[[#This Row],[TA 2 - Total Score (out of 35)]])/2</f>
        <v/>
      </c>
      <c r="U335">
        <f>(Table1[[#This Row],[TA 1 - Total Bonus (out of 13)]]+Table1[[#This Row],[TA 2 - Total Bonus (out of 13)]])/2</f>
        <v/>
      </c>
      <c r="V335">
        <f>Table1[[#This Row],[Average Questions]]/35*20+Table1[[#This Row],[Average Bonus]]/13*5</f>
        <v/>
      </c>
      <c r="W335" t="n">
        <v>8</v>
      </c>
      <c r="X335" t="n">
        <v>0</v>
      </c>
      <c r="Y335" t="inlineStr">
        <is>
          <t>The student completed most tasks correctly but made some mistakes. The data loading and preparation were mostly correct, though the sample image display had issues with label mapping. The model loading and adaptation were partially correct, with the backbone freezing not fully implemented. The training and validation loops were mostly correct but had minor issues with label adjustment. The plotting of losses and accuracies was correct. No bonus task was attempted.</t>
        </is>
      </c>
      <c r="Z335" t="n">
        <v>5</v>
      </c>
      <c r="AA335" t="n">
        <v>0</v>
      </c>
      <c r="AB335" t="inlineStr">
        <is>
          <t>The student partially completed several tasks but made significant errors. They correctly set up the dataset and DataLoaders with the required transformations, earning full points for Part 1. However, the CNN model definition had issues, including incorrect channel sizes and missing BatchNormalization layers, resulting in 25% for Part 2. The training and validation functions were mostly correct but contained minor issues, earning 50% for Part 3. The training setup and execution were mostly correct but used an incorrect number of output classes, earning 50% for Part 4. No bonus task was attempted.</t>
        </is>
      </c>
      <c r="AC335" t="n">
        <v>4</v>
      </c>
      <c r="AD335" t="inlineStr">
        <is>
          <t>The student attempted most tasks but made significant errors. In Task 1, the dataset class was implemented using a DataFrame, which deviates from the reference solution. The DataLoader creation and sample display were partially correct. In Task 2, the model was incorrectly defined for binary segmentation instead of multi-class. Task 3 had syntax errors in the training and validation loops. Task 4 used the wrong loss function and optimizer, and Task 5 visualized binary masks instead of multi-class predictions.</t>
        </is>
      </c>
      <c r="AE335" t="n">
        <v>0</v>
      </c>
      <c r="AF335" t="n">
        <v>0</v>
      </c>
      <c r="AG335" t="inlineStr">
        <is>
          <t>No submission found.</t>
        </is>
      </c>
      <c r="AH335" t="n">
        <v>17</v>
      </c>
      <c r="AI335" t="n">
        <v>0</v>
      </c>
    </row>
    <row r="336">
      <c r="A336" t="n">
        <v>335</v>
      </c>
      <c r="B336" t="inlineStr">
        <is>
          <t>TA_6</t>
        </is>
      </c>
      <c r="C336" t="inlineStr">
        <is>
          <t>TA_16</t>
        </is>
      </c>
      <c r="D336" t="n">
        <v>12</v>
      </c>
      <c r="E336" t="n">
        <v>0</v>
      </c>
      <c r="F336" t="n">
        <v>11</v>
      </c>
      <c r="G336" t="n">
        <v>0</v>
      </c>
      <c r="H336" t="n">
        <v>7.5</v>
      </c>
      <c r="I336" t="n">
        <v>0</v>
      </c>
      <c r="J336" t="n">
        <v>12</v>
      </c>
      <c r="K336" t="n">
        <v>0</v>
      </c>
      <c r="L336" t="n">
        <v>11</v>
      </c>
      <c r="M336" t="n">
        <v>0</v>
      </c>
      <c r="N336" t="n">
        <v>7.5</v>
      </c>
      <c r="O336" t="n">
        <v>0</v>
      </c>
      <c r="P336">
        <f>Table1[[#This Row],[TA 1 - Q1 Score]]+Table1[[#This Row],[TA 1 - Q2 Score]]+Table1[[#This Row],[TA 1 - Q3 Score]]</f>
        <v/>
      </c>
      <c r="Q336">
        <f>Table1[[#This Row],[TA 1 - Q1 Bonus]]+Table1[[#This Row],[TA 1 - Q2 Bonus]]+Table1[[#This Row],[TA 1 - Q4 Bonus]]</f>
        <v/>
      </c>
      <c r="R336">
        <f>Table1[[#This Row],[TA 2 - Q1 Score]]+Table1[[#This Row],[TA 2 - Q2 Score]]+Table1[[#This Row],[TA 2 - Q3 Score]]</f>
        <v/>
      </c>
      <c r="S336">
        <f>Table1[[#This Row],[TA 2 - Q1 Bonus]]+Table1[[#This Row],[TA 2 - Q2 Bonus]]+Table1[[#This Row],[TA 2 - Q4 Bonus]]</f>
        <v/>
      </c>
      <c r="T336">
        <f>(Table1[[#This Row],[TA 1 - Total Score (out of 35)]]+Table1[[#This Row],[TA 2 - Total Score (out of 35)]])/2</f>
        <v/>
      </c>
      <c r="U336">
        <f>(Table1[[#This Row],[TA 1 - Total Bonus (out of 13)]]+Table1[[#This Row],[TA 2 - Total Bonus (out of 13)]])/2</f>
        <v/>
      </c>
      <c r="V336">
        <f>Table1[[#This Row],[Average Questions]]/35*20+Table1[[#This Row],[Average Bonus]]/13*5</f>
        <v/>
      </c>
      <c r="W336" t="n">
        <v>8.5</v>
      </c>
      <c r="X336" t="n">
        <v>0</v>
      </c>
      <c r="Y336" t="inlineStr">
        <is>
          <t>The student completed most tasks correctly but had issues with defining separate transforms for training and validation, which were identical. The student also froze all model parameters instead of just the backbone. The training and validation loops were implemented correctly, and the plots were generated properly. However, the bonus task was not attempted.</t>
        </is>
      </c>
      <c r="Z336" t="n">
        <v>8.5</v>
      </c>
      <c r="AA336" t="n">
        <v>0</v>
      </c>
      <c r="AB336" t="inlineStr">
        <is>
          <t>The student successfully completed most tasks with minor issues. The dataset loading and preparation were mostly correct, with the exception of incorrect image resizing in the validation/test transformations. The CNN model was built with five convolutional layers and batch normalization, earning full points. The training and validation functions were implemented correctly, and the model was trained and plotted accurately. However, the student used SGD instead of Adam for optimization, and the number of epochs was reduced to 5, affecting the final results. No bonus task was attempted.</t>
        </is>
      </c>
      <c r="AC336" t="n">
        <v>2</v>
      </c>
      <c r="AD336" t="inlineStr">
        <is>
          <t>The student attempted most tasks but made significant errors. The dataset class has issues with mask conversion to grayscale and path handling. DataLoaders were not correctly implemented, leading to errors. The model definition used the correct architecture but was not fully integrated. Training and validation loops contained logical errors, particularly with mask handling and loss functions. Visualization code was incomplete and contained errors. Despite these issues, the student showed effort in attempting each task.</t>
        </is>
      </c>
      <c r="AE336" t="n">
        <v>0</v>
      </c>
      <c r="AF336" t="n">
        <v>0</v>
      </c>
      <c r="AG336" t="inlineStr">
        <is>
          <t>No submission found.</t>
        </is>
      </c>
      <c r="AH336" t="n">
        <v>19</v>
      </c>
      <c r="AI336" t="n">
        <v>0</v>
      </c>
    </row>
    <row r="337">
      <c r="A337" t="n">
        <v>336</v>
      </c>
      <c r="B337" t="inlineStr">
        <is>
          <t>TA_6</t>
        </is>
      </c>
      <c r="C337" t="inlineStr">
        <is>
          <t>TA_16</t>
        </is>
      </c>
      <c r="D337" t="n">
        <v>10.5</v>
      </c>
      <c r="E337" t="n">
        <v>0</v>
      </c>
      <c r="F337" t="n">
        <v>9</v>
      </c>
      <c r="G337" t="n">
        <v>0</v>
      </c>
      <c r="H337" t="n">
        <v>11.5</v>
      </c>
      <c r="I337" t="n">
        <v>0</v>
      </c>
      <c r="J337" t="n">
        <v>10.5</v>
      </c>
      <c r="K337" t="n">
        <v>0</v>
      </c>
      <c r="L337" t="n">
        <v>9</v>
      </c>
      <c r="M337" t="n">
        <v>0</v>
      </c>
      <c r="N337" t="n">
        <v>11.5</v>
      </c>
      <c r="O337" t="n">
        <v>0</v>
      </c>
      <c r="P337">
        <f>Table1[[#This Row],[TA 1 - Q1 Score]]+Table1[[#This Row],[TA 1 - Q2 Score]]+Table1[[#This Row],[TA 1 - Q3 Score]]</f>
        <v/>
      </c>
      <c r="Q337">
        <f>Table1[[#This Row],[TA 1 - Q1 Bonus]]+Table1[[#This Row],[TA 1 - Q2 Bonus]]+Table1[[#This Row],[TA 1 - Q4 Bonus]]</f>
        <v/>
      </c>
      <c r="R337">
        <f>Table1[[#This Row],[TA 2 - Q1 Score]]+Table1[[#This Row],[TA 2 - Q2 Score]]+Table1[[#This Row],[TA 2 - Q3 Score]]</f>
        <v/>
      </c>
      <c r="S337">
        <f>Table1[[#This Row],[TA 2 - Q1 Bonus]]+Table1[[#This Row],[TA 2 - Q2 Bonus]]+Table1[[#This Row],[TA 2 - Q4 Bonus]]</f>
        <v/>
      </c>
      <c r="T337">
        <f>(Table1[[#This Row],[TA 1 - Total Score (out of 35)]]+Table1[[#This Row],[TA 2 - Total Score (out of 35)]])/2</f>
        <v/>
      </c>
      <c r="U337">
        <f>(Table1[[#This Row],[TA 1 - Total Bonus (out of 13)]]+Table1[[#This Row],[TA 2 - Total Bonus (out of 13)]])/2</f>
        <v/>
      </c>
      <c r="V337">
        <f>Table1[[#This Row],[Average Questions]]/35*20+Table1[[#This Row],[Average Bonus]]/13*5</f>
        <v/>
      </c>
      <c r="W337" t="n">
        <v>7</v>
      </c>
      <c r="X337" t="n">
        <v>0</v>
      </c>
      <c r="Y337" t="inlineStr">
        <is>
          <t>The student completed most tasks with minor issues. Transforms were correctly defined, and DataLoaders were set up properly. Sample images were displayed, though the title was missing. The pretrained model was loaded, but the wrong model (EfficientNet-B0 instead of EfficientNetV2-Small) was used. The classifier was modified correctly, and the training and validation loops were implemented with label fixing. However, the bonus task was incorrectly implemented, averaging predictions without proper handling of flipped images.</t>
        </is>
      </c>
      <c r="Z337" t="n">
        <v>5</v>
      </c>
      <c r="AA337" t="n">
        <v>0</v>
      </c>
      <c r="AB337" t="inlineStr">
        <is>
          <t>The student partially completed the tasks. They used incorrect dataset paths and normalization parameters, resulting in syntax and logical errors. The CNN model was defined with 5 convolutional layers but lacked batch normalization. The training and validation loops were mostly correct but included unnecessary softmax operations. The bonus task was incorrectly implemented with a U-Net model instead of adding a residual connection to the original CNN.</t>
        </is>
      </c>
      <c r="AC337" t="n">
        <v>10</v>
      </c>
      <c r="AD337" t="inlineStr">
        <is>
          <t>The student's submission is mostly correct and runs end-to-end. The dataset class is implemented correctly with proper transformations and splitting. The model class uses the correct U-Net architecture with the specified encoder. The training and validation loops are implemented accurately, and the loss and optimizer are defined properly. The training process prints the losses correctly, and the loss curve is plotted. The predictions are visualized against the ground truth, although the colormap could be improved for better visualization. Overall, the submission meets the requirements of the rubric.</t>
        </is>
      </c>
      <c r="AE337" t="n">
        <v>0</v>
      </c>
      <c r="AF337" t="n">
        <v>0</v>
      </c>
      <c r="AG337" t="inlineStr">
        <is>
          <t>The student's implementation contains several errors and incomplete sections. In the `__init__` method, the attribute name is misspelled as `ciffar_dataset` instead of `cifar_dataset`. The `rgb_to_grayscale` method incorrectly references `self.img` instead of the parameter `img`, and it does not return the grayscale image. The `__getitem__` method does not call `rgb_to_grayscale` and incorrectly references `gray_image` and `color_image` without defining them. Additionally, the `transform` attribute is referenced but not defined anywhere in the code. These issues prevent the code from running correctly.</t>
        </is>
      </c>
      <c r="AH337" t="n">
        <v>22</v>
      </c>
      <c r="AI337" t="n">
        <v>0</v>
      </c>
    </row>
    <row r="338">
      <c r="A338" t="n">
        <v>337</v>
      </c>
      <c r="B338" t="inlineStr">
        <is>
          <t>TA_6</t>
        </is>
      </c>
      <c r="C338" t="inlineStr">
        <is>
          <t>TA_16</t>
        </is>
      </c>
      <c r="D338" t="n">
        <v>4.5</v>
      </c>
      <c r="E338" t="n">
        <v>0</v>
      </c>
      <c r="F338" t="n">
        <v>9</v>
      </c>
      <c r="G338" t="n">
        <v>0</v>
      </c>
      <c r="H338" t="n">
        <v>0</v>
      </c>
      <c r="I338" t="n">
        <v>0</v>
      </c>
      <c r="J338" t="n">
        <v>4.5</v>
      </c>
      <c r="K338" t="n">
        <v>0</v>
      </c>
      <c r="L338" t="n">
        <v>8</v>
      </c>
      <c r="M338" t="n">
        <v>0</v>
      </c>
      <c r="N338" t="n">
        <v>0</v>
      </c>
      <c r="O338" t="n">
        <v>0</v>
      </c>
      <c r="P338">
        <f>Table1[[#This Row],[TA 1 - Q1 Score]]+Table1[[#This Row],[TA 1 - Q2 Score]]+Table1[[#This Row],[TA 1 - Q3 Score]]</f>
        <v/>
      </c>
      <c r="Q338">
        <f>Table1[[#This Row],[TA 1 - Q1 Bonus]]+Table1[[#This Row],[TA 1 - Q2 Bonus]]+Table1[[#This Row],[TA 1 - Q4 Bonus]]</f>
        <v/>
      </c>
      <c r="R338">
        <f>Table1[[#This Row],[TA 2 - Q1 Score]]+Table1[[#This Row],[TA 2 - Q2 Score]]+Table1[[#This Row],[TA 2 - Q3 Score]]</f>
        <v/>
      </c>
      <c r="S338">
        <f>Table1[[#This Row],[TA 2 - Q1 Bonus]]+Table1[[#This Row],[TA 2 - Q2 Bonus]]+Table1[[#This Row],[TA 2 - Q4 Bonus]]</f>
        <v/>
      </c>
      <c r="T338">
        <f>(Table1[[#This Row],[TA 1 - Total Score (out of 35)]]+Table1[[#This Row],[TA 2 - Total Score (out of 35)]])/2</f>
        <v/>
      </c>
      <c r="U338">
        <f>(Table1[[#This Row],[TA 1 - Total Bonus (out of 13)]]+Table1[[#This Row],[TA 2 - Total Bonus (out of 13)]])/2</f>
        <v/>
      </c>
      <c r="V338">
        <f>Table1[[#This Row],[Average Questions]]/35*20+Table1[[#This Row],[Average Bonus]]/13*5</f>
        <v/>
      </c>
      <c r="W338" t="n">
        <v>7</v>
      </c>
      <c r="X338" t="n">
        <v>0</v>
      </c>
      <c r="Y338" t="inlineStr">
        <is>
          <t>The student completed the data loading and preparation with correct transformations and displayed sample images. However, the data loaders used a batch size of 512, which may cause issues on systems with limited memory. The model loading and adaptation were mostly correct, but the classifier replacement did not freeze the backbone. The training and validation loops had syntax errors due to incorrect batch handling and label adjustments. The plotting of losses and accuracies was correct, but the bonus task was not attempted.</t>
        </is>
      </c>
      <c r="Z338" t="n">
        <v>8</v>
      </c>
      <c r="AA338" t="n">
        <v>0</v>
      </c>
      <c r="AB338" t="inlineStr">
        <is>
          <t>The student successfully implemented a custom dataset class, created train and test datasets with appropriate transformations, displayed sample images, built a CNN model with five convolutional layers, defined training and validation functions, and trained the model while plotting losses and accuracies. However, the CNN model did not include batch normalization, and the bonus task was not completed.</t>
        </is>
      </c>
      <c r="AC338" t="n">
        <v>0</v>
      </c>
      <c r="AD338" t="inlineStr">
        <is>
          <t>The student did not provide any code for Tasks 1 through 5. The submission is incomplete and lacks any implementation for building the dataset class, creating DataLoaders, defining the model, setting up training and validation loops, or visualizing predictions.</t>
        </is>
      </c>
      <c r="AE338" t="n">
        <v>0</v>
      </c>
      <c r="AF338" t="n">
        <v>0</v>
      </c>
      <c r="AG338" t="inlineStr">
        <is>
          <t>The student did not implement any of the required methods in the `ColorizationDataset` class. The `__init__`, `__len__`, `rgb_to_grayscale`, and `__getitem__` methods were left unimplemented with only placeholder comments. As a result, the code does not run and fails to produce the expected output.</t>
        </is>
      </c>
      <c r="AH338" t="n">
        <v>15</v>
      </c>
      <c r="AI338" t="n">
        <v>0</v>
      </c>
    </row>
    <row r="339">
      <c r="A339" t="n">
        <v>338</v>
      </c>
      <c r="B339" t="inlineStr">
        <is>
          <t>TA_6</t>
        </is>
      </c>
      <c r="C339" t="inlineStr">
        <is>
          <t>TA_16</t>
        </is>
      </c>
      <c r="D339" t="n">
        <v>7.5</v>
      </c>
      <c r="E339" t="n">
        <v>0</v>
      </c>
      <c r="F339" t="n">
        <v>11.5</v>
      </c>
      <c r="G339" t="n">
        <v>0</v>
      </c>
      <c r="H339" t="n">
        <v>5.5</v>
      </c>
      <c r="I339" t="n">
        <v>0</v>
      </c>
      <c r="J339" t="n">
        <v>7.5</v>
      </c>
      <c r="K339" t="n">
        <v>0</v>
      </c>
      <c r="L339" t="n">
        <v>10.5</v>
      </c>
      <c r="M339" t="n">
        <v>0</v>
      </c>
      <c r="N339" t="n">
        <v>5.5</v>
      </c>
      <c r="O339" t="n">
        <v>0</v>
      </c>
      <c r="P339">
        <f>Table1[[#This Row],[TA 1 - Q1 Score]]+Table1[[#This Row],[TA 1 - Q2 Score]]+Table1[[#This Row],[TA 1 - Q3 Score]]</f>
        <v/>
      </c>
      <c r="Q339">
        <f>Table1[[#This Row],[TA 1 - Q1 Bonus]]+Table1[[#This Row],[TA 1 - Q2 Bonus]]+Table1[[#This Row],[TA 1 - Q4 Bonus]]</f>
        <v/>
      </c>
      <c r="R339">
        <f>Table1[[#This Row],[TA 2 - Q1 Score]]+Table1[[#This Row],[TA 2 - Q2 Score]]+Table1[[#This Row],[TA 2 - Q3 Score]]</f>
        <v/>
      </c>
      <c r="S339">
        <f>Table1[[#This Row],[TA 2 - Q1 Bonus]]+Table1[[#This Row],[TA 2 - Q2 Bonus]]+Table1[[#This Row],[TA 2 - Q4 Bonus]]</f>
        <v/>
      </c>
      <c r="T339">
        <f>(Table1[[#This Row],[TA 1 - Total Score (out of 35)]]+Table1[[#This Row],[TA 2 - Total Score (out of 35)]])/2</f>
        <v/>
      </c>
      <c r="U339">
        <f>(Table1[[#This Row],[TA 1 - Total Bonus (out of 13)]]+Table1[[#This Row],[TA 2 - Total Bonus (out of 13)]])/2</f>
        <v/>
      </c>
      <c r="V339">
        <f>Table1[[#This Row],[Average Questions]]/35*20+Table1[[#This Row],[Average Bonus]]/13*5</f>
        <v/>
      </c>
      <c r="W339" t="n">
        <v>4</v>
      </c>
      <c r="X339" t="n">
        <v>0</v>
      </c>
      <c r="Y339" t="inlineStr">
        <is>
          <t>The student made several mistakes in the data preparation and model setup. The image resizing was incorrect (224x224 instead of 28x28), and the grayscale conversion to RGB was unnecessary. The DataLoader batch size was smaller than the reference solution, and the sample image display did not adjust labels correctly. The model loaded was incorrect (EfficientNet B3 instead of EfficientNetV2-Small), and all layers were frozen instead of just the backbone. The training loop did not adjust labels, leading to a penalty. No bonus task was attempted.</t>
        </is>
      </c>
      <c r="Z339" t="n">
        <v>8.5</v>
      </c>
      <c r="AA339" t="n">
        <v>0</v>
      </c>
      <c r="AB339" t="inlineStr">
        <is>
          <t>The student successfully loaded and prepared the data with correct transformations and displayed sample images. The CNN model was built with five convolutional layers and batch normalization, though the bonus residual connection was not implemented correctly. The training and validation loops were correctly defined and executed, and the losses and accuracies were plotted. However, the residual connection implementation had issues with dimensionality and was not fully functional.</t>
        </is>
      </c>
      <c r="AC339" t="n">
        <v>4</v>
      </c>
      <c r="AD339" t="inlineStr">
        <is>
          <t>The student attempted most tasks but made significant errors. In Task 1, the dataset class incorrectly specified mask file extensions as '.jpg' instead of '.png'. The DataLoader creation and sample display were partially correct. Task 2 failed as the student implemented a custom U-Net rather than using a pretrained U-Net with an efficientnet-b1 encoder. Task 3 had correct training and validation loops. Task 4 defined the loss and optimizer correctly but used an incorrect model instance. Task 5 visualized predictions but with an incorrect model.</t>
        </is>
      </c>
      <c r="AE339" t="n">
        <v>0</v>
      </c>
      <c r="AF339" t="n">
        <v>0</v>
      </c>
      <c r="AG339" t="inlineStr">
        <is>
          <t>The student did not implement any of the required methods in the `ColorizationDataset` class. The `__init__`, `__len__`, `rgb_to_grayscale`, and `__getitem__` methods are all placeholders with no actual implementation. Therefore, the code does not run and does not meet the requirements for any partial credit.</t>
        </is>
      </c>
      <c r="AH339" t="n">
        <v>16.5</v>
      </c>
      <c r="AI339" t="n">
        <v>0</v>
      </c>
    </row>
    <row r="340">
      <c r="A340" t="n">
        <v>339</v>
      </c>
      <c r="B340" t="inlineStr">
        <is>
          <t>TA_6</t>
        </is>
      </c>
      <c r="C340" t="inlineStr">
        <is>
          <t>TA_16</t>
        </is>
      </c>
      <c r="D340" t="n">
        <v>8</v>
      </c>
      <c r="E340" t="n">
        <v>0</v>
      </c>
      <c r="F340" t="n">
        <v>9</v>
      </c>
      <c r="G340" t="n">
        <v>0</v>
      </c>
      <c r="H340" t="n">
        <v>10</v>
      </c>
      <c r="I340" t="n">
        <v>0</v>
      </c>
      <c r="J340" t="n">
        <v>8</v>
      </c>
      <c r="K340" t="n">
        <v>0</v>
      </c>
      <c r="L340" t="n">
        <v>9</v>
      </c>
      <c r="M340" t="n">
        <v>0</v>
      </c>
      <c r="N340" t="n">
        <v>10</v>
      </c>
      <c r="O340" t="n">
        <v>0</v>
      </c>
      <c r="P340">
        <f>Table1[[#This Row],[TA 1 - Q1 Score]]+Table1[[#This Row],[TA 1 - Q2 Score]]+Table1[[#This Row],[TA 1 - Q3 Score]]</f>
        <v/>
      </c>
      <c r="Q340">
        <f>Table1[[#This Row],[TA 1 - Q1 Bonus]]+Table1[[#This Row],[TA 1 - Q2 Bonus]]+Table1[[#This Row],[TA 1 - Q4 Bonus]]</f>
        <v/>
      </c>
      <c r="R340">
        <f>Table1[[#This Row],[TA 2 - Q1 Score]]+Table1[[#This Row],[TA 2 - Q2 Score]]+Table1[[#This Row],[TA 2 - Q3 Score]]</f>
        <v/>
      </c>
      <c r="S340">
        <f>Table1[[#This Row],[TA 2 - Q1 Bonus]]+Table1[[#This Row],[TA 2 - Q2 Bonus]]+Table1[[#This Row],[TA 2 - Q4 Bonus]]</f>
        <v/>
      </c>
      <c r="T340">
        <f>(Table1[[#This Row],[TA 1 - Total Score (out of 35)]]+Table1[[#This Row],[TA 2 - Total Score (out of 35)]])/2</f>
        <v/>
      </c>
      <c r="U340">
        <f>(Table1[[#This Row],[TA 1 - Total Bonus (out of 13)]]+Table1[[#This Row],[TA 2 - Total Bonus (out of 13)]])/2</f>
        <v/>
      </c>
      <c r="V340">
        <f>Table1[[#This Row],[Average Questions]]/35*20+Table1[[#This Row],[Average Bonus]]/13*5</f>
        <v/>
      </c>
      <c r="W340" t="n">
        <v>5</v>
      </c>
      <c r="X340" t="n">
        <v>0</v>
      </c>
      <c r="Y340" t="inlineStr">
        <is>
          <t>The student completed the data loading and transformation tasks correctly, including resizing, converting to tensor, and normalizing the images. However, the DataLoader creation and sample image display had issues. The model loading and adaptation were mostly correct, but the student froze all parameters instead of just the backbone. The training and validation loops were implemented with some syntax errors, such as incorrect label handling and unnecessary softmax usage. The plotting of losses and accuracies was done correctly. No bonus task was attempted.</t>
        </is>
      </c>
      <c r="Z340" t="n">
        <v>8.5</v>
      </c>
      <c r="AA340" t="n">
        <v>0</v>
      </c>
      <c r="AB340" t="inlineStr">
        <is>
          <t>The student successfully loaded and prepared the data with the correct transformations and displayed sample images. The CNN model was built with 5 convolutional layers, but the number of channels did not match the reference solution. The training and validation functions were implemented correctly, and the model was trained and plotted accurately. However, the bonus task was not completed.</t>
        </is>
      </c>
      <c r="AC340" t="n">
        <v>8</v>
      </c>
      <c r="AD340" t="inlineStr">
        <is>
          <t>The student's submission includes most of the required tasks with some minor issues. Task 1 is partially correct with a DataFrame-based approach instead of a custom dataset class, leading to a deduction. Task 2 is fully correct with the correct model definition. Task 3 is mostly correct with proper training and validation loops, though the mask conversion in the dataset class could be improved. Task 4 is mostly correct with defined loss and optimizer, trained model, and printed losses, but the learning rate is unusually low. Task 5 is partially correct with visualization of predictions, but the mask thresholding is incorrect for multi-class segmentation.</t>
        </is>
      </c>
      <c r="AE340" t="n">
        <v>0</v>
      </c>
      <c r="AF340" t="n">
        <v>0</v>
      </c>
      <c r="AG340" t="inlineStr">
        <is>
          <t>No submission found.</t>
        </is>
      </c>
      <c r="AH340" t="n">
        <v>21.5</v>
      </c>
      <c r="AI340" t="n">
        <v>0</v>
      </c>
    </row>
    <row r="341">
      <c r="A341" t="n">
        <v>340</v>
      </c>
      <c r="B341" t="inlineStr">
        <is>
          <t>TA_6</t>
        </is>
      </c>
      <c r="C341" t="inlineStr">
        <is>
          <t>TA_16</t>
        </is>
      </c>
      <c r="D341" t="n">
        <v>8</v>
      </c>
      <c r="E341" t="n">
        <v>0</v>
      </c>
      <c r="F341" t="n">
        <v>6.5</v>
      </c>
      <c r="G341" t="n">
        <v>4</v>
      </c>
      <c r="H341" t="n">
        <v>11</v>
      </c>
      <c r="I341" t="n">
        <v>0</v>
      </c>
      <c r="J341" t="n">
        <v>8</v>
      </c>
      <c r="K341" t="n">
        <v>0</v>
      </c>
      <c r="L341" t="n">
        <v>6.5</v>
      </c>
      <c r="M341" t="n">
        <v>4</v>
      </c>
      <c r="N341" t="n">
        <v>11</v>
      </c>
      <c r="O341" t="n">
        <v>0</v>
      </c>
      <c r="P341">
        <f>Table1[[#This Row],[TA 1 - Q1 Score]]+Table1[[#This Row],[TA 1 - Q2 Score]]+Table1[[#This Row],[TA 1 - Q3 Score]]</f>
        <v/>
      </c>
      <c r="Q341">
        <f>Table1[[#This Row],[TA 1 - Q1 Bonus]]+Table1[[#This Row],[TA 1 - Q2 Bonus]]+Table1[[#This Row],[TA 1 - Q4 Bonus]]</f>
        <v/>
      </c>
      <c r="R341">
        <f>Table1[[#This Row],[TA 2 - Q1 Score]]+Table1[[#This Row],[TA 2 - Q2 Score]]+Table1[[#This Row],[TA 2 - Q3 Score]]</f>
        <v/>
      </c>
      <c r="S341">
        <f>Table1[[#This Row],[TA 2 - Q1 Bonus]]+Table1[[#This Row],[TA 2 - Q2 Bonus]]+Table1[[#This Row],[TA 2 - Q4 Bonus]]</f>
        <v/>
      </c>
      <c r="T341">
        <f>(Table1[[#This Row],[TA 1 - Total Score (out of 35)]]+Table1[[#This Row],[TA 2 - Total Score (out of 35)]])/2</f>
        <v/>
      </c>
      <c r="U341">
        <f>(Table1[[#This Row],[TA 1 - Total Bonus (out of 13)]]+Table1[[#This Row],[TA 2 - Total Bonus (out of 13)]])/2</f>
        <v/>
      </c>
      <c r="V341">
        <f>Table1[[#This Row],[Average Questions]]/35*20+Table1[[#This Row],[Average Bonus]]/13*5</f>
        <v/>
      </c>
      <c r="W341" t="n">
        <v>8</v>
      </c>
      <c r="X341" t="n">
        <v>0</v>
      </c>
      <c r="Y341" t="inlineStr">
        <is>
          <t>The student completed most tasks correctly but made some minor mistakes. In Part 1, the transforms were correctly defined, and DataLoaders were created, but the sample images were displayed without denormalization, leading to incorrect visualization. In Part 2, the model was loaded and adapted correctly. In Part 3, the training and validation loops were implemented, but the label fix was missing, resulting in a penalty. In Part 4, the model setup, training, and plotting were mostly correct, but the optimizer was set to update only the classifier parameters, which is not explicitly required. No bonus task was attempted.</t>
        </is>
      </c>
      <c r="Z341" t="n">
        <v>8.5</v>
      </c>
      <c r="AA341" t="n">
        <v>1</v>
      </c>
      <c r="AB341" t="inlineStr">
        <is>
          <t>The student successfully loaded and prepared the data with the correct transformations and displayed sample images. The CNN model has 5 convolutional layers but lacks batch normalization, earning partial credit. The training and validation functions are correctly implemented. The model was trained and plotted with losses and accuracies. For the bonus task, the student added a residual connection but used an incorrect approach by downsampling the skip connection instead of concatenating it directly, resulting in partial credit.</t>
        </is>
      </c>
      <c r="AC341" t="n">
        <v>7</v>
      </c>
      <c r="AD341" t="inlineStr">
        <is>
          <t>The student's submission partially completes most tasks but contains several issues. Task 1 is mostly correct with a custom dataset class and DataLoaders, though the image display has minor issues. Task 2 has a typo in the import statement ('mp' instead of 'smp') and uses the correct model architecture. Task 3 is partially implemented with training and validation loops, but the validation loop does not handle the output shape correctly. Task 4 defines the loss and optimizer but trains for only 5 epochs instead of 10, and the plot labels are slightly off. Task 5 visualizes predictions but does not display ground truth masks correctly.</t>
        </is>
      </c>
      <c r="AE341" t="n">
        <v>0</v>
      </c>
      <c r="AF341" t="n">
        <v>0</v>
      </c>
      <c r="AG341" t="inlineStr">
        <is>
          <t>No submission found.</t>
        </is>
      </c>
      <c r="AH341" t="n">
        <v>23.5</v>
      </c>
      <c r="AI341" t="n">
        <v>1</v>
      </c>
    </row>
    <row r="342">
      <c r="A342" t="n">
        <v>341</v>
      </c>
      <c r="B342" t="inlineStr">
        <is>
          <t>TA_7</t>
        </is>
      </c>
      <c r="C342" t="inlineStr">
        <is>
          <t>TA_17</t>
        </is>
      </c>
      <c r="D342" t="n">
        <v>9</v>
      </c>
      <c r="E342" t="n">
        <v>0</v>
      </c>
      <c r="F342" t="n">
        <v>10.5</v>
      </c>
      <c r="G342" t="n">
        <v>0</v>
      </c>
      <c r="H342" t="n">
        <v>8</v>
      </c>
      <c r="I342" t="n">
        <v>0</v>
      </c>
      <c r="J342" t="n">
        <v>5.5</v>
      </c>
      <c r="K342" t="n">
        <v>0</v>
      </c>
      <c r="L342" t="n">
        <v>5</v>
      </c>
      <c r="M342" t="n">
        <v>0</v>
      </c>
      <c r="N342" t="n">
        <v>3</v>
      </c>
      <c r="O342" t="n">
        <v>0</v>
      </c>
      <c r="P342">
        <f>Table1[[#This Row],[TA 1 - Q1 Score]]+Table1[[#This Row],[TA 1 - Q2 Score]]+Table1[[#This Row],[TA 1 - Q3 Score]]</f>
        <v/>
      </c>
      <c r="Q342">
        <f>Table1[[#This Row],[TA 1 - Q1 Bonus]]+Table1[[#This Row],[TA 1 - Q2 Bonus]]+Table1[[#This Row],[TA 1 - Q4 Bonus]]</f>
        <v/>
      </c>
      <c r="R342">
        <f>Table1[[#This Row],[TA 2 - Q1 Score]]+Table1[[#This Row],[TA 2 - Q2 Score]]+Table1[[#This Row],[TA 2 - Q3 Score]]</f>
        <v/>
      </c>
      <c r="S342">
        <f>Table1[[#This Row],[TA 2 - Q1 Bonus]]+Table1[[#This Row],[TA 2 - Q2 Bonus]]+Table1[[#This Row],[TA 2 - Q4 Bonus]]</f>
        <v/>
      </c>
      <c r="T342">
        <f>(Table1[[#This Row],[TA 1 - Total Score (out of 35)]]+Table1[[#This Row],[TA 2 - Total Score (out of 35)]])/2</f>
        <v/>
      </c>
      <c r="U342">
        <f>(Table1[[#This Row],[TA 1 - Total Bonus (out of 13)]]+Table1[[#This Row],[TA 2 - Total Bonus (out of 13)]])/2</f>
        <v/>
      </c>
      <c r="V342">
        <f>Table1[[#This Row],[Average Questions]]/35*20+Table1[[#This Row],[Average Bonus]]/13*5</f>
        <v/>
      </c>
      <c r="W342" t="n">
        <v>5</v>
      </c>
      <c r="X342" t="n">
        <v>0</v>
      </c>
      <c r="Y342" t="inlineStr">
        <is>
          <t>The student partially completed the tasks with some syntax and logical errors. The resize transformation was incorrectly set to 256x256 instead of 28x28. The DataLoader creation and sample image display were mostly correct but had minor issues like incorrect variable names and batch sizes. The model loading and adaptation were mostly correct but used the wrong model name (EfficientNet-B0 instead of EfficientNetV2-Small). The training and validation loops were attempted but contained errors such as squeezing outputs and using softmax unnecessarily. No bonus tasks were attempted.</t>
        </is>
      </c>
      <c r="Z342" t="n">
        <v>5</v>
      </c>
      <c r="AA342" t="n">
        <v>0</v>
      </c>
      <c r="AB342" t="inlineStr">
        <is>
          <t>The student partially completed the tasks. They correctly set up the dataset paths and transformations, but mistakenly swapped the train and test directories. The sample image display had issues due to incorrect directory usage and a mismatch in label mapping. The CNN model was defined with 5 convolutional layers and batch normalization, but the number of classes was incorrectly set to 10 instead of 3. The training and validation loops were implemented but lacked proper logging of loss and accuracy. The bonus task was not attempted.</t>
        </is>
      </c>
      <c r="AC342" t="n">
        <v>5</v>
      </c>
      <c r="AD342" t="inlineStr">
        <is>
          <t>The student attempted most tasks but made several mistakes. In Task 1, the dataset class and DataLoaders were correctly implemented, but displaying images had issues due to incorrect cmap usage. Task 2 had an error in defining the U-Net model with incorrect class number. Task 3 was partially correct with syntax errors in the training and validation loops. Task 4 had issues with the optimizer and loss calculation, and the plot was not generated. Task 5 had errors in visualizing predictions, including incorrect variable names and cmap usage.</t>
        </is>
      </c>
      <c r="AE342" t="n">
        <v>0</v>
      </c>
      <c r="AF342" t="n">
        <v>0</v>
      </c>
      <c r="AG342" t="inlineStr">
        <is>
          <t>No submission found.</t>
        </is>
      </c>
      <c r="AH342" t="n">
        <v>15</v>
      </c>
      <c r="AI342" t="n">
        <v>0</v>
      </c>
    </row>
    <row r="343">
      <c r="A343" t="n">
        <v>342</v>
      </c>
      <c r="B343" t="inlineStr">
        <is>
          <t>TA_7</t>
        </is>
      </c>
      <c r="C343" t="inlineStr">
        <is>
          <t>TA_17</t>
        </is>
      </c>
      <c r="D343" t="n">
        <v>4.5</v>
      </c>
      <c r="E343" t="n">
        <v>0</v>
      </c>
      <c r="F343" t="n">
        <v>7</v>
      </c>
      <c r="G343" t="n">
        <v>0</v>
      </c>
      <c r="H343" t="n">
        <v>8.5</v>
      </c>
      <c r="I343" t="n">
        <v>0</v>
      </c>
      <c r="J343" t="n">
        <v>5</v>
      </c>
      <c r="K343" t="n">
        <v>0</v>
      </c>
      <c r="L343" t="n">
        <v>6.5</v>
      </c>
      <c r="M343" t="n">
        <v>0</v>
      </c>
      <c r="N343" t="n">
        <v>4.5</v>
      </c>
      <c r="O343" t="n">
        <v>0</v>
      </c>
      <c r="P343">
        <f>Table1[[#This Row],[TA 1 - Q1 Score]]+Table1[[#This Row],[TA 1 - Q2 Score]]+Table1[[#This Row],[TA 1 - Q3 Score]]</f>
        <v/>
      </c>
      <c r="Q343">
        <f>Table1[[#This Row],[TA 1 - Q1 Bonus]]+Table1[[#This Row],[TA 1 - Q2 Bonus]]+Table1[[#This Row],[TA 1 - Q4 Bonus]]</f>
        <v/>
      </c>
      <c r="R343">
        <f>Table1[[#This Row],[TA 2 - Q1 Score]]+Table1[[#This Row],[TA 2 - Q2 Score]]+Table1[[#This Row],[TA 2 - Q3 Score]]</f>
        <v/>
      </c>
      <c r="S343">
        <f>Table1[[#This Row],[TA 2 - Q1 Bonus]]+Table1[[#This Row],[TA 2 - Q2 Bonus]]+Table1[[#This Row],[TA 2 - Q4 Bonus]]</f>
        <v/>
      </c>
      <c r="T343">
        <f>(Table1[[#This Row],[TA 1 - Total Score (out of 35)]]+Table1[[#This Row],[TA 2 - Total Score (out of 35)]])/2</f>
        <v/>
      </c>
      <c r="U343">
        <f>(Table1[[#This Row],[TA 1 - Total Bonus (out of 13)]]+Table1[[#This Row],[TA 2 - Total Bonus (out of 13)]])/2</f>
        <v/>
      </c>
      <c r="V343">
        <f>Table1[[#This Row],[Average Questions]]/35*20+Table1[[#This Row],[Average Bonus]]/13*5</f>
        <v/>
      </c>
      <c r="W343" t="n">
        <v>5</v>
      </c>
      <c r="X343" t="n">
        <v>0</v>
      </c>
      <c r="Y343" t="inlineStr">
        <is>
          <t>The student completed the data loading and transformation tasks correctly, including resizing, converting to tensor, and normalizing the images. However, the student made several mistakes in the model adaptation part, such as setting the classifier to 27 classes instead of 26 and incorrectly freezing the model parameters. The training and validation loops were partially correct but contained issues like squeezing the model outputs and using an incorrect learning rate. No bonus task was attempted.</t>
        </is>
      </c>
      <c r="Z343" t="n">
        <v>3</v>
      </c>
      <c r="AA343" t="n">
        <v>0</v>
      </c>
      <c r="AB343" t="inlineStr">
        <is>
          <t>The student partially completed the tasks. They correctly set up the dataset and transformations, but the visualization quality is poor due to resizing. The CNN model defined is not aligned with the requirements, using an AlexNet-like architecture instead of a 5-layer CNN with batch normalization. The training and validation loops are implemented but incorrectly use the dataset objects directly instead of DataLoaders. The student did not attempt the bonus task.</t>
        </is>
      </c>
      <c r="AC343" t="n">
        <v>2</v>
      </c>
      <c r="AD343" t="inlineStr">
        <is>
          <t>The student attempted most tasks but made significant errors. The dataset class has issues with incorrect path handling and missing imports. DataLoaders were incorrectly defined, and the training and validation loops contain logical mistakes, such as converting masks to float for cross-entropy loss. The model definition used the correct architecture but had a minor issue with the number of classes. Visualization code was partially correct but did not run due to previous errors.</t>
        </is>
      </c>
      <c r="AE343" t="n">
        <v>0</v>
      </c>
      <c r="AF343" t="n">
        <v>0</v>
      </c>
      <c r="AG343" t="inlineStr">
        <is>
          <t>No submission found.</t>
        </is>
      </c>
      <c r="AH343" t="n">
        <v>10</v>
      </c>
      <c r="AI343" t="n">
        <v>0</v>
      </c>
    </row>
    <row r="344">
      <c r="A344" t="n">
        <v>343</v>
      </c>
      <c r="B344" t="inlineStr">
        <is>
          <t>TA_7</t>
        </is>
      </c>
      <c r="C344" t="inlineStr">
        <is>
          <t>TA_17</t>
        </is>
      </c>
      <c r="D344" t="n">
        <v>11</v>
      </c>
      <c r="E344" t="n">
        <v>0</v>
      </c>
      <c r="F344" t="n">
        <v>10</v>
      </c>
      <c r="G344" t="n">
        <v>0</v>
      </c>
      <c r="H344" t="n">
        <v>6</v>
      </c>
      <c r="I344" t="n">
        <v>0</v>
      </c>
      <c r="J344" t="n">
        <v>11</v>
      </c>
      <c r="K344" t="n">
        <v>0</v>
      </c>
      <c r="L344" t="n">
        <v>10</v>
      </c>
      <c r="M344" t="n">
        <v>0</v>
      </c>
      <c r="N344" t="n">
        <v>5</v>
      </c>
      <c r="O344" t="n">
        <v>5</v>
      </c>
      <c r="P344">
        <f>Table1[[#This Row],[TA 1 - Q1 Score]]+Table1[[#This Row],[TA 1 - Q2 Score]]+Table1[[#This Row],[TA 1 - Q3 Score]]</f>
        <v/>
      </c>
      <c r="Q344">
        <f>Table1[[#This Row],[TA 1 - Q1 Bonus]]+Table1[[#This Row],[TA 1 - Q2 Bonus]]+Table1[[#This Row],[TA 1 - Q4 Bonus]]</f>
        <v/>
      </c>
      <c r="R344">
        <f>Table1[[#This Row],[TA 2 - Q1 Score]]+Table1[[#This Row],[TA 2 - Q2 Score]]+Table1[[#This Row],[TA 2 - Q3 Score]]</f>
        <v/>
      </c>
      <c r="S344">
        <f>Table1[[#This Row],[TA 2 - Q1 Bonus]]+Table1[[#This Row],[TA 2 - Q2 Bonus]]+Table1[[#This Row],[TA 2 - Q4 Bonus]]</f>
        <v/>
      </c>
      <c r="T344">
        <f>(Table1[[#This Row],[TA 1 - Total Score (out of 35)]]+Table1[[#This Row],[TA 2 - Total Score (out of 35)]])/2</f>
        <v/>
      </c>
      <c r="U344">
        <f>(Table1[[#This Row],[TA 1 - Total Bonus (out of 13)]]+Table1[[#This Row],[TA 2 - Total Bonus (out of 13)]])/2</f>
        <v/>
      </c>
      <c r="V344">
        <f>Table1[[#This Row],[Average Questions]]/35*20+Table1[[#This Row],[Average Bonus]]/13*5</f>
        <v/>
      </c>
      <c r="W344" t="n">
        <v>8.5</v>
      </c>
      <c r="X344" t="n">
        <v>0</v>
      </c>
      <c r="Y344" t="inlineStr">
        <is>
          <t>The student completed most tasks correctly, including defining transforms, creating DataLoaders, displaying sample images, loading and adapting the pretrained model, and implementing training and validation loops. However, the student froze more parameters than necessary by setting all parameters to require no gradient, instead of just freezing the backbone. Additionally, the student used a smaller number of epochs (2) compared to the reference solution (5), which may affect the model's performance. No bonus tasks were attempted.</t>
        </is>
      </c>
      <c r="Z344" t="n">
        <v>8.5</v>
      </c>
      <c r="AA344" t="n">
        <v>0</v>
      </c>
      <c r="AB344" t="inlineStr">
        <is>
          <t>The student successfully implemented a custom Dataset class and used ImageFolder for loading datasets, applied the required transformations including RandomRotation and resizing to 32x32, and displayed sample images with labels. The CNN model was built with five convolutional layers and batch normalization, though the fifth layer had fewer filters than specified in the reference solution. Training and validation loops were correctly defined and executed, and the losses and accuracies were plotted. However, the bonus task was not completed.</t>
        </is>
      </c>
      <c r="AC344" t="n">
        <v>5</v>
      </c>
      <c r="AD344" t="inlineStr">
        <is>
          <t>The student attempted most tasks but made several mistakes. In Task 1, the dataset class and DataLoader creation were partially correct but had issues with the dataset splitting and mask transformations. Task 2 correctly defined the U-Net model with the specified encoder. Task 3 had syntax errors in the training and validation loops due to incorrect handling of mask types. Task 4 defined the loss and optimizer but had issues in the training loop where masks were converted to float instead of long. Task 5 was not attempted.</t>
        </is>
      </c>
      <c r="AE344" t="n">
        <v>0</v>
      </c>
      <c r="AF344" t="n">
        <v>5</v>
      </c>
      <c r="AG344" t="inlineStr">
        <is>
          <t>The student's implementation of the ColorizationDataset class is correct and runs perfectly, producing the expected output and following the optimal logic. The class methods __init__, __len__, rgb_to_grayscale, and __getitem__ are all implemented accurately. The visualization step also works as intended, showing the grayscale and color images correctly. Therefore, the student receives full bonus points for this task.</t>
        </is>
      </c>
      <c r="AH344" t="n">
        <v>22</v>
      </c>
      <c r="AI344" t="n">
        <v>5</v>
      </c>
    </row>
    <row r="345">
      <c r="A345" t="n">
        <v>344</v>
      </c>
      <c r="B345" t="inlineStr">
        <is>
          <t>TA_7</t>
        </is>
      </c>
      <c r="C345" t="inlineStr">
        <is>
          <t>TA_17</t>
        </is>
      </c>
      <c r="D345" t="n">
        <v>5.5</v>
      </c>
      <c r="E345" t="n">
        <v>4</v>
      </c>
      <c r="F345" t="n">
        <v>11</v>
      </c>
      <c r="G345" t="n">
        <v>1</v>
      </c>
      <c r="H345" t="n">
        <v>9</v>
      </c>
      <c r="I345" t="n">
        <v>5</v>
      </c>
      <c r="J345" t="n">
        <v>3</v>
      </c>
      <c r="K345" t="n">
        <v>0</v>
      </c>
      <c r="L345" t="n">
        <v>10.5</v>
      </c>
      <c r="M345" t="n">
        <v>0</v>
      </c>
      <c r="N345" t="n">
        <v>11</v>
      </c>
      <c r="O345" t="n">
        <v>5</v>
      </c>
      <c r="P345">
        <f>Table1[[#This Row],[TA 1 - Q1 Score]]+Table1[[#This Row],[TA 1 - Q2 Score]]+Table1[[#This Row],[TA 1 - Q3 Score]]</f>
        <v/>
      </c>
      <c r="Q345">
        <f>Table1[[#This Row],[TA 1 - Q1 Bonus]]+Table1[[#This Row],[TA 1 - Q2 Bonus]]+Table1[[#This Row],[TA 1 - Q4 Bonus]]</f>
        <v/>
      </c>
      <c r="R345">
        <f>Table1[[#This Row],[TA 2 - Q1 Score]]+Table1[[#This Row],[TA 2 - Q2 Score]]+Table1[[#This Row],[TA 2 - Q3 Score]]</f>
        <v/>
      </c>
      <c r="S345">
        <f>Table1[[#This Row],[TA 2 - Q1 Bonus]]+Table1[[#This Row],[TA 2 - Q2 Bonus]]+Table1[[#This Row],[TA 2 - Q4 Bonus]]</f>
        <v/>
      </c>
      <c r="T345">
        <f>(Table1[[#This Row],[TA 1 - Total Score (out of 35)]]+Table1[[#This Row],[TA 2 - Total Score (out of 35)]])/2</f>
        <v/>
      </c>
      <c r="U345">
        <f>(Table1[[#This Row],[TA 1 - Total Bonus (out of 13)]]+Table1[[#This Row],[TA 2 - Total Bonus (out of 13)]])/2</f>
        <v/>
      </c>
      <c r="V345">
        <f>Table1[[#This Row],[Average Questions]]/35*20+Table1[[#This Row],[Average Bonus]]/13*5</f>
        <v/>
      </c>
      <c r="W345" t="n">
        <v>4</v>
      </c>
      <c r="X345" t="n">
        <v>0</v>
      </c>
      <c r="Y345" t="inlineStr">
        <is>
          <t>The student attempted most tasks but made several mistakes. In Part 1, the resize transformation was missing. In Part 2, the classifier head was incorrectly set to 27 classes instead of 26. In Part 3, the label fix was not implemented, leading to a penalty. In Part 4, only one epoch was trained, and the bonus task was not completed correctly.</t>
        </is>
      </c>
      <c r="Z345" t="n">
        <v>6</v>
      </c>
      <c r="AA345" t="n">
        <v>0</v>
      </c>
      <c r="AB345" t="inlineStr">
        <is>
          <t>The student successfully loaded and prepared the data with the correct transformations and displayed sample images. The CNN model was built with five convolutional layers and batch normalization, though the number of output classes was incorrectly set to 10 instead of 3. The training and validation loops were implemented correctly, and the model was trained and plotted. However, the bonus task was not completed as the residual connection was not defined or used.</t>
        </is>
      </c>
      <c r="AC345" t="n">
        <v>7</v>
      </c>
      <c r="AD345" t="inlineStr">
        <is>
          <t>The student's submission partially completes most tasks but contains several issues. The dataset class is mostly correct but uses a different image size (32x32 instead of 256x256) and includes an unnecessary transformation. The model class uses the correct architecture but runs on CPU instead of GPU. The training and validation loops are implemented correctly but with fewer epochs (5 instead of 10). The visualization of predictions is attempted but uses grayscale for masks instead of a color map. Despite these issues, the code is generally correct and runs.</t>
        </is>
      </c>
      <c r="AE345" t="n">
        <v>0</v>
      </c>
      <c r="AF345" t="n">
        <v>0</v>
      </c>
      <c r="AG345" t="inlineStr">
        <is>
          <t>The student's implementation of the `ColorizationDataset` class contains several issues. The `__init__` method unnecessarily stores all images and labels in memory, which is inefficient. The `rgb_to_grayscale` method does not add a channel dimension to the grayscale image, resulting in incorrect shape. The `__getitem__` method is mostly correct but relies on the flawed initialization. Despite these issues, the code attempts to implement the required functionality and could potentially run with corrections.</t>
        </is>
      </c>
      <c r="AH345" t="n">
        <v>17</v>
      </c>
      <c r="AI345" t="n">
        <v>0</v>
      </c>
    </row>
    <row r="346">
      <c r="A346" t="n">
        <v>345</v>
      </c>
      <c r="B346" t="inlineStr">
        <is>
          <t>TA_7</t>
        </is>
      </c>
      <c r="C346" t="inlineStr">
        <is>
          <t>TA_17</t>
        </is>
      </c>
      <c r="D346" t="n">
        <v>6.5</v>
      </c>
      <c r="E346" t="n">
        <v>0</v>
      </c>
      <c r="F346" t="n">
        <v>5.5</v>
      </c>
      <c r="G346" t="n">
        <v>0</v>
      </c>
      <c r="H346" t="n">
        <v>10.5</v>
      </c>
      <c r="I346" t="n">
        <v>0</v>
      </c>
      <c r="J346" t="n">
        <v>1.5</v>
      </c>
      <c r="K346" t="n">
        <v>0</v>
      </c>
      <c r="L346" t="n">
        <v>4.5</v>
      </c>
      <c r="M346" t="n">
        <v>0</v>
      </c>
      <c r="N346" t="n">
        <v>11.5</v>
      </c>
      <c r="O346" t="n">
        <v>0</v>
      </c>
      <c r="P346">
        <f>Table1[[#This Row],[TA 1 - Q1 Score]]+Table1[[#This Row],[TA 1 - Q2 Score]]+Table1[[#This Row],[TA 1 - Q3 Score]]</f>
        <v/>
      </c>
      <c r="Q346">
        <f>Table1[[#This Row],[TA 1 - Q1 Bonus]]+Table1[[#This Row],[TA 1 - Q2 Bonus]]+Table1[[#This Row],[TA 1 - Q4 Bonus]]</f>
        <v/>
      </c>
      <c r="R346">
        <f>Table1[[#This Row],[TA 2 - Q1 Score]]+Table1[[#This Row],[TA 2 - Q2 Score]]+Table1[[#This Row],[TA 2 - Q3 Score]]</f>
        <v/>
      </c>
      <c r="S346">
        <f>Table1[[#This Row],[TA 2 - Q1 Bonus]]+Table1[[#This Row],[TA 2 - Q2 Bonus]]+Table1[[#This Row],[TA 2 - Q4 Bonus]]</f>
        <v/>
      </c>
      <c r="T346">
        <f>(Table1[[#This Row],[TA 1 - Total Score (out of 35)]]+Table1[[#This Row],[TA 2 - Total Score (out of 35)]])/2</f>
        <v/>
      </c>
      <c r="U346">
        <f>(Table1[[#This Row],[TA 1 - Total Bonus (out of 13)]]+Table1[[#This Row],[TA 2 - Total Bonus (out of 13)]])/2</f>
        <v/>
      </c>
      <c r="V346">
        <f>Table1[[#This Row],[Average Questions]]/35*20+Table1[[#This Row],[Average Bonus]]/13*5</f>
        <v/>
      </c>
      <c r="W346" t="n">
        <v>4</v>
      </c>
      <c r="X346" t="n">
        <v>0</v>
      </c>
      <c r="Y346" t="inlineStr">
        <is>
          <t>The student partially completed several tasks but made significant errors. The data loading and preparation section had issues with the order of transformations and incorrect DataLoader usage. The model adaptation section incorrectly used a custom model class instead of modifying the EfficientNetV2-Small model directly. The training and validation loops were implemented but contained errors such as not moving data to the device and incorrect handling of labels. The plotting section was missing. No bonus tasks were attempted.</t>
        </is>
      </c>
      <c r="Z346" t="n">
        <v>3</v>
      </c>
      <c r="AA346" t="n">
        <v>0</v>
      </c>
      <c r="AB346" t="inlineStr">
        <is>
          <t>The student partially completed the tasks. They correctly set up the dataset and DataLoaders with the required transformations, including RandomRotation and resizing to 32x32. However, they displayed only five specific images instead of random samples. The CNN model has only five convolutional layers but uses the same number of output channels (16) throughout, missing the requirement for increasing channel depth. Batch normalization was not added. The training and validation loops were implemented but used BCEWithLogitsLoss and sigmoid activation, which are inappropriate for multi-class classification. The plots were not generated.</t>
        </is>
      </c>
      <c r="AC346" t="n">
        <v>7</v>
      </c>
      <c r="AD346" t="inlineStr">
        <is>
          <t>The student's submission contains mostly correct code with some minor issues. Task 1 is partially correct with a small mistake in the DataLoader creation where the dataset objects are used instead of DataLoader objects. Task 2 is correct with the correct model definition. Task 3 has syntax errors in the training and validation loops due to unnecessary unsqueezing and incorrect model input dimensions. Task 4 is partially correct with the correct loss and optimizer definitions but incorrect usage in the training loop. Task 5 is mostly correct with proper visualization but uses grayscale colormap for predictions instead of 'tab10'.</t>
        </is>
      </c>
      <c r="AE346" t="n">
        <v>0</v>
      </c>
      <c r="AF346" t="n">
        <v>0</v>
      </c>
      <c r="AG346" t="inlineStr">
        <is>
          <t>No submission found.</t>
        </is>
      </c>
      <c r="AH346" t="n">
        <v>14</v>
      </c>
      <c r="AI346" t="n">
        <v>0</v>
      </c>
    </row>
    <row r="347">
      <c r="A347" t="n">
        <v>346</v>
      </c>
      <c r="B347" t="inlineStr">
        <is>
          <t>TA_7</t>
        </is>
      </c>
      <c r="C347" t="inlineStr">
        <is>
          <t>TA_17</t>
        </is>
      </c>
      <c r="D347" t="n">
        <v>8.5</v>
      </c>
      <c r="E347" t="n">
        <v>0</v>
      </c>
      <c r="F347" t="n">
        <v>8.5</v>
      </c>
      <c r="G347" t="n">
        <v>0</v>
      </c>
      <c r="H347" t="n">
        <v>5</v>
      </c>
      <c r="I347" t="n">
        <v>0</v>
      </c>
      <c r="J347" t="n">
        <v>5.5</v>
      </c>
      <c r="K347" t="n">
        <v>0</v>
      </c>
      <c r="L347" t="n">
        <v>7.5</v>
      </c>
      <c r="M347" t="n">
        <v>0</v>
      </c>
      <c r="N347" t="n">
        <v>5</v>
      </c>
      <c r="O347" t="n">
        <v>0</v>
      </c>
      <c r="P347">
        <f>Table1[[#This Row],[TA 1 - Q1 Score]]+Table1[[#This Row],[TA 1 - Q2 Score]]+Table1[[#This Row],[TA 1 - Q3 Score]]</f>
        <v/>
      </c>
      <c r="Q347">
        <f>Table1[[#This Row],[TA 1 - Q1 Bonus]]+Table1[[#This Row],[TA 1 - Q2 Bonus]]+Table1[[#This Row],[TA 1 - Q4 Bonus]]</f>
        <v/>
      </c>
      <c r="R347">
        <f>Table1[[#This Row],[TA 2 - Q1 Score]]+Table1[[#This Row],[TA 2 - Q2 Score]]+Table1[[#This Row],[TA 2 - Q3 Score]]</f>
        <v/>
      </c>
      <c r="S347">
        <f>Table1[[#This Row],[TA 2 - Q1 Bonus]]+Table1[[#This Row],[TA 2 - Q2 Bonus]]+Table1[[#This Row],[TA 2 - Q4 Bonus]]</f>
        <v/>
      </c>
      <c r="T347">
        <f>(Table1[[#This Row],[TA 1 - Total Score (out of 35)]]+Table1[[#This Row],[TA 2 - Total Score (out of 35)]])/2</f>
        <v/>
      </c>
      <c r="U347">
        <f>(Table1[[#This Row],[TA 1 - Total Bonus (out of 13)]]+Table1[[#This Row],[TA 2 - Total Bonus (out of 13)]])/2</f>
        <v/>
      </c>
      <c r="V347">
        <f>Table1[[#This Row],[Average Questions]]/35*20+Table1[[#This Row],[Average Bonus]]/13*5</f>
        <v/>
      </c>
      <c r="W347" t="n">
        <v>7</v>
      </c>
      <c r="X347" t="n">
        <v>0</v>
      </c>
      <c r="Y347" t="inlineStr">
        <is>
          <t>The student completed most tasks with minor issues. The data loading and preparation were mostly correct, with a small mistake in the batch size. The model loading and adaptation were accurate, though the backbone freezing was incomplete. The training and validation loops were implemented with a few logical errors, such as not adjusting labels in the validation loop. The plotting of losses and accuracies was not included. No bonus task was attempted.</t>
        </is>
      </c>
      <c r="Z347" t="n">
        <v>6</v>
      </c>
      <c r="AA347" t="n">
        <v>0</v>
      </c>
      <c r="AB347" t="inlineStr">
        <is>
          <t>The student successfully implemented a custom dataset class, created train and test datasets with appropriate transformations, and displayed sample images. However, the CNN model has incorrect layer definitions and forward pass logic, resulting in incorrect dimensions. The training and validation loops are mostly correct but contain unnecessary softmax operations. The model was trained for only one epoch, limiting the evaluation of its performance.</t>
        </is>
      </c>
      <c r="AC347" t="n">
        <v>3</v>
      </c>
      <c r="AD347" t="inlineStr">
        <is>
          <t>The student partially completed Task 1 by creating a custom dataset class and DataLoaders, but made a mistake in the mask paths by pointing them to the images directory instead of the masks directory. Task 2 was partially completed with the correct model definition but used the wrong number of classes. Task 3 was not fully implemented due to incorrect loss function and model output handling. Task 4 was barely started with incomplete training and validation loops, incorrect loss function, and no plotting of loss curves. Task 5 was not attempted.</t>
        </is>
      </c>
      <c r="AE347" t="n">
        <v>0</v>
      </c>
      <c r="AF347" t="n">
        <v>0</v>
      </c>
      <c r="AG347" t="inlineStr">
        <is>
          <t>The student did not implement the required methods in the `ColorizationDataset` class. The `rgb_to_grayscale` and `__getitem__` methods are left as placeholders with the `pass` statement, indicating no attempt was made to complete these tasks. Therefore, the implementation is incomplete and does not meet the criteria for any partial credit.</t>
        </is>
      </c>
      <c r="AH347" t="n">
        <v>16</v>
      </c>
      <c r="AI347" t="n">
        <v>0</v>
      </c>
    </row>
    <row r="348">
      <c r="A348" t="n">
        <v>347</v>
      </c>
      <c r="B348" t="inlineStr">
        <is>
          <t>TA_7</t>
        </is>
      </c>
      <c r="C348" t="inlineStr">
        <is>
          <t>TA_17</t>
        </is>
      </c>
      <c r="D348" t="n">
        <v>12</v>
      </c>
      <c r="E348" t="n">
        <v>4</v>
      </c>
      <c r="F348" t="n">
        <v>10</v>
      </c>
      <c r="G348" t="n">
        <v>0</v>
      </c>
      <c r="H348" t="n">
        <v>12</v>
      </c>
      <c r="I348" t="n">
        <v>5</v>
      </c>
      <c r="J348" t="n">
        <v>11.5</v>
      </c>
      <c r="K348" t="n">
        <v>1.5</v>
      </c>
      <c r="L348" t="n">
        <v>9.5</v>
      </c>
      <c r="M348" t="n">
        <v>0</v>
      </c>
      <c r="N348" t="n">
        <v>12</v>
      </c>
      <c r="O348" t="n">
        <v>5</v>
      </c>
      <c r="P348">
        <f>Table1[[#This Row],[TA 1 - Q1 Score]]+Table1[[#This Row],[TA 1 - Q2 Score]]+Table1[[#This Row],[TA 1 - Q3 Score]]</f>
        <v/>
      </c>
      <c r="Q348">
        <f>Table1[[#This Row],[TA 1 - Q1 Bonus]]+Table1[[#This Row],[TA 1 - Q2 Bonus]]+Table1[[#This Row],[TA 1 - Q4 Bonus]]</f>
        <v/>
      </c>
      <c r="R348">
        <f>Table1[[#This Row],[TA 2 - Q1 Score]]+Table1[[#This Row],[TA 2 - Q2 Score]]+Table1[[#This Row],[TA 2 - Q3 Score]]</f>
        <v/>
      </c>
      <c r="S348">
        <f>Table1[[#This Row],[TA 2 - Q1 Bonus]]+Table1[[#This Row],[TA 2 - Q2 Bonus]]+Table1[[#This Row],[TA 2 - Q4 Bonus]]</f>
        <v/>
      </c>
      <c r="T348">
        <f>(Table1[[#This Row],[TA 1 - Total Score (out of 35)]]+Table1[[#This Row],[TA 2 - Total Score (out of 35)]])/2</f>
        <v/>
      </c>
      <c r="U348">
        <f>(Table1[[#This Row],[TA 1 - Total Bonus (out of 13)]]+Table1[[#This Row],[TA 2 - Total Bonus (out of 13)]])/2</f>
        <v/>
      </c>
      <c r="V348">
        <f>Table1[[#This Row],[Average Questions]]/35*20+Table1[[#This Row],[Average Bonus]]/13*5</f>
        <v/>
      </c>
      <c r="W348" t="n">
        <v>8</v>
      </c>
      <c r="X348" t="n">
        <v>3</v>
      </c>
      <c r="Y348" t="inlineStr">
        <is>
          <t>The student completed most tasks correctly, including defining transforms, creating DataLoaders, displaying sample images, loading and adapting the pretrained model, and implementing training and validation loops. However, there were minor issues such as incorrect batch sizes, incorrect class mappings, and using AdamW instead of Adam for optimization. The bonus task for Test Time Augmentation was implemented correctly, averaging predictions from original, horizontally flipped, and vertically flipped images.</t>
        </is>
      </c>
      <c r="Z348" t="n">
        <v>7</v>
      </c>
      <c r="AA348" t="n">
        <v>0</v>
      </c>
      <c r="AB348" t="inlineStr">
        <is>
          <t>The student successfully loaded and prepared the data with the correct transformations and displayed sample images. The CNN model was built with 5 convolutional layers and included batch normalization, though there were some logical errors in the forward method. The training and validation loops were implemented correctly, and the model was trained and plotted. However, the bonus task was not attempted.</t>
        </is>
      </c>
      <c r="AC348" t="n">
        <v>8</v>
      </c>
      <c r="AD348" t="inlineStr">
        <is>
          <t>The student's submission contains mostly correct code with minor issues. Task 1 is partially correct with redundant remap_mask function definitions and missing normalization in the transform. Task 2 is correct with the specified U-Net model. Task 3 is mostly correct with minor issues in the validation loop. Task 4 is partially correct with a different learning rate and fewer epochs, but the logic is sound. Task 5 is mostly correct with minor issues in displaying predictions.</t>
        </is>
      </c>
      <c r="AE348" t="n">
        <v>0</v>
      </c>
      <c r="AF348" t="n">
        <v>0</v>
      </c>
      <c r="AG348" t="inlineStr">
        <is>
          <t>The student's implementation contains a logical error in the `rgb_to_grayscale` method where the coefficient for blue is incorrectly set to 0.144 instead of 0.114. Additionally, the student prints the length of the dataset in the visualization section, which is unnecessary and does not affect the functionality but indicates a minor oversight. Despite these issues, the overall structure and logic of the code are correct, and it runs without errors.</t>
        </is>
      </c>
      <c r="AH348" t="n">
        <v>23</v>
      </c>
      <c r="AI348" t="n">
        <v>3</v>
      </c>
    </row>
    <row r="349">
      <c r="A349" t="n">
        <v>348</v>
      </c>
      <c r="B349" t="inlineStr">
        <is>
          <t>TA_7</t>
        </is>
      </c>
      <c r="C349" t="inlineStr">
        <is>
          <t>TA_17</t>
        </is>
      </c>
      <c r="D349" t="n">
        <v>5</v>
      </c>
      <c r="E349" t="n">
        <v>0</v>
      </c>
      <c r="F349" t="n">
        <v>10</v>
      </c>
      <c r="G349" t="n">
        <v>0</v>
      </c>
      <c r="H349" t="n">
        <v>12</v>
      </c>
      <c r="I349" t="n">
        <v>0</v>
      </c>
      <c r="J349" t="n">
        <v>6</v>
      </c>
      <c r="K349" t="n">
        <v>0</v>
      </c>
      <c r="L349" t="n">
        <v>7.5</v>
      </c>
      <c r="M349" t="n">
        <v>0</v>
      </c>
      <c r="N349" t="n">
        <v>12</v>
      </c>
      <c r="O349" t="n">
        <v>0</v>
      </c>
      <c r="P349">
        <f>Table1[[#This Row],[TA 1 - Q1 Score]]+Table1[[#This Row],[TA 1 - Q2 Score]]+Table1[[#This Row],[TA 1 - Q3 Score]]</f>
        <v/>
      </c>
      <c r="Q349">
        <f>Table1[[#This Row],[TA 1 - Q1 Bonus]]+Table1[[#This Row],[TA 1 - Q2 Bonus]]+Table1[[#This Row],[TA 1 - Q4 Bonus]]</f>
        <v/>
      </c>
      <c r="R349">
        <f>Table1[[#This Row],[TA 2 - Q1 Score]]+Table1[[#This Row],[TA 2 - Q2 Score]]+Table1[[#This Row],[TA 2 - Q3 Score]]</f>
        <v/>
      </c>
      <c r="S349">
        <f>Table1[[#This Row],[TA 2 - Q1 Bonus]]+Table1[[#This Row],[TA 2 - Q2 Bonus]]+Table1[[#This Row],[TA 2 - Q4 Bonus]]</f>
        <v/>
      </c>
      <c r="T349">
        <f>(Table1[[#This Row],[TA 1 - Total Score (out of 35)]]+Table1[[#This Row],[TA 2 - Total Score (out of 35)]])/2</f>
        <v/>
      </c>
      <c r="U349">
        <f>(Table1[[#This Row],[TA 1 - Total Bonus (out of 13)]]+Table1[[#This Row],[TA 2 - Total Bonus (out of 13)]])/2</f>
        <v/>
      </c>
      <c r="V349">
        <f>Table1[[#This Row],[Average Questions]]/35*20+Table1[[#This Row],[Average Bonus]]/13*5</f>
        <v/>
      </c>
      <c r="W349" t="n">
        <v>2</v>
      </c>
      <c r="X349" t="n">
        <v>0</v>
      </c>
      <c r="Y349" t="inlineStr">
        <is>
          <t>The student completed the data loading and transformation tasks correctly, including resizing, converting to tensor, and normalizing the images. However, the data display section had issues with denormalization and plotting. The model loading and adaptation were mostly correct, but the student froze all parameters instead of just the backbone. The training and validation loops contained significant errors, using binary classification loss and accuracy calculations, which are inappropriate for multi-class classification. The plots were not implemented.</t>
        </is>
      </c>
      <c r="Z349" t="n">
        <v>8</v>
      </c>
      <c r="AA349" t="n">
        <v>0</v>
      </c>
      <c r="AB349" t="inlineStr">
        <is>
          <t>The student successfully implemented a custom dataset class, created train and test datasets with appropriate transformations, displayed sample images, built a CNN model with five convolutional layers and batch normalization, defined training and validation loops, set up the device, model, loss function, and optimizer, and trained the model. However, there were minor issues such as incorrect test transformations and a mismatch in the expected number of output classes in the CNN model.</t>
        </is>
      </c>
      <c r="AC349" t="n">
        <v>10</v>
      </c>
      <c r="AD349" t="inlineStr">
        <is>
          <t>The student's submission is mostly correct and runs end-to-end. The dataset class is implemented correctly with proper data loading and transformations. DataLoaders are created and used appropriately. Sample images and masks are displayed correctly. The U-Net model with efficientnet-b0 encoder is defined correctly. Training and validation loops are implemented with minor issues in the optimizer choice (AdamW instead of Adam). Losses are printed and plotted correctly. Predictions are visualized against ground truth. The only issues are redundant imports and a slight deviation in the optimizer choice, which do not significantly impact the overall correctness of the implementation.</t>
        </is>
      </c>
      <c r="AE349" t="n">
        <v>0</v>
      </c>
      <c r="AF349" t="n">
        <v>0</v>
      </c>
      <c r="AG349" t="inlineStr">
        <is>
          <t>No submission found.</t>
        </is>
      </c>
      <c r="AH349" t="n">
        <v>20</v>
      </c>
      <c r="AI349" t="n">
        <v>0</v>
      </c>
    </row>
    <row r="350">
      <c r="A350" t="n">
        <v>349</v>
      </c>
      <c r="B350" t="inlineStr">
        <is>
          <t>TA_7</t>
        </is>
      </c>
      <c r="C350" t="inlineStr">
        <is>
          <t>TA_17</t>
        </is>
      </c>
      <c r="D350" t="n">
        <v>11</v>
      </c>
      <c r="E350" t="n">
        <v>0</v>
      </c>
      <c r="F350" t="n">
        <v>10.5</v>
      </c>
      <c r="G350" t="n">
        <v>0</v>
      </c>
      <c r="H350" t="n">
        <v>0</v>
      </c>
      <c r="I350" t="n">
        <v>0</v>
      </c>
      <c r="J350" t="n">
        <v>10.5</v>
      </c>
      <c r="K350" t="n">
        <v>0</v>
      </c>
      <c r="L350" t="n">
        <v>8.5</v>
      </c>
      <c r="M350" t="n">
        <v>0</v>
      </c>
      <c r="N350" t="n">
        <v>0</v>
      </c>
      <c r="O350" t="n">
        <v>0</v>
      </c>
      <c r="P350">
        <f>Table1[[#This Row],[TA 1 - Q1 Score]]+Table1[[#This Row],[TA 1 - Q2 Score]]+Table1[[#This Row],[TA 1 - Q3 Score]]</f>
        <v/>
      </c>
      <c r="Q350">
        <f>Table1[[#This Row],[TA 1 - Q1 Bonus]]+Table1[[#This Row],[TA 1 - Q2 Bonus]]+Table1[[#This Row],[TA 1 - Q4 Bonus]]</f>
        <v/>
      </c>
      <c r="R350">
        <f>Table1[[#This Row],[TA 2 - Q1 Score]]+Table1[[#This Row],[TA 2 - Q2 Score]]+Table1[[#This Row],[TA 2 - Q3 Score]]</f>
        <v/>
      </c>
      <c r="S350">
        <f>Table1[[#This Row],[TA 2 - Q1 Bonus]]+Table1[[#This Row],[TA 2 - Q2 Bonus]]+Table1[[#This Row],[TA 2 - Q4 Bonus]]</f>
        <v/>
      </c>
      <c r="T350">
        <f>(Table1[[#This Row],[TA 1 - Total Score (out of 35)]]+Table1[[#This Row],[TA 2 - Total Score (out of 35)]])/2</f>
        <v/>
      </c>
      <c r="U350">
        <f>(Table1[[#This Row],[TA 1 - Total Bonus (out of 13)]]+Table1[[#This Row],[TA 2 - Total Bonus (out of 13)]])/2</f>
        <v/>
      </c>
      <c r="V350">
        <f>Table1[[#This Row],[Average Questions]]/35*20+Table1[[#This Row],[Average Bonus]]/13*5</f>
        <v/>
      </c>
      <c r="W350" t="n">
        <v>10</v>
      </c>
      <c r="X350" t="n">
        <v>0</v>
      </c>
      <c r="Y350" t="inlineStr">
        <is>
          <t>The student completed most tasks correctly, including defining the necessary transforms, creating DataLoaders, displaying sample images, loading and adapting the EfficientNetV2-Small model, and implementing training and validation loops. However, the student did not implement Test Time Augmentation, resulting in no bonus points. The student also used a different batch size and number of workers for DataLoaders, which does not affect correctness but deviates slightly from the reference solution.</t>
        </is>
      </c>
      <c r="Z350" t="n">
        <v>8.5</v>
      </c>
      <c r="AA350" t="n">
        <v>0</v>
      </c>
      <c r="AB350" t="inlineStr">
        <is>
          <t>The student successfully loaded and prepared the data with the correct transformations and displayed sample images. The CNN model was built with 5 convolutional layers and batch normalization, though the number of channels in the first layer was less than specified in the rubric. The training and validation functions were implemented correctly, and the model was trained and plotted. However, the bonus task was not completed.</t>
        </is>
      </c>
      <c r="AC350" t="n">
        <v>0.5</v>
      </c>
      <c r="AD350" t="inlineStr">
        <is>
          <t>The student attempted to create a dataset class using ImageFolder, which is incorrect for this task as it requires a custom dataset class to handle images and masks separately. The student also made mistakes in splitting the dataset and displaying images. Tasks 2 through 5 were not attempted, resulting in no code for those sections.</t>
        </is>
      </c>
      <c r="AE350" t="n">
        <v>0</v>
      </c>
      <c r="AF350" t="n">
        <v>0</v>
      </c>
      <c r="AG350" t="inlineStr">
        <is>
          <t>The student did not implement any of the required methods in the `ColorizationDataset` class. The `__init__`, `__len__`, `rgb_to_grayscale`, and `__getitem__` methods were left unimplemented with only placeholder comments. As a result, the code does not run and fails to produce the expected output.</t>
        </is>
      </c>
      <c r="AH350" t="n">
        <v>19</v>
      </c>
      <c r="AI350" t="n">
        <v>0</v>
      </c>
    </row>
    <row r="351">
      <c r="A351" t="n">
        <v>350</v>
      </c>
      <c r="B351" t="inlineStr">
        <is>
          <t>TA_7</t>
        </is>
      </c>
      <c r="C351" t="inlineStr">
        <is>
          <t>TA_17</t>
        </is>
      </c>
      <c r="D351" t="n">
        <v>12</v>
      </c>
      <c r="E351" t="n">
        <v>3</v>
      </c>
      <c r="F351" t="n">
        <v>8</v>
      </c>
      <c r="G351" t="n">
        <v>0</v>
      </c>
      <c r="H351" t="n">
        <v>12</v>
      </c>
      <c r="I351" t="n">
        <v>0</v>
      </c>
      <c r="J351" t="n">
        <v>11</v>
      </c>
      <c r="K351" t="n">
        <v>0</v>
      </c>
      <c r="L351" t="n">
        <v>9</v>
      </c>
      <c r="M351" t="n">
        <v>0</v>
      </c>
      <c r="N351" t="n">
        <v>12</v>
      </c>
      <c r="O351" t="n">
        <v>0</v>
      </c>
      <c r="P351">
        <f>Table1[[#This Row],[TA 1 - Q1 Score]]+Table1[[#This Row],[TA 1 - Q2 Score]]+Table1[[#This Row],[TA 1 - Q3 Score]]</f>
        <v/>
      </c>
      <c r="Q351">
        <f>Table1[[#This Row],[TA 1 - Q1 Bonus]]+Table1[[#This Row],[TA 1 - Q2 Bonus]]+Table1[[#This Row],[TA 1 - Q4 Bonus]]</f>
        <v/>
      </c>
      <c r="R351">
        <f>Table1[[#This Row],[TA 2 - Q1 Score]]+Table1[[#This Row],[TA 2 - Q2 Score]]+Table1[[#This Row],[TA 2 - Q3 Score]]</f>
        <v/>
      </c>
      <c r="S351">
        <f>Table1[[#This Row],[TA 2 - Q1 Bonus]]+Table1[[#This Row],[TA 2 - Q2 Bonus]]+Table1[[#This Row],[TA 2 - Q4 Bonus]]</f>
        <v/>
      </c>
      <c r="T351">
        <f>(Table1[[#This Row],[TA 1 - Total Score (out of 35)]]+Table1[[#This Row],[TA 2 - Total Score (out of 35)]])/2</f>
        <v/>
      </c>
      <c r="U351">
        <f>(Table1[[#This Row],[TA 1 - Total Bonus (out of 13)]]+Table1[[#This Row],[TA 2 - Total Bonus (out of 13)]])/2</f>
        <v/>
      </c>
      <c r="V351">
        <f>Table1[[#This Row],[Average Questions]]/35*20+Table1[[#This Row],[Average Bonus]]/13*5</f>
        <v/>
      </c>
      <c r="W351" t="n">
        <v>6</v>
      </c>
      <c r="X351" t="n">
        <v>0</v>
      </c>
      <c r="Y351" t="inlineStr">
        <is>
          <t>The student completed the data loading and preparation with minor issues, such as using a smaller batch size and manually selecting image indices. The model loading and adaptation were mostly correct, though all parameters were frozen instead of just the backbone. The training and validation loops had syntax errors, particularly with the .squeeze() method, which would cause runtime errors. The bonus task was incorrectly implemented, with horizontal and vertical flips being applied incorrectly and the averaging of predictions not done properly.</t>
        </is>
      </c>
      <c r="Z351" t="n">
        <v>6</v>
      </c>
      <c r="AA351" t="n">
        <v>0</v>
      </c>
      <c r="AB351" t="inlineStr">
        <is>
          <t>The student partially completed the tasks. They used the correct dataset and transformations but included an incorrect horizontal flip instead of random rotation. The model architecture had 5 convolutional layers but did not include batch normalization. The training and validation loops were implemented correctly, and the plots were generated. However, the bonus task was not attempted.</t>
        </is>
      </c>
      <c r="AC351" t="n">
        <v>8.5</v>
      </c>
      <c r="AD351" t="inlineStr">
        <is>
          <t>The student's submission largely follows the required tasks but contains some issues. Task 1 is mostly correct with proper dataset splitting and transformations, though the dataset class name differs slightly. Task 2 correctly defines a U-Net model with the specified encoder. Task 3 has two definitions of training and validation loops, with the second set being correct. Task 4 defines the loss and optimizer correctly and trains the model, printing and plotting the losses. Task 5 visualizes predictions but uses a grayscale colormap instead of 'tab10'.</t>
        </is>
      </c>
      <c r="AE351" t="n">
        <v>0</v>
      </c>
      <c r="AF351" t="n">
        <v>0</v>
      </c>
      <c r="AG351" t="inlineStr">
        <is>
          <t>The student's implementation contains several errors and does not follow the required logic. The `__init__` method incorrectly stores `cifar_data` instead of the passed `cifar_dataset` parameter and initializes an unused `images_paths` list. The `__len__` method returns the length of `base_folder` instead of the dataset. The `rgb_to_grayscale` method incorrectly calculates the grayscale value and attempts to use `convert`, which is not applicable to tensors. The `__getitem__` method incorrectly accesses `images_paths` and does not properly convert images to grayscale.</t>
        </is>
      </c>
      <c r="AH351" t="n">
        <v>20.5</v>
      </c>
      <c r="AI351" t="n">
        <v>0</v>
      </c>
    </row>
    <row r="352">
      <c r="A352" t="n">
        <v>351</v>
      </c>
      <c r="B352" t="inlineStr">
        <is>
          <t>TA_7</t>
        </is>
      </c>
      <c r="C352" t="inlineStr">
        <is>
          <t>TA_17</t>
        </is>
      </c>
      <c r="D352" t="n">
        <v>5.5</v>
      </c>
      <c r="E352" t="n">
        <v>4</v>
      </c>
      <c r="F352" t="n">
        <v>11</v>
      </c>
      <c r="G352" t="n">
        <v>4</v>
      </c>
      <c r="H352" t="n">
        <v>8</v>
      </c>
      <c r="I352" t="n">
        <v>5</v>
      </c>
      <c r="J352" t="n">
        <v>4.5</v>
      </c>
      <c r="K352" t="n">
        <v>0</v>
      </c>
      <c r="L352" t="n">
        <v>9</v>
      </c>
      <c r="M352" t="n">
        <v>4</v>
      </c>
      <c r="N352" t="n">
        <v>0</v>
      </c>
      <c r="O352" t="n">
        <v>5</v>
      </c>
      <c r="P352">
        <f>Table1[[#This Row],[TA 1 - Q1 Score]]+Table1[[#This Row],[TA 1 - Q2 Score]]+Table1[[#This Row],[TA 1 - Q3 Score]]</f>
        <v/>
      </c>
      <c r="Q352">
        <f>Table1[[#This Row],[TA 1 - Q1 Bonus]]+Table1[[#This Row],[TA 1 - Q2 Bonus]]+Table1[[#This Row],[TA 1 - Q4 Bonus]]</f>
        <v/>
      </c>
      <c r="R352">
        <f>Table1[[#This Row],[TA 2 - Q1 Score]]+Table1[[#This Row],[TA 2 - Q2 Score]]+Table1[[#This Row],[TA 2 - Q3 Score]]</f>
        <v/>
      </c>
      <c r="S352">
        <f>Table1[[#This Row],[TA 2 - Q1 Bonus]]+Table1[[#This Row],[TA 2 - Q2 Bonus]]+Table1[[#This Row],[TA 2 - Q4 Bonus]]</f>
        <v/>
      </c>
      <c r="T352">
        <f>(Table1[[#This Row],[TA 1 - Total Score (out of 35)]]+Table1[[#This Row],[TA 2 - Total Score (out of 35)]])/2</f>
        <v/>
      </c>
      <c r="U352">
        <f>(Table1[[#This Row],[TA 1 - Total Bonus (out of 13)]]+Table1[[#This Row],[TA 2 - Total Bonus (out of 13)]])/2</f>
        <v/>
      </c>
      <c r="V352">
        <f>Table1[[#This Row],[Average Questions]]/35*20+Table1[[#This Row],[Average Bonus]]/13*5</f>
        <v/>
      </c>
      <c r="W352" t="n">
        <v>6</v>
      </c>
      <c r="X352" t="n">
        <v>0</v>
      </c>
      <c r="Y352" t="inlineStr">
        <is>
          <t>The student partially completed the tasks with some syntax and logical errors. The image resizing was incorrect (224x224 instead of 28x28), and the grayscale conversion was unnecessary. The DataLoader creation was mostly correct but used a different batch size. The model loading and adaptation had issues: the backbone was frozen correctly, but the classifier was incorrectly set to 27 classes instead of 26. The training and validation loops were implemented but did not adjust the labels to be 0-indexed, resulting in a penalty. The bonus task was not attempted.</t>
        </is>
      </c>
      <c r="Z352" t="n">
        <v>10.5</v>
      </c>
      <c r="AA352" t="n">
        <v>3</v>
      </c>
      <c r="AB352" t="inlineStr">
        <is>
          <t>The student successfully implemented a custom dataset class, created train/test datasets and DataLoaders, applied the required transformations, and displayed sample images. The CNN model includes five convolutional layers with batch normalization. Training and validation functions were correctly defined and used. The model was trained and plotted with losses and accuracies. For the bonus task, the student added a residual connection between the second and fourth layers, retrained the model, and plotted the results, though the residual connection implementation could be improved for better performance.</t>
        </is>
      </c>
      <c r="AC352" t="n">
        <v>8</v>
      </c>
      <c r="AD352" t="inlineStr">
        <is>
          <t>The student's submission includes most of the required tasks with some minor issues. The dataset class is implemented correctly with a custom color mapping, though it could be improved for efficiency. DataLoaders are created and used properly. The model class uses a different encoder (resnet34 instead of efficientnet-b1) but still defines a U-Net architecture. Training and validation loops are implemented with minor syntax issues. The training process is executed, and loss curves are plotted. Predictions are visualized, but the visualization function could be optimized for better clarity.</t>
        </is>
      </c>
      <c r="AE352" t="n">
        <v>0</v>
      </c>
      <c r="AF352" t="n">
        <v>5</v>
      </c>
      <c r="AG352" t="inlineStr">
        <is>
          <t>The student's implementation of the ColorizationDataset class is correct and runs perfectly, producing the expected output and following the optimal logic. The code includes all required methods (__init__, __len__, rgb_to_grayscale, __getitem__) and the visualization step is also correctly implemented. No syntax or logical errors were found.</t>
        </is>
      </c>
      <c r="AH352" t="n">
        <v>24.5</v>
      </c>
      <c r="AI352" t="n">
        <v>8</v>
      </c>
    </row>
    <row r="353">
      <c r="A353" t="n">
        <v>352</v>
      </c>
      <c r="B353" t="inlineStr">
        <is>
          <t>TA_7</t>
        </is>
      </c>
      <c r="C353" t="inlineStr">
        <is>
          <t>TA_17</t>
        </is>
      </c>
      <c r="D353" t="n">
        <v>4</v>
      </c>
      <c r="E353" t="n">
        <v>0</v>
      </c>
      <c r="F353" t="n">
        <v>9</v>
      </c>
      <c r="G353" t="n">
        <v>0</v>
      </c>
      <c r="H353" t="n">
        <v>4.5</v>
      </c>
      <c r="I353" t="n">
        <v>0</v>
      </c>
      <c r="J353" t="n">
        <v>4</v>
      </c>
      <c r="K353" t="n">
        <v>0</v>
      </c>
      <c r="L353" t="n">
        <v>8.5</v>
      </c>
      <c r="M353" t="n">
        <v>0</v>
      </c>
      <c r="N353" t="n">
        <v>6.5</v>
      </c>
      <c r="O353" t="n">
        <v>0</v>
      </c>
      <c r="P353">
        <f>Table1[[#This Row],[TA 1 - Q1 Score]]+Table1[[#This Row],[TA 1 - Q2 Score]]+Table1[[#This Row],[TA 1 - Q3 Score]]</f>
        <v/>
      </c>
      <c r="Q353">
        <f>Table1[[#This Row],[TA 1 - Q1 Bonus]]+Table1[[#This Row],[TA 1 - Q2 Bonus]]+Table1[[#This Row],[TA 1 - Q4 Bonus]]</f>
        <v/>
      </c>
      <c r="R353">
        <f>Table1[[#This Row],[TA 2 - Q1 Score]]+Table1[[#This Row],[TA 2 - Q2 Score]]+Table1[[#This Row],[TA 2 - Q3 Score]]</f>
        <v/>
      </c>
      <c r="S353">
        <f>Table1[[#This Row],[TA 2 - Q1 Bonus]]+Table1[[#This Row],[TA 2 - Q2 Bonus]]+Table1[[#This Row],[TA 2 - Q4 Bonus]]</f>
        <v/>
      </c>
      <c r="T353">
        <f>(Table1[[#This Row],[TA 1 - Total Score (out of 35)]]+Table1[[#This Row],[TA 2 - Total Score (out of 35)]])/2</f>
        <v/>
      </c>
      <c r="U353">
        <f>(Table1[[#This Row],[TA 1 - Total Bonus (out of 13)]]+Table1[[#This Row],[TA 2 - Total Bonus (out of 13)]])/2</f>
        <v/>
      </c>
      <c r="V353">
        <f>Table1[[#This Row],[Average Questions]]/35*20+Table1[[#This Row],[Average Bonus]]/13*5</f>
        <v/>
      </c>
      <c r="W353" t="n">
        <v>2</v>
      </c>
      <c r="X353" t="n">
        <v>0</v>
      </c>
      <c r="Y353" t="inlineStr">
        <is>
          <t>The student partially completed the tasks but made several mistakes. In Part 1, the DataLoader creation was attempted but used an incorrect batch size and included unnecessary workers. Sample image display was not implemented. In Part 2, the model was loaded and modified, but the backbone was not frozen correctly. In Part 3, the training and validation loops had significant issues, including incorrect loss functions and label handling. Part 4 was not fully implemented due to errors in previous parts. No bonus tasks were attempted.</t>
        </is>
      </c>
      <c r="Z353" t="n">
        <v>8.5</v>
      </c>
      <c r="AA353" t="n">
        <v>0</v>
      </c>
      <c r="AB353" t="inlineStr">
        <is>
          <t>The student successfully loaded and prepared the data with correct transformations and displayed sample images. The CNN model has 5 convolutional layers but does not include batch normalization, earning partial credit. Both training and validation functions are implemented correctly. The model setup, training, and plotting of losses and accuracies are also correct. However, the bonus task was not completed.</t>
        </is>
      </c>
      <c r="AC353" t="n">
        <v>4</v>
      </c>
      <c r="AD353" t="inlineStr">
        <is>
          <t>The student attempted most tasks but made several mistakes. In Task 1, the dataset class and DataLoaders were mostly correct, but the image normalization parameters were incorrect. The displayed images were not properly denormalized. In Task 2, the model was incorrectly defined with only one class instead of eight. In Task 3, the training and validation loops had logical errors, converting masks to float and using BCEWithLogitsLoss, which is unsuitable for multi-class segmentation. Task 4 was partially completed, but the model was not trained correctly due to the issues mentioned. Task 5 was not attempted.</t>
        </is>
      </c>
      <c r="AE353" t="n">
        <v>0</v>
      </c>
      <c r="AF353" t="n">
        <v>0</v>
      </c>
      <c r="AG353" t="inlineStr">
        <is>
          <t>No submission found.</t>
        </is>
      </c>
      <c r="AH353" t="n">
        <v>14.5</v>
      </c>
      <c r="AI353" t="n">
        <v>0</v>
      </c>
    </row>
    <row r="354">
      <c r="A354" t="n">
        <v>353</v>
      </c>
      <c r="B354" t="inlineStr">
        <is>
          <t>TA_7</t>
        </is>
      </c>
      <c r="C354" t="inlineStr">
        <is>
          <t>TA_17</t>
        </is>
      </c>
      <c r="D354" t="n">
        <v>12</v>
      </c>
      <c r="E354" t="n">
        <v>0</v>
      </c>
      <c r="F354" t="n">
        <v>8.5</v>
      </c>
      <c r="G354" t="n">
        <v>0</v>
      </c>
      <c r="H354" t="n">
        <v>12</v>
      </c>
      <c r="I354" t="n">
        <v>0</v>
      </c>
      <c r="J354" t="n">
        <v>12</v>
      </c>
      <c r="K354" t="n">
        <v>0</v>
      </c>
      <c r="L354" t="n">
        <v>9</v>
      </c>
      <c r="M354" t="n">
        <v>0</v>
      </c>
      <c r="N354" t="n">
        <v>12</v>
      </c>
      <c r="O354" t="n">
        <v>0</v>
      </c>
      <c r="P354">
        <f>Table1[[#This Row],[TA 1 - Q1 Score]]+Table1[[#This Row],[TA 1 - Q2 Score]]+Table1[[#This Row],[TA 1 - Q3 Score]]</f>
        <v/>
      </c>
      <c r="Q354">
        <f>Table1[[#This Row],[TA 1 - Q1 Bonus]]+Table1[[#This Row],[TA 1 - Q2 Bonus]]+Table1[[#This Row],[TA 1 - Q4 Bonus]]</f>
        <v/>
      </c>
      <c r="R354">
        <f>Table1[[#This Row],[TA 2 - Q1 Score]]+Table1[[#This Row],[TA 2 - Q2 Score]]+Table1[[#This Row],[TA 2 - Q3 Score]]</f>
        <v/>
      </c>
      <c r="S354">
        <f>Table1[[#This Row],[TA 2 - Q1 Bonus]]+Table1[[#This Row],[TA 2 - Q2 Bonus]]+Table1[[#This Row],[TA 2 - Q4 Bonus]]</f>
        <v/>
      </c>
      <c r="T354">
        <f>(Table1[[#This Row],[TA 1 - Total Score (out of 35)]]+Table1[[#This Row],[TA 2 - Total Score (out of 35)]])/2</f>
        <v/>
      </c>
      <c r="U354">
        <f>(Table1[[#This Row],[TA 1 - Total Bonus (out of 13)]]+Table1[[#This Row],[TA 2 - Total Bonus (out of 13)]])/2</f>
        <v/>
      </c>
      <c r="V354">
        <f>Table1[[#This Row],[Average Questions]]/35*20+Table1[[#This Row],[Average Bonus]]/13*5</f>
        <v/>
      </c>
      <c r="W354" t="n">
        <v>8.5</v>
      </c>
      <c r="X354" t="n">
        <v>0</v>
      </c>
      <c r="Y354" t="inlineStr">
        <is>
          <t>The student completed most tasks correctly, including defining transforms, creating DataLoaders, displaying sample images, loading and adapting the pretrained model, and implementing training and validation loops. However, there were minor issues such as incorrect handling of labels in the display section and incomplete implementation of the bonus task. The student did not attempt the bonus task, resulting in zero bonus points.</t>
        </is>
      </c>
      <c r="Z354" t="n">
        <v>7</v>
      </c>
      <c r="AA354" t="n">
        <v>0</v>
      </c>
      <c r="AB354" t="inlineStr">
        <is>
          <t>The student successfully loaded and prepared the data with the correct transformations and displayed sample images. The CNN model was built with 5 convolutional layers, but the number of channels and fully connected layer sizes differ from the reference solution. The training and validation loops were implemented correctly, and the model was trained and plotted. However, the bonus task was not attempted.</t>
        </is>
      </c>
      <c r="AC354" t="n">
        <v>10</v>
      </c>
      <c r="AD354" t="inlineStr">
        <is>
          <t>The student's submission largely follows the reference solution, with minor differences in implementation details. The dataset class is correctly implemented, and the data loaders are set up properly. Sample images and masks are displayed correctly. The model class uses the correct pretrained U-Net with efficientnet-b1 encoder. Training and validation loops are implemented with appropriate loss calculation and optimization steps. The training process runs without errors, and the loss curve is plotted. Predictions are visualized alongside ground truth masks. The only discrepancy is the use of AdamW optimizer instead of Adam, which does not affect the overall correctness of the implementation.</t>
        </is>
      </c>
      <c r="AE354" t="n">
        <v>0</v>
      </c>
      <c r="AF354" t="n">
        <v>0</v>
      </c>
      <c r="AG354" t="inlineStr">
        <is>
          <t>No submission found.</t>
        </is>
      </c>
      <c r="AH354" t="n">
        <v>25.5</v>
      </c>
      <c r="AI354" t="n">
        <v>0</v>
      </c>
    </row>
    <row r="355">
      <c r="A355" t="n">
        <v>354</v>
      </c>
      <c r="B355" t="inlineStr">
        <is>
          <t>TA_7</t>
        </is>
      </c>
      <c r="C355" t="inlineStr">
        <is>
          <t>TA_17</t>
        </is>
      </c>
      <c r="D355" t="n">
        <v>12</v>
      </c>
      <c r="E355" t="n">
        <v>3</v>
      </c>
      <c r="F355" t="n">
        <v>9</v>
      </c>
      <c r="G355" t="n">
        <v>0</v>
      </c>
      <c r="H355" t="n">
        <v>7</v>
      </c>
      <c r="I355" t="n">
        <v>0</v>
      </c>
      <c r="J355" t="n">
        <v>11.5</v>
      </c>
      <c r="K355" t="n">
        <v>0</v>
      </c>
      <c r="L355" t="n">
        <v>8.5</v>
      </c>
      <c r="M355" t="n">
        <v>0</v>
      </c>
      <c r="N355" t="n">
        <v>6</v>
      </c>
      <c r="O355" t="n">
        <v>0</v>
      </c>
      <c r="P355">
        <f>Table1[[#This Row],[TA 1 - Q1 Score]]+Table1[[#This Row],[TA 1 - Q2 Score]]+Table1[[#This Row],[TA 1 - Q3 Score]]</f>
        <v/>
      </c>
      <c r="Q355">
        <f>Table1[[#This Row],[TA 1 - Q1 Bonus]]+Table1[[#This Row],[TA 1 - Q2 Bonus]]+Table1[[#This Row],[TA 1 - Q4 Bonus]]</f>
        <v/>
      </c>
      <c r="R355">
        <f>Table1[[#This Row],[TA 2 - Q1 Score]]+Table1[[#This Row],[TA 2 - Q2 Score]]+Table1[[#This Row],[TA 2 - Q3 Score]]</f>
        <v/>
      </c>
      <c r="S355">
        <f>Table1[[#This Row],[TA 2 - Q1 Bonus]]+Table1[[#This Row],[TA 2 - Q2 Bonus]]+Table1[[#This Row],[TA 2 - Q4 Bonus]]</f>
        <v/>
      </c>
      <c r="T355">
        <f>(Table1[[#This Row],[TA 1 - Total Score (out of 35)]]+Table1[[#This Row],[TA 2 - Total Score (out of 35)]])/2</f>
        <v/>
      </c>
      <c r="U355">
        <f>(Table1[[#This Row],[TA 1 - Total Bonus (out of 13)]]+Table1[[#This Row],[TA 2 - Total Bonus (out of 13)]])/2</f>
        <v/>
      </c>
      <c r="V355">
        <f>Table1[[#This Row],[Average Questions]]/35*20+Table1[[#This Row],[Average Bonus]]/13*5</f>
        <v/>
      </c>
      <c r="W355" t="n">
        <v>8</v>
      </c>
      <c r="X355" t="n">
        <v>0</v>
      </c>
      <c r="Y355" t="inlineStr">
        <is>
          <t>The student completed most tasks correctly but made several minor mistakes. In Part 1, the transforms were mostly correct but the batch size in DataLoaders was smaller than the reference. In Part 2, the model was correctly loaded and adapted, but all parameters were frozen instead of just the backbone. In Part 3, the training and validation loops had issues with squeezing outputs and incorrect handling of predictions. In Part 4, the plots were correct, but the number of epochs was unnecessarily high. The bonus task was not implemented correctly, with repeated horizontal flips and incorrect averaging of predictions.</t>
        </is>
      </c>
      <c r="Z355" t="n">
        <v>6</v>
      </c>
      <c r="AA355" t="n">
        <v>0</v>
      </c>
      <c r="AB355" t="inlineStr">
        <is>
          <t>The student successfully loaded and prepared the data with correct transformations and displayed sample images. The CNN model was built with 5 convolutional layers, though the number of channels was less than specified in the rubric. The training and validation loops were implemented correctly, and the model was trained and plotted. However, the CNN model had incorrect channel sizes leading to dimension mismatch errors, and the bonus task was not attempted.</t>
        </is>
      </c>
      <c r="AC355" t="n">
        <v>5</v>
      </c>
      <c r="AD355" t="inlineStr">
        <is>
          <t>The student attempted most tasks but made several mistakes. In Task 1, the dataset class had a typo (root_dir instead of image_dir/mask_dir) and incorrect mask transformations. The display function showed shapes but did not plot correctly due to mask transformations. In Task 2, the model was correctly defined but used a different image size than specified. Task 3 had syntax errors in the training and validation loops. Task 4 was partially completed with incorrect mask transformations and a very low number of epochs. Task 5 was not attempted.</t>
        </is>
      </c>
      <c r="AE355" t="n">
        <v>0</v>
      </c>
      <c r="AF355" t="n">
        <v>0</v>
      </c>
      <c r="AG355" t="inlineStr">
        <is>
          <t>No submission found.</t>
        </is>
      </c>
      <c r="AH355" t="n">
        <v>19</v>
      </c>
      <c r="AI355" t="n">
        <v>0</v>
      </c>
    </row>
    <row r="356">
      <c r="A356" t="n">
        <v>355</v>
      </c>
      <c r="B356" t="inlineStr">
        <is>
          <t>TA_7</t>
        </is>
      </c>
      <c r="C356" t="inlineStr">
        <is>
          <t>TA_17</t>
        </is>
      </c>
      <c r="D356" t="n">
        <v>6</v>
      </c>
      <c r="E356" t="n">
        <v>0</v>
      </c>
      <c r="F356" t="n">
        <v>8.5</v>
      </c>
      <c r="G356" t="n">
        <v>0</v>
      </c>
      <c r="H356" t="n">
        <v>8</v>
      </c>
      <c r="I356" t="n">
        <v>0</v>
      </c>
      <c r="J356" t="n">
        <v>6</v>
      </c>
      <c r="K356" t="n">
        <v>0</v>
      </c>
      <c r="L356" t="n">
        <v>9.5</v>
      </c>
      <c r="M356" t="n">
        <v>0</v>
      </c>
      <c r="N356" t="n">
        <v>5.5</v>
      </c>
      <c r="O356" t="n">
        <v>0</v>
      </c>
      <c r="P356">
        <f>Table1[[#This Row],[TA 1 - Q1 Score]]+Table1[[#This Row],[TA 1 - Q2 Score]]+Table1[[#This Row],[TA 1 - Q3 Score]]</f>
        <v/>
      </c>
      <c r="Q356">
        <f>Table1[[#This Row],[TA 1 - Q1 Bonus]]+Table1[[#This Row],[TA 1 - Q2 Bonus]]+Table1[[#This Row],[TA 1 - Q4 Bonus]]</f>
        <v/>
      </c>
      <c r="R356">
        <f>Table1[[#This Row],[TA 2 - Q1 Score]]+Table1[[#This Row],[TA 2 - Q2 Score]]+Table1[[#This Row],[TA 2 - Q3 Score]]</f>
        <v/>
      </c>
      <c r="S356">
        <f>Table1[[#This Row],[TA 2 - Q1 Bonus]]+Table1[[#This Row],[TA 2 - Q2 Bonus]]+Table1[[#This Row],[TA 2 - Q4 Bonus]]</f>
        <v/>
      </c>
      <c r="T356">
        <f>(Table1[[#This Row],[TA 1 - Total Score (out of 35)]]+Table1[[#This Row],[TA 2 - Total Score (out of 35)]])/2</f>
        <v/>
      </c>
      <c r="U356">
        <f>(Table1[[#This Row],[TA 1 - Total Bonus (out of 13)]]+Table1[[#This Row],[TA 2 - Total Bonus (out of 13)]])/2</f>
        <v/>
      </c>
      <c r="V356">
        <f>Table1[[#This Row],[Average Questions]]/35*20+Table1[[#This Row],[Average Bonus]]/13*5</f>
        <v/>
      </c>
      <c r="W356" t="n">
        <v>6</v>
      </c>
      <c r="X356" t="n">
        <v>0</v>
      </c>
      <c r="Y356" t="inlineStr">
        <is>
          <t>The student completed the data loading and preparation, including defining the necessary transforms and creating DataLoaders. However, the student did not display sample images, resulting in a deduction. In Part 2, the student loaded the EfficientNetV2-Small model but incorrectly froze all parameters instead of just the backbone. The classifier head was replaced correctly. In Part 3, the student implemented training and validation loops but did not adjust the labels to be 0-indexed, leading to a penalty. The student trained the model and plotted the training and validation losses and accuracies correctly. No bonus task was attempted.</t>
        </is>
      </c>
      <c r="Z356" t="n">
        <v>6</v>
      </c>
      <c r="AA356" t="n">
        <v>0</v>
      </c>
      <c r="AB356" t="inlineStr">
        <is>
          <t>The student implemented a custom dataset class and used ImageFolder, creating train/test datasets and DataLoaders with the specified transformations. Sample images were displayed, though with incorrect class labels. The CNN model had 5 convolutional layers with batch normalization, but the number of output classes was incorrectly set to 10 instead of 3. Training and validation loops were correctly defined and executed, but the model was trained for only 2 epochs instead of 10. No bonus task was attempted.</t>
        </is>
      </c>
      <c r="AC356" t="n">
        <v>5</v>
      </c>
      <c r="AD356" t="inlineStr">
        <is>
          <t>The student attempted most tasks but made several mistakes. In Task 1, the dataset class was partially correct but had issues with mask conversion to float and incorrect dataset splitting. Task 2 used an incorrect number of classes. Task 3 and Task 4 were mostly correct but had minor issues like incorrect learning rate and fewer epochs. Task 5 visualizations were attempted but had issues with mask visualization.</t>
        </is>
      </c>
      <c r="AE356" t="n">
        <v>0</v>
      </c>
      <c r="AF356" t="n">
        <v>0</v>
      </c>
      <c r="AG356" t="inlineStr">
        <is>
          <t>The student's submission contains multiple syntax errors, logical mistakes, and incomplete implementations. The `__init__` method incorrectly assigns `color_image` instead of storing the dataset. The `__len__` method references undefined `color_image`. The `rgb_to_grayscale` method is not implemented. The `__getitem__` method uses `Image.open` which is incorrect for tensor inputs and lacks the grayscale conversion. The visualization and DataLoader tests are not runnable due to these issues.</t>
        </is>
      </c>
      <c r="AH356" t="n">
        <v>17</v>
      </c>
      <c r="AI356" t="n">
        <v>0</v>
      </c>
    </row>
    <row r="357">
      <c r="A357" t="n">
        <v>356</v>
      </c>
      <c r="B357" t="inlineStr">
        <is>
          <t>TA_7</t>
        </is>
      </c>
      <c r="C357" t="inlineStr">
        <is>
          <t>TA_17</t>
        </is>
      </c>
      <c r="D357" t="n">
        <v>8.5</v>
      </c>
      <c r="E357" t="n">
        <v>0</v>
      </c>
      <c r="F357" t="n">
        <v>7</v>
      </c>
      <c r="G357" t="n">
        <v>0</v>
      </c>
      <c r="H357" t="n">
        <v>2</v>
      </c>
      <c r="I357" t="n">
        <v>0</v>
      </c>
      <c r="J357" t="n">
        <v>5.5</v>
      </c>
      <c r="K357" t="n">
        <v>0</v>
      </c>
      <c r="L357" t="n">
        <v>9.5</v>
      </c>
      <c r="M357" t="n">
        <v>0</v>
      </c>
      <c r="N357" t="n">
        <v>0</v>
      </c>
      <c r="O357" t="n">
        <v>0</v>
      </c>
      <c r="P357">
        <f>Table1[[#This Row],[TA 1 - Q1 Score]]+Table1[[#This Row],[TA 1 - Q2 Score]]+Table1[[#This Row],[TA 1 - Q3 Score]]</f>
        <v/>
      </c>
      <c r="Q357">
        <f>Table1[[#This Row],[TA 1 - Q1 Bonus]]+Table1[[#This Row],[TA 1 - Q2 Bonus]]+Table1[[#This Row],[TA 1 - Q4 Bonus]]</f>
        <v/>
      </c>
      <c r="R357">
        <f>Table1[[#This Row],[TA 2 - Q1 Score]]+Table1[[#This Row],[TA 2 - Q2 Score]]+Table1[[#This Row],[TA 2 - Q3 Score]]</f>
        <v/>
      </c>
      <c r="S357">
        <f>Table1[[#This Row],[TA 2 - Q1 Bonus]]+Table1[[#This Row],[TA 2 - Q2 Bonus]]+Table1[[#This Row],[TA 2 - Q4 Bonus]]</f>
        <v/>
      </c>
      <c r="T357">
        <f>(Table1[[#This Row],[TA 1 - Total Score (out of 35)]]+Table1[[#This Row],[TA 2 - Total Score (out of 35)]])/2</f>
        <v/>
      </c>
      <c r="U357">
        <f>(Table1[[#This Row],[TA 1 - Total Bonus (out of 13)]]+Table1[[#This Row],[TA 2 - Total Bonus (out of 13)]])/2</f>
        <v/>
      </c>
      <c r="V357">
        <f>Table1[[#This Row],[Average Questions]]/35*20+Table1[[#This Row],[Average Bonus]]/13*5</f>
        <v/>
      </c>
      <c r="W357" t="n">
        <v>4</v>
      </c>
      <c r="X357" t="n">
        <v>0</v>
      </c>
      <c r="Y357" t="inlineStr">
        <is>
          <t>The student partially completed several tasks but made significant errors. The data loading and preparation section had incorrect DataLoader creation and missing label adjustment. The model setup included incorrect parameter freezing and an incorrect model instantiation. The training and validation loops contained syntax errors and logical mistakes, such as incorrect usage of softmax and label adjustments. The bonus task was not attempted.</t>
        </is>
      </c>
      <c r="Z357" t="n">
        <v>7</v>
      </c>
      <c r="AA357" t="n">
        <v>0</v>
      </c>
      <c r="AB357" t="inlineStr">
        <is>
          <t>The student successfully loaded and prepared the data with the correct transformations and displayed sample images. The CNN model has 5 convolutional layers with batch normalization, though the final linear layer input size is incorrect due to the image resizing to 32x32. The training and validation loops are implemented correctly, and the model is trained and evaluated. However, the bonus task was not attempted.</t>
        </is>
      </c>
      <c r="AC357" t="n">
        <v>0</v>
      </c>
      <c r="AD357" t="inlineStr">
        <is>
          <t>The student did not complete any of the required tasks. The dataset class implementation is incorrect and incomplete, using a CSV file that does not exist in the provided dataset structure. Additionally, the student included irrelevant code for mounting Google Drive and left several cells as 'TO DO'. No code was provided for creating DataLoaders, displaying samples, defining the model, training and validation loops, running training, or visualizing predictions.</t>
        </is>
      </c>
      <c r="AE357" t="n">
        <v>0</v>
      </c>
      <c r="AF357" t="n">
        <v>0</v>
      </c>
      <c r="AG357" t="inlineStr">
        <is>
          <t>No submission found.</t>
        </is>
      </c>
      <c r="AH357" t="n">
        <v>11</v>
      </c>
      <c r="AI357" t="n">
        <v>0</v>
      </c>
    </row>
    <row r="358">
      <c r="A358" t="n">
        <v>357</v>
      </c>
      <c r="B358" t="inlineStr">
        <is>
          <t>TA_7</t>
        </is>
      </c>
      <c r="C358" t="inlineStr">
        <is>
          <t>TA_17</t>
        </is>
      </c>
      <c r="D358" t="n">
        <v>12</v>
      </c>
      <c r="E358" t="n">
        <v>3</v>
      </c>
      <c r="F358" t="n">
        <v>11</v>
      </c>
      <c r="G358" t="n">
        <v>0</v>
      </c>
      <c r="H358" t="n">
        <v>12</v>
      </c>
      <c r="I358" t="n">
        <v>0</v>
      </c>
      <c r="J358" t="n">
        <v>11</v>
      </c>
      <c r="K358" t="n">
        <v>0</v>
      </c>
      <c r="L358" t="n">
        <v>11</v>
      </c>
      <c r="M358" t="n">
        <v>0</v>
      </c>
      <c r="N358" t="n">
        <v>12</v>
      </c>
      <c r="O358" t="n">
        <v>0</v>
      </c>
      <c r="P358">
        <f>Table1[[#This Row],[TA 1 - Q1 Score]]+Table1[[#This Row],[TA 1 - Q2 Score]]+Table1[[#This Row],[TA 1 - Q3 Score]]</f>
        <v/>
      </c>
      <c r="Q358">
        <f>Table1[[#This Row],[TA 1 - Q1 Bonus]]+Table1[[#This Row],[TA 1 - Q2 Bonus]]+Table1[[#This Row],[TA 1 - Q4 Bonus]]</f>
        <v/>
      </c>
      <c r="R358">
        <f>Table1[[#This Row],[TA 2 - Q1 Score]]+Table1[[#This Row],[TA 2 - Q2 Score]]+Table1[[#This Row],[TA 2 - Q3 Score]]</f>
        <v/>
      </c>
      <c r="S358">
        <f>Table1[[#This Row],[TA 2 - Q1 Bonus]]+Table1[[#This Row],[TA 2 - Q2 Bonus]]+Table1[[#This Row],[TA 2 - Q4 Bonus]]</f>
        <v/>
      </c>
      <c r="T358">
        <f>(Table1[[#This Row],[TA 1 - Total Score (out of 35)]]+Table1[[#This Row],[TA 2 - Total Score (out of 35)]])/2</f>
        <v/>
      </c>
      <c r="U358">
        <f>(Table1[[#This Row],[TA 1 - Total Bonus (out of 13)]]+Table1[[#This Row],[TA 2 - Total Bonus (out of 13)]])/2</f>
        <v/>
      </c>
      <c r="V358">
        <f>Table1[[#This Row],[Average Questions]]/35*20+Table1[[#This Row],[Average Bonus]]/13*5</f>
        <v/>
      </c>
      <c r="W358" t="n">
        <v>7</v>
      </c>
      <c r="X358" t="n">
        <v>0</v>
      </c>
      <c r="Y358" t="inlineStr">
        <is>
          <t>The student completed most tasks with minor issues. The data loading and preparation were mostly correct, but the image display lacked denormalization for proper visualization. The model loading and adaptation were accurate, but the student used EfficientNetV2-Small incorrectly labeled as B0. The training and validation loops had syntax errors, such as unnecessary squeezing of outputs and incorrect loss computation. The TTA implementation was flawed, with repeated horizontal flips and incorrect averaging of predictions.</t>
        </is>
      </c>
      <c r="Z358" t="n">
        <v>8.5</v>
      </c>
      <c r="AA358" t="n">
        <v>0</v>
      </c>
      <c r="AB358" t="inlineStr">
        <is>
          <t>The student successfully completed most tasks with minor issues. The data loading and preparation section included correct transformations and displayed sample images. The CNN model had 5 convolutional layers with batch normalization, though the architecture differed slightly from the reference. Training and validation functions were implemented correctly, and the model trained and plotted losses and accuracies. However, the bonus task was not attempted.</t>
        </is>
      </c>
      <c r="AC358" t="n">
        <v>10</v>
      </c>
      <c r="AD358" t="inlineStr">
        <is>
          <t>The student's submission is mostly correct and runs end-to-end. The dataset class is implemented correctly with proper data loading and transformations. The DataLoaders are set up properly, and sample images and masks are displayed. The U-Net model with the efficientnet-b1 encoder is defined correctly. The training and validation loops are implemented with minor issues, such as using AdamW instead of Adam and a different learning rate, but they function as intended. The loss and optimizer are defined, and the model trains and validates with loss values printed and plotted. Predictions are visualized against ground truth masks. The only issues are minor deviations from the reference solution, which do not affect the correctness of the implementation.</t>
        </is>
      </c>
      <c r="AE358" t="n">
        <v>0</v>
      </c>
      <c r="AF358" t="n">
        <v>0</v>
      </c>
      <c r="AG358" t="inlineStr">
        <is>
          <t>No submission found.</t>
        </is>
      </c>
      <c r="AH358" t="n">
        <v>25.5</v>
      </c>
      <c r="AI358" t="n">
        <v>0</v>
      </c>
    </row>
    <row r="359">
      <c r="A359" t="n">
        <v>358</v>
      </c>
      <c r="B359" t="inlineStr">
        <is>
          <t>TA_7</t>
        </is>
      </c>
      <c r="C359" t="inlineStr">
        <is>
          <t>TA_17</t>
        </is>
      </c>
      <c r="D359" t="n">
        <v>12</v>
      </c>
      <c r="E359" t="n">
        <v>0</v>
      </c>
      <c r="F359" t="n">
        <v>11</v>
      </c>
      <c r="G359" t="n">
        <v>0</v>
      </c>
      <c r="H359" t="n">
        <v>8</v>
      </c>
      <c r="I359" t="n">
        <v>5</v>
      </c>
      <c r="J359" t="n">
        <v>11</v>
      </c>
      <c r="K359" t="n">
        <v>0</v>
      </c>
      <c r="L359" t="n">
        <v>11</v>
      </c>
      <c r="M359" t="n">
        <v>0</v>
      </c>
      <c r="N359" t="n">
        <v>6.5</v>
      </c>
      <c r="O359" t="n">
        <v>5</v>
      </c>
      <c r="P359">
        <f>Table1[[#This Row],[TA 1 - Q1 Score]]+Table1[[#This Row],[TA 1 - Q2 Score]]+Table1[[#This Row],[TA 1 - Q3 Score]]</f>
        <v/>
      </c>
      <c r="Q359">
        <f>Table1[[#This Row],[TA 1 - Q1 Bonus]]+Table1[[#This Row],[TA 1 - Q2 Bonus]]+Table1[[#This Row],[TA 1 - Q4 Bonus]]</f>
        <v/>
      </c>
      <c r="R359">
        <f>Table1[[#This Row],[TA 2 - Q1 Score]]+Table1[[#This Row],[TA 2 - Q2 Score]]+Table1[[#This Row],[TA 2 - Q3 Score]]</f>
        <v/>
      </c>
      <c r="S359">
        <f>Table1[[#This Row],[TA 2 - Q1 Bonus]]+Table1[[#This Row],[TA 2 - Q2 Bonus]]+Table1[[#This Row],[TA 2 - Q4 Bonus]]</f>
        <v/>
      </c>
      <c r="T359">
        <f>(Table1[[#This Row],[TA 1 - Total Score (out of 35)]]+Table1[[#This Row],[TA 2 - Total Score (out of 35)]])/2</f>
        <v/>
      </c>
      <c r="U359">
        <f>(Table1[[#This Row],[TA 1 - Total Bonus (out of 13)]]+Table1[[#This Row],[TA 2 - Total Bonus (out of 13)]])/2</f>
        <v/>
      </c>
      <c r="V359">
        <f>Table1[[#This Row],[Average Questions]]/35*20+Table1[[#This Row],[Average Bonus]]/13*5</f>
        <v/>
      </c>
      <c r="W359" t="n">
        <v>8.5</v>
      </c>
      <c r="X359" t="n">
        <v>0</v>
      </c>
      <c r="Y359" t="inlineStr">
        <is>
          <t>The student completed most tasks with minor issues. In Part 1, the resize transformation was incorrectly set to 24x24 instead of 28x28, resulting in a partial score. Part 2 had a mistake in freezing only the classifier parameters instead of the entire backbone, affecting the model's adaptability. Parts 3 and 4 were mostly correct, with accurate label fixing and plotting functions. However, the bonus task was not attempted.</t>
        </is>
      </c>
      <c r="Z359" t="n">
        <v>9</v>
      </c>
      <c r="AA359" t="n">
        <v>0</v>
      </c>
      <c r="AB359" t="inlineStr">
        <is>
          <t>The student successfully implemented a custom Dataset class, created train/test datasets and DataLoaders, applied the required transformations, and displayed sample images with labels. The CNN model includes five convolutional layers with batch normalization, and the training and validation loops are correctly defined. However, the final plot does not display accuracy values, resulting in a minor deduction.</t>
        </is>
      </c>
      <c r="AC359" t="n">
        <v>7</v>
      </c>
      <c r="AD359" t="inlineStr">
        <is>
          <t>The student's submission partially completes most tasks but contains several issues. Task 1 is mostly correct with a custom dataset class and DataLoaders, but the mask loading has a logical mistake. Task 2 incorrectly sets the number of classes to 1 instead of 8. Task 3 has syntax errors in the training and validation loops. Task 4 correctly defines the loss and optimizer, trains the model, prints losses, and plots the loss curve. Task 5 is incomplete with no visualization code provided.</t>
        </is>
      </c>
      <c r="AE359" t="n">
        <v>0</v>
      </c>
      <c r="AF359" t="n">
        <v>5</v>
      </c>
      <c r="AG359" t="inlineStr">
        <is>
          <t>The student's implementation of the ColorizationDataset class is correct and runs perfectly, producing the expected output and following the optimal logic. The code includes all required methods (__init__, __len__, rgb_to_grayscale, __getitem__) and the visualization is accurate. No mistakes were found in the implementation.</t>
        </is>
      </c>
      <c r="AH359" t="n">
        <v>24.5</v>
      </c>
      <c r="AI359" t="n">
        <v>5</v>
      </c>
    </row>
    <row r="360">
      <c r="A360" t="n">
        <v>359</v>
      </c>
      <c r="B360" t="inlineStr">
        <is>
          <t>TA_7</t>
        </is>
      </c>
      <c r="C360" t="inlineStr">
        <is>
          <t>TA_17</t>
        </is>
      </c>
      <c r="D360" t="n">
        <v>4</v>
      </c>
      <c r="E360" t="n">
        <v>0</v>
      </c>
      <c r="F360" t="n">
        <v>8</v>
      </c>
      <c r="G360" t="n">
        <v>0</v>
      </c>
      <c r="H360" t="n">
        <v>0</v>
      </c>
      <c r="I360" t="n">
        <v>0</v>
      </c>
      <c r="J360" t="n">
        <v>3.5</v>
      </c>
      <c r="K360" t="n">
        <v>0</v>
      </c>
      <c r="L360" t="n">
        <v>8</v>
      </c>
      <c r="M360" t="n">
        <v>0</v>
      </c>
      <c r="N360" t="n">
        <v>0</v>
      </c>
      <c r="O360" t="n">
        <v>0</v>
      </c>
      <c r="P360">
        <f>Table1[[#This Row],[TA 1 - Q1 Score]]+Table1[[#This Row],[TA 1 - Q2 Score]]+Table1[[#This Row],[TA 1 - Q3 Score]]</f>
        <v/>
      </c>
      <c r="Q360">
        <f>Table1[[#This Row],[TA 1 - Q1 Bonus]]+Table1[[#This Row],[TA 1 - Q2 Bonus]]+Table1[[#This Row],[TA 1 - Q4 Bonus]]</f>
        <v/>
      </c>
      <c r="R360">
        <f>Table1[[#This Row],[TA 2 - Q1 Score]]+Table1[[#This Row],[TA 2 - Q2 Score]]+Table1[[#This Row],[TA 2 - Q3 Score]]</f>
        <v/>
      </c>
      <c r="S360">
        <f>Table1[[#This Row],[TA 2 - Q1 Bonus]]+Table1[[#This Row],[TA 2 - Q2 Bonus]]+Table1[[#This Row],[TA 2 - Q4 Bonus]]</f>
        <v/>
      </c>
      <c r="T360">
        <f>(Table1[[#This Row],[TA 1 - Total Score (out of 35)]]+Table1[[#This Row],[TA 2 - Total Score (out of 35)]])/2</f>
        <v/>
      </c>
      <c r="U360">
        <f>(Table1[[#This Row],[TA 1 - Total Bonus (out of 13)]]+Table1[[#This Row],[TA 2 - Total Bonus (out of 13)]])/2</f>
        <v/>
      </c>
      <c r="V360">
        <f>Table1[[#This Row],[Average Questions]]/35*20+Table1[[#This Row],[Average Bonus]]/13*5</f>
        <v/>
      </c>
      <c r="W360" t="n">
        <v>5</v>
      </c>
      <c r="X360" t="n">
        <v>0</v>
      </c>
      <c r="Y360" t="inlineStr">
        <is>
          <t>The student completed the data loading and transformation tasks correctly, including resizing, converting to tensor, and normalizing the images. However, the student used an incorrect model (EfficientNet-B0 instead of EfficientNetV2-Small) and did not freeze the backbone. The training and validation loops were implemented but did not adjust the labels to be 0-indexed, resulting in a penalty. The bonus task was not attempted.</t>
        </is>
      </c>
      <c r="Z360" t="n">
        <v>7</v>
      </c>
      <c r="AA360" t="n">
        <v>0</v>
      </c>
      <c r="AB360" t="inlineStr">
        <is>
          <t>The student partially completed the tasks. They correctly set up the dataset with transformations and displayed sample images, earning full points for these tasks. However, they used incorrect directories for train and test datasets, which is a significant mistake. The CNN model has 5 convolutional layers but does not include batch normalization, losing 2 points. The training and validation loops are mostly correct but have minor issues like unnecessary softmax usage. The model training section is correct, but the residual connection bonus task was not attempted.</t>
        </is>
      </c>
      <c r="AC360" t="n">
        <v>0</v>
      </c>
      <c r="AD360" t="inlineStr">
        <is>
          <t>No submission found.</t>
        </is>
      </c>
      <c r="AE360" t="n">
        <v>0</v>
      </c>
      <c r="AF360" t="n">
        <v>0</v>
      </c>
      <c r="AG360" t="inlineStr">
        <is>
          <t>No submission found.</t>
        </is>
      </c>
      <c r="AH360" t="n">
        <v>12</v>
      </c>
      <c r="AI360" t="n">
        <v>0</v>
      </c>
    </row>
    <row r="361">
      <c r="A361" t="n">
        <v>360</v>
      </c>
      <c r="B361" t="inlineStr">
        <is>
          <t>TA_7</t>
        </is>
      </c>
      <c r="C361" t="inlineStr">
        <is>
          <t>TA_17</t>
        </is>
      </c>
      <c r="D361" t="n">
        <v>11</v>
      </c>
      <c r="E361" t="n">
        <v>0</v>
      </c>
      <c r="F361" t="n">
        <v>9</v>
      </c>
      <c r="G361" t="n">
        <v>0</v>
      </c>
      <c r="H361" t="n">
        <v>12</v>
      </c>
      <c r="I361" t="n">
        <v>0</v>
      </c>
      <c r="J361" t="n">
        <v>6.5</v>
      </c>
      <c r="K361" t="n">
        <v>0</v>
      </c>
      <c r="L361" t="n">
        <v>9</v>
      </c>
      <c r="M361" t="n">
        <v>0</v>
      </c>
      <c r="N361" t="n">
        <v>12</v>
      </c>
      <c r="O361" t="n">
        <v>0</v>
      </c>
      <c r="P361">
        <f>Table1[[#This Row],[TA 1 - Q1 Score]]+Table1[[#This Row],[TA 1 - Q2 Score]]+Table1[[#This Row],[TA 1 - Q3 Score]]</f>
        <v/>
      </c>
      <c r="Q361">
        <f>Table1[[#This Row],[TA 1 - Q1 Bonus]]+Table1[[#This Row],[TA 1 - Q2 Bonus]]+Table1[[#This Row],[TA 1 - Q4 Bonus]]</f>
        <v/>
      </c>
      <c r="R361">
        <f>Table1[[#This Row],[TA 2 - Q1 Score]]+Table1[[#This Row],[TA 2 - Q2 Score]]+Table1[[#This Row],[TA 2 - Q3 Score]]</f>
        <v/>
      </c>
      <c r="S361">
        <f>Table1[[#This Row],[TA 2 - Q1 Bonus]]+Table1[[#This Row],[TA 2 - Q2 Bonus]]+Table1[[#This Row],[TA 2 - Q4 Bonus]]</f>
        <v/>
      </c>
      <c r="T361">
        <f>(Table1[[#This Row],[TA 1 - Total Score (out of 35)]]+Table1[[#This Row],[TA 2 - Total Score (out of 35)]])/2</f>
        <v/>
      </c>
      <c r="U361">
        <f>(Table1[[#This Row],[TA 1 - Total Bonus (out of 13)]]+Table1[[#This Row],[TA 2 - Total Bonus (out of 13)]])/2</f>
        <v/>
      </c>
      <c r="V361">
        <f>Table1[[#This Row],[Average Questions]]/35*20+Table1[[#This Row],[Average Bonus]]/13*5</f>
        <v/>
      </c>
      <c r="W361" t="n">
        <v>5</v>
      </c>
      <c r="X361" t="n">
        <v>0</v>
      </c>
      <c r="Y361" t="inlineStr">
        <is>
          <t>The student completed the data loading and preparation with correct transformations, including resizing, converting to tensor, and normalizing. However, the DataLoader creation had incorrect batch sizes and did not display sample images properly. The model loading and adaptation were mostly correct, but the classifier head was incorrectly set to 27 classes instead of 26. The training and validation loops were implemented with syntax errors, such as squeezing outputs and incorrect label handling. The plotting of losses and accuracies was correct, but the bonus task was not attempted.</t>
        </is>
      </c>
      <c r="Z361" t="n">
        <v>8</v>
      </c>
      <c r="AA361" t="n">
        <v>0</v>
      </c>
      <c r="AB361" t="inlineStr">
        <is>
          <t>The student successfully implemented a custom dataset class, created train and test datasets with appropriate transformations, and displayed sample images. However, the CNN model had incorrect layer sizes leading to a mismatch in dimensions for fully connected layers, resulting in a runtime error. The training and validation loops were mostly correct but included unnecessary softmax operations. The bonus task was not attempted.</t>
        </is>
      </c>
      <c r="AC361" t="n">
        <v>8.5</v>
      </c>
      <c r="AD361" t="inlineStr">
        <is>
          <t>The student's submission largely follows the reference solution but contains minor issues. Task 1 is mostly correct with a few redundant imports and incorrect directory paths. Task 2 is correct with the dataset class implementation. Task 3 is correct with proper training and validation loops. Task 4 is mostly correct with a small mistake in the mask transformation during training and validation. Task 5 is correct with visualization of predictions. The code runs end-to-end with minor adjustments needed.</t>
        </is>
      </c>
      <c r="AE361" t="n">
        <v>0</v>
      </c>
      <c r="AF361" t="n">
        <v>0</v>
      </c>
      <c r="AG361" t="inlineStr">
        <is>
          <t>No submission found.</t>
        </is>
      </c>
      <c r="AH361" t="n">
        <v>21.5</v>
      </c>
      <c r="AI361" t="n">
        <v>0</v>
      </c>
    </row>
    <row r="362">
      <c r="A362" t="n">
        <v>361</v>
      </c>
      <c r="B362" t="inlineStr">
        <is>
          <t>TA_7</t>
        </is>
      </c>
      <c r="C362" t="inlineStr">
        <is>
          <t>TA_17</t>
        </is>
      </c>
      <c r="D362" t="n">
        <v>7.5</v>
      </c>
      <c r="E362" t="n">
        <v>0</v>
      </c>
      <c r="F362" t="n">
        <v>9</v>
      </c>
      <c r="G362" t="n">
        <v>0</v>
      </c>
      <c r="H362" t="n">
        <v>2.5</v>
      </c>
      <c r="I362" t="n">
        <v>0</v>
      </c>
      <c r="J362" t="n">
        <v>6</v>
      </c>
      <c r="K362" t="n">
        <v>0</v>
      </c>
      <c r="L362" t="n">
        <v>9.5</v>
      </c>
      <c r="M362" t="n">
        <v>0</v>
      </c>
      <c r="N362" t="n">
        <v>3</v>
      </c>
      <c r="O362" t="n">
        <v>0</v>
      </c>
      <c r="P362">
        <f>Table1[[#This Row],[TA 1 - Q1 Score]]+Table1[[#This Row],[TA 1 - Q2 Score]]+Table1[[#This Row],[TA 1 - Q3 Score]]</f>
        <v/>
      </c>
      <c r="Q362">
        <f>Table1[[#This Row],[TA 1 - Q1 Bonus]]+Table1[[#This Row],[TA 1 - Q2 Bonus]]+Table1[[#This Row],[TA 1 - Q4 Bonus]]</f>
        <v/>
      </c>
      <c r="R362">
        <f>Table1[[#This Row],[TA 2 - Q1 Score]]+Table1[[#This Row],[TA 2 - Q2 Score]]+Table1[[#This Row],[TA 2 - Q3 Score]]</f>
        <v/>
      </c>
      <c r="S362">
        <f>Table1[[#This Row],[TA 2 - Q1 Bonus]]+Table1[[#This Row],[TA 2 - Q2 Bonus]]+Table1[[#This Row],[TA 2 - Q4 Bonus]]</f>
        <v/>
      </c>
      <c r="T362">
        <f>(Table1[[#This Row],[TA 1 - Total Score (out of 35)]]+Table1[[#This Row],[TA 2 - Total Score (out of 35)]])/2</f>
        <v/>
      </c>
      <c r="U362">
        <f>(Table1[[#This Row],[TA 1 - Total Bonus (out of 13)]]+Table1[[#This Row],[TA 2 - Total Bonus (out of 13)]])/2</f>
        <v/>
      </c>
      <c r="V362">
        <f>Table1[[#This Row],[Average Questions]]/35*20+Table1[[#This Row],[Average Bonus]]/13*5</f>
        <v/>
      </c>
      <c r="W362" t="n">
        <v>6</v>
      </c>
      <c r="X362" t="n">
        <v>0</v>
      </c>
      <c r="Y362" t="inlineStr">
        <is>
          <t>The student completed the data loading and preparation with minor issues, such as using two separate transforms and not fixing labels in the transform. The model loading and adaptation were mostly correct, but all backbone layers were frozen instead of just the feature extractor. The training and validation loops were implemented with some unnecessary softmax operations. The plots were correctly generated, but the bonus task was not attempted.</t>
        </is>
      </c>
      <c r="Z362" t="n">
        <v>7.5</v>
      </c>
      <c r="AA362" t="n">
        <v>0</v>
      </c>
      <c r="AB362" t="inlineStr">
        <is>
          <t>The student successfully loaded and prepared the data with correct transformations and displayed sample images. The CNN model was built with 5 convolutional layers and included batch normalization, though the number of channels and fully connected layer sizes differ from the reference. The training and validation loops were implemented correctly, and the model was trained and plotted. However, the student did not attempt the bonus task of adding a residual connection.</t>
        </is>
      </c>
      <c r="AC362" t="n">
        <v>0</v>
      </c>
      <c r="AD362" t="inlineStr">
        <is>
          <t>The student's submission does not follow the required structure and tasks for multi-class segmentation. Instead of creating a custom dataset class for images and masks, the student created a dataset class for classification. The model defined is an autoencoder, which is entirely incorrect for the segmentation task. The training and validation loops, as well as the visualization of predictions, are also incorrect and do not align with the requirements.</t>
        </is>
      </c>
      <c r="AE362" t="n">
        <v>0</v>
      </c>
      <c r="AF362" t="n">
        <v>0</v>
      </c>
      <c r="AG362" t="inlineStr">
        <is>
          <t>No submission found.</t>
        </is>
      </c>
      <c r="AH362" t="n">
        <v>13.5</v>
      </c>
      <c r="AI362" t="n">
        <v>0</v>
      </c>
    </row>
    <row r="363">
      <c r="A363" t="n">
        <v>362</v>
      </c>
      <c r="B363" t="inlineStr">
        <is>
          <t>TA_7</t>
        </is>
      </c>
      <c r="C363" t="inlineStr">
        <is>
          <t>TA_17</t>
        </is>
      </c>
      <c r="D363" t="n">
        <v>11.5</v>
      </c>
      <c r="E363" t="n">
        <v>0</v>
      </c>
      <c r="F363" t="n">
        <v>11</v>
      </c>
      <c r="G363" t="n">
        <v>0</v>
      </c>
      <c r="H363" t="n">
        <v>6.5</v>
      </c>
      <c r="I363" t="n">
        <v>0</v>
      </c>
      <c r="J363" t="n">
        <v>7</v>
      </c>
      <c r="K363" t="n">
        <v>0</v>
      </c>
      <c r="L363" t="n">
        <v>11</v>
      </c>
      <c r="M363" t="n">
        <v>0</v>
      </c>
      <c r="N363" t="n">
        <v>5</v>
      </c>
      <c r="O363" t="n">
        <v>0</v>
      </c>
      <c r="P363">
        <f>Table1[[#This Row],[TA 1 - Q1 Score]]+Table1[[#This Row],[TA 1 - Q2 Score]]+Table1[[#This Row],[TA 1 - Q3 Score]]</f>
        <v/>
      </c>
      <c r="Q363">
        <f>Table1[[#This Row],[TA 1 - Q1 Bonus]]+Table1[[#This Row],[TA 1 - Q2 Bonus]]+Table1[[#This Row],[TA 1 - Q4 Bonus]]</f>
        <v/>
      </c>
      <c r="R363">
        <f>Table1[[#This Row],[TA 2 - Q1 Score]]+Table1[[#This Row],[TA 2 - Q2 Score]]+Table1[[#This Row],[TA 2 - Q3 Score]]</f>
        <v/>
      </c>
      <c r="S363">
        <f>Table1[[#This Row],[TA 2 - Q1 Bonus]]+Table1[[#This Row],[TA 2 - Q2 Bonus]]+Table1[[#This Row],[TA 2 - Q4 Bonus]]</f>
        <v/>
      </c>
      <c r="T363">
        <f>(Table1[[#This Row],[TA 1 - Total Score (out of 35)]]+Table1[[#This Row],[TA 2 - Total Score (out of 35)]])/2</f>
        <v/>
      </c>
      <c r="U363">
        <f>(Table1[[#This Row],[TA 1 - Total Bonus (out of 13)]]+Table1[[#This Row],[TA 2 - Total Bonus (out of 13)]])/2</f>
        <v/>
      </c>
      <c r="V363">
        <f>Table1[[#This Row],[Average Questions]]/35*20+Table1[[#This Row],[Average Bonus]]/13*5</f>
        <v/>
      </c>
      <c r="W363" t="n">
        <v>5</v>
      </c>
      <c r="X363" t="n">
        <v>0</v>
      </c>
      <c r="Y363" t="inlineStr">
        <is>
          <t>The student completed the data loading and preparation tasks correctly, including resizing, converting to tensor, normalizing, and displaying sample images. However, the model adaptation part was incorrect as the student defined a new model class instead of modifying the EfficientNetV2-Small model. The training and validation loops had syntax errors and logical mistakes, such as incorrect data types and label handling. No bonus task was attempted.</t>
        </is>
      </c>
      <c r="Z363" t="n">
        <v>8.5</v>
      </c>
      <c r="AA363" t="n">
        <v>0</v>
      </c>
      <c r="AB363" t="inlineStr">
        <is>
          <t>The student successfully implemented a custom dataset class, created train and test datasets with appropriate transformations, displayed sample images, built a CNN model with five convolutional layers and batch normalization, defined training and validation loops, and trained the model. However, the CNN model used different channel sizes compared to the reference solution, and the dataset class had minor issues with image path handling. No bonus task was attempted.</t>
        </is>
      </c>
      <c r="AC363" t="n">
        <v>4</v>
      </c>
      <c r="AD363" t="inlineStr">
        <is>
          <t>The student attempted most tasks but made significant errors. The dataset class had issues with file path handling and sorting. The training and validation loops used BCEWithLogitsLoss instead of CrossEntropyLoss, which is incorrect for multi-class segmentation. The visualization code was partially correct but used a binary threshold for predictions, which is not suitable for multi-class tasks.</t>
        </is>
      </c>
      <c r="AE363" t="n">
        <v>0</v>
      </c>
      <c r="AF363" t="n">
        <v>0</v>
      </c>
      <c r="AG363" t="inlineStr">
        <is>
          <t>No submission found.</t>
        </is>
      </c>
      <c r="AH363" t="n">
        <v>17.5</v>
      </c>
      <c r="AI363" t="n">
        <v>0</v>
      </c>
    </row>
    <row r="364">
      <c r="A364" t="n">
        <v>363</v>
      </c>
      <c r="B364" t="inlineStr">
        <is>
          <t>TA_7</t>
        </is>
      </c>
      <c r="C364" t="inlineStr">
        <is>
          <t>TA_17</t>
        </is>
      </c>
      <c r="D364" t="n">
        <v>12</v>
      </c>
      <c r="E364" t="n">
        <v>0</v>
      </c>
      <c r="F364" t="n">
        <v>8.5</v>
      </c>
      <c r="G364" t="n">
        <v>0</v>
      </c>
      <c r="H364" t="n">
        <v>11.5</v>
      </c>
      <c r="I364" t="n">
        <v>0</v>
      </c>
      <c r="J364" t="n">
        <v>10.5</v>
      </c>
      <c r="K364" t="n">
        <v>0</v>
      </c>
      <c r="L364" t="n">
        <v>8.5</v>
      </c>
      <c r="M364" t="n">
        <v>0</v>
      </c>
      <c r="N364" t="n">
        <v>12</v>
      </c>
      <c r="O364" t="n">
        <v>0</v>
      </c>
      <c r="P364">
        <f>Table1[[#This Row],[TA 1 - Q1 Score]]+Table1[[#This Row],[TA 1 - Q2 Score]]+Table1[[#This Row],[TA 1 - Q3 Score]]</f>
        <v/>
      </c>
      <c r="Q364">
        <f>Table1[[#This Row],[TA 1 - Q1 Bonus]]+Table1[[#This Row],[TA 1 - Q2 Bonus]]+Table1[[#This Row],[TA 1 - Q4 Bonus]]</f>
        <v/>
      </c>
      <c r="R364">
        <f>Table1[[#This Row],[TA 2 - Q1 Score]]+Table1[[#This Row],[TA 2 - Q2 Score]]+Table1[[#This Row],[TA 2 - Q3 Score]]</f>
        <v/>
      </c>
      <c r="S364">
        <f>Table1[[#This Row],[TA 2 - Q1 Bonus]]+Table1[[#This Row],[TA 2 - Q2 Bonus]]+Table1[[#This Row],[TA 2 - Q4 Bonus]]</f>
        <v/>
      </c>
      <c r="T364">
        <f>(Table1[[#This Row],[TA 1 - Total Score (out of 35)]]+Table1[[#This Row],[TA 2 - Total Score (out of 35)]])/2</f>
        <v/>
      </c>
      <c r="U364">
        <f>(Table1[[#This Row],[TA 1 - Total Bonus (out of 13)]]+Table1[[#This Row],[TA 2 - Total Bonus (out of 13)]])/2</f>
        <v/>
      </c>
      <c r="V364">
        <f>Table1[[#This Row],[Average Questions]]/35*20+Table1[[#This Row],[Average Bonus]]/13*5</f>
        <v/>
      </c>
      <c r="W364" t="n">
        <v>7</v>
      </c>
      <c r="X364" t="n">
        <v>0</v>
      </c>
      <c r="Y364" t="inlineStr">
        <is>
          <t>The student completed most tasks with minor issues. The data loading and preparation were mostly correct, though the sample images displayed incorrect class labels ('Cat' and 'Dog' instead of actual letters). The model loading and adaptation were correct, but the student froze all parameters instead of just the backbone. The training and validation loops had syntax errors (incorrectly squeezing outputs) and did not adjust labels correctly. The plots were attempted but not fully executed due to time constraints. No bonus task was attempted.</t>
        </is>
      </c>
      <c r="Z364" t="n">
        <v>8</v>
      </c>
      <c r="AA364" t="n">
        <v>0</v>
      </c>
      <c r="AB364" t="inlineStr">
        <is>
          <t>The student successfully implemented a custom dataset class, created train/test datasets and DataLoaders, applied the required transformations, and displayed sample images with labels. The CNN model has 5 convolutional layers, but the number of channels does not match the reference solution. The training and validation loops are correctly implemented, and the model is trained and plotted. However, the bonus task was not completed.</t>
        </is>
      </c>
      <c r="AC364" t="n">
        <v>8.5</v>
      </c>
      <c r="AD364" t="inlineStr">
        <is>
          <t>The student's submission largely follows the reference solution but contains minor issues. Task 1 is mostly correct with proper dataset splitting and transformations, though the image display section has a typo in the title. Task 2 correctly defines the U-Net model with the specified encoder. Task 3 implements training and validation loops accurately. Task 4 defines the loss and optimizer correctly, trains the model, and plots the loss curve. Task 5 visualizes predictions but uses a different colormap and has a minor issue with the title. Overall, the code runs and achieves the required functionality with some minor errors.</t>
        </is>
      </c>
      <c r="AE364" t="n">
        <v>0</v>
      </c>
      <c r="AF364" t="n">
        <v>0</v>
      </c>
      <c r="AG364" t="inlineStr">
        <is>
          <t>No submission found.</t>
        </is>
      </c>
      <c r="AH364" t="n">
        <v>23.5</v>
      </c>
      <c r="AI364" t="n">
        <v>0</v>
      </c>
    </row>
    <row r="365">
      <c r="A365" t="n">
        <v>364</v>
      </c>
      <c r="B365" t="inlineStr">
        <is>
          <t>TA_7</t>
        </is>
      </c>
      <c r="C365" t="inlineStr">
        <is>
          <t>TA_17</t>
        </is>
      </c>
      <c r="D365" t="n">
        <v>7</v>
      </c>
      <c r="E365" t="n">
        <v>0</v>
      </c>
      <c r="F365" t="n">
        <v>5.5</v>
      </c>
      <c r="G365" t="n">
        <v>0</v>
      </c>
      <c r="H365" t="n">
        <v>6.5</v>
      </c>
      <c r="I365" t="n">
        <v>0</v>
      </c>
      <c r="J365" t="n">
        <v>4</v>
      </c>
      <c r="K365" t="n">
        <v>0</v>
      </c>
      <c r="L365" t="n">
        <v>6</v>
      </c>
      <c r="M365" t="n">
        <v>0</v>
      </c>
      <c r="N365" t="n">
        <v>5</v>
      </c>
      <c r="O365" t="n">
        <v>0</v>
      </c>
      <c r="P365">
        <f>Table1[[#This Row],[TA 1 - Q1 Score]]+Table1[[#This Row],[TA 1 - Q2 Score]]+Table1[[#This Row],[TA 1 - Q3 Score]]</f>
        <v/>
      </c>
      <c r="Q365">
        <f>Table1[[#This Row],[TA 1 - Q1 Bonus]]+Table1[[#This Row],[TA 1 - Q2 Bonus]]+Table1[[#This Row],[TA 1 - Q4 Bonus]]</f>
        <v/>
      </c>
      <c r="R365">
        <f>Table1[[#This Row],[TA 2 - Q1 Score]]+Table1[[#This Row],[TA 2 - Q2 Score]]+Table1[[#This Row],[TA 2 - Q3 Score]]</f>
        <v/>
      </c>
      <c r="S365">
        <f>Table1[[#This Row],[TA 2 - Q1 Bonus]]+Table1[[#This Row],[TA 2 - Q2 Bonus]]+Table1[[#This Row],[TA 2 - Q4 Bonus]]</f>
        <v/>
      </c>
      <c r="T365">
        <f>(Table1[[#This Row],[TA 1 - Total Score (out of 35)]]+Table1[[#This Row],[TA 2 - Total Score (out of 35)]])/2</f>
        <v/>
      </c>
      <c r="U365">
        <f>(Table1[[#This Row],[TA 1 - Total Bonus (out of 13)]]+Table1[[#This Row],[TA 2 - Total Bonus (out of 13)]])/2</f>
        <v/>
      </c>
      <c r="V365">
        <f>Table1[[#This Row],[Average Questions]]/35*20+Table1[[#This Row],[Average Bonus]]/13*5</f>
        <v/>
      </c>
      <c r="W365" t="n">
        <v>4</v>
      </c>
      <c r="X365" t="n">
        <v>0</v>
      </c>
      <c r="Y365" t="inlineStr">
        <is>
          <t>The student completed the data loading and transformation tasks correctly, including resizing, converting to tensor, and normalizing the images. However, there were issues in creating the DataLoaders, where the test loader was incorrectly set to shuffle. The sample image display was partially correct but used hardcoded indices. In the model adaptation section, the student froze all parameters instead of just the backbone and incorrectly set the classifier to 32 classes. The training and validation loops had significant errors, including squeezing the outputs and using sigmoid activation, which is inappropriate for multi-class classification. The plots were only for training metrics, missing validation metrics.</t>
        </is>
      </c>
      <c r="Z365" t="n">
        <v>7</v>
      </c>
      <c r="AA365" t="n">
        <v>0</v>
      </c>
      <c r="AB365" t="inlineStr">
        <is>
          <t>The student implemented a custom dataset class and used the correct transformations, including RandomRotation and resizing to 32x32, earning full marks for Part 1. However, the CNN model has only 5 layers but does not meet the requirement of having 5 convolutional layers with Batch Normalization, resulting in 0 for Part 2. The training and validation loops are correctly implemented, earning full marks for Part 3. The model setup, training, and plotting of losses and accuracies are also correct, earning full marks for Part 4. No bonus task was attempted.</t>
        </is>
      </c>
      <c r="AC365" t="n">
        <v>2</v>
      </c>
      <c r="AD365" t="inlineStr">
        <is>
          <t>The student attempted most tasks but made significant errors. In Task 1, the dataset class incorrectly loads images and masks from fixed paths instead of iterating through directories. Task 2 correctly defines the U-Net model with the specified encoder. Task 3 has incorrect training and validation loops due to improper handling of mask dimensions and loss functions. Task 4 uses BCEWithLogitsLoss instead of CrossEntropyLoss, which is inappropriate for multi-class segmentation. Task 5 visualizes predictions but does not handle multi-class masks correctly.</t>
        </is>
      </c>
      <c r="AE365" t="n">
        <v>0</v>
      </c>
      <c r="AF365" t="n">
        <v>0</v>
      </c>
      <c r="AG365" t="inlineStr">
        <is>
          <t>No submission found.</t>
        </is>
      </c>
      <c r="AH365" t="n">
        <v>13</v>
      </c>
      <c r="AI365" t="n">
        <v>0</v>
      </c>
    </row>
    <row r="366">
      <c r="A366" t="n">
        <v>365</v>
      </c>
      <c r="B366" t="inlineStr">
        <is>
          <t>TA_7</t>
        </is>
      </c>
      <c r="C366" t="inlineStr">
        <is>
          <t>TA_17</t>
        </is>
      </c>
      <c r="D366" t="n">
        <v>5</v>
      </c>
      <c r="E366" t="n">
        <v>0</v>
      </c>
      <c r="F366" t="n">
        <v>9</v>
      </c>
      <c r="G366" t="n">
        <v>1</v>
      </c>
      <c r="H366" t="n">
        <v>7</v>
      </c>
      <c r="I366" t="n">
        <v>5</v>
      </c>
      <c r="J366" t="n">
        <v>6.5</v>
      </c>
      <c r="K366" t="n">
        <v>0</v>
      </c>
      <c r="L366" t="n">
        <v>8</v>
      </c>
      <c r="M366" t="n">
        <v>0</v>
      </c>
      <c r="N366" t="n">
        <v>7</v>
      </c>
      <c r="O366" t="n">
        <v>5</v>
      </c>
      <c r="P366">
        <f>Table1[[#This Row],[TA 1 - Q1 Score]]+Table1[[#This Row],[TA 1 - Q2 Score]]+Table1[[#This Row],[TA 1 - Q3 Score]]</f>
        <v/>
      </c>
      <c r="Q366">
        <f>Table1[[#This Row],[TA 1 - Q1 Bonus]]+Table1[[#This Row],[TA 1 - Q2 Bonus]]+Table1[[#This Row],[TA 1 - Q4 Bonus]]</f>
        <v/>
      </c>
      <c r="R366">
        <f>Table1[[#This Row],[TA 2 - Q1 Score]]+Table1[[#This Row],[TA 2 - Q2 Score]]+Table1[[#This Row],[TA 2 - Q3 Score]]</f>
        <v/>
      </c>
      <c r="S366">
        <f>Table1[[#This Row],[TA 2 - Q1 Bonus]]+Table1[[#This Row],[TA 2 - Q2 Bonus]]+Table1[[#This Row],[TA 2 - Q4 Bonus]]</f>
        <v/>
      </c>
      <c r="T366">
        <f>(Table1[[#This Row],[TA 1 - Total Score (out of 35)]]+Table1[[#This Row],[TA 2 - Total Score (out of 35)]])/2</f>
        <v/>
      </c>
      <c r="U366">
        <f>(Table1[[#This Row],[TA 1 - Total Bonus (out of 13)]]+Table1[[#This Row],[TA 2 - Total Bonus (out of 13)]])/2</f>
        <v/>
      </c>
      <c r="V366">
        <f>Table1[[#This Row],[Average Questions]]/35*20+Table1[[#This Row],[Average Bonus]]/13*5</f>
        <v/>
      </c>
      <c r="W366" t="n">
        <v>4</v>
      </c>
      <c r="X366" t="n">
        <v>0</v>
      </c>
      <c r="Y366" t="inlineStr">
        <is>
          <t>The student partially completed the tasks with some syntax and logical errors. The data loading and preparation section had issues with DataLoader shuffling and visualization function. The model loading section used the wrong model variant and incorrectly modified the classifier. The training and validation loops contained errors in handling outputs and labels. The plotting section had issues with passing the correct DataLoader. No bonus task was attempted.</t>
        </is>
      </c>
      <c r="Z366" t="n">
        <v>5</v>
      </c>
      <c r="AA366" t="n">
        <v>0</v>
      </c>
      <c r="AB366" t="inlineStr">
        <is>
          <t>The student attempted most tasks but made several mistakes. In Part 1, the custom dataset class had issues with incorrect file handling and missing mask paths. The DataLoader setup was partially correct but used an undefined Subset class. Part 2's CNN model was mostly correct with 5 layers and batch normalization but had incorrect flattening dimensions. Part 3's training and validation functions were implemented correctly. Part 4's training setup and plotting were mostly correct but used an incorrect number of epochs and had a minor issue with model initialization. The bonus part was not attempted.</t>
        </is>
      </c>
      <c r="AC366" t="n">
        <v>7</v>
      </c>
      <c r="AD366" t="inlineStr">
        <is>
          <t>The student's submission contains mostly correct code with some minor issues. In Task 1, the dataset class has a bug where the image and mask paths are incorrectly assigned. The DataLoader and sample display functions are implemented correctly. Task 2 defines the U-Net model with the correct encoder. Task 3 includes training and validation loops with some unnecessary accuracy calculations. Task 4 sets up the loss and optimizer, trains the model, and plots the loss curve, though it mistakenly uses the training loader for validation. Task 5 visualizes predictions correctly.</t>
        </is>
      </c>
      <c r="AE366" t="n">
        <v>0</v>
      </c>
      <c r="AF366" t="n">
        <v>5</v>
      </c>
      <c r="AG366" t="inlineStr">
        <is>
          <t>The student's implementation of the ColorizationDataset class is correct and runs without errors. The __init__, __len__, rgb_to_grayscale, and __getitem__ methods are all implemented accurately, and the visualization step correctly displays the grayscale and color images. The DataLoader test also confirms the correct shapes of the batches. Therefore, the student receives full bonus points for this task.</t>
        </is>
      </c>
      <c r="AH366" t="n">
        <v>16</v>
      </c>
      <c r="AI366" t="n">
        <v>5</v>
      </c>
    </row>
    <row r="367">
      <c r="A367" t="n">
        <v>366</v>
      </c>
      <c r="B367" t="inlineStr">
        <is>
          <t>TA_7</t>
        </is>
      </c>
      <c r="C367" t="inlineStr">
        <is>
          <t>TA_17</t>
        </is>
      </c>
      <c r="D367" t="n">
        <v>12</v>
      </c>
      <c r="E367" t="n">
        <v>0</v>
      </c>
      <c r="F367" t="n">
        <v>11</v>
      </c>
      <c r="G367" t="n">
        <v>0</v>
      </c>
      <c r="H367" t="n">
        <v>2.5</v>
      </c>
      <c r="I367" t="n">
        <v>0</v>
      </c>
      <c r="J367" t="n">
        <v>11</v>
      </c>
      <c r="K367" t="n">
        <v>0</v>
      </c>
      <c r="L367" t="n">
        <v>11</v>
      </c>
      <c r="M367" t="n">
        <v>0</v>
      </c>
      <c r="N367" t="n">
        <v>1</v>
      </c>
      <c r="O367" t="n">
        <v>0</v>
      </c>
      <c r="P367">
        <f>Table1[[#This Row],[TA 1 - Q1 Score]]+Table1[[#This Row],[TA 1 - Q2 Score]]+Table1[[#This Row],[TA 1 - Q3 Score]]</f>
        <v/>
      </c>
      <c r="Q367">
        <f>Table1[[#This Row],[TA 1 - Q1 Bonus]]+Table1[[#This Row],[TA 1 - Q2 Bonus]]+Table1[[#This Row],[TA 1 - Q4 Bonus]]</f>
        <v/>
      </c>
      <c r="R367">
        <f>Table1[[#This Row],[TA 2 - Q1 Score]]+Table1[[#This Row],[TA 2 - Q2 Score]]+Table1[[#This Row],[TA 2 - Q3 Score]]</f>
        <v/>
      </c>
      <c r="S367">
        <f>Table1[[#This Row],[TA 2 - Q1 Bonus]]+Table1[[#This Row],[TA 2 - Q2 Bonus]]+Table1[[#This Row],[TA 2 - Q4 Bonus]]</f>
        <v/>
      </c>
      <c r="T367">
        <f>(Table1[[#This Row],[TA 1 - Total Score (out of 35)]]+Table1[[#This Row],[TA 2 - Total Score (out of 35)]])/2</f>
        <v/>
      </c>
      <c r="U367">
        <f>(Table1[[#This Row],[TA 1 - Total Bonus (out of 13)]]+Table1[[#This Row],[TA 2 - Total Bonus (out of 13)]])/2</f>
        <v/>
      </c>
      <c r="V367">
        <f>Table1[[#This Row],[Average Questions]]/35*20+Table1[[#This Row],[Average Bonus]]/13*5</f>
        <v/>
      </c>
      <c r="W367" t="n">
        <v>8.5</v>
      </c>
      <c r="X367" t="n">
        <v>0</v>
      </c>
      <c r="Y367" t="inlineStr">
        <is>
          <t>The student completed most tasks correctly but made some minor mistakes. The data loading and preparation were mostly correct, though the batch size was larger than in the reference solution. The model loading and adaptation were accurate, but the student did not freeze only the backbone. The training and validation loops were implemented correctly, including the label fix, but the student used a different optimizer and more epochs. The plotting of losses and accuracies was done accurately. No bonus task was attempted.</t>
        </is>
      </c>
      <c r="Z367" t="n">
        <v>8.5</v>
      </c>
      <c r="AA367" t="n">
        <v>0</v>
      </c>
      <c r="AB367" t="inlineStr">
        <is>
          <t>The student successfully implemented a custom dataset class, created train and test datasets with appropriate transformations, and displayed sample images. However, the CNN model has fewer convolutional layers than required (5 layers needed, 5 layers implemented but with different channel sizes). The training and validation loops are correctly implemented, and the model is trained and plotted. The bonus task was not attempted.</t>
        </is>
      </c>
      <c r="AC367" t="n">
        <v>2</v>
      </c>
      <c r="AD367" t="inlineStr">
        <is>
          <t>The student attempted to build a custom dataset class and create DataLoaders, but there were significant issues with the implementation. The image and mask paths were incorrectly collected, leading to mismatched lengths. The dataset class and transformations were partially correct, but the DataLoader creation and usage were incomplete. No code was provided for the remaining tasks, including defining the model, training and validation loops, running training, and visualizing predictions.</t>
        </is>
      </c>
      <c r="AE367" t="n">
        <v>0</v>
      </c>
      <c r="AF367" t="n">
        <v>0</v>
      </c>
      <c r="AG367" t="inlineStr">
        <is>
          <t>No submission found.</t>
        </is>
      </c>
      <c r="AH367" t="n">
        <v>19</v>
      </c>
      <c r="AI367" t="n">
        <v>0</v>
      </c>
    </row>
    <row r="368">
      <c r="A368" t="n">
        <v>367</v>
      </c>
      <c r="B368" t="inlineStr">
        <is>
          <t>TA_7</t>
        </is>
      </c>
      <c r="C368" t="inlineStr">
        <is>
          <t>TA_17</t>
        </is>
      </c>
      <c r="D368" t="n">
        <v>11</v>
      </c>
      <c r="E368" t="n">
        <v>0</v>
      </c>
      <c r="F368" t="n">
        <v>9</v>
      </c>
      <c r="G368" t="n">
        <v>0</v>
      </c>
      <c r="H368" t="n">
        <v>10</v>
      </c>
      <c r="I368" t="n">
        <v>0</v>
      </c>
      <c r="J368" t="n">
        <v>11</v>
      </c>
      <c r="K368" t="n">
        <v>0</v>
      </c>
      <c r="L368" t="n">
        <v>9</v>
      </c>
      <c r="M368" t="n">
        <v>0</v>
      </c>
      <c r="N368" t="n">
        <v>10.5</v>
      </c>
      <c r="O368" t="n">
        <v>0</v>
      </c>
      <c r="P368">
        <f>Table1[[#This Row],[TA 1 - Q1 Score]]+Table1[[#This Row],[TA 1 - Q2 Score]]+Table1[[#This Row],[TA 1 - Q3 Score]]</f>
        <v/>
      </c>
      <c r="Q368">
        <f>Table1[[#This Row],[TA 1 - Q1 Bonus]]+Table1[[#This Row],[TA 1 - Q2 Bonus]]+Table1[[#This Row],[TA 1 - Q4 Bonus]]</f>
        <v/>
      </c>
      <c r="R368">
        <f>Table1[[#This Row],[TA 2 - Q1 Score]]+Table1[[#This Row],[TA 2 - Q2 Score]]+Table1[[#This Row],[TA 2 - Q3 Score]]</f>
        <v/>
      </c>
      <c r="S368">
        <f>Table1[[#This Row],[TA 2 - Q1 Bonus]]+Table1[[#This Row],[TA 2 - Q2 Bonus]]+Table1[[#This Row],[TA 2 - Q4 Bonus]]</f>
        <v/>
      </c>
      <c r="T368">
        <f>(Table1[[#This Row],[TA 1 - Total Score (out of 35)]]+Table1[[#This Row],[TA 2 - Total Score (out of 35)]])/2</f>
        <v/>
      </c>
      <c r="U368">
        <f>(Table1[[#This Row],[TA 1 - Total Bonus (out of 13)]]+Table1[[#This Row],[TA 2 - Total Bonus (out of 13)]])/2</f>
        <v/>
      </c>
      <c r="V368">
        <f>Table1[[#This Row],[Average Questions]]/35*20+Table1[[#This Row],[Average Bonus]]/13*5</f>
        <v/>
      </c>
      <c r="W368" t="n">
        <v>8.5</v>
      </c>
      <c r="X368" t="n">
        <v>0</v>
      </c>
      <c r="Y368" t="inlineStr">
        <is>
          <t>The student completed most tasks correctly but made some minor mistakes. The data loading and preparation were mostly accurate, though the batch size was smaller than in the reference solution. The model loading and adaptation were correct, but the student froze all parameters instead of just the backbone. The training and validation loops were implemented correctly, including the label fix. However, the student did not attempt the bonus task for test time augmentation.</t>
        </is>
      </c>
      <c r="Z368" t="n">
        <v>8</v>
      </c>
      <c r="AA368" t="n">
        <v>0</v>
      </c>
      <c r="AB368" t="inlineStr">
        <is>
          <t>The student successfully completed most tasks with minor issues. The dataset loading and preparation were done correctly with appropriate transformations and visualization. The CNN model was built with five convolutional layers, though the number of channels and final fully connected layer dimensions were different from the reference. The training and validation loops were implemented correctly, and the model was trained and plotted accurately. However, the bonus task was not attempted.</t>
        </is>
      </c>
      <c r="AC368" t="n">
        <v>4</v>
      </c>
      <c r="AD368" t="inlineStr">
        <is>
          <t>The student attempted most tasks but made several mistakes. The dataset class and data loaders were correctly implemented, but the mask remapping was incorrectly applied within the dataset class. The model definition used an incorrect number of classes, and the training and validation loops had issues with loss calculation due to the wrong loss function and mask handling. Visualization of predictions was attempted but failed due to incorrect mask processing.</t>
        </is>
      </c>
      <c r="AE368" t="n">
        <v>0</v>
      </c>
      <c r="AF368" t="n">
        <v>0</v>
      </c>
      <c r="AG368" t="inlineStr">
        <is>
          <t>The student did not implement the required methods in the `ColorizationDataset` class. The `__init__`, `__len__`, `rgb_to_grayscale`, and `__getitem__` methods were either left unimplemented or incorrectly implemented with placeholder comments and incomplete logic. As a result, the code does not run and does not meet the requirements for the bonus question.</t>
        </is>
      </c>
      <c r="AH368" t="n">
        <v>20.5</v>
      </c>
      <c r="AI368" t="n">
        <v>0</v>
      </c>
    </row>
    <row r="369">
      <c r="A369" t="n">
        <v>368</v>
      </c>
      <c r="B369" t="inlineStr">
        <is>
          <t>TA_7</t>
        </is>
      </c>
      <c r="C369" t="inlineStr">
        <is>
          <t>TA_17</t>
        </is>
      </c>
      <c r="D369" t="n">
        <v>12</v>
      </c>
      <c r="E369" t="n">
        <v>0</v>
      </c>
      <c r="F369" t="n">
        <v>11</v>
      </c>
      <c r="G369" t="n">
        <v>0</v>
      </c>
      <c r="H369" t="n">
        <v>9</v>
      </c>
      <c r="I369" t="n">
        <v>0</v>
      </c>
      <c r="J369" t="n">
        <v>12</v>
      </c>
      <c r="K369" t="n">
        <v>0</v>
      </c>
      <c r="L369" t="n">
        <v>11</v>
      </c>
      <c r="M369" t="n">
        <v>0</v>
      </c>
      <c r="N369" t="n">
        <v>7.5</v>
      </c>
      <c r="O369" t="n">
        <v>0</v>
      </c>
      <c r="P369">
        <f>Table1[[#This Row],[TA 1 - Q1 Score]]+Table1[[#This Row],[TA 1 - Q2 Score]]+Table1[[#This Row],[TA 1 - Q3 Score]]</f>
        <v/>
      </c>
      <c r="Q369">
        <f>Table1[[#This Row],[TA 1 - Q1 Bonus]]+Table1[[#This Row],[TA 1 - Q2 Bonus]]+Table1[[#This Row],[TA 1 - Q4 Bonus]]</f>
        <v/>
      </c>
      <c r="R369">
        <f>Table1[[#This Row],[TA 2 - Q1 Score]]+Table1[[#This Row],[TA 2 - Q2 Score]]+Table1[[#This Row],[TA 2 - Q3 Score]]</f>
        <v/>
      </c>
      <c r="S369">
        <f>Table1[[#This Row],[TA 2 - Q1 Bonus]]+Table1[[#This Row],[TA 2 - Q2 Bonus]]+Table1[[#This Row],[TA 2 - Q4 Bonus]]</f>
        <v/>
      </c>
      <c r="T369">
        <f>(Table1[[#This Row],[TA 1 - Total Score (out of 35)]]+Table1[[#This Row],[TA 2 - Total Score (out of 35)]])/2</f>
        <v/>
      </c>
      <c r="U369">
        <f>(Table1[[#This Row],[TA 1 - Total Bonus (out of 13)]]+Table1[[#This Row],[TA 2 - Total Bonus (out of 13)]])/2</f>
        <v/>
      </c>
      <c r="V369">
        <f>Table1[[#This Row],[Average Questions]]/35*20+Table1[[#This Row],[Average Bonus]]/13*5</f>
        <v/>
      </c>
      <c r="W369" t="n">
        <v>8.5</v>
      </c>
      <c r="X369" t="n">
        <v>0</v>
      </c>
      <c r="Y369" t="inlineStr">
        <is>
          <t>The student completed most tasks with minor issues. The data loading and preparation section had a few syntax errors and incorrect image display indices. The model loading and adaptation were mostly correct but the backbone was not explicitly frozen. The training and validation loops were implemented with some unnecessary softmax operations. The plotting was correct. No bonus task was attempted.</t>
        </is>
      </c>
      <c r="Z369" t="n">
        <v>8</v>
      </c>
      <c r="AA369" t="n">
        <v>0</v>
      </c>
      <c r="AB369" t="inlineStr">
        <is>
          <t>The student successfully loaded and prepared the data with the correct transformations and displayed sample images. The CNN model was built with 5 convolutional layers and batch normalization, though the architecture differs slightly from the reference. Training and validation functions were implemented correctly, and the model was trained and plotted. However, the bonus task was not completed.</t>
        </is>
      </c>
      <c r="AC369" t="n">
        <v>5</v>
      </c>
      <c r="AD369" t="inlineStr">
        <is>
          <t>The student attempted most tasks but made several mistakes. The dataset class and data loaders were correctly implemented, but the display of images and masks had issues. The model class used the correct encoder but had a typo in the dataset download path. The training and validation loops contained logical errors, particularly in handling mask data types. The training process defined the loss and optimizer correctly but failed to plot the loss curve. Visualization of predictions had incorrect handling of the output tensor and used sigmoid activation instead of argmax for multi-class segmentation.</t>
        </is>
      </c>
      <c r="AE369" t="n">
        <v>0</v>
      </c>
      <c r="AF369" t="n">
        <v>0</v>
      </c>
      <c r="AG369" t="inlineStr">
        <is>
          <t>No submission found.</t>
        </is>
      </c>
      <c r="AH369" t="n">
        <v>21.5</v>
      </c>
      <c r="AI369" t="n">
        <v>0</v>
      </c>
    </row>
    <row r="370">
      <c r="A370" t="n">
        <v>369</v>
      </c>
      <c r="B370" t="inlineStr">
        <is>
          <t>TA_7</t>
        </is>
      </c>
      <c r="C370" t="inlineStr">
        <is>
          <t>TA_17</t>
        </is>
      </c>
      <c r="D370" t="n">
        <v>12</v>
      </c>
      <c r="E370" t="n">
        <v>4</v>
      </c>
      <c r="F370" t="n">
        <v>11</v>
      </c>
      <c r="G370" t="n">
        <v>4</v>
      </c>
      <c r="H370" t="n">
        <v>12</v>
      </c>
      <c r="I370" t="n">
        <v>5</v>
      </c>
      <c r="J370" t="n">
        <v>10.5</v>
      </c>
      <c r="K370" t="n">
        <v>1.5</v>
      </c>
      <c r="L370" t="n">
        <v>8</v>
      </c>
      <c r="M370" t="n">
        <v>2</v>
      </c>
      <c r="N370" t="n">
        <v>12</v>
      </c>
      <c r="O370" t="n">
        <v>5</v>
      </c>
      <c r="P370">
        <f>Table1[[#This Row],[TA 1 - Q1 Score]]+Table1[[#This Row],[TA 1 - Q2 Score]]+Table1[[#This Row],[TA 1 - Q3 Score]]</f>
        <v/>
      </c>
      <c r="Q370">
        <f>Table1[[#This Row],[TA 1 - Q1 Bonus]]+Table1[[#This Row],[TA 1 - Q2 Bonus]]+Table1[[#This Row],[TA 1 - Q4 Bonus]]</f>
        <v/>
      </c>
      <c r="R370">
        <f>Table1[[#This Row],[TA 2 - Q1 Score]]+Table1[[#This Row],[TA 2 - Q2 Score]]+Table1[[#This Row],[TA 2 - Q3 Score]]</f>
        <v/>
      </c>
      <c r="S370">
        <f>Table1[[#This Row],[TA 2 - Q1 Bonus]]+Table1[[#This Row],[TA 2 - Q2 Bonus]]+Table1[[#This Row],[TA 2 - Q4 Bonus]]</f>
        <v/>
      </c>
      <c r="T370">
        <f>(Table1[[#This Row],[TA 1 - Total Score (out of 35)]]+Table1[[#This Row],[TA 2 - Total Score (out of 35)]])/2</f>
        <v/>
      </c>
      <c r="U370">
        <f>(Table1[[#This Row],[TA 1 - Total Bonus (out of 13)]]+Table1[[#This Row],[TA 2 - Total Bonus (out of 13)]])/2</f>
        <v/>
      </c>
      <c r="V370">
        <f>Table1[[#This Row],[Average Questions]]/35*20+Table1[[#This Row],[Average Bonus]]/13*5</f>
        <v/>
      </c>
      <c r="W370" t="n">
        <v>10.5</v>
      </c>
      <c r="X370" t="n">
        <v>3</v>
      </c>
      <c r="Y370" t="inlineStr">
        <is>
          <t>The student completed most tasks correctly. In Part 1, all transforms were implemented properly. In Part 2, the pretrained model was loaded, the backbone was frozen, and the classifier head was replaced correctly. In Part 3, both training and validation loops were defined accurately, and label fixing was done correctly. In Part 4, the setup was correct, the model trained, and plots were generated. For the bonus task, the student correctly defined three predictions and averaged them, though the learning rate was unnecessarily low.</t>
        </is>
      </c>
      <c r="Z370" t="n">
        <v>9.5</v>
      </c>
      <c r="AA370" t="n">
        <v>3</v>
      </c>
      <c r="AB370" t="inlineStr">
        <is>
          <t>The student successfully completed most tasks with minor issues. The dataset loading and preparation were mostly correct, except for the directory paths which were adjusted due to an unexpected issue. The CNN model was built with 5 convolutional layers and batch normalization, earning full points. The training and validation loops were implemented correctly. The residual connection was defined and used properly, though the student used a projection layer to match dimensions, which is acceptable. The plots were generated correctly for both the original and residual models.</t>
        </is>
      </c>
      <c r="AC370" t="n">
        <v>8</v>
      </c>
      <c r="AD370" t="inlineStr">
        <is>
          <t>The student's submission contains mostly correct code with minor issues. Task 1 is partially correct with a small mistake in the mask transformation. Task 2 is correct with the specified encoder. Task 3 is mostly correct with a minor issue in the validation loop decorator. Task 4 is partially correct with a lower number of epochs and a minor issue in the learning rate. Task 5 is mostly correct with a minor issue in the colormap used for predictions.</t>
        </is>
      </c>
      <c r="AE370" t="n">
        <v>0</v>
      </c>
      <c r="AF370" t="n">
        <v>5</v>
      </c>
      <c r="AG370" t="inlineStr">
        <is>
          <t>The student's implementation of the ColorizationDataset class is correct and runs perfectly, producing the expected output and following the optimal logic. The code includes all required methods (__init__, __len__, rgb_to_grayscale, __getitem__) and the visualization is accurate. No mistakes were found in the implementation.</t>
        </is>
      </c>
      <c r="AH370" t="n">
        <v>28</v>
      </c>
      <c r="AI370" t="n">
        <v>11</v>
      </c>
    </row>
    <row r="371">
      <c r="A371" t="n">
        <v>370</v>
      </c>
      <c r="B371" t="inlineStr">
        <is>
          <t>TA_7</t>
        </is>
      </c>
      <c r="C371" t="inlineStr">
        <is>
          <t>TA_17</t>
        </is>
      </c>
      <c r="D371" t="n">
        <v>11</v>
      </c>
      <c r="E371" t="n">
        <v>0</v>
      </c>
      <c r="F371" t="n">
        <v>9</v>
      </c>
      <c r="G371" t="n">
        <v>0</v>
      </c>
      <c r="H371" t="n">
        <v>10.5</v>
      </c>
      <c r="I371" t="n">
        <v>0</v>
      </c>
      <c r="J371" t="n">
        <v>11</v>
      </c>
      <c r="K371" t="n">
        <v>0</v>
      </c>
      <c r="L371" t="n">
        <v>9</v>
      </c>
      <c r="M371" t="n">
        <v>0</v>
      </c>
      <c r="N371" t="n">
        <v>9</v>
      </c>
      <c r="O371" t="n">
        <v>0</v>
      </c>
      <c r="P371">
        <f>Table1[[#This Row],[TA 1 - Q1 Score]]+Table1[[#This Row],[TA 1 - Q2 Score]]+Table1[[#This Row],[TA 1 - Q3 Score]]</f>
        <v/>
      </c>
      <c r="Q371">
        <f>Table1[[#This Row],[TA 1 - Q1 Bonus]]+Table1[[#This Row],[TA 1 - Q2 Bonus]]+Table1[[#This Row],[TA 1 - Q4 Bonus]]</f>
        <v/>
      </c>
      <c r="R371">
        <f>Table1[[#This Row],[TA 2 - Q1 Score]]+Table1[[#This Row],[TA 2 - Q2 Score]]+Table1[[#This Row],[TA 2 - Q3 Score]]</f>
        <v/>
      </c>
      <c r="S371">
        <f>Table1[[#This Row],[TA 2 - Q1 Bonus]]+Table1[[#This Row],[TA 2 - Q2 Bonus]]+Table1[[#This Row],[TA 2 - Q4 Bonus]]</f>
        <v/>
      </c>
      <c r="T371">
        <f>(Table1[[#This Row],[TA 1 - Total Score (out of 35)]]+Table1[[#This Row],[TA 2 - Total Score (out of 35)]])/2</f>
        <v/>
      </c>
      <c r="U371">
        <f>(Table1[[#This Row],[TA 1 - Total Bonus (out of 13)]]+Table1[[#This Row],[TA 2 - Total Bonus (out of 13)]])/2</f>
        <v/>
      </c>
      <c r="V371">
        <f>Table1[[#This Row],[Average Questions]]/35*20+Table1[[#This Row],[Average Bonus]]/13*5</f>
        <v/>
      </c>
      <c r="W371" t="n">
        <v>8.5</v>
      </c>
      <c r="X371" t="n">
        <v>0</v>
      </c>
      <c r="Y371" t="inlineStr">
        <is>
          <t>The student completed most tasks correctly but made some minor mistakes. The data loading and preparation were mostly correct, with the exception of the batch size being set to 32 instead of 64. The model loading and adaptation were correct, but the student froze all parameters instead of just the backbone. The training and validation loops were implemented correctly, including the label fix. However, the optimizer used was SGD instead of Adam, and the plots were labeled incorrectly as 'Testing Accuracy' instead of 'Validation Accuracy'. No bonus task was attempted.</t>
        </is>
      </c>
      <c r="Z371" t="n">
        <v>8.5</v>
      </c>
      <c r="AA371" t="n">
        <v>0</v>
      </c>
      <c r="AB371" t="inlineStr">
        <is>
          <t>The student implemented a custom dataset class and used the correct transformations, including RandomRotation and resizing to 32x32. Sample images were displayed with labels. The CNN model has 5 convolutional layers, but the channel sizes do not match the reference solution. Batch normalization was not added. Training and validation loops were correctly defined and executed, with plots showing loss and accuracy over epochs. The bonus task was not attempted.</t>
        </is>
      </c>
      <c r="AC371" t="n">
        <v>8</v>
      </c>
      <c r="AD371" t="inlineStr">
        <is>
          <t>The student's submission includes most of the required tasks with minor issues. The dataset class is implemented correctly, and the DataLoaders are set up properly. However, there is a discrepancy in the number of classes detected in the masks, which may indicate a problem with the dataset or preprocessing. The model class is defined with the correct encoder, and the training and validation loops are implemented. The loss and optimizer are defined, and the model is trained for 10 epochs with loss printed and plotted. The predictions are visualized, but the masks are displayed in grayscale instead of using a colormap that distinguishes between classes.</t>
        </is>
      </c>
      <c r="AE371" t="n">
        <v>0</v>
      </c>
      <c r="AF371" t="n">
        <v>0</v>
      </c>
      <c r="AG371" t="inlineStr">
        <is>
          <t>No submission found.</t>
        </is>
      </c>
      <c r="AH371" t="n">
        <v>25</v>
      </c>
      <c r="AI371" t="n">
        <v>0</v>
      </c>
    </row>
    <row r="372">
      <c r="A372" t="n">
        <v>371</v>
      </c>
      <c r="B372" t="inlineStr">
        <is>
          <t>TA_7</t>
        </is>
      </c>
      <c r="C372" t="inlineStr">
        <is>
          <t>TA_17</t>
        </is>
      </c>
      <c r="D372" t="n">
        <v>7.5</v>
      </c>
      <c r="E372" t="n">
        <v>0</v>
      </c>
      <c r="F372" t="n">
        <v>6.5</v>
      </c>
      <c r="G372" t="n">
        <v>0</v>
      </c>
      <c r="H372" t="n">
        <v>6</v>
      </c>
      <c r="I372" t="n">
        <v>0</v>
      </c>
      <c r="J372" t="n">
        <v>6</v>
      </c>
      <c r="K372" t="n">
        <v>0</v>
      </c>
      <c r="L372" t="n">
        <v>7</v>
      </c>
      <c r="M372" t="n">
        <v>0</v>
      </c>
      <c r="N372" t="n">
        <v>4</v>
      </c>
      <c r="O372" t="n">
        <v>0</v>
      </c>
      <c r="P372">
        <f>Table1[[#This Row],[TA 1 - Q1 Score]]+Table1[[#This Row],[TA 1 - Q2 Score]]+Table1[[#This Row],[TA 1 - Q3 Score]]</f>
        <v/>
      </c>
      <c r="Q372">
        <f>Table1[[#This Row],[TA 1 - Q1 Bonus]]+Table1[[#This Row],[TA 1 - Q2 Bonus]]+Table1[[#This Row],[TA 1 - Q4 Bonus]]</f>
        <v/>
      </c>
      <c r="R372">
        <f>Table1[[#This Row],[TA 2 - Q1 Score]]+Table1[[#This Row],[TA 2 - Q2 Score]]+Table1[[#This Row],[TA 2 - Q3 Score]]</f>
        <v/>
      </c>
      <c r="S372">
        <f>Table1[[#This Row],[TA 2 - Q1 Bonus]]+Table1[[#This Row],[TA 2 - Q2 Bonus]]+Table1[[#This Row],[TA 2 - Q4 Bonus]]</f>
        <v/>
      </c>
      <c r="T372">
        <f>(Table1[[#This Row],[TA 1 - Total Score (out of 35)]]+Table1[[#This Row],[TA 2 - Total Score (out of 35)]])/2</f>
        <v/>
      </c>
      <c r="U372">
        <f>(Table1[[#This Row],[TA 1 - Total Bonus (out of 13)]]+Table1[[#This Row],[TA 2 - Total Bonus (out of 13)]])/2</f>
        <v/>
      </c>
      <c r="V372">
        <f>Table1[[#This Row],[Average Questions]]/35*20+Table1[[#This Row],[Average Bonus]]/13*5</f>
        <v/>
      </c>
      <c r="W372" t="n">
        <v>5.5</v>
      </c>
      <c r="X372" t="n">
        <v>0</v>
      </c>
      <c r="Y372" t="inlineStr">
        <is>
          <t>The student completed the data loading and transformation tasks correctly, including resizing, converting to tensor, and normalizing the images. However, the DataLoader creation had incorrect arguments (using datasets instead of loaders). Sample image display was attempted but incorrectly used the dataset instead of the DataLoader. The model loading and adaptation were mostly correct, but all parameters were frozen instead of just the backbone. The training and validation loops were implemented but contained errors, such as using the dataset directly instead of the DataLoader. Label fixing was not done, resulting in a penalty. No bonus task was attempted.</t>
        </is>
      </c>
      <c r="Z372" t="n">
        <v>7</v>
      </c>
      <c r="AA372" t="n">
        <v>0</v>
      </c>
      <c r="AB372" t="inlineStr">
        <is>
          <t>The student implemented a custom dataset class and used appropriate transformations, achieving full marks for Part 1. However, the CNN model in Part 2 has several issues: incorrect number of convolutional layers, mismatched input/output channels, and incorrect fully connected layer sizes, resulting in partial credit. The training and validation loops in Part 3 are mostly correct but contain unnecessary softmax operations, leading to partial credit. The model training in Part 4 runs but does not follow the specified architecture, so it receives partial credit. No bonus task was attempted.</t>
        </is>
      </c>
      <c r="AC372" t="n">
        <v>4</v>
      </c>
      <c r="AD372" t="inlineStr">
        <is>
          <t>The student attempted most tasks but made significant errors. In Task 1, the dataset class incorrectly assumes a folder structure and returns an extra label. DataLoader creation and sample display were partially correct. Task 2 used the wrong number of classes for multi-class segmentation. Task 3 had incorrect implementation of training and validation loops, using BCEWithLogitsLoss instead of CrossEntropyLoss. Task 4 correctly defined loss and optimizer but failed to plot the loss curve. Task 5 visualized predictions but did not handle multi-class masks correctly.</t>
        </is>
      </c>
      <c r="AE372" t="n">
        <v>0</v>
      </c>
      <c r="AF372" t="n">
        <v>0</v>
      </c>
      <c r="AG372" t="inlineStr">
        <is>
          <t>No submission found.</t>
        </is>
      </c>
      <c r="AH372" t="n">
        <v>16.5</v>
      </c>
      <c r="AI372" t="n">
        <v>0</v>
      </c>
    </row>
    <row r="373">
      <c r="A373" t="n">
        <v>372</v>
      </c>
      <c r="B373" t="inlineStr">
        <is>
          <t>TA_7</t>
        </is>
      </c>
      <c r="C373" t="inlineStr">
        <is>
          <t>TA_17</t>
        </is>
      </c>
      <c r="D373" t="n">
        <v>10</v>
      </c>
      <c r="E373" t="n">
        <v>0</v>
      </c>
      <c r="F373" t="n">
        <v>10</v>
      </c>
      <c r="G373" t="n">
        <v>0</v>
      </c>
      <c r="H373" t="n">
        <v>8.5</v>
      </c>
      <c r="I373" t="n">
        <v>0</v>
      </c>
      <c r="J373" t="n">
        <v>10</v>
      </c>
      <c r="K373" t="n">
        <v>0</v>
      </c>
      <c r="L373" t="n">
        <v>10</v>
      </c>
      <c r="M373" t="n">
        <v>0</v>
      </c>
      <c r="N373" t="n">
        <v>10</v>
      </c>
      <c r="O373" t="n">
        <v>0</v>
      </c>
      <c r="P373">
        <f>Table1[[#This Row],[TA 1 - Q1 Score]]+Table1[[#This Row],[TA 1 - Q2 Score]]+Table1[[#This Row],[TA 1 - Q3 Score]]</f>
        <v/>
      </c>
      <c r="Q373">
        <f>Table1[[#This Row],[TA 1 - Q1 Bonus]]+Table1[[#This Row],[TA 1 - Q2 Bonus]]+Table1[[#This Row],[TA 1 - Q4 Bonus]]</f>
        <v/>
      </c>
      <c r="R373">
        <f>Table1[[#This Row],[TA 2 - Q1 Score]]+Table1[[#This Row],[TA 2 - Q2 Score]]+Table1[[#This Row],[TA 2 - Q3 Score]]</f>
        <v/>
      </c>
      <c r="S373">
        <f>Table1[[#This Row],[TA 2 - Q1 Bonus]]+Table1[[#This Row],[TA 2 - Q2 Bonus]]+Table1[[#This Row],[TA 2 - Q4 Bonus]]</f>
        <v/>
      </c>
      <c r="T373">
        <f>(Table1[[#This Row],[TA 1 - Total Score (out of 35)]]+Table1[[#This Row],[TA 2 - Total Score (out of 35)]])/2</f>
        <v/>
      </c>
      <c r="U373">
        <f>(Table1[[#This Row],[TA 1 - Total Bonus (out of 13)]]+Table1[[#This Row],[TA 2 - Total Bonus (out of 13)]])/2</f>
        <v/>
      </c>
      <c r="V373">
        <f>Table1[[#This Row],[Average Questions]]/35*20+Table1[[#This Row],[Average Bonus]]/13*5</f>
        <v/>
      </c>
      <c r="W373" t="n">
        <v>8</v>
      </c>
      <c r="X373" t="n">
        <v>0</v>
      </c>
      <c r="Y373" t="inlineStr">
        <is>
          <t>The student completed most tasks correctly but made some minor mistakes. The data loading and preparation were mostly accurate, with the correct transformations applied. However, the test DataLoader was incorrectly set to shuffle, which is not ideal for testing. The model loading and adaptation were correct, with the backbone frozen and the classifier head replaced properly. The training and validation loops were implemented correctly, but the labels were not adjusted within the loops, leading to a penalty. The plotting of losses and accuracies was done accurately. No bonus task was attempted.</t>
        </is>
      </c>
      <c r="Z373" t="n">
        <v>8</v>
      </c>
      <c r="AA373" t="n">
        <v>0</v>
      </c>
      <c r="AB373" t="inlineStr">
        <is>
          <t>The student implemented a custom dataset class and used the correct transformations, including RandomRotation and resizing to 32x32. Sample images were displayed with labels. The CNN model had 5 convolutional layers with batch normalization, though the channel sizes and fully connected layer input dimensions were incorrect. Training and validation loops were defined and executed, with plots of losses and accuracies. However, the bonus task was not completed.</t>
        </is>
      </c>
      <c r="AC373" t="n">
        <v>4</v>
      </c>
      <c r="AD373" t="inlineStr">
        <is>
          <t>The student's submission has several issues. In Task 1, the dataset class does not correctly separate training and testing datasets, leading to potential data leakage. The display function is partially correct but does not remap the mask values. In Task 2, the model is incorrectly defined with only one class instead of eight. Task 3's training and validation loops contain logical errors, using BCEWithLogitsLoss which is unsuitable for multi-class segmentation. Task 4's loss and optimizer definitions are incorrect for multi-class segmentation, and the training loop does not handle the model's output correctly. Task 5's visualization code is mostly correct but does not handle multi-class masks properly.</t>
        </is>
      </c>
      <c r="AE373" t="n">
        <v>0</v>
      </c>
      <c r="AF373" t="n">
        <v>0</v>
      </c>
      <c r="AG373" t="inlineStr">
        <is>
          <t>No submission found.</t>
        </is>
      </c>
      <c r="AH373" t="n">
        <v>20</v>
      </c>
      <c r="AI373" t="n">
        <v>0</v>
      </c>
    </row>
    <row r="374">
      <c r="A374" t="n">
        <v>373</v>
      </c>
      <c r="B374" t="inlineStr">
        <is>
          <t>TA_7</t>
        </is>
      </c>
      <c r="C374" t="inlineStr">
        <is>
          <t>TA_17</t>
        </is>
      </c>
      <c r="D374" t="n">
        <v>8.5</v>
      </c>
      <c r="E374" t="n">
        <v>0</v>
      </c>
      <c r="F374" t="n">
        <v>8.5</v>
      </c>
      <c r="G374" t="n">
        <v>0</v>
      </c>
      <c r="H374" t="n">
        <v>12</v>
      </c>
      <c r="I374" t="n">
        <v>0</v>
      </c>
      <c r="J374" t="n">
        <v>10</v>
      </c>
      <c r="K374" t="n">
        <v>0</v>
      </c>
      <c r="L374" t="n">
        <v>8.5</v>
      </c>
      <c r="M374" t="n">
        <v>0</v>
      </c>
      <c r="N374" t="n">
        <v>12</v>
      </c>
      <c r="O374" t="n">
        <v>0</v>
      </c>
      <c r="P374">
        <f>Table1[[#This Row],[TA 1 - Q1 Score]]+Table1[[#This Row],[TA 1 - Q2 Score]]+Table1[[#This Row],[TA 1 - Q3 Score]]</f>
        <v/>
      </c>
      <c r="Q374">
        <f>Table1[[#This Row],[TA 1 - Q1 Bonus]]+Table1[[#This Row],[TA 1 - Q2 Bonus]]+Table1[[#This Row],[TA 1 - Q4 Bonus]]</f>
        <v/>
      </c>
      <c r="R374">
        <f>Table1[[#This Row],[TA 2 - Q1 Score]]+Table1[[#This Row],[TA 2 - Q2 Score]]+Table1[[#This Row],[TA 2 - Q3 Score]]</f>
        <v/>
      </c>
      <c r="S374">
        <f>Table1[[#This Row],[TA 2 - Q1 Bonus]]+Table1[[#This Row],[TA 2 - Q2 Bonus]]+Table1[[#This Row],[TA 2 - Q4 Bonus]]</f>
        <v/>
      </c>
      <c r="T374">
        <f>(Table1[[#This Row],[TA 1 - Total Score (out of 35)]]+Table1[[#This Row],[TA 2 - Total Score (out of 35)]])/2</f>
        <v/>
      </c>
      <c r="U374">
        <f>(Table1[[#This Row],[TA 1 - Total Bonus (out of 13)]]+Table1[[#This Row],[TA 2 - Total Bonus (out of 13)]])/2</f>
        <v/>
      </c>
      <c r="V374">
        <f>Table1[[#This Row],[Average Questions]]/35*20+Table1[[#This Row],[Average Bonus]]/13*5</f>
        <v/>
      </c>
      <c r="W374" t="n">
        <v>7</v>
      </c>
      <c r="X374" t="n">
        <v>0</v>
      </c>
      <c r="Y374" t="inlineStr">
        <is>
          <t>The student completed most tasks with minor issues. The data loading and preparation were mostly correct, though the batch size was smaller than in the reference solution. The model loading and adaptation were correct, but the student did not freeze the backbone. The training and validation loops had syntax errors and logical mistakes, particularly in handling the model outputs and labels. The plotting of losses and accuracies was not implemented. No bonus task was attempted.</t>
        </is>
      </c>
      <c r="Z374" t="n">
        <v>8</v>
      </c>
      <c r="AA374" t="n">
        <v>0</v>
      </c>
      <c r="AB374" t="inlineStr">
        <is>
          <t>The student successfully loaded and prepared the data with the correct transformations and displayed sample images. The CNN model has 5 convolutional layers but does not include batch normalization, earning partial credit. Both training and validation functions were implemented correctly. The model was trained and plotted with losses and accuracies. However, the bonus task was not attempted.</t>
        </is>
      </c>
      <c r="AC374" t="n">
        <v>8.5</v>
      </c>
      <c r="AD374" t="inlineStr">
        <is>
          <t>The student's submission largely follows the reference solution but contains minor issues. Task 1 is mostly correct with a small mistake in the mask transformation. Task 2 correctly defines the U-Net model with the specified encoder. Task 3 implements the training and validation loops accurately. Task 4 defines the loss and optimizer correctly and runs the training process, printing and plotting the losses. Task 5 visualizes predictions but uses a grayscale colormap instead of 'tab10'. Overall, the submission is well-structured and functional, earning partial credit for minor discrepancies.</t>
        </is>
      </c>
      <c r="AE374" t="n">
        <v>0</v>
      </c>
      <c r="AF374" t="n">
        <v>0</v>
      </c>
      <c r="AG374" t="inlineStr">
        <is>
          <t>No submission found.</t>
        </is>
      </c>
      <c r="AH374" t="n">
        <v>23.5</v>
      </c>
      <c r="AI374" t="n">
        <v>0</v>
      </c>
    </row>
    <row r="375">
      <c r="A375" t="n">
        <v>374</v>
      </c>
      <c r="B375" t="inlineStr">
        <is>
          <t>TA_7</t>
        </is>
      </c>
      <c r="C375" t="inlineStr">
        <is>
          <t>TA_17</t>
        </is>
      </c>
      <c r="D375" t="n">
        <v>9.5</v>
      </c>
      <c r="E375" t="n">
        <v>3</v>
      </c>
      <c r="F375" t="n">
        <v>8</v>
      </c>
      <c r="G375" t="n">
        <v>1</v>
      </c>
      <c r="H375" t="n">
        <v>3</v>
      </c>
      <c r="I375" t="n">
        <v>0</v>
      </c>
      <c r="J375" t="n">
        <v>8.5</v>
      </c>
      <c r="K375" t="n">
        <v>0</v>
      </c>
      <c r="L375" t="n">
        <v>7.5</v>
      </c>
      <c r="M375" t="n">
        <v>0</v>
      </c>
      <c r="N375" t="n">
        <v>4</v>
      </c>
      <c r="O375" t="n">
        <v>0</v>
      </c>
      <c r="P375">
        <f>Table1[[#This Row],[TA 1 - Q1 Score]]+Table1[[#This Row],[TA 1 - Q2 Score]]+Table1[[#This Row],[TA 1 - Q3 Score]]</f>
        <v/>
      </c>
      <c r="Q375">
        <f>Table1[[#This Row],[TA 1 - Q1 Bonus]]+Table1[[#This Row],[TA 1 - Q2 Bonus]]+Table1[[#This Row],[TA 1 - Q4 Bonus]]</f>
        <v/>
      </c>
      <c r="R375">
        <f>Table1[[#This Row],[TA 2 - Q1 Score]]+Table1[[#This Row],[TA 2 - Q2 Score]]+Table1[[#This Row],[TA 2 - Q3 Score]]</f>
        <v/>
      </c>
      <c r="S375">
        <f>Table1[[#This Row],[TA 2 - Q1 Bonus]]+Table1[[#This Row],[TA 2 - Q2 Bonus]]+Table1[[#This Row],[TA 2 - Q4 Bonus]]</f>
        <v/>
      </c>
      <c r="T375">
        <f>(Table1[[#This Row],[TA 1 - Total Score (out of 35)]]+Table1[[#This Row],[TA 2 - Total Score (out of 35)]])/2</f>
        <v/>
      </c>
      <c r="U375">
        <f>(Table1[[#This Row],[TA 1 - Total Bonus (out of 13)]]+Table1[[#This Row],[TA 2 - Total Bonus (out of 13)]])/2</f>
        <v/>
      </c>
      <c r="V375">
        <f>Table1[[#This Row],[Average Questions]]/35*20+Table1[[#This Row],[Average Bonus]]/13*5</f>
        <v/>
      </c>
      <c r="W375" t="n">
        <v>6</v>
      </c>
      <c r="X375" t="n">
        <v>0</v>
      </c>
      <c r="Y375" t="inlineStr">
        <is>
          <t>The student completed the data loading and preparation with minor issues, such as using a batch size of 32 instead of 64. The model loading and adaptation were mostly correct, but the student used EfficientNet-B0 instead of EfficientNetV2-Small. The training and validation loops were implemented with some syntax errors, particularly in the handling of model outputs. The student did not plot the training and validation losses and accuracies. The bonus task for test time augmentation was partially attempted but contained significant errors in the implementation.</t>
        </is>
      </c>
      <c r="Z375" t="n">
        <v>6</v>
      </c>
      <c r="AA375" t="n">
        <v>0</v>
      </c>
      <c r="AB375" t="inlineStr">
        <is>
          <t>The student correctly implemented the dataset loading and preparation with the specified transformations, achieving full marks for Part 1. The CNN model in Part 2 has 5 convolutional layers but does not include batch normalization, earning 1 point out of 2. The training and validation functions in Part 3 are mostly correct but include unnecessary softmax calls, resulting in partial credit. Part 4 is executed with the correct setup, training, and plotting, earning full marks. The bonus part is not attempted, so no bonus points are awarded.</t>
        </is>
      </c>
      <c r="AC375" t="n">
        <v>2</v>
      </c>
      <c r="AD375" t="inlineStr">
        <is>
          <t>The student attempted most tasks but made significant errors. In Task 1, the dataset class was incorrectly implemented using ImageFolder instead of a custom class, and the mask remapping was not applied. Task 2 used an incorrect model architecture (resnet34 instead of efficientnet-b1) and an unsuitable loss function (BCEWithLogitsLoss for multi-class segmentation). Task 3 had incomplete training and validation loops with incorrect data handling. Task 4 did not correctly define the loss and optimizer, and Task 5 was not attempted.</t>
        </is>
      </c>
      <c r="AE375" t="n">
        <v>0</v>
      </c>
      <c r="AF375" t="n">
        <v>0</v>
      </c>
      <c r="AG375" t="inlineStr">
        <is>
          <t>The student's implementation contains several errors. In the `rgb_to_grayscale` method, the grayscale image is incorrectly squeezed, removing the channel dimension. In the `__getitem__` method, there is a syntax error and the method does not correctly call `rgb_to_grayscale`. The method also incorrectly references `img` without defining it. These issues prevent the code from running correctly.</t>
        </is>
      </c>
      <c r="AH375" t="n">
        <v>14</v>
      </c>
      <c r="AI375" t="n">
        <v>0</v>
      </c>
    </row>
    <row r="376">
      <c r="A376" t="n">
        <v>375</v>
      </c>
      <c r="B376" t="inlineStr">
        <is>
          <t>TA_7</t>
        </is>
      </c>
      <c r="C376" t="inlineStr">
        <is>
          <t>TA_17</t>
        </is>
      </c>
      <c r="D376" t="n">
        <v>6.5</v>
      </c>
      <c r="E376" t="n">
        <v>0</v>
      </c>
      <c r="F376" t="n">
        <v>6.5</v>
      </c>
      <c r="G376" t="n">
        <v>0</v>
      </c>
      <c r="H376" t="n">
        <v>7.5</v>
      </c>
      <c r="I376" t="n">
        <v>0</v>
      </c>
      <c r="J376" t="n">
        <v>6</v>
      </c>
      <c r="K376" t="n">
        <v>0</v>
      </c>
      <c r="L376" t="n">
        <v>7.5</v>
      </c>
      <c r="M376" t="n">
        <v>0</v>
      </c>
      <c r="N376" t="n">
        <v>6.5</v>
      </c>
      <c r="O376" t="n">
        <v>0</v>
      </c>
      <c r="P376">
        <f>Table1[[#This Row],[TA 1 - Q1 Score]]+Table1[[#This Row],[TA 1 - Q2 Score]]+Table1[[#This Row],[TA 1 - Q3 Score]]</f>
        <v/>
      </c>
      <c r="Q376">
        <f>Table1[[#This Row],[TA 1 - Q1 Bonus]]+Table1[[#This Row],[TA 1 - Q2 Bonus]]+Table1[[#This Row],[TA 1 - Q4 Bonus]]</f>
        <v/>
      </c>
      <c r="R376">
        <f>Table1[[#This Row],[TA 2 - Q1 Score]]+Table1[[#This Row],[TA 2 - Q2 Score]]+Table1[[#This Row],[TA 2 - Q3 Score]]</f>
        <v/>
      </c>
      <c r="S376">
        <f>Table1[[#This Row],[TA 2 - Q1 Bonus]]+Table1[[#This Row],[TA 2 - Q2 Bonus]]+Table1[[#This Row],[TA 2 - Q4 Bonus]]</f>
        <v/>
      </c>
      <c r="T376">
        <f>(Table1[[#This Row],[TA 1 - Total Score (out of 35)]]+Table1[[#This Row],[TA 2 - Total Score (out of 35)]])/2</f>
        <v/>
      </c>
      <c r="U376">
        <f>(Table1[[#This Row],[TA 1 - Total Bonus (out of 13)]]+Table1[[#This Row],[TA 2 - Total Bonus (out of 13)]])/2</f>
        <v/>
      </c>
      <c r="V376">
        <f>Table1[[#This Row],[Average Questions]]/35*20+Table1[[#This Row],[Average Bonus]]/13*5</f>
        <v/>
      </c>
      <c r="W376" t="n">
        <v>6</v>
      </c>
      <c r="X376" t="n">
        <v>0</v>
      </c>
      <c r="Y376" t="inlineStr">
        <is>
          <t>The student completed the data loading and preparation tasks correctly, including defining the necessary transforms and creating DataLoaders. Sample images were displayed, though the labels were not adjusted for 0-indexing. The pretrained model was loaded and adapted correctly, with the backbone frozen and the classifier head replaced. However, the training and validation loops contained errors, such as incorrect handling of the model's output and label adjustments. The student did not attempt the bonus task for Test Time Augmentation.</t>
        </is>
      </c>
      <c r="Z376" t="n">
        <v>7</v>
      </c>
      <c r="AA376" t="n">
        <v>0</v>
      </c>
      <c r="AB376" t="inlineStr">
        <is>
          <t>The student successfully loaded and prepared the data with the correct transformations and displayed sample images. The CNN model was built with 5 convolutional layers, but the number of channels and fully connected layer sizes were incorrect. Batch normalization was not added. The training and validation loops were implemented correctly, and the model was trained and plotted. However, the bonus task was not completed.</t>
        </is>
      </c>
      <c r="AC376" t="n">
        <v>4</v>
      </c>
      <c r="AD376" t="inlineStr">
        <is>
          <t>The student's submission contains several issues. In Task 1, the dataset class is implemented correctly, but the DataLoader creation and sample display have syntax errors. In Task 2, the model is incorrectly defined with only one class instead of eight. Task 3 has syntax errors in the training and validation loops. Task 4 has issues with the loss function and optimizer, and the training loop does not run due to incorrect arguments. Task 5 has syntax errors and incorrect handling of the model's output, leading to incorrect visualization.</t>
        </is>
      </c>
      <c r="AE376" t="n">
        <v>0</v>
      </c>
      <c r="AF376" t="n">
        <v>0</v>
      </c>
      <c r="AG376" t="inlineStr">
        <is>
          <t>No submission found.</t>
        </is>
      </c>
      <c r="AH376" t="n">
        <v>17</v>
      </c>
      <c r="AI376" t="n">
        <v>0</v>
      </c>
    </row>
    <row r="377">
      <c r="A377" t="n">
        <v>376</v>
      </c>
      <c r="B377" t="inlineStr">
        <is>
          <t>TA_7</t>
        </is>
      </c>
      <c r="C377" t="inlineStr">
        <is>
          <t>TA_17</t>
        </is>
      </c>
      <c r="D377" t="n">
        <v>9</v>
      </c>
      <c r="E377" t="n">
        <v>0</v>
      </c>
      <c r="F377" t="n">
        <v>8.5</v>
      </c>
      <c r="G377" t="n">
        <v>0</v>
      </c>
      <c r="H377" t="n">
        <v>10</v>
      </c>
      <c r="I377" t="n">
        <v>0</v>
      </c>
      <c r="J377" t="n">
        <v>6</v>
      </c>
      <c r="K377" t="n">
        <v>0</v>
      </c>
      <c r="L377" t="n">
        <v>8.5</v>
      </c>
      <c r="M377" t="n">
        <v>0</v>
      </c>
      <c r="N377" t="n">
        <v>9.5</v>
      </c>
      <c r="O377" t="n">
        <v>0</v>
      </c>
      <c r="P377">
        <f>Table1[[#This Row],[TA 1 - Q1 Score]]+Table1[[#This Row],[TA 1 - Q2 Score]]+Table1[[#This Row],[TA 1 - Q3 Score]]</f>
        <v/>
      </c>
      <c r="Q377">
        <f>Table1[[#This Row],[TA 1 - Q1 Bonus]]+Table1[[#This Row],[TA 1 - Q2 Bonus]]+Table1[[#This Row],[TA 1 - Q4 Bonus]]</f>
        <v/>
      </c>
      <c r="R377">
        <f>Table1[[#This Row],[TA 2 - Q1 Score]]+Table1[[#This Row],[TA 2 - Q2 Score]]+Table1[[#This Row],[TA 2 - Q3 Score]]</f>
        <v/>
      </c>
      <c r="S377">
        <f>Table1[[#This Row],[TA 2 - Q1 Bonus]]+Table1[[#This Row],[TA 2 - Q2 Bonus]]+Table1[[#This Row],[TA 2 - Q4 Bonus]]</f>
        <v/>
      </c>
      <c r="T377">
        <f>(Table1[[#This Row],[TA 1 - Total Score (out of 35)]]+Table1[[#This Row],[TA 2 - Total Score (out of 35)]])/2</f>
        <v/>
      </c>
      <c r="U377">
        <f>(Table1[[#This Row],[TA 1 - Total Bonus (out of 13)]]+Table1[[#This Row],[TA 2 - Total Bonus (out of 13)]])/2</f>
        <v/>
      </c>
      <c r="V377">
        <f>Table1[[#This Row],[Average Questions]]/35*20+Table1[[#This Row],[Average Bonus]]/13*5</f>
        <v/>
      </c>
      <c r="W377" t="n">
        <v>6</v>
      </c>
      <c r="X377" t="n">
        <v>0</v>
      </c>
      <c r="Y377" t="inlineStr">
        <is>
          <t>The student completed the data loading and preparation with minor issues, such as using a custom SubtractOne transform instead of adjusting labels within the training and validation loops. DataLoaders and sample image display were correctly implemented. The pretrained model was loaded and adapted, but the student froze all parameters instead of just the backbone. The classifier head was incorrectly modified to output 25 classes instead of 26. The training and validation loops were mostly correct but contained unnecessary squeezing of outputs and incorrect handling of model outputs. The plots for training and validation metrics were correctly implemented.</t>
        </is>
      </c>
      <c r="Z377" t="n">
        <v>8</v>
      </c>
      <c r="AA377" t="n">
        <v>0</v>
      </c>
      <c r="AB377" t="inlineStr">
        <is>
          <t>The student successfully completed most tasks with minor issues. The dataset loading and preparation were mostly correct, with proper transformations applied. However, the student used incorrect dimensions in the fully connected layer of the CNN model, leading to a mismatch in expected input size. The training and validation loops were implemented correctly, and the plots for losses and accuracies were generated properly. No bonus task was attempted.</t>
        </is>
      </c>
      <c r="AC377" t="n">
        <v>7</v>
      </c>
      <c r="AD377" t="inlineStr">
        <is>
          <t>The student's submission contains mostly correct code with some minor issues. The dataset class is implemented correctly, and the DataLoaders are set up properly. However, the model uses 'efficientnet-b1' instead of 'efficientnet-b0' as specified, and the number of classes is incorrectly set to 5 instead of 8. The training and validation loops are implemented correctly, and the loss and optimizer are defined appropriately. The training process runs without errors, and the loss curve is plotted. The predictions are visualized correctly, but the model's performance may be affected due to the incorrect number of classes.</t>
        </is>
      </c>
      <c r="AE377" t="n">
        <v>0</v>
      </c>
      <c r="AF377" t="n">
        <v>0</v>
      </c>
      <c r="AG377" t="inlineStr">
        <is>
          <t>No submission found.</t>
        </is>
      </c>
      <c r="AH377" t="n">
        <v>21</v>
      </c>
      <c r="AI377" t="n">
        <v>0</v>
      </c>
    </row>
    <row r="378">
      <c r="A378" t="n">
        <v>377</v>
      </c>
      <c r="B378" t="inlineStr">
        <is>
          <t>TA_7</t>
        </is>
      </c>
      <c r="C378" t="inlineStr">
        <is>
          <t>TA_17</t>
        </is>
      </c>
      <c r="D378" t="n">
        <v>10.5</v>
      </c>
      <c r="E378" t="n">
        <v>0</v>
      </c>
      <c r="F378" t="n">
        <v>8</v>
      </c>
      <c r="G378" t="n">
        <v>0</v>
      </c>
      <c r="H378" t="n">
        <v>9</v>
      </c>
      <c r="I378" t="n">
        <v>0</v>
      </c>
      <c r="J378" t="n">
        <v>10</v>
      </c>
      <c r="K378" t="n">
        <v>0</v>
      </c>
      <c r="L378" t="n">
        <v>7.5</v>
      </c>
      <c r="M378" t="n">
        <v>0</v>
      </c>
      <c r="N378" t="n">
        <v>7</v>
      </c>
      <c r="O378" t="n">
        <v>0</v>
      </c>
      <c r="P378">
        <f>Table1[[#This Row],[TA 1 - Q1 Score]]+Table1[[#This Row],[TA 1 - Q2 Score]]+Table1[[#This Row],[TA 1 - Q3 Score]]</f>
        <v/>
      </c>
      <c r="Q378">
        <f>Table1[[#This Row],[TA 1 - Q1 Bonus]]+Table1[[#This Row],[TA 1 - Q2 Bonus]]+Table1[[#This Row],[TA 1 - Q4 Bonus]]</f>
        <v/>
      </c>
      <c r="R378">
        <f>Table1[[#This Row],[TA 2 - Q1 Score]]+Table1[[#This Row],[TA 2 - Q2 Score]]+Table1[[#This Row],[TA 2 - Q3 Score]]</f>
        <v/>
      </c>
      <c r="S378">
        <f>Table1[[#This Row],[TA 2 - Q1 Bonus]]+Table1[[#This Row],[TA 2 - Q2 Bonus]]+Table1[[#This Row],[TA 2 - Q4 Bonus]]</f>
        <v/>
      </c>
      <c r="T378">
        <f>(Table1[[#This Row],[TA 1 - Total Score (out of 35)]]+Table1[[#This Row],[TA 2 - Total Score (out of 35)]])/2</f>
        <v/>
      </c>
      <c r="U378">
        <f>(Table1[[#This Row],[TA 1 - Total Bonus (out of 13)]]+Table1[[#This Row],[TA 2 - Total Bonus (out of 13)]])/2</f>
        <v/>
      </c>
      <c r="V378">
        <f>Table1[[#This Row],[Average Questions]]/35*20+Table1[[#This Row],[Average Bonus]]/13*5</f>
        <v/>
      </c>
      <c r="W378" t="n">
        <v>8</v>
      </c>
      <c r="X378" t="n">
        <v>0</v>
      </c>
      <c r="Y378" t="inlineStr">
        <is>
          <t>The student completed most tasks with minor issues. Transforms were correctly defined, and DataLoaders were set up properly. Sample images were displayed, though labels were not adjusted for 0-indexing. The pretrained model was loaded and adapted correctly, but only the last two blocks of features were unfrozen instead of freezing the entire backbone. Training and validation loops were implemented with label adjustments, but the optimizer targeted only the classifier parameters. No bonus task was attempted.</t>
        </is>
      </c>
      <c r="Z378" t="n">
        <v>6</v>
      </c>
      <c r="AA378" t="n">
        <v>0</v>
      </c>
      <c r="AB378" t="inlineStr">
        <is>
          <t>The student correctly set up the dataset and DataLoaders with the required transformations, achieving full marks for Part 1. The CNN model defined in Part 2 does not meet the criteria of having exactly 5 convolutional layers and batch normalization, resulting in 0 points for this part. The training and validation functions in Part 3 are implemented correctly, earning full marks. The training setup and execution in Part 4 are also correct, but the model architecture issues prevent full marks. No bonus tasks were attempted.</t>
        </is>
      </c>
      <c r="AC378" t="n">
        <v>5</v>
      </c>
      <c r="AD378" t="inlineStr">
        <is>
          <t>The student attempted most tasks but made several mistakes. In Task 1, the dataset class and transformations were correctly implemented, but the DataLoader creation had syntax errors. Task 2 had an incorrect number of classes specified. Task 3 was partially correct with syntax issues. Task 4 included a correct training loop but used an incorrect number of classes and an inappropriate optimizer. Task 5 visualized predictions but used an incorrect colormap and had minor issues with mask handling.</t>
        </is>
      </c>
      <c r="AE378" t="n">
        <v>0</v>
      </c>
      <c r="AF378" t="n">
        <v>0</v>
      </c>
      <c r="AG378" t="inlineStr">
        <is>
          <t>No submission found.</t>
        </is>
      </c>
      <c r="AH378" t="n">
        <v>19</v>
      </c>
      <c r="AI378" t="n">
        <v>0</v>
      </c>
    </row>
    <row r="379">
      <c r="A379" t="n">
        <v>378</v>
      </c>
      <c r="B379" t="inlineStr">
        <is>
          <t>TA_7</t>
        </is>
      </c>
      <c r="C379" t="inlineStr">
        <is>
          <t>TA_17</t>
        </is>
      </c>
      <c r="D379" t="n">
        <v>12</v>
      </c>
      <c r="E379" t="n">
        <v>0</v>
      </c>
      <c r="F379" t="n">
        <v>11</v>
      </c>
      <c r="G379" t="n">
        <v>4</v>
      </c>
      <c r="H379" t="n">
        <v>12</v>
      </c>
      <c r="I379" t="n">
        <v>5</v>
      </c>
      <c r="J379" t="n">
        <v>6</v>
      </c>
      <c r="K379" t="n">
        <v>0</v>
      </c>
      <c r="L379" t="n">
        <v>8.5</v>
      </c>
      <c r="M379" t="n">
        <v>0</v>
      </c>
      <c r="N379" t="n">
        <v>12</v>
      </c>
      <c r="O379" t="n">
        <v>5</v>
      </c>
      <c r="P379">
        <f>Table1[[#This Row],[TA 1 - Q1 Score]]+Table1[[#This Row],[TA 1 - Q2 Score]]+Table1[[#This Row],[TA 1 - Q3 Score]]</f>
        <v/>
      </c>
      <c r="Q379">
        <f>Table1[[#This Row],[TA 1 - Q1 Bonus]]+Table1[[#This Row],[TA 1 - Q2 Bonus]]+Table1[[#This Row],[TA 1 - Q4 Bonus]]</f>
        <v/>
      </c>
      <c r="R379">
        <f>Table1[[#This Row],[TA 2 - Q1 Score]]+Table1[[#This Row],[TA 2 - Q2 Score]]+Table1[[#This Row],[TA 2 - Q3 Score]]</f>
        <v/>
      </c>
      <c r="S379">
        <f>Table1[[#This Row],[TA 2 - Q1 Bonus]]+Table1[[#This Row],[TA 2 - Q2 Bonus]]+Table1[[#This Row],[TA 2 - Q4 Bonus]]</f>
        <v/>
      </c>
      <c r="T379">
        <f>(Table1[[#This Row],[TA 1 - Total Score (out of 35)]]+Table1[[#This Row],[TA 2 - Total Score (out of 35)]])/2</f>
        <v/>
      </c>
      <c r="U379">
        <f>(Table1[[#This Row],[TA 1 - Total Bonus (out of 13)]]+Table1[[#This Row],[TA 2 - Total Bonus (out of 13)]])/2</f>
        <v/>
      </c>
      <c r="V379">
        <f>Table1[[#This Row],[Average Questions]]/35*20+Table1[[#This Row],[Average Bonus]]/13*5</f>
        <v/>
      </c>
      <c r="W379" t="n">
        <v>8</v>
      </c>
      <c r="X379" t="n">
        <v>0</v>
      </c>
      <c r="Y379" t="inlineStr">
        <is>
          <t>The student completed most tasks correctly but made several minor mistakes. The data loading and preparation were mostly correct, though the batch size was smaller than in the reference solution. The model loading and adaptation were accurate, with the backbone frozen and the classifier head replaced correctly. However, the training and validation loops had issues: the model outputs were incorrectly squeezed, affecting the loss calculation. Label fixing was done correctly, but the learning rate was set too low, and the number of epochs was reduced due to GPU usage constraints. The bonus task was not implemented correctly, with improper handling of image flips and averaging predictions.</t>
        </is>
      </c>
      <c r="Z379" t="n">
        <v>8.5</v>
      </c>
      <c r="AA379" t="n">
        <v>3</v>
      </c>
      <c r="AB379" t="inlineStr">
        <is>
          <t>The student successfully loaded and prepared the data with correct transformations and displayed sample images. The CNN model was built with 5 convolutional layers and batch normalization, though the channel sizes were different from the reference. Training and validation functions were implemented correctly, and the model was trained and plotted. For the bonus task, the student correctly defined a residual connection and retrained the model, plotting the results.</t>
        </is>
      </c>
      <c r="AC379" t="n">
        <v>8</v>
      </c>
      <c r="AD379" t="inlineStr">
        <is>
          <t>The student's submission contains mostly correct code with minor issues. Task 1 is partially correct with syntax errors in the dataset class and incorrect batch size in DataLoaders. Task 2 is correct with the right model definition. Task 3 is mostly correct with a small mistake in the validation loop. Task 4 is partially correct with a different learning rate and fewer epochs, but the logic is sound. Task 5 is mostly correct with a few minor issues in visualization.</t>
        </is>
      </c>
      <c r="AE379" t="n">
        <v>0</v>
      </c>
      <c r="AF379" t="n">
        <v>0</v>
      </c>
      <c r="AG379" t="inlineStr">
        <is>
          <t>The student's implementation contains several errors and does not follow the required structure. The `rgb_to_grayscale` method is incorrectly implemented, and the `__getitem__` method returns an incorrect shape for the grayscale image. Additionally, the student used a different approach by attempting to use `transforms.Grayscale`, which is not aligned with the task requirements. The visualization and DataLoader tests also show incorrect shapes and outputs.</t>
        </is>
      </c>
      <c r="AH379" t="n">
        <v>24.5</v>
      </c>
      <c r="AI379" t="n">
        <v>3</v>
      </c>
    </row>
    <row r="380">
      <c r="A380" t="n">
        <v>379</v>
      </c>
      <c r="B380" t="inlineStr">
        <is>
          <t>TA_7</t>
        </is>
      </c>
      <c r="C380" t="inlineStr">
        <is>
          <t>TA_17</t>
        </is>
      </c>
      <c r="D380" t="n">
        <v>12</v>
      </c>
      <c r="E380" t="n">
        <v>4</v>
      </c>
      <c r="F380" t="n">
        <v>11</v>
      </c>
      <c r="G380" t="n">
        <v>4</v>
      </c>
      <c r="H380" t="n">
        <v>12</v>
      </c>
      <c r="I380" t="n">
        <v>0</v>
      </c>
      <c r="J380" t="n">
        <v>12</v>
      </c>
      <c r="K380" t="n">
        <v>2</v>
      </c>
      <c r="L380" t="n">
        <v>11</v>
      </c>
      <c r="M380" t="n">
        <v>4</v>
      </c>
      <c r="N380" t="n">
        <v>12</v>
      </c>
      <c r="O380" t="n">
        <v>5</v>
      </c>
      <c r="P380">
        <f>Table1[[#This Row],[TA 1 - Q1 Score]]+Table1[[#This Row],[TA 1 - Q2 Score]]+Table1[[#This Row],[TA 1 - Q3 Score]]</f>
        <v/>
      </c>
      <c r="Q380">
        <f>Table1[[#This Row],[TA 1 - Q1 Bonus]]+Table1[[#This Row],[TA 1 - Q2 Bonus]]+Table1[[#This Row],[TA 1 - Q4 Bonus]]</f>
        <v/>
      </c>
      <c r="R380">
        <f>Table1[[#This Row],[TA 2 - Q1 Score]]+Table1[[#This Row],[TA 2 - Q2 Score]]+Table1[[#This Row],[TA 2 - Q3 Score]]</f>
        <v/>
      </c>
      <c r="S380">
        <f>Table1[[#This Row],[TA 2 - Q1 Bonus]]+Table1[[#This Row],[TA 2 - Q2 Bonus]]+Table1[[#This Row],[TA 2 - Q4 Bonus]]</f>
        <v/>
      </c>
      <c r="T380">
        <f>(Table1[[#This Row],[TA 1 - Total Score (out of 35)]]+Table1[[#This Row],[TA 2 - Total Score (out of 35)]])/2</f>
        <v/>
      </c>
      <c r="U380">
        <f>(Table1[[#This Row],[TA 1 - Total Bonus (out of 13)]]+Table1[[#This Row],[TA 2 - Total Bonus (out of 13)]])/2</f>
        <v/>
      </c>
      <c r="V380">
        <f>Table1[[#This Row],[Average Questions]]/35*20+Table1[[#This Row],[Average Bonus]]/13*5</f>
        <v/>
      </c>
      <c r="W380" t="n">
        <v>10</v>
      </c>
      <c r="X380" t="n">
        <v>3</v>
      </c>
      <c r="Y380" t="inlineStr">
        <is>
          <t>The student completed most tasks correctly. The data loading and preparation were mostly accurate, though the batch size was smaller than in the reference. The model loading and adaptation were correct, with the backbone frozen and the classifier head replaced properly. The training and validation loops were implemented correctly, including the label fix. The plots for training and validation losses and accuracies were also correct. In the bonus task, the student correctly defined three predictions (original, horizontal flip, vertical flip) and averaged them, but did not plot the results.</t>
        </is>
      </c>
      <c r="Z380" t="n">
        <v>8.5</v>
      </c>
      <c r="AA380" t="n">
        <v>1</v>
      </c>
      <c r="AB380" t="inlineStr">
        <is>
          <t>The student successfully loaded and prepared the data with the correct transformations and displayed sample images. The CNN model was built with five convolutional layers and batch normalization, though the architecture differs slightly from the reference. Training and validation functions were implemented correctly, and the model was trained and plotted. For the bonus task, the student added a residual connection between the second and fourth layers and retrained the model, plotting the results.</t>
        </is>
      </c>
      <c r="AC380" t="n">
        <v>8</v>
      </c>
      <c r="AD380" t="inlineStr">
        <is>
          <t>The student's submission includes most of the required tasks with some minor issues. The dataset class is implemented correctly, but the image resizing dimensions differ from the reference solution. The DataLoaders are created properly, and sample images and masks are displayed. The model class uses the correct encoder, but the installation command for segmentation_models_pytorch is included in the code. The training and validation loops are implemented correctly, and the model is trained and validated with printed losses. The loss curve is plotted accurately. However, the visualization of predictions uses a different colormap and does not follow the reference solution exactly.</t>
        </is>
      </c>
      <c r="AE380" t="n">
        <v>0</v>
      </c>
      <c r="AF380" t="n">
        <v>0</v>
      </c>
      <c r="AG380" t="inlineStr">
        <is>
          <t>The student's implementation contains several errors. The `rgb_to_grayscale` method incorrectly converts the image to a NumPy array and uses incorrect coefficients for grayscale conversion. Additionally, the variable name `grayscale_image__numpy` is misspelled. These issues prevent the code from running correctly and producing the expected output.</t>
        </is>
      </c>
      <c r="AH380" t="n">
        <v>26.5</v>
      </c>
      <c r="AI380" t="n">
        <v>4</v>
      </c>
    </row>
    <row r="381">
      <c r="A381" t="n">
        <v>380</v>
      </c>
      <c r="B381" t="inlineStr">
        <is>
          <t>TA_7</t>
        </is>
      </c>
      <c r="C381" t="inlineStr">
        <is>
          <t>TA_17</t>
        </is>
      </c>
      <c r="D381" t="n">
        <v>11</v>
      </c>
      <c r="E381" t="n">
        <v>4</v>
      </c>
      <c r="F381" t="n">
        <v>11</v>
      </c>
      <c r="G381" t="n">
        <v>4</v>
      </c>
      <c r="H381" t="n">
        <v>12</v>
      </c>
      <c r="I381" t="n">
        <v>5</v>
      </c>
      <c r="J381" t="n">
        <v>11</v>
      </c>
      <c r="K381" t="n">
        <v>4</v>
      </c>
      <c r="L381" t="n">
        <v>11</v>
      </c>
      <c r="M381" t="n">
        <v>4</v>
      </c>
      <c r="N381" t="n">
        <v>12</v>
      </c>
      <c r="O381" t="n">
        <v>5</v>
      </c>
      <c r="P381">
        <f>Table1[[#This Row],[TA 1 - Q1 Score]]+Table1[[#This Row],[TA 1 - Q2 Score]]+Table1[[#This Row],[TA 1 - Q3 Score]]</f>
        <v/>
      </c>
      <c r="Q381">
        <f>Table1[[#This Row],[TA 1 - Q1 Bonus]]+Table1[[#This Row],[TA 1 - Q2 Bonus]]+Table1[[#This Row],[TA 1 - Q4 Bonus]]</f>
        <v/>
      </c>
      <c r="R381">
        <f>Table1[[#This Row],[TA 2 - Q1 Score]]+Table1[[#This Row],[TA 2 - Q2 Score]]+Table1[[#This Row],[TA 2 - Q3 Score]]</f>
        <v/>
      </c>
      <c r="S381">
        <f>Table1[[#This Row],[TA 2 - Q1 Bonus]]+Table1[[#This Row],[TA 2 - Q2 Bonus]]+Table1[[#This Row],[TA 2 - Q4 Bonus]]</f>
        <v/>
      </c>
      <c r="T381">
        <f>(Table1[[#This Row],[TA 1 - Total Score (out of 35)]]+Table1[[#This Row],[TA 2 - Total Score (out of 35)]])/2</f>
        <v/>
      </c>
      <c r="U381">
        <f>(Table1[[#This Row],[TA 1 - Total Bonus (out of 13)]]+Table1[[#This Row],[TA 2 - Total Bonus (out of 13)]])/2</f>
        <v/>
      </c>
      <c r="V381">
        <f>Table1[[#This Row],[Average Questions]]/35*20+Table1[[#This Row],[Average Bonus]]/13*5</f>
        <v/>
      </c>
      <c r="W381" t="n">
        <v>8</v>
      </c>
      <c r="X381" t="n">
        <v>0</v>
      </c>
      <c r="Y381" t="inlineStr">
        <is>
          <t>The student completed most tasks correctly but made several minor mistakes. The data loading and preparation were mostly correct, though the batch sizes were unusually large. The model loading and adaptation were partially correct, but the student froze the entire model instead of just the backbone. The training and validation loops were implemented correctly, including the label fix. However, the bonus task was not fully completed as the student did not define a separate TTA validation function and instead modified the existing validation function, leading to incorrect results.</t>
        </is>
      </c>
      <c r="Z381" t="n">
        <v>8</v>
      </c>
      <c r="AA381" t="n">
        <v>1</v>
      </c>
      <c r="AB381" t="inlineStr">
        <is>
          <t>The student successfully loaded and prepared the data with correct transformations and displayed sample images. The CNN model has 5 convolutional layers with batch normalization, though the channel sizes differ from the reference. The training and validation loops are implemented correctly. The model was trained and plotted, but the bonus task's residual connection implementation is flawed, leading to incorrect channel concatenation.</t>
        </is>
      </c>
      <c r="AC381" t="n">
        <v>8.5</v>
      </c>
      <c r="AD381" t="inlineStr">
        <is>
          <t>The student's submission largely follows the required tasks but has some issues. Task 1 is mostly correct with a DataFrame-based approach for dataset management, though it uses a different method than the reference. Task 2 correctly defines the U-Net model with the specified encoder. Task 3 includes both training and validation loops with minor syntax issues. Task 4 defines the loss and optimizer correctly, trains the model, prints losses, and plots the loss curve. Task 5 visualizes predictions but uses grayscale for masks instead of a color map, affecting clarity.</t>
        </is>
      </c>
      <c r="AE381" t="n">
        <v>0</v>
      </c>
      <c r="AF381" t="n">
        <v>0</v>
      </c>
      <c r="AG381" t="inlineStr">
        <is>
          <t>The student's implementation contains several errors and does not fully meet the requirements. In the `__init__` method, the dataset is incorrectly stored as `cifar_data` instead of the passed `cifar_dataset`. The `__len__` method does not return the length of the dataset. The `rgb_to_grayscale` method incorrectly converts the image to a NumPy array and back to a tensor, which is unnecessary and causes issues. Additionally, the `unsqueeze` operation is applied to a NumPy array, which is incorrect. The visualization code attempts to display the images but may fail due to the incorrect grayscale conversion.</t>
        </is>
      </c>
      <c r="AH381" t="n">
        <v>24.5</v>
      </c>
      <c r="AI381" t="n">
        <v>1</v>
      </c>
    </row>
    <row r="382">
      <c r="A382" t="n">
        <v>381</v>
      </c>
      <c r="B382" t="inlineStr">
        <is>
          <t>TA_7</t>
        </is>
      </c>
      <c r="C382" t="inlineStr">
        <is>
          <t>TA_17</t>
        </is>
      </c>
      <c r="D382" t="n">
        <v>12</v>
      </c>
      <c r="E382" t="n">
        <v>4</v>
      </c>
      <c r="F382" t="n">
        <v>11</v>
      </c>
      <c r="G382" t="n">
        <v>4</v>
      </c>
      <c r="H382" t="n">
        <v>12</v>
      </c>
      <c r="I382" t="n">
        <v>0</v>
      </c>
      <c r="J382" t="n">
        <v>11</v>
      </c>
      <c r="K382" t="n">
        <v>0</v>
      </c>
      <c r="L382" t="n">
        <v>11</v>
      </c>
      <c r="M382" t="n">
        <v>4</v>
      </c>
      <c r="N382" t="n">
        <v>12</v>
      </c>
      <c r="O382" t="n">
        <v>0</v>
      </c>
      <c r="P382">
        <f>Table1[[#This Row],[TA 1 - Q1 Score]]+Table1[[#This Row],[TA 1 - Q2 Score]]+Table1[[#This Row],[TA 1 - Q3 Score]]</f>
        <v/>
      </c>
      <c r="Q382">
        <f>Table1[[#This Row],[TA 1 - Q1 Bonus]]+Table1[[#This Row],[TA 1 - Q2 Bonus]]+Table1[[#This Row],[TA 1 - Q4 Bonus]]</f>
        <v/>
      </c>
      <c r="R382">
        <f>Table1[[#This Row],[TA 2 - Q1 Score]]+Table1[[#This Row],[TA 2 - Q2 Score]]+Table1[[#This Row],[TA 2 - Q3 Score]]</f>
        <v/>
      </c>
      <c r="S382">
        <f>Table1[[#This Row],[TA 2 - Q1 Bonus]]+Table1[[#This Row],[TA 2 - Q2 Bonus]]+Table1[[#This Row],[TA 2 - Q4 Bonus]]</f>
        <v/>
      </c>
      <c r="T382">
        <f>(Table1[[#This Row],[TA 1 - Total Score (out of 35)]]+Table1[[#This Row],[TA 2 - Total Score (out of 35)]])/2</f>
        <v/>
      </c>
      <c r="U382">
        <f>(Table1[[#This Row],[TA 1 - Total Bonus (out of 13)]]+Table1[[#This Row],[TA 2 - Total Bonus (out of 13)]])/2</f>
        <v/>
      </c>
      <c r="V382">
        <f>Table1[[#This Row],[Average Questions]]/35*20+Table1[[#This Row],[Average Bonus]]/13*5</f>
        <v/>
      </c>
      <c r="W382" t="n">
        <v>7</v>
      </c>
      <c r="X382" t="n">
        <v>0</v>
      </c>
      <c r="Y382" t="inlineStr">
        <is>
          <t>The student completed most tasks with minor issues. Transforms were correctly defined, and DataLoaders were set up properly. Sample images were displayed with correct labels. The pretrained EfficientNetV2-Small model was loaded, and the classifier head was replaced correctly. However, the backbone was not frozen, leading to a deduction. Training and validation loops were implemented with label fixing, but there were unnecessary softmax operations. The student attempted TTA but did not integrate it into the main training process. The model was trained for only two epochs due to GPU limitations.</t>
        </is>
      </c>
      <c r="Z382" t="n">
        <v>7</v>
      </c>
      <c r="AA382" t="n">
        <v>0</v>
      </c>
      <c r="AB382" t="inlineStr">
        <is>
          <t>The student partially completed the tasks. The dataset loading and preparation section had minor issues with incorrect rotation angle and incorrect class labels. The CNN model was built with 5 convolutional layers and batch normalization, but the architecture had incorrect dimensions and pooling strides. The training and validation loops were implemented correctly. The bonus task was not completed as the residual connection was incorrectly defined and not properly integrated.</t>
        </is>
      </c>
      <c r="AC382" t="n">
        <v>8.5</v>
      </c>
      <c r="AD382" t="inlineStr">
        <is>
          <t>The student's submission demonstrates a good understanding of the tasks but contains some minor issues. Task 1 is mostly correct with a few syntax errors in the dataset class definition. Task 2 correctly defines the U-Net model with the specified encoder. Task 3 includes both training and validation loops with minor issues in handling mask dimensions. Task 4 defines the loss and optimizer correctly and runs the training loop, printing and plotting the losses. Task 5 visualizes predictions but uses grayscale for the predicted mask instead of the specified colormap.</t>
        </is>
      </c>
      <c r="AE382" t="n">
        <v>0</v>
      </c>
      <c r="AF382" t="n">
        <v>0</v>
      </c>
      <c r="AG382" t="inlineStr">
        <is>
          <t>No submission found.</t>
        </is>
      </c>
      <c r="AH382" t="n">
        <v>22.5</v>
      </c>
      <c r="AI382" t="n">
        <v>0</v>
      </c>
    </row>
    <row r="383">
      <c r="A383" t="n">
        <v>382</v>
      </c>
      <c r="B383" t="inlineStr">
        <is>
          <t>TA_7</t>
        </is>
      </c>
      <c r="C383" t="inlineStr">
        <is>
          <t>TA_17</t>
        </is>
      </c>
      <c r="D383" t="n">
        <v>12</v>
      </c>
      <c r="E383" t="n">
        <v>0</v>
      </c>
      <c r="F383" t="n">
        <v>8</v>
      </c>
      <c r="G383" t="n">
        <v>0</v>
      </c>
      <c r="H383" t="n">
        <v>7</v>
      </c>
      <c r="I383" t="n">
        <v>0</v>
      </c>
      <c r="J383" t="n">
        <v>12</v>
      </c>
      <c r="K383" t="n">
        <v>0</v>
      </c>
      <c r="L383" t="n">
        <v>8.5</v>
      </c>
      <c r="M383" t="n">
        <v>0</v>
      </c>
      <c r="N383" t="n">
        <v>6</v>
      </c>
      <c r="O383" t="n">
        <v>0</v>
      </c>
      <c r="P383">
        <f>Table1[[#This Row],[TA 1 - Q1 Score]]+Table1[[#This Row],[TA 1 - Q2 Score]]+Table1[[#This Row],[TA 1 - Q3 Score]]</f>
        <v/>
      </c>
      <c r="Q383">
        <f>Table1[[#This Row],[TA 1 - Q1 Bonus]]+Table1[[#This Row],[TA 1 - Q2 Bonus]]+Table1[[#This Row],[TA 1 - Q4 Bonus]]</f>
        <v/>
      </c>
      <c r="R383">
        <f>Table1[[#This Row],[TA 2 - Q1 Score]]+Table1[[#This Row],[TA 2 - Q2 Score]]+Table1[[#This Row],[TA 2 - Q3 Score]]</f>
        <v/>
      </c>
      <c r="S383">
        <f>Table1[[#This Row],[TA 2 - Q1 Bonus]]+Table1[[#This Row],[TA 2 - Q2 Bonus]]+Table1[[#This Row],[TA 2 - Q4 Bonus]]</f>
        <v/>
      </c>
      <c r="T383">
        <f>(Table1[[#This Row],[TA 1 - Total Score (out of 35)]]+Table1[[#This Row],[TA 2 - Total Score (out of 35)]])/2</f>
        <v/>
      </c>
      <c r="U383">
        <f>(Table1[[#This Row],[TA 1 - Total Bonus (out of 13)]]+Table1[[#This Row],[TA 2 - Total Bonus (out of 13)]])/2</f>
        <v/>
      </c>
      <c r="V383">
        <f>Table1[[#This Row],[Average Questions]]/35*20+Table1[[#This Row],[Average Bonus]]/13*5</f>
        <v/>
      </c>
      <c r="W383" t="n">
        <v>8.5</v>
      </c>
      <c r="X383" t="n">
        <v>0</v>
      </c>
      <c r="Y383" t="inlineStr">
        <is>
          <t>The student completed most tasks correctly but made some minor mistakes. In Part 1, the transforms were correctly defined, and DataLoaders were created, though the test DataLoader was incorrectly set to shuffle. Sample images were displayed, but labels were not adjusted for 0-indexing. In Part 2, the model was loaded and adapted correctly, but all parameters were frozen instead of just the backbone. In Part 3, the training and validation loops were mostly correct, but the labels were fixed within the loops rather than adjusting them beforehand. In Part 4, the model was trained and plotted correctly, but the number of epochs was increased to 10. No bonus tasks were attempted.</t>
        </is>
      </c>
      <c r="Z383" t="n">
        <v>7</v>
      </c>
      <c r="AA383" t="n">
        <v>0</v>
      </c>
      <c r="AB383" t="inlineStr">
        <is>
          <t>The student successfully loaded and prepared the data with the correct transformations and displayed sample images. The CNN model was built with three convolutional layers instead of five, and batch normalization was not added, resulting in partial credit. The training and validation loops were implemented correctly, and the model was trained and plotted. However, the bonus task was not completed.</t>
        </is>
      </c>
      <c r="AC383" t="n">
        <v>4</v>
      </c>
      <c r="AD383" t="inlineStr">
        <is>
          <t>The student partially completed the tasks with some syntax and logical errors. The dataset class is mostly correct but includes unnecessary filtering for tumor samples, which is not required. The DataLoader creation is correct, but the display function has incorrect titles and does not match the dataset used. The model definition incorrectly sets the number of classes to 1 instead of 8. The training and validation loops contain logical errors, using BCEWithLogitsLoss for multi-class segmentation. The loss plotting and prediction visualization are mostly correct but do not align with the multi-class setup.</t>
        </is>
      </c>
      <c r="AE383" t="n">
        <v>0</v>
      </c>
      <c r="AF383" t="n">
        <v>0</v>
      </c>
      <c r="AG383" t="inlineStr">
        <is>
          <t>No submission found.</t>
        </is>
      </c>
      <c r="AH383" t="n">
        <v>19.5</v>
      </c>
      <c r="AI383" t="n">
        <v>0</v>
      </c>
    </row>
    <row r="384">
      <c r="A384" t="n">
        <v>383</v>
      </c>
      <c r="B384" t="inlineStr">
        <is>
          <t>TA_7</t>
        </is>
      </c>
      <c r="C384" t="inlineStr">
        <is>
          <t>TA_17</t>
        </is>
      </c>
      <c r="D384" t="n">
        <v>10.5</v>
      </c>
      <c r="E384" t="n">
        <v>0</v>
      </c>
      <c r="F384" t="n">
        <v>8.5</v>
      </c>
      <c r="G384" t="n">
        <v>0</v>
      </c>
      <c r="H384" t="n">
        <v>7</v>
      </c>
      <c r="I384" t="n">
        <v>0</v>
      </c>
      <c r="J384" t="n">
        <v>6</v>
      </c>
      <c r="K384" t="n">
        <v>0</v>
      </c>
      <c r="L384" t="n">
        <v>8.5</v>
      </c>
      <c r="M384" t="n">
        <v>1.5</v>
      </c>
      <c r="N384" t="n">
        <v>7.5</v>
      </c>
      <c r="O384" t="n">
        <v>0</v>
      </c>
      <c r="P384">
        <f>Table1[[#This Row],[TA 1 - Q1 Score]]+Table1[[#This Row],[TA 1 - Q2 Score]]+Table1[[#This Row],[TA 1 - Q3 Score]]</f>
        <v/>
      </c>
      <c r="Q384">
        <f>Table1[[#This Row],[TA 1 - Q1 Bonus]]+Table1[[#This Row],[TA 1 - Q2 Bonus]]+Table1[[#This Row],[TA 1 - Q4 Bonus]]</f>
        <v/>
      </c>
      <c r="R384">
        <f>Table1[[#This Row],[TA 2 - Q1 Score]]+Table1[[#This Row],[TA 2 - Q2 Score]]+Table1[[#This Row],[TA 2 - Q3 Score]]</f>
        <v/>
      </c>
      <c r="S384">
        <f>Table1[[#This Row],[TA 2 - Q1 Bonus]]+Table1[[#This Row],[TA 2 - Q2 Bonus]]+Table1[[#This Row],[TA 2 - Q4 Bonus]]</f>
        <v/>
      </c>
      <c r="T384">
        <f>(Table1[[#This Row],[TA 1 - Total Score (out of 35)]]+Table1[[#This Row],[TA 2 - Total Score (out of 35)]])/2</f>
        <v/>
      </c>
      <c r="U384">
        <f>(Table1[[#This Row],[TA 1 - Total Bonus (out of 13)]]+Table1[[#This Row],[TA 2 - Total Bonus (out of 13)]])/2</f>
        <v/>
      </c>
      <c r="V384">
        <f>Table1[[#This Row],[Average Questions]]/35*20+Table1[[#This Row],[Average Bonus]]/13*5</f>
        <v/>
      </c>
      <c r="W384" t="n">
        <v>7</v>
      </c>
      <c r="X384" t="n">
        <v>0</v>
      </c>
      <c r="Y384" t="inlineStr">
        <is>
          <t>The student completed most tasks with minor issues. In Part 1, the transforms were mostly correct but the batch size in DataLoaders was smaller than the reference. In Part 2, the model loading and adaptation were correct, though the student used 'models.efficientnet_v2_s' instead of 'efficientnet_v2_s'. In Part 3, the training and validation loops had syntax errors (incorrectly squeezing outputs) and did not adjust labels correctly. In Part 4, the training setup and plotting were mostly correct, but the number of epochs was higher than the reference. No bonus tasks were attempted.</t>
        </is>
      </c>
      <c r="Z384" t="n">
        <v>6</v>
      </c>
      <c r="AA384" t="n">
        <v>0</v>
      </c>
      <c r="AB384" t="inlineStr">
        <is>
          <t>The student partially completed the tasks. They correctly set up the dataset with appropriate transformations and displayed sample images. However, the CNN model has fewer than 5 convolutional layers and lacks batch normalization. The training and validation loops are mostly correct but include unnecessary softmax operations. The bonus task was not attempted.</t>
        </is>
      </c>
      <c r="AC384" t="n">
        <v>8</v>
      </c>
      <c r="AD384" t="inlineStr">
        <is>
          <t>The student's submission includes most of the required tasks with minor issues. The dataset class is implemented correctly, but the mask conversion to tensor could be improved. DataLoaders are created, and sample images and masks are displayed. The U-Net model with efficientnet-b1 encoder is defined as instructed. Training and validation loops are present but contain some logical errors, such as incorrect mask handling in the validation loop. Loss and optimizer are defined, and the model trains for 10 epochs with printed losses. However, the visualization function has incorrect class names and mask value limits, affecting the display.</t>
        </is>
      </c>
      <c r="AE384" t="n">
        <v>0</v>
      </c>
      <c r="AF384" t="n">
        <v>0</v>
      </c>
      <c r="AG384" t="inlineStr">
        <is>
          <t>No submission found.</t>
        </is>
      </c>
      <c r="AH384" t="n">
        <v>21</v>
      </c>
      <c r="AI384" t="n">
        <v>0</v>
      </c>
    </row>
    <row r="385">
      <c r="A385" t="n">
        <v>384</v>
      </c>
      <c r="B385" t="inlineStr">
        <is>
          <t>TA_7</t>
        </is>
      </c>
      <c r="C385" t="inlineStr">
        <is>
          <t>TA_17</t>
        </is>
      </c>
      <c r="D385" t="n">
        <v>2</v>
      </c>
      <c r="E385" t="n">
        <v>0</v>
      </c>
      <c r="F385" t="n">
        <v>4</v>
      </c>
      <c r="G385" t="n">
        <v>0</v>
      </c>
      <c r="H385" t="n">
        <v>5.5</v>
      </c>
      <c r="I385" t="n">
        <v>0</v>
      </c>
      <c r="J385" t="n">
        <v>3</v>
      </c>
      <c r="K385" t="n">
        <v>0</v>
      </c>
      <c r="L385" t="n">
        <v>4</v>
      </c>
      <c r="M385" t="n">
        <v>0</v>
      </c>
      <c r="N385" t="n">
        <v>2</v>
      </c>
      <c r="O385" t="n">
        <v>0</v>
      </c>
      <c r="P385">
        <f>Table1[[#This Row],[TA 1 - Q1 Score]]+Table1[[#This Row],[TA 1 - Q2 Score]]+Table1[[#This Row],[TA 1 - Q3 Score]]</f>
        <v/>
      </c>
      <c r="Q385">
        <f>Table1[[#This Row],[TA 1 - Q1 Bonus]]+Table1[[#This Row],[TA 1 - Q2 Bonus]]+Table1[[#This Row],[TA 1 - Q4 Bonus]]</f>
        <v/>
      </c>
      <c r="R385">
        <f>Table1[[#This Row],[TA 2 - Q1 Score]]+Table1[[#This Row],[TA 2 - Q2 Score]]+Table1[[#This Row],[TA 2 - Q3 Score]]</f>
        <v/>
      </c>
      <c r="S385">
        <f>Table1[[#This Row],[TA 2 - Q1 Bonus]]+Table1[[#This Row],[TA 2 - Q2 Bonus]]+Table1[[#This Row],[TA 2 - Q4 Bonus]]</f>
        <v/>
      </c>
      <c r="T385">
        <f>(Table1[[#This Row],[TA 1 - Total Score (out of 35)]]+Table1[[#This Row],[TA 2 - Total Score (out of 35)]])/2</f>
        <v/>
      </c>
      <c r="U385">
        <f>(Table1[[#This Row],[TA 1 - Total Bonus (out of 13)]]+Table1[[#This Row],[TA 2 - Total Bonus (out of 13)]])/2</f>
        <v/>
      </c>
      <c r="V385">
        <f>Table1[[#This Row],[Average Questions]]/35*20+Table1[[#This Row],[Average Bonus]]/13*5</f>
        <v/>
      </c>
      <c r="W385" t="n">
        <v>2</v>
      </c>
      <c r="X385" t="n">
        <v>0</v>
      </c>
      <c r="Y385" t="inlineStr">
        <is>
          <t>The student completed the resize, tensor conversion, and normalization transforms correctly. However, the DataLoader creation and sample image display were missing. The pretrained model loading was partially correct but used an incorrect method. The training and validation loops had significant issues, including incorrect parameter handling and loss function choice. No bonus tasks were attempted.</t>
        </is>
      </c>
      <c r="Z385" t="n">
        <v>2</v>
      </c>
      <c r="AA385" t="n">
        <v>0</v>
      </c>
      <c r="AB385" t="inlineStr">
        <is>
          <t>The student did not complete most of the required tasks. They started defining a CNN model without batch normalization and did not implement the necessary transformations, data loading, or display functions. The training and validation loops were partially implemented but contained syntax errors and were not fully functional. No residual connection was defined or used, and no plots were generated.</t>
        </is>
      </c>
      <c r="AC385" t="n">
        <v>5</v>
      </c>
      <c r="AD385" t="inlineStr">
        <is>
          <t>The student attempted most tasks but made several mistakes. In Task 1, the dataset class has issues with mask transformation and remapping. Task 2 incorrectly defines a custom model class instead of using the predefined U-Net from segmentation_models_pytorch. Task 3 has a misplaced num_epochs definition within the training loop function. Task 4 correctly defines loss and optimizer but has a missing validation loop function. Task 5 is incomplete with no visualization code provided.</t>
        </is>
      </c>
      <c r="AE385" t="n">
        <v>0</v>
      </c>
      <c r="AF385" t="n">
        <v>0</v>
      </c>
      <c r="AG385" t="inlineStr">
        <is>
          <t>No submission found.</t>
        </is>
      </c>
      <c r="AH385" t="n">
        <v>9</v>
      </c>
      <c r="AI385" t="n">
        <v>0</v>
      </c>
    </row>
    <row r="386">
      <c r="A386" t="n">
        <v>385</v>
      </c>
      <c r="B386" t="inlineStr">
        <is>
          <t>TA_7</t>
        </is>
      </c>
      <c r="C386" t="inlineStr">
        <is>
          <t>TA_17</t>
        </is>
      </c>
      <c r="D386" t="n">
        <v>4</v>
      </c>
      <c r="E386" t="n">
        <v>0</v>
      </c>
      <c r="F386" t="n">
        <v>7.5</v>
      </c>
      <c r="G386" t="n">
        <v>0</v>
      </c>
      <c r="H386" t="n">
        <v>5.5</v>
      </c>
      <c r="I386" t="n">
        <v>0</v>
      </c>
      <c r="J386" t="n">
        <v>5</v>
      </c>
      <c r="K386" t="n">
        <v>0</v>
      </c>
      <c r="L386" t="n">
        <v>8</v>
      </c>
      <c r="M386" t="n">
        <v>0</v>
      </c>
      <c r="N386" t="n">
        <v>2</v>
      </c>
      <c r="O386" t="n">
        <v>0</v>
      </c>
      <c r="P386">
        <f>Table1[[#This Row],[TA 1 - Q1 Score]]+Table1[[#This Row],[TA 1 - Q2 Score]]+Table1[[#This Row],[TA 1 - Q3 Score]]</f>
        <v/>
      </c>
      <c r="Q386">
        <f>Table1[[#This Row],[TA 1 - Q1 Bonus]]+Table1[[#This Row],[TA 1 - Q2 Bonus]]+Table1[[#This Row],[TA 1 - Q4 Bonus]]</f>
        <v/>
      </c>
      <c r="R386">
        <f>Table1[[#This Row],[TA 2 - Q1 Score]]+Table1[[#This Row],[TA 2 - Q2 Score]]+Table1[[#This Row],[TA 2 - Q3 Score]]</f>
        <v/>
      </c>
      <c r="S386">
        <f>Table1[[#This Row],[TA 2 - Q1 Bonus]]+Table1[[#This Row],[TA 2 - Q2 Bonus]]+Table1[[#This Row],[TA 2 - Q4 Bonus]]</f>
        <v/>
      </c>
      <c r="T386">
        <f>(Table1[[#This Row],[TA 1 - Total Score (out of 35)]]+Table1[[#This Row],[TA 2 - Total Score (out of 35)]])/2</f>
        <v/>
      </c>
      <c r="U386">
        <f>(Table1[[#This Row],[TA 1 - Total Bonus (out of 13)]]+Table1[[#This Row],[TA 2 - Total Bonus (out of 13)]])/2</f>
        <v/>
      </c>
      <c r="V386">
        <f>Table1[[#This Row],[Average Questions]]/35*20+Table1[[#This Row],[Average Bonus]]/13*5</f>
        <v/>
      </c>
      <c r="W386" t="n">
        <v>4</v>
      </c>
      <c r="X386" t="n">
        <v>0</v>
      </c>
      <c r="Y386" t="inlineStr">
        <is>
          <t>The student completed the data loading and transformation tasks correctly, including resizing, converting to tensor, and normalizing the images. However, the DataLoader creation had incorrect batch sizes and num_workers values, and the sample image display had issues with denormalization and labeling. The model loading and adaptation section contained significant errors, using the wrong model and incorrectly attempting to modify the roi_heads box predictor. The training and validation loops were partially implemented but lacked label fixing, resulting in a penalty. No bonus tasks were attempted.</t>
        </is>
      </c>
      <c r="Z386" t="n">
        <v>7</v>
      </c>
      <c r="AA386" t="n">
        <v>0</v>
      </c>
      <c r="AB386" t="inlineStr">
        <is>
          <t>The student partially completed the tasks. In Part 1, the dataset paths were incorrectly set, leading to issues with loading the dataset. The transformations included RandomHorizontalFlip, which was not specified in the guidelines. In Part 2, the CNN model had incorrect fully connected layer dimensions and lacked batch normalization. In Part 3, the training and validation loops were mostly correct but used softmax unnecessarily. In Part 4, the model trained and plotted results, but the learning rate was higher than the reference solution. No bonus tasks were attempted.</t>
        </is>
      </c>
      <c r="AC386" t="n">
        <v>4</v>
      </c>
      <c r="AD386" t="inlineStr">
        <is>
          <t>The student attempted most tasks but made significant errors. In Task 1, the dataset class and DataLoader creation were partially correct but incorrectly used paths and transformations. Task 2 failed as the student implemented a custom U-Net instead of using a pretrained U-Net with an efficientnet-b1 encoder. Task 3 had correct training and validation loops but was not executed due to the incorrect model. Task 4 defined loss and optimizer correctly but trained an incorrect model, leading to no meaningful loss plots. Task 5 was not attempted.</t>
        </is>
      </c>
      <c r="AE386" t="n">
        <v>0</v>
      </c>
      <c r="AF386" t="n">
        <v>0</v>
      </c>
      <c r="AG386" t="inlineStr">
        <is>
          <t>No submission found.</t>
        </is>
      </c>
      <c r="AH386" t="n">
        <v>15</v>
      </c>
      <c r="AI386" t="n">
        <v>0</v>
      </c>
    </row>
    <row r="387">
      <c r="A387" t="n">
        <v>386</v>
      </c>
      <c r="B387" t="inlineStr">
        <is>
          <t>TA_7</t>
        </is>
      </c>
      <c r="C387" t="inlineStr">
        <is>
          <t>TA_17</t>
        </is>
      </c>
      <c r="D387" t="n">
        <v>12</v>
      </c>
      <c r="E387" t="n">
        <v>4</v>
      </c>
      <c r="F387" t="n">
        <v>11</v>
      </c>
      <c r="G387" t="n">
        <v>1</v>
      </c>
      <c r="H387" t="n">
        <v>7.5</v>
      </c>
      <c r="I387" t="n">
        <v>0</v>
      </c>
      <c r="J387" t="n">
        <v>11.5</v>
      </c>
      <c r="K387" t="n">
        <v>4</v>
      </c>
      <c r="L387" t="n">
        <v>11</v>
      </c>
      <c r="M387" t="n">
        <v>0</v>
      </c>
      <c r="N387" t="n">
        <v>11</v>
      </c>
      <c r="O387" t="n">
        <v>0</v>
      </c>
      <c r="P387">
        <f>Table1[[#This Row],[TA 1 - Q1 Score]]+Table1[[#This Row],[TA 1 - Q2 Score]]+Table1[[#This Row],[TA 1 - Q3 Score]]</f>
        <v/>
      </c>
      <c r="Q387">
        <f>Table1[[#This Row],[TA 1 - Q1 Bonus]]+Table1[[#This Row],[TA 1 - Q2 Bonus]]+Table1[[#This Row],[TA 1 - Q4 Bonus]]</f>
        <v/>
      </c>
      <c r="R387">
        <f>Table1[[#This Row],[TA 2 - Q1 Score]]+Table1[[#This Row],[TA 2 - Q2 Score]]+Table1[[#This Row],[TA 2 - Q3 Score]]</f>
        <v/>
      </c>
      <c r="S387">
        <f>Table1[[#This Row],[TA 2 - Q1 Bonus]]+Table1[[#This Row],[TA 2 - Q2 Bonus]]+Table1[[#This Row],[TA 2 - Q4 Bonus]]</f>
        <v/>
      </c>
      <c r="T387">
        <f>(Table1[[#This Row],[TA 1 - Total Score (out of 35)]]+Table1[[#This Row],[TA 2 - Total Score (out of 35)]])/2</f>
        <v/>
      </c>
      <c r="U387">
        <f>(Table1[[#This Row],[TA 1 - Total Bonus (out of 13)]]+Table1[[#This Row],[TA 2 - Total Bonus (out of 13)]])/2</f>
        <v/>
      </c>
      <c r="V387">
        <f>Table1[[#This Row],[Average Questions]]/35*20+Table1[[#This Row],[Average Bonus]]/13*5</f>
        <v/>
      </c>
      <c r="W387" t="n">
        <v>8</v>
      </c>
      <c r="X387" t="n">
        <v>0</v>
      </c>
      <c r="Y387" t="inlineStr">
        <is>
          <t>The student completed most tasks correctly but made some minor mistakes. The data loading and preparation were mostly correct, with the resize and normalization steps implemented properly. However, the batch size was set to 32 instead of 64, and the sample images displayed were not randomly selected. The model loading and adaptation were correct, but the backbone was not explicitly frozen. The training and validation loops were implemented correctly, including the label fix. The plotting of losses and accuracies was also correct. The bonus task for test time augmentation was not fully implemented correctly, as the original images were not used in the predictions.</t>
        </is>
      </c>
      <c r="Z387" t="n">
        <v>7</v>
      </c>
      <c r="AA387" t="n">
        <v>0</v>
      </c>
      <c r="AB387" t="inlineStr">
        <is>
          <t>The student successfully loaded and prepared the data with the correct transformations and displayed sample images. The CNN model has 5 convolutional layers with batch normalization, though the number of channels and sizes differ from the reference. The training and validation functions are implemented correctly, and the model is trained and plotted. However, the bonus task for residual connections is not fully implemented correctly, with issues in the model definition and missing retraining and plotting steps.</t>
        </is>
      </c>
      <c r="AC387" t="n">
        <v>5</v>
      </c>
      <c r="AD387" t="inlineStr">
        <is>
          <t>The student's submission partially completes several tasks but contains significant errors. Task 1 is mostly correct with a proper dataset class and data loaders, but the display of images and masks has minor issues. Task 2 incorrectly defines the U-Net model with 'efficientnet-b1' and sets the number of classes to 1 instead of 8. Task 3 has syntax errors in the training and validation loops, specifically in handling the masks. Task 4 uses an incorrect loss function (BCEWithLogitsLoss) for multi-class segmentation and trains for only 3 epochs. Task 5 visualizes predictions but incorrectly converts the predicted mask to binary.</t>
        </is>
      </c>
      <c r="AE387" t="n">
        <v>0</v>
      </c>
      <c r="AF387" t="n">
        <v>0</v>
      </c>
      <c r="AG387" t="inlineStr">
        <is>
          <t>No submission found.</t>
        </is>
      </c>
      <c r="AH387" t="n">
        <v>20</v>
      </c>
      <c r="AI387" t="n">
        <v>0</v>
      </c>
    </row>
    <row r="388">
      <c r="A388" t="n">
        <v>387</v>
      </c>
      <c r="B388" t="inlineStr">
        <is>
          <t>TA_7</t>
        </is>
      </c>
      <c r="C388" t="inlineStr">
        <is>
          <t>TA_17</t>
        </is>
      </c>
      <c r="D388" t="n">
        <v>12</v>
      </c>
      <c r="E388" t="n">
        <v>4</v>
      </c>
      <c r="F388" t="n">
        <v>10.5</v>
      </c>
      <c r="G388" t="n">
        <v>4</v>
      </c>
      <c r="H388" t="n">
        <v>11.5</v>
      </c>
      <c r="I388" t="n">
        <v>0</v>
      </c>
      <c r="J388" t="n">
        <v>12</v>
      </c>
      <c r="K388" t="n">
        <v>4</v>
      </c>
      <c r="L388" t="n">
        <v>10.5</v>
      </c>
      <c r="M388" t="n">
        <v>4</v>
      </c>
      <c r="N388" t="n">
        <v>12</v>
      </c>
      <c r="O388" t="n">
        <v>0</v>
      </c>
      <c r="P388">
        <f>Table1[[#This Row],[TA 1 - Q1 Score]]+Table1[[#This Row],[TA 1 - Q2 Score]]+Table1[[#This Row],[TA 1 - Q3 Score]]</f>
        <v/>
      </c>
      <c r="Q388">
        <f>Table1[[#This Row],[TA 1 - Q1 Bonus]]+Table1[[#This Row],[TA 1 - Q2 Bonus]]+Table1[[#This Row],[TA 1 - Q4 Bonus]]</f>
        <v/>
      </c>
      <c r="R388">
        <f>Table1[[#This Row],[TA 2 - Q1 Score]]+Table1[[#This Row],[TA 2 - Q2 Score]]+Table1[[#This Row],[TA 2 - Q3 Score]]</f>
        <v/>
      </c>
      <c r="S388">
        <f>Table1[[#This Row],[TA 2 - Q1 Bonus]]+Table1[[#This Row],[TA 2 - Q2 Bonus]]+Table1[[#This Row],[TA 2 - Q4 Bonus]]</f>
        <v/>
      </c>
      <c r="T388">
        <f>(Table1[[#This Row],[TA 1 - Total Score (out of 35)]]+Table1[[#This Row],[TA 2 - Total Score (out of 35)]])/2</f>
        <v/>
      </c>
      <c r="U388">
        <f>(Table1[[#This Row],[TA 1 - Total Bonus (out of 13)]]+Table1[[#This Row],[TA 2 - Total Bonus (out of 13)]])/2</f>
        <v/>
      </c>
      <c r="V388">
        <f>Table1[[#This Row],[Average Questions]]/35*20+Table1[[#This Row],[Average Bonus]]/13*5</f>
        <v/>
      </c>
      <c r="W388" t="n">
        <v>11.5</v>
      </c>
      <c r="X388" t="n">
        <v>4</v>
      </c>
      <c r="Y388" t="inlineStr">
        <is>
          <t>The student completed all required tasks with minor issues. In Part 1, the transforms were correctly implemented. In Part 2, the model was loaded, the backbone was frozen, and the classifier head was replaced correctly. In Part 3, both training and validation loops were defined accurately, and the label fix was applied properly. In Part 4, the setup, training, and plotting of losses and accuracies were done correctly. For the bonus task, the student implemented TTA correctly by averaging predictions from original, horizontally flipped, and vertically flipped images.</t>
        </is>
      </c>
      <c r="Z388" t="n">
        <v>8.5</v>
      </c>
      <c r="AA388" t="n">
        <v>3</v>
      </c>
      <c r="AB388" t="inlineStr">
        <is>
          <t>The student successfully loaded and prepared the data with correct transformations and displayed sample images. The CNN model was built with five convolutional layers and batch normalization, earning full marks for this part. However, the training loop ran for only 5 epochs instead of 10, slightly reducing the score. The residual connection was correctly implemented, and the model was retrained and plotted, earning full bonus points.</t>
        </is>
      </c>
      <c r="AC388" t="n">
        <v>8.5</v>
      </c>
      <c r="AD388" t="inlineStr">
        <is>
          <t>The student's submission largely follows the reference solution but includes some minor issues. The dataset class is correctly implemented, and the DataLoaders are set up properly. Sample images and masks are displayed correctly. The model class uses the correct U-Net architecture with the specified encoder. Training and validation loops are implemented with minor syntax issues. The training process defines the loss and optimizer correctly, trains the model, and plots the loss curve. However, the learning rate is lower than the reference, and fewer epochs are used. Predictions are visualized correctly against ground truth. Overall, the submission is mostly correct with some minor deviations.</t>
        </is>
      </c>
      <c r="AE388" t="n">
        <v>0</v>
      </c>
      <c r="AF388" t="n">
        <v>0</v>
      </c>
      <c r="AG388" t="inlineStr">
        <is>
          <t>No submission found.</t>
        </is>
      </c>
      <c r="AH388" t="n">
        <v>28.5</v>
      </c>
      <c r="AI388" t="n">
        <v>7</v>
      </c>
    </row>
    <row r="389">
      <c r="A389" t="n">
        <v>388</v>
      </c>
      <c r="B389" t="inlineStr">
        <is>
          <t>TA_7</t>
        </is>
      </c>
      <c r="C389" t="inlineStr">
        <is>
          <t>TA_17</t>
        </is>
      </c>
      <c r="D389" t="n">
        <v>3</v>
      </c>
      <c r="E389" t="n">
        <v>0</v>
      </c>
      <c r="F389" t="n">
        <v>7.5</v>
      </c>
      <c r="G389" t="n">
        <v>0</v>
      </c>
      <c r="H389" t="n">
        <v>7</v>
      </c>
      <c r="I389" t="n">
        <v>0</v>
      </c>
      <c r="J389" t="n">
        <v>2.5</v>
      </c>
      <c r="K389" t="n">
        <v>0</v>
      </c>
      <c r="L389" t="n">
        <v>6.5</v>
      </c>
      <c r="M389" t="n">
        <v>0</v>
      </c>
      <c r="N389" t="n">
        <v>3</v>
      </c>
      <c r="O389" t="n">
        <v>0</v>
      </c>
      <c r="P389">
        <f>Table1[[#This Row],[TA 1 - Q1 Score]]+Table1[[#This Row],[TA 1 - Q2 Score]]+Table1[[#This Row],[TA 1 - Q3 Score]]</f>
        <v/>
      </c>
      <c r="Q389">
        <f>Table1[[#This Row],[TA 1 - Q1 Bonus]]+Table1[[#This Row],[TA 1 - Q2 Bonus]]+Table1[[#This Row],[TA 1 - Q4 Bonus]]</f>
        <v/>
      </c>
      <c r="R389">
        <f>Table1[[#This Row],[TA 2 - Q1 Score]]+Table1[[#This Row],[TA 2 - Q2 Score]]+Table1[[#This Row],[TA 2 - Q3 Score]]</f>
        <v/>
      </c>
      <c r="S389">
        <f>Table1[[#This Row],[TA 2 - Q1 Bonus]]+Table1[[#This Row],[TA 2 - Q2 Bonus]]+Table1[[#This Row],[TA 2 - Q4 Bonus]]</f>
        <v/>
      </c>
      <c r="T389">
        <f>(Table1[[#This Row],[TA 1 - Total Score (out of 35)]]+Table1[[#This Row],[TA 2 - Total Score (out of 35)]])/2</f>
        <v/>
      </c>
      <c r="U389">
        <f>(Table1[[#This Row],[TA 1 - Total Bonus (out of 13)]]+Table1[[#This Row],[TA 2 - Total Bonus (out of 13)]])/2</f>
        <v/>
      </c>
      <c r="V389">
        <f>Table1[[#This Row],[Average Questions]]/35*20+Table1[[#This Row],[Average Bonus]]/13*5</f>
        <v/>
      </c>
      <c r="W389" t="n">
        <v>2</v>
      </c>
      <c r="X389" t="n">
        <v>0</v>
      </c>
      <c r="Y389" t="inlineStr">
        <is>
          <t>The student attempted most tasks but made significant errors. In Part 1, the resize transformation was incorrectly specified, and the normalization parameters were duplicated. Part 2 used VGG16 instead of EfficientNetV2-Small, and the backbone was not properly frozen. Part 3 had incorrect training and validation loops without label fixing. Part 4 included incorrect setup and training code. No bonus task was attempted.</t>
        </is>
      </c>
      <c r="Z389" t="n">
        <v>6</v>
      </c>
      <c r="AA389" t="n">
        <v>0</v>
      </c>
      <c r="AB389" t="inlineStr">
        <is>
          <t>The student partially completed the tasks. They correctly set up the dataset and DataLoaders with the specified transformations, including RandomRotation and resizing to 32x32. However, they used an incorrect number of convolutional layers (3 instead of 5) and did not add Batch Normalization. The training and validation loops were implemented correctly, and the model was trained and evaluated. The bonus task was not attempted.</t>
        </is>
      </c>
      <c r="AC389" t="n">
        <v>2</v>
      </c>
      <c r="AD389" t="inlineStr">
        <is>
          <t>The student attempted most tasks but made significant errors. The dataset class incorrectly uses a CSV file for paths instead of directly listing files, and the remapping function is incorrect for multi-class segmentation. The model class defines a custom U-Net instead of using the pretrained U-Net with efficientnet-b1 encoder. The training and validation loops use BCEWithLogitsLoss, which is inappropriate for multi-class segmentation. The visualization code attempts to display predictions but uses a binary threshold, which is incorrect for multi-class masks.</t>
        </is>
      </c>
      <c r="AE389" t="n">
        <v>0</v>
      </c>
      <c r="AF389" t="n">
        <v>0</v>
      </c>
      <c r="AG389" t="inlineStr">
        <is>
          <t>No submission found.</t>
        </is>
      </c>
      <c r="AH389" t="n">
        <v>10</v>
      </c>
      <c r="AI389" t="n">
        <v>0</v>
      </c>
    </row>
    <row r="390">
      <c r="A390" t="n">
        <v>389</v>
      </c>
      <c r="B390" t="inlineStr">
        <is>
          <t>TA_7</t>
        </is>
      </c>
      <c r="C390" t="inlineStr">
        <is>
          <t>TA_17</t>
        </is>
      </c>
      <c r="D390" t="n">
        <v>12</v>
      </c>
      <c r="E390" t="n">
        <v>4</v>
      </c>
      <c r="F390" t="n">
        <v>11</v>
      </c>
      <c r="G390" t="n">
        <v>3</v>
      </c>
      <c r="H390" t="n">
        <v>9.5</v>
      </c>
      <c r="I390" t="n">
        <v>5</v>
      </c>
      <c r="J390" t="n">
        <v>10</v>
      </c>
      <c r="K390" t="n">
        <v>2</v>
      </c>
      <c r="L390" t="n">
        <v>11</v>
      </c>
      <c r="M390" t="n">
        <v>2</v>
      </c>
      <c r="N390" t="n">
        <v>12</v>
      </c>
      <c r="O390" t="n">
        <v>5</v>
      </c>
      <c r="P390">
        <f>Table1[[#This Row],[TA 1 - Q1 Score]]+Table1[[#This Row],[TA 1 - Q2 Score]]+Table1[[#This Row],[TA 1 - Q3 Score]]</f>
        <v/>
      </c>
      <c r="Q390">
        <f>Table1[[#This Row],[TA 1 - Q1 Bonus]]+Table1[[#This Row],[TA 1 - Q2 Bonus]]+Table1[[#This Row],[TA 1 - Q4 Bonus]]</f>
        <v/>
      </c>
      <c r="R390">
        <f>Table1[[#This Row],[TA 2 - Q1 Score]]+Table1[[#This Row],[TA 2 - Q2 Score]]+Table1[[#This Row],[TA 2 - Q3 Score]]</f>
        <v/>
      </c>
      <c r="S390">
        <f>Table1[[#This Row],[TA 2 - Q1 Bonus]]+Table1[[#This Row],[TA 2 - Q2 Bonus]]+Table1[[#This Row],[TA 2 - Q4 Bonus]]</f>
        <v/>
      </c>
      <c r="T390">
        <f>(Table1[[#This Row],[TA 1 - Total Score (out of 35)]]+Table1[[#This Row],[TA 2 - Total Score (out of 35)]])/2</f>
        <v/>
      </c>
      <c r="U390">
        <f>(Table1[[#This Row],[TA 1 - Total Bonus (out of 13)]]+Table1[[#This Row],[TA 2 - Total Bonus (out of 13)]])/2</f>
        <v/>
      </c>
      <c r="V390">
        <f>Table1[[#This Row],[Average Questions]]/35*20+Table1[[#This Row],[Average Bonus]]/13*5</f>
        <v/>
      </c>
      <c r="W390" t="n">
        <v>10.5</v>
      </c>
      <c r="X390" t="n">
        <v>3</v>
      </c>
      <c r="Y390" t="inlineStr">
        <is>
          <t>The student completed most tasks correctly. The data loading and preparation were mostly accurate, with a minor typo in DataLoader variable names. The model setup and adaptation were correct, though the student did not freeze the backbone. The training and validation loops were implemented properly, including label fixing. The student also correctly implemented test time augmentation, averaging predictions from original, horizontally flipped, and vertically flipped images.</t>
        </is>
      </c>
      <c r="Z390" t="n">
        <v>6</v>
      </c>
      <c r="AA390" t="n">
        <v>0</v>
      </c>
      <c r="AB390" t="inlineStr">
        <is>
          <t>The student partially completed the tasks. They correctly set up the dataset and DataLoaders with the required transformations, including RandomRotation and resizing to 32x32. However, they used a different architecture for the CNN model with more layers and different parameters than specified, which results in a deduction. The training and validation loops were implemented correctly, and the model was trained and plotted. The bonus task was not completed as the residual connection was not correctly defined according to the instructions.</t>
        </is>
      </c>
      <c r="AC390" t="n">
        <v>5</v>
      </c>
      <c r="AD390" t="inlineStr">
        <is>
          <t>The student partially completed the tasks with some syntax and logical errors. The dataset class and data loaders were implemented correctly, but the display of images and masks had issues. The model class used the correct encoder but had a mistake in the training and validation loops where masks were converted to float instead of long. The loss and optimizer were defined incorrectly, and the plotting of loss curves was attempted but had issues. Visualization of predictions also had errors in handling the output and displaying the images.</t>
        </is>
      </c>
      <c r="AE390" t="n">
        <v>0</v>
      </c>
      <c r="AF390" t="n">
        <v>5</v>
      </c>
      <c r="AG390" t="inlineStr">
        <is>
          <t>The student's implementation of the ColorizationDataset class is correct and runs perfectly. The __init__, __len__, rgb_to_grayscale, and __getitem__ methods are all implemented accurately, and the visualization step correctly displays the grayscale and color images. The DataLoader test also confirms the correct shapes of the batches. Therefore, the student receives full bonus points for this task.</t>
        </is>
      </c>
      <c r="AH390" t="n">
        <v>21.5</v>
      </c>
      <c r="AI390" t="n">
        <v>8</v>
      </c>
    </row>
    <row r="391">
      <c r="A391" t="n">
        <v>390</v>
      </c>
      <c r="B391" t="inlineStr">
        <is>
          <t>TA_7</t>
        </is>
      </c>
      <c r="C391" t="inlineStr">
        <is>
          <t>TA_17</t>
        </is>
      </c>
      <c r="D391" t="n">
        <v>11</v>
      </c>
      <c r="E391" t="n">
        <v>0</v>
      </c>
      <c r="F391" t="n">
        <v>11</v>
      </c>
      <c r="G391" t="n">
        <v>0</v>
      </c>
      <c r="H391" t="n">
        <v>9</v>
      </c>
      <c r="I391" t="n">
        <v>0</v>
      </c>
      <c r="J391" t="n">
        <v>10.5</v>
      </c>
      <c r="K391" t="n">
        <v>0</v>
      </c>
      <c r="L391" t="n">
        <v>11</v>
      </c>
      <c r="M391" t="n">
        <v>0</v>
      </c>
      <c r="N391" t="n">
        <v>11</v>
      </c>
      <c r="O391" t="n">
        <v>0</v>
      </c>
      <c r="P391">
        <f>Table1[[#This Row],[TA 1 - Q1 Score]]+Table1[[#This Row],[TA 1 - Q2 Score]]+Table1[[#This Row],[TA 1 - Q3 Score]]</f>
        <v/>
      </c>
      <c r="Q391">
        <f>Table1[[#This Row],[TA 1 - Q1 Bonus]]+Table1[[#This Row],[TA 1 - Q2 Bonus]]+Table1[[#This Row],[TA 1 - Q4 Bonus]]</f>
        <v/>
      </c>
      <c r="R391">
        <f>Table1[[#This Row],[TA 2 - Q1 Score]]+Table1[[#This Row],[TA 2 - Q2 Score]]+Table1[[#This Row],[TA 2 - Q3 Score]]</f>
        <v/>
      </c>
      <c r="S391">
        <f>Table1[[#This Row],[TA 2 - Q1 Bonus]]+Table1[[#This Row],[TA 2 - Q2 Bonus]]+Table1[[#This Row],[TA 2 - Q4 Bonus]]</f>
        <v/>
      </c>
      <c r="T391">
        <f>(Table1[[#This Row],[TA 1 - Total Score (out of 35)]]+Table1[[#This Row],[TA 2 - Total Score (out of 35)]])/2</f>
        <v/>
      </c>
      <c r="U391">
        <f>(Table1[[#This Row],[TA 1 - Total Bonus (out of 13)]]+Table1[[#This Row],[TA 2 - Total Bonus (out of 13)]])/2</f>
        <v/>
      </c>
      <c r="V391">
        <f>Table1[[#This Row],[Average Questions]]/35*20+Table1[[#This Row],[Average Bonus]]/13*5</f>
        <v/>
      </c>
      <c r="W391" t="n">
        <v>8</v>
      </c>
      <c r="X391" t="n">
        <v>0</v>
      </c>
      <c r="Y391" t="inlineStr">
        <is>
          <t>The student completed most tasks correctly but made some minor mistakes. In Part 1, the transforms were correctly defined, and sample images were displayed. However, the DataLoader creation had a small issue with the commented-out custom dataset class. In Part 2, the model was loaded and adapted correctly, but the backbone freezing was done incorrectly by freezing all parameters instead of just the feature extractor. In Part 3, the training and validation loops were mostly correct, but the label fixing was not implemented properly within the loops. In Part 4, the training setup and execution were correct, but the plotting used incorrect variable names (train_losses, val_losses, train_accuracies, val_accuracies were not defined). No bonus tasks were attempted.</t>
        </is>
      </c>
      <c r="Z391" t="n">
        <v>8.5</v>
      </c>
      <c r="AA391" t="n">
        <v>0</v>
      </c>
      <c r="AB391" t="inlineStr">
        <is>
          <t>The student implemented a custom dataset class and used the correct transformations, including RandomRotation and resizing to 32x32. Sample images were displayed with labels. The CNN model has 5 convolutional layers with batch normalization, though the final fully connected layer input size is incorrect (should be 256*4*4 instead of 64*2*2). Training and validation loops were correctly defined and executed, with plots showing loss and accuracy over epochs. The bonus task was not attempted.</t>
        </is>
      </c>
      <c r="AC391" t="n">
        <v>5</v>
      </c>
      <c r="AD391" t="inlineStr">
        <is>
          <t>The student partially completed the tasks with some syntax and logical errors. The dataset class and data loaders were correctly implemented, but the mask remapping was missing. The model class used the correct encoder but had a typo in the dataset name. The training and validation loops contained errors in handling the mask data types. The training process was attempted but with incorrect loss calculation due to mask type issues. Visualization of predictions was attempted but incorrectly applied a sigmoid threshold, suitable for binary segmentation rather than multi-class.</t>
        </is>
      </c>
      <c r="AE391" t="n">
        <v>0</v>
      </c>
      <c r="AF391" t="n">
        <v>0</v>
      </c>
      <c r="AG391" t="inlineStr">
        <is>
          <t>The student did not implement any of the required methods in the `ColorizationDataset` class. The `__init__`, `__len__`, `rgb_to_grayscale`, and `__getitem__` methods were left unimplemented with only placeholder comments. As a result, the code does not run and fails to produce the expected output.</t>
        </is>
      </c>
      <c r="AH391" t="n">
        <v>21.5</v>
      </c>
      <c r="AI391" t="n">
        <v>0</v>
      </c>
    </row>
    <row r="392">
      <c r="A392" t="n">
        <v>391</v>
      </c>
      <c r="B392" t="inlineStr">
        <is>
          <t>TA_7</t>
        </is>
      </c>
      <c r="C392" t="inlineStr">
        <is>
          <t>TA_17</t>
        </is>
      </c>
      <c r="D392" t="n">
        <v>10.5</v>
      </c>
      <c r="E392" t="n">
        <v>0</v>
      </c>
      <c r="F392" t="n">
        <v>8</v>
      </c>
      <c r="G392" t="n">
        <v>0</v>
      </c>
      <c r="H392" t="n">
        <v>8.5</v>
      </c>
      <c r="I392" t="n">
        <v>0</v>
      </c>
      <c r="J392" t="n">
        <v>10.5</v>
      </c>
      <c r="K392" t="n">
        <v>0</v>
      </c>
      <c r="L392" t="n">
        <v>9.5</v>
      </c>
      <c r="M392" t="n">
        <v>0</v>
      </c>
      <c r="N392" t="n">
        <v>11.5</v>
      </c>
      <c r="O392" t="n">
        <v>0</v>
      </c>
      <c r="P392">
        <f>Table1[[#This Row],[TA 1 - Q1 Score]]+Table1[[#This Row],[TA 1 - Q2 Score]]+Table1[[#This Row],[TA 1 - Q3 Score]]</f>
        <v/>
      </c>
      <c r="Q392">
        <f>Table1[[#This Row],[TA 1 - Q1 Bonus]]+Table1[[#This Row],[TA 1 - Q2 Bonus]]+Table1[[#This Row],[TA 1 - Q4 Bonus]]</f>
        <v/>
      </c>
      <c r="R392">
        <f>Table1[[#This Row],[TA 2 - Q1 Score]]+Table1[[#This Row],[TA 2 - Q2 Score]]+Table1[[#This Row],[TA 2 - Q3 Score]]</f>
        <v/>
      </c>
      <c r="S392">
        <f>Table1[[#This Row],[TA 2 - Q1 Bonus]]+Table1[[#This Row],[TA 2 - Q2 Bonus]]+Table1[[#This Row],[TA 2 - Q4 Bonus]]</f>
        <v/>
      </c>
      <c r="T392">
        <f>(Table1[[#This Row],[TA 1 - Total Score (out of 35)]]+Table1[[#This Row],[TA 2 - Total Score (out of 35)]])/2</f>
        <v/>
      </c>
      <c r="U392">
        <f>(Table1[[#This Row],[TA 1 - Total Bonus (out of 13)]]+Table1[[#This Row],[TA 2 - Total Bonus (out of 13)]])/2</f>
        <v/>
      </c>
      <c r="V392">
        <f>Table1[[#This Row],[Average Questions]]/35*20+Table1[[#This Row],[Average Bonus]]/13*5</f>
        <v/>
      </c>
      <c r="W392" t="n">
        <v>5</v>
      </c>
      <c r="X392" t="n">
        <v>0</v>
      </c>
      <c r="Y392" t="inlineStr">
        <is>
          <t>The student partially completed several tasks but made significant errors. The data loading and preparation section had incorrect image resizing dimensions and used EfficientNet-B0 instead of EfficientNetV2-Small. The training and validation loops were mostly correct but used a single epoch, which is insufficient for proper training. The student did not attempt the bonus task.</t>
        </is>
      </c>
      <c r="Z392" t="n">
        <v>7</v>
      </c>
      <c r="AA392" t="n">
        <v>0</v>
      </c>
      <c r="AB392" t="inlineStr">
        <is>
          <t>The student implemented a custom dataset class and used the correct transformations, including RandomRotation and resizing to 32x32. However, the CNN model has only 5 convolutional layers but with fewer filters compared to the reference solution, and the fully connected layer input size is incorrect. The training and validation loops are implemented correctly, but the model was trained for only 1 epoch in the first attempt and 5 epochs in the second attempt, which is less than the reference solution's 10 epochs. No bonus task was attempted.</t>
        </is>
      </c>
      <c r="AC392" t="n">
        <v>8.5</v>
      </c>
      <c r="AD392" t="inlineStr">
        <is>
          <t>The student's submission includes most of the required tasks with minor issues. The dataset class is correctly implemented, and the DataLoaders are set up properly. However, the student did not display sample images and masks, resulting in a deduction. The model class is correctly defined with the specified encoder. The training and validation loops are implemented with slight syntax issues, such as incorrect device assignment and missing remapping of masks. The training process is executed with a low number of epochs, and the loss curve is not plotted. The predictions are visualized, but the masks are displayed in grayscale instead of using a colormap. Overall, the submission demonstrates a good understanding of the tasks but requires some corrections.</t>
        </is>
      </c>
      <c r="AE392" t="n">
        <v>0</v>
      </c>
      <c r="AF392" t="n">
        <v>0</v>
      </c>
      <c r="AG392" t="inlineStr">
        <is>
          <t>The student's submission does not implement the required `ColorizationDataset` class correctly. The code includes multiple unrelated cells and attempts to load images from directories that are not part of the CIFAR-10 dataset. The `ColorizationDataset` class is defined twice, with the second definition being incomplete and not implementing the necessary methods. The first definition is incorrect for the task and attempts to handle segmentation masks, which are not relevant to image colorization. The code does not follow the required structure and does not produce the expected output.</t>
        </is>
      </c>
      <c r="AH392" t="n">
        <v>20.5</v>
      </c>
      <c r="AI392" t="n">
        <v>0</v>
      </c>
    </row>
    <row r="393">
      <c r="A393" t="n">
        <v>392</v>
      </c>
      <c r="B393" t="inlineStr">
        <is>
          <t>TA_7</t>
        </is>
      </c>
      <c r="C393" t="inlineStr">
        <is>
          <t>TA_17</t>
        </is>
      </c>
      <c r="D393" t="n">
        <v>8.5</v>
      </c>
      <c r="E393" t="n">
        <v>4</v>
      </c>
      <c r="F393" t="n">
        <v>10</v>
      </c>
      <c r="G393" t="n">
        <v>0</v>
      </c>
      <c r="H393" t="n">
        <v>5.5</v>
      </c>
      <c r="I393" t="n">
        <v>0</v>
      </c>
      <c r="J393" t="n">
        <v>11</v>
      </c>
      <c r="K393" t="n">
        <v>2.5</v>
      </c>
      <c r="L393" t="n">
        <v>11</v>
      </c>
      <c r="M393" t="n">
        <v>0</v>
      </c>
      <c r="N393" t="n">
        <v>5</v>
      </c>
      <c r="O393" t="n">
        <v>0</v>
      </c>
      <c r="P393">
        <f>Table1[[#This Row],[TA 1 - Q1 Score]]+Table1[[#This Row],[TA 1 - Q2 Score]]+Table1[[#This Row],[TA 1 - Q3 Score]]</f>
        <v/>
      </c>
      <c r="Q393">
        <f>Table1[[#This Row],[TA 1 - Q1 Bonus]]+Table1[[#This Row],[TA 1 - Q2 Bonus]]+Table1[[#This Row],[TA 1 - Q4 Bonus]]</f>
        <v/>
      </c>
      <c r="R393">
        <f>Table1[[#This Row],[TA 2 - Q1 Score]]+Table1[[#This Row],[TA 2 - Q2 Score]]+Table1[[#This Row],[TA 2 - Q3 Score]]</f>
        <v/>
      </c>
      <c r="S393">
        <f>Table1[[#This Row],[TA 2 - Q1 Bonus]]+Table1[[#This Row],[TA 2 - Q2 Bonus]]+Table1[[#This Row],[TA 2 - Q4 Bonus]]</f>
        <v/>
      </c>
      <c r="T393">
        <f>(Table1[[#This Row],[TA 1 - Total Score (out of 35)]]+Table1[[#This Row],[TA 2 - Total Score (out of 35)]])/2</f>
        <v/>
      </c>
      <c r="U393">
        <f>(Table1[[#This Row],[TA 1 - Total Bonus (out of 13)]]+Table1[[#This Row],[TA 2 - Total Bonus (out of 13)]])/2</f>
        <v/>
      </c>
      <c r="V393">
        <f>Table1[[#This Row],[Average Questions]]/35*20+Table1[[#This Row],[Average Bonus]]/13*5</f>
        <v/>
      </c>
      <c r="W393" t="n">
        <v>5.5</v>
      </c>
      <c r="X393" t="n">
        <v>0</v>
      </c>
      <c r="Y393" t="inlineStr">
        <is>
          <t>The student completed the data loading and transformation tasks correctly, including resizing, converting to tensor, and normalizing the images. However, there were issues in the data display section where the labels were not correctly mapped to letters. The model loading and adaptation were mostly correct, but the student did not freeze the backbone. In the training and validation functions, the student made mistakes in the training loop by using sigmoid activation and binary thresholding, which is inappropriate for multi-class classification. The plotting of losses and accuracies was done correctly. The bonus task was not attempted.</t>
        </is>
      </c>
      <c r="Z393" t="n">
        <v>8.5</v>
      </c>
      <c r="AA393" t="n">
        <v>0</v>
      </c>
      <c r="AB393" t="inlineStr">
        <is>
          <t>The student successfully implemented a custom dataset class, created train and test datasets with appropriate transformations, and displayed sample images. The CNN model includes five convolutional layers with batch normalization, though the channel sizes differ from the reference solution. Training and validation loops are correctly defined and executed, with plots showing the training and validation metrics. However, the student used a learning rate of 0.01 instead of 0.001, and the bonus task was not attempted.</t>
        </is>
      </c>
      <c r="AC393" t="n">
        <v>2</v>
      </c>
      <c r="AD393" t="inlineStr">
        <is>
          <t>The student attempted several tasks but failed to complete them correctly. Task 1 was partially completed with a dataset class that had issues in loading images and masks. Task 2 was attempted with the correct model definition but used an incorrect dataset class. Task 3 and Task 4 were not fully implemented due to missing DataLoaders and incomplete training/validation loops. Task 5 was not attempted.</t>
        </is>
      </c>
      <c r="AE393" t="n">
        <v>0</v>
      </c>
      <c r="AF393" t="n">
        <v>0</v>
      </c>
      <c r="AG393" t="inlineStr">
        <is>
          <t>No submission found.</t>
        </is>
      </c>
      <c r="AH393" t="n">
        <v>16</v>
      </c>
      <c r="AI393" t="n">
        <v>0</v>
      </c>
    </row>
    <row r="394">
      <c r="A394" t="n">
        <v>393</v>
      </c>
      <c r="B394" t="inlineStr">
        <is>
          <t>TA_7</t>
        </is>
      </c>
      <c r="C394" t="inlineStr">
        <is>
          <t>TA_17</t>
        </is>
      </c>
      <c r="D394" t="n">
        <v>12</v>
      </c>
      <c r="E394" t="n">
        <v>0</v>
      </c>
      <c r="F394" t="n">
        <v>11</v>
      </c>
      <c r="G394" t="n">
        <v>0</v>
      </c>
      <c r="H394" t="n">
        <v>10.5</v>
      </c>
      <c r="I394" t="n">
        <v>0</v>
      </c>
      <c r="J394" t="n">
        <v>12</v>
      </c>
      <c r="K394" t="n">
        <v>0</v>
      </c>
      <c r="L394" t="n">
        <v>10</v>
      </c>
      <c r="M394" t="n">
        <v>0</v>
      </c>
      <c r="N394" t="n">
        <v>11</v>
      </c>
      <c r="O394" t="n">
        <v>0</v>
      </c>
      <c r="P394">
        <f>Table1[[#This Row],[TA 1 - Q1 Score]]+Table1[[#This Row],[TA 1 - Q2 Score]]+Table1[[#This Row],[TA 1 - Q3 Score]]</f>
        <v/>
      </c>
      <c r="Q394">
        <f>Table1[[#This Row],[TA 1 - Q1 Bonus]]+Table1[[#This Row],[TA 1 - Q2 Bonus]]+Table1[[#This Row],[TA 1 - Q4 Bonus]]</f>
        <v/>
      </c>
      <c r="R394">
        <f>Table1[[#This Row],[TA 2 - Q1 Score]]+Table1[[#This Row],[TA 2 - Q2 Score]]+Table1[[#This Row],[TA 2 - Q3 Score]]</f>
        <v/>
      </c>
      <c r="S394">
        <f>Table1[[#This Row],[TA 2 - Q1 Bonus]]+Table1[[#This Row],[TA 2 - Q2 Bonus]]+Table1[[#This Row],[TA 2 - Q4 Bonus]]</f>
        <v/>
      </c>
      <c r="T394">
        <f>(Table1[[#This Row],[TA 1 - Total Score (out of 35)]]+Table1[[#This Row],[TA 2 - Total Score (out of 35)]])/2</f>
        <v/>
      </c>
      <c r="U394">
        <f>(Table1[[#This Row],[TA 1 - Total Bonus (out of 13)]]+Table1[[#This Row],[TA 2 - Total Bonus (out of 13)]])/2</f>
        <v/>
      </c>
      <c r="V394">
        <f>Table1[[#This Row],[Average Questions]]/35*20+Table1[[#This Row],[Average Bonus]]/13*5</f>
        <v/>
      </c>
      <c r="W394" t="n">
        <v>6</v>
      </c>
      <c r="X394" t="n">
        <v>0</v>
      </c>
      <c r="Y394" t="inlineStr">
        <is>
          <t>The student completed the data loading and preparation, including resizing, converting to tensor, normalizing, and displaying sample images. However, the model setup and adaptation had issues: the model was not correctly frozen, and the classifier head was incorrectly modified. The training and validation loops were implemented but did not adjust labels correctly. The bonus task was not attempted.</t>
        </is>
      </c>
      <c r="Z394" t="n">
        <v>6</v>
      </c>
      <c r="AA394" t="n">
        <v>0</v>
      </c>
      <c r="AB394" t="inlineStr">
        <is>
          <t>The student implemented a custom dataset class and used the correct transformations, including RandomRotation and resizing to 32x32, earning full marks for Part 1. The CNN model defined in Part 2 has more layers than required but does not meet the exact specification of 5 convolutional layers with batch normalization, resulting in partial credit. The training and validation loops in Part 3 are correctly implemented. In Part 4, the model setup, training, and plotting of losses and accuracies are done correctly. However, no bonus task was attempted.</t>
        </is>
      </c>
      <c r="AC394" t="n">
        <v>5</v>
      </c>
      <c r="AD394" t="inlineStr">
        <is>
          <t>The student's submission contains several issues. In Task 1, the DataLoader creation is incorrect due to the misuse of train_test_split, which does not work with PyTorch datasets. Task 2 is partially correct as the U-Net model is defined with the right encoder, but the device is set to CPU instead of GPU. Task 3 has syntax errors in the training and validation loops, specifically with the unsqueezing of images. Task 4 defines the loss and optimizer correctly but fails to run the training loop properly due to the DataLoader issue. Task 5 attempts to visualize predictions but fails due to incorrect handling of the DataLoader and image processing.</t>
        </is>
      </c>
      <c r="AE394" t="n">
        <v>0</v>
      </c>
      <c r="AF394" t="n">
        <v>0</v>
      </c>
      <c r="AG394" t="inlineStr">
        <is>
          <t>No submission found.</t>
        </is>
      </c>
      <c r="AH394" t="n">
        <v>17</v>
      </c>
      <c r="AI394" t="n">
        <v>0</v>
      </c>
    </row>
    <row r="395">
      <c r="A395" t="n">
        <v>394</v>
      </c>
      <c r="B395" t="inlineStr">
        <is>
          <t>TA_7</t>
        </is>
      </c>
      <c r="C395" t="inlineStr">
        <is>
          <t>TA_17</t>
        </is>
      </c>
      <c r="D395" t="n">
        <v>4</v>
      </c>
      <c r="E395" t="n">
        <v>0</v>
      </c>
      <c r="F395" t="n">
        <v>6.5</v>
      </c>
      <c r="G395" t="n">
        <v>0</v>
      </c>
      <c r="H395" t="n">
        <v>9</v>
      </c>
      <c r="I395" t="n">
        <v>0</v>
      </c>
      <c r="J395" t="n">
        <v>1.5</v>
      </c>
      <c r="K395" t="n">
        <v>0</v>
      </c>
      <c r="L395" t="n">
        <v>9</v>
      </c>
      <c r="M395" t="n">
        <v>0</v>
      </c>
      <c r="N395" t="n">
        <v>8</v>
      </c>
      <c r="O395" t="n">
        <v>0</v>
      </c>
      <c r="P395">
        <f>Table1[[#This Row],[TA 1 - Q1 Score]]+Table1[[#This Row],[TA 1 - Q2 Score]]+Table1[[#This Row],[TA 1 - Q3 Score]]</f>
        <v/>
      </c>
      <c r="Q395">
        <f>Table1[[#This Row],[TA 1 - Q1 Bonus]]+Table1[[#This Row],[TA 1 - Q2 Bonus]]+Table1[[#This Row],[TA 1 - Q4 Bonus]]</f>
        <v/>
      </c>
      <c r="R395">
        <f>Table1[[#This Row],[TA 2 - Q1 Score]]+Table1[[#This Row],[TA 2 - Q2 Score]]+Table1[[#This Row],[TA 2 - Q3 Score]]</f>
        <v/>
      </c>
      <c r="S395">
        <f>Table1[[#This Row],[TA 2 - Q1 Bonus]]+Table1[[#This Row],[TA 2 - Q2 Bonus]]+Table1[[#This Row],[TA 2 - Q4 Bonus]]</f>
        <v/>
      </c>
      <c r="T395">
        <f>(Table1[[#This Row],[TA 1 - Total Score (out of 35)]]+Table1[[#This Row],[TA 2 - Total Score (out of 35)]])/2</f>
        <v/>
      </c>
      <c r="U395">
        <f>(Table1[[#This Row],[TA 1 - Total Bonus (out of 13)]]+Table1[[#This Row],[TA 2 - Total Bonus (out of 13)]])/2</f>
        <v/>
      </c>
      <c r="V395">
        <f>Table1[[#This Row],[Average Questions]]/35*20+Table1[[#This Row],[Average Bonus]]/13*5</f>
        <v/>
      </c>
      <c r="W395" t="n">
        <v>4</v>
      </c>
      <c r="X395" t="n">
        <v>0</v>
      </c>
      <c r="Y395" t="inlineStr">
        <is>
          <t>The student partially completed several tasks but made significant errors. The data loading and preparation section had a mistake in resizing images to 64x64 instead of 28x28. The DataLoader creation was correct but used an incorrect batch size and variable name. Sample image display had incorrect labels and class names. The model adaptation section froze the backbone correctly but incorrectly set the classifier to 25 classes instead of 26. Training and validation loops contained errors in handling outputs and labels, using sigmoid activation and binary cross-entropy loss instead of softmax and cross-entropy loss. The bonus task was not implemented correctly, with incorrect loss calculation and logic.</t>
        </is>
      </c>
      <c r="Z395" t="n">
        <v>7</v>
      </c>
      <c r="AA395" t="n">
        <v>0</v>
      </c>
      <c r="AB395" t="inlineStr">
        <is>
          <t>The student successfully loaded and prepared the data with the correct transformations, including RandomRotation and resizing to 32x32. However, the CNN model has incorrect layer configurations and output dimensions, leading to a failure in training. The training and validation loops are implemented correctly, and the model is trained and plotted without issues. The bonus task was not attempted.</t>
        </is>
      </c>
      <c r="AC395" t="n">
        <v>4</v>
      </c>
      <c r="AD395" t="inlineStr">
        <is>
          <t>The student partially completed Task 1 by creating a custom dataset class and DataLoaders, but there were issues with the mask transformation and dataset splitting. Task 2 was incomplete due to using an incorrect number of classes for the U-Net model. Task 3 had syntax errors in the training and validation loops. Task 4 was not fully implemented as the loss function and optimizer were incorrect, and the training loop did not run properly. Task 5 was attempted but failed to visualize predictions correctly due to the incorrect model setup and loss function.</t>
        </is>
      </c>
      <c r="AE395" t="n">
        <v>0</v>
      </c>
      <c r="AF395" t="n">
        <v>0</v>
      </c>
      <c r="AG395" t="inlineStr">
        <is>
          <t>No submission found.</t>
        </is>
      </c>
      <c r="AH395" t="n">
        <v>15</v>
      </c>
      <c r="AI395" t="n">
        <v>0</v>
      </c>
    </row>
    <row r="396">
      <c r="A396" t="n">
        <v>395</v>
      </c>
      <c r="B396" t="inlineStr">
        <is>
          <t>TA_7</t>
        </is>
      </c>
      <c r="C396" t="inlineStr">
        <is>
          <t>TA_17</t>
        </is>
      </c>
      <c r="D396" t="n">
        <v>12</v>
      </c>
      <c r="E396" t="n">
        <v>0</v>
      </c>
      <c r="F396" t="n">
        <v>9</v>
      </c>
      <c r="G396" t="n">
        <v>4</v>
      </c>
      <c r="H396" t="n">
        <v>12</v>
      </c>
      <c r="I396" t="n">
        <v>0</v>
      </c>
      <c r="J396" t="n">
        <v>10</v>
      </c>
      <c r="K396" t="n">
        <v>0</v>
      </c>
      <c r="L396" t="n">
        <v>8.5</v>
      </c>
      <c r="M396" t="n">
        <v>0</v>
      </c>
      <c r="N396" t="n">
        <v>10</v>
      </c>
      <c r="O396" t="n">
        <v>0</v>
      </c>
      <c r="P396">
        <f>Table1[[#This Row],[TA 1 - Q1 Score]]+Table1[[#This Row],[TA 1 - Q2 Score]]+Table1[[#This Row],[TA 1 - Q3 Score]]</f>
        <v/>
      </c>
      <c r="Q396">
        <f>Table1[[#This Row],[TA 1 - Q1 Bonus]]+Table1[[#This Row],[TA 1 - Q2 Bonus]]+Table1[[#This Row],[TA 1 - Q4 Bonus]]</f>
        <v/>
      </c>
      <c r="R396">
        <f>Table1[[#This Row],[TA 2 - Q1 Score]]+Table1[[#This Row],[TA 2 - Q2 Score]]+Table1[[#This Row],[TA 2 - Q3 Score]]</f>
        <v/>
      </c>
      <c r="S396">
        <f>Table1[[#This Row],[TA 2 - Q1 Bonus]]+Table1[[#This Row],[TA 2 - Q2 Bonus]]+Table1[[#This Row],[TA 2 - Q4 Bonus]]</f>
        <v/>
      </c>
      <c r="T396">
        <f>(Table1[[#This Row],[TA 1 - Total Score (out of 35)]]+Table1[[#This Row],[TA 2 - Total Score (out of 35)]])/2</f>
        <v/>
      </c>
      <c r="U396">
        <f>(Table1[[#This Row],[TA 1 - Total Bonus (out of 13)]]+Table1[[#This Row],[TA 2 - Total Bonus (out of 13)]])/2</f>
        <v/>
      </c>
      <c r="V396">
        <f>Table1[[#This Row],[Average Questions]]/35*20+Table1[[#This Row],[Average Bonus]]/13*5</f>
        <v/>
      </c>
      <c r="W396" t="n">
        <v>6</v>
      </c>
      <c r="X396" t="n">
        <v>0</v>
      </c>
      <c r="Y396" t="inlineStr">
        <is>
          <t>The student completed the data loading and preparation with minor issues, such as using a custom visualization function instead of the provided one. The model loading and adaptation were partially correct but used EfficientNet-B0 instead of EfficientNetV2-Small. The training and validation loops were implemented with some syntax errors, particularly in label handling. The plotting of losses and accuracies was correct. No bonus task was attempted.</t>
        </is>
      </c>
      <c r="Z396" t="n">
        <v>7</v>
      </c>
      <c r="AA396" t="n">
        <v>0</v>
      </c>
      <c r="AB396" t="inlineStr">
        <is>
          <t>The student successfully loaded and prepared the data with correct transformations and displayed sample images. The CNN model was built with 5 convolutional layers, but the number of channels and fully connected layer input size were incorrect. The training and validation functions were implemented correctly, and the model was trained and plotted. However, the bonus task was not completed as the residual connection was not properly defined or implemented.</t>
        </is>
      </c>
      <c r="AC396" t="n">
        <v>8.5</v>
      </c>
      <c r="AD396" t="inlineStr">
        <is>
          <t>The student's submission demonstrates a good understanding of the tasks but contains some minor issues. Task 1 is mostly correct with proper dataset splitting and transformations, though the dataset class name differs slightly from the reference. Task 2 correctly defines the U-Net model with the specified encoder. Task 3 includes both training and validation loops with appropriate logic. Task 4 defines the loss and optimizer correctly and runs the training loop, printing and plotting the losses. Task 5 visualizes predictions but uses a grayscale colormap instead of 'tab10' for better class distinction. Overall, the code runs and achieves the required functionality with minor adjustments needed.</t>
        </is>
      </c>
      <c r="AE396" t="n">
        <v>0</v>
      </c>
      <c r="AF396" t="n">
        <v>0</v>
      </c>
      <c r="AG396" t="inlineStr">
        <is>
          <t>No submission found.</t>
        </is>
      </c>
      <c r="AH396" t="n">
        <v>21.5</v>
      </c>
      <c r="AI396" t="n">
        <v>0</v>
      </c>
    </row>
    <row r="397">
      <c r="A397" t="n">
        <v>396</v>
      </c>
      <c r="B397" t="inlineStr">
        <is>
          <t>TA_7</t>
        </is>
      </c>
      <c r="C397" t="inlineStr">
        <is>
          <t>TA_17</t>
        </is>
      </c>
      <c r="D397" t="n">
        <v>1.5</v>
      </c>
      <c r="E397" t="n">
        <v>0</v>
      </c>
      <c r="F397" t="n">
        <v>8.5</v>
      </c>
      <c r="G397" t="n">
        <v>0</v>
      </c>
      <c r="H397" t="n">
        <v>7</v>
      </c>
      <c r="I397" t="n">
        <v>0</v>
      </c>
      <c r="J397" t="n">
        <v>3</v>
      </c>
      <c r="K397" t="n">
        <v>0</v>
      </c>
      <c r="L397" t="n">
        <v>8.5</v>
      </c>
      <c r="M397" t="n">
        <v>0</v>
      </c>
      <c r="N397" t="n">
        <v>6</v>
      </c>
      <c r="O397" t="n">
        <v>0</v>
      </c>
      <c r="P397">
        <f>Table1[[#This Row],[TA 1 - Q1 Score]]+Table1[[#This Row],[TA 1 - Q2 Score]]+Table1[[#This Row],[TA 1 - Q3 Score]]</f>
        <v/>
      </c>
      <c r="Q397">
        <f>Table1[[#This Row],[TA 1 - Q1 Bonus]]+Table1[[#This Row],[TA 1 - Q2 Bonus]]+Table1[[#This Row],[TA 1 - Q4 Bonus]]</f>
        <v/>
      </c>
      <c r="R397">
        <f>Table1[[#This Row],[TA 2 - Q1 Score]]+Table1[[#This Row],[TA 2 - Q2 Score]]+Table1[[#This Row],[TA 2 - Q3 Score]]</f>
        <v/>
      </c>
      <c r="S397">
        <f>Table1[[#This Row],[TA 2 - Q1 Bonus]]+Table1[[#This Row],[TA 2 - Q2 Bonus]]+Table1[[#This Row],[TA 2 - Q4 Bonus]]</f>
        <v/>
      </c>
      <c r="T397">
        <f>(Table1[[#This Row],[TA 1 - Total Score (out of 35)]]+Table1[[#This Row],[TA 2 - Total Score (out of 35)]])/2</f>
        <v/>
      </c>
      <c r="U397">
        <f>(Table1[[#This Row],[TA 1 - Total Bonus (out of 13)]]+Table1[[#This Row],[TA 2 - Total Bonus (out of 13)]])/2</f>
        <v/>
      </c>
      <c r="V397">
        <f>Table1[[#This Row],[Average Questions]]/35*20+Table1[[#This Row],[Average Bonus]]/13*5</f>
        <v/>
      </c>
      <c r="W397" t="n">
        <v>1.5</v>
      </c>
      <c r="X397" t="n">
        <v>0</v>
      </c>
      <c r="Y397" t="inlineStr">
        <is>
          <t>The student completed the transforms correctly in Part 1, earning 1.5 points. However, the DataLoader creation and sample image display were incorrect, resulting in 0 points for those tasks. Parts 2 through 4 were not attempted, receiving 0 points. The bonus task was also not attempted, so no bonus points were awarded.</t>
        </is>
      </c>
      <c r="Z397" t="n">
        <v>6</v>
      </c>
      <c r="AA397" t="n">
        <v>0</v>
      </c>
      <c r="AB397" t="inlineStr">
        <is>
          <t>The student implemented a custom dataset class and used the correct transformations, including RandomRotation and resizing to 32x32, earning full marks for Part 1. The CNN model has 5 convolutional layers but does not include batch normalization, resulting in 50% for Part 2. The training and validation functions are partially correct but lack detailed metrics tracking, earning 25% for Part 3. The model setup and training loop are mostly correct, earning 50% for Part 4. No bonus task was attempted.</t>
        </is>
      </c>
      <c r="AC397" t="n">
        <v>3</v>
      </c>
      <c r="AD397" t="inlineStr">
        <is>
          <t>The student attempted most tasks but made significant errors. In Task 1, the dataset class incorrectly uses a metadata file instead of directly listing image and mask paths. Task 2 correctly defines the U-Net model with the specified encoder. Task 3 has partially correct training and validation loops with minor issues. Task 4 defines the loss and optimizer but does not create DataLoaders or print/plot losses. Task 5 is incomplete with no visualization code.</t>
        </is>
      </c>
      <c r="AE397" t="n">
        <v>0</v>
      </c>
      <c r="AF397" t="n">
        <v>0</v>
      </c>
      <c r="AG397" t="inlineStr">
        <is>
          <t>No submission found.</t>
        </is>
      </c>
      <c r="AH397" t="n">
        <v>10.5</v>
      </c>
      <c r="AI397" t="n">
        <v>0</v>
      </c>
    </row>
    <row r="398">
      <c r="A398" t="n">
        <v>397</v>
      </c>
      <c r="B398" t="inlineStr">
        <is>
          <t>TA_7</t>
        </is>
      </c>
      <c r="C398" t="inlineStr">
        <is>
          <t>TA_17</t>
        </is>
      </c>
      <c r="D398" t="n">
        <v>6</v>
      </c>
      <c r="E398" t="n">
        <v>0</v>
      </c>
      <c r="F398" t="n">
        <v>9</v>
      </c>
      <c r="G398" t="n">
        <v>0</v>
      </c>
      <c r="H398" t="n">
        <v>8</v>
      </c>
      <c r="I398" t="n">
        <v>0</v>
      </c>
      <c r="J398" t="n">
        <v>6.5</v>
      </c>
      <c r="K398" t="n">
        <v>0</v>
      </c>
      <c r="L398" t="n">
        <v>9</v>
      </c>
      <c r="M398" t="n">
        <v>0</v>
      </c>
      <c r="N398" t="n">
        <v>7.25</v>
      </c>
      <c r="O398" t="n">
        <v>0</v>
      </c>
      <c r="P398">
        <f>Table1[[#This Row],[TA 1 - Q1 Score]]+Table1[[#This Row],[TA 1 - Q2 Score]]+Table1[[#This Row],[TA 1 - Q3 Score]]</f>
        <v/>
      </c>
      <c r="Q398">
        <f>Table1[[#This Row],[TA 1 - Q1 Bonus]]+Table1[[#This Row],[TA 1 - Q2 Bonus]]+Table1[[#This Row],[TA 1 - Q4 Bonus]]</f>
        <v/>
      </c>
      <c r="R398">
        <f>Table1[[#This Row],[TA 2 - Q1 Score]]+Table1[[#This Row],[TA 2 - Q2 Score]]+Table1[[#This Row],[TA 2 - Q3 Score]]</f>
        <v/>
      </c>
      <c r="S398">
        <f>Table1[[#This Row],[TA 2 - Q1 Bonus]]+Table1[[#This Row],[TA 2 - Q2 Bonus]]+Table1[[#This Row],[TA 2 - Q4 Bonus]]</f>
        <v/>
      </c>
      <c r="T398">
        <f>(Table1[[#This Row],[TA 1 - Total Score (out of 35)]]+Table1[[#This Row],[TA 2 - Total Score (out of 35)]])/2</f>
        <v/>
      </c>
      <c r="U398">
        <f>(Table1[[#This Row],[TA 1 - Total Bonus (out of 13)]]+Table1[[#This Row],[TA 2 - Total Bonus (out of 13)]])/2</f>
        <v/>
      </c>
      <c r="V398">
        <f>Table1[[#This Row],[Average Questions]]/35*20+Table1[[#This Row],[Average Bonus]]/13*5</f>
        <v/>
      </c>
      <c r="W398" t="n">
        <v>5</v>
      </c>
      <c r="X398" t="n">
        <v>0</v>
      </c>
      <c r="Y398" t="inlineStr">
        <is>
          <t>The student completed the data loading and transformation tasks correctly, including resizing, converting to tensor, and normalizing the images. However, there were issues in creating and displaying sample images, where the code was incomplete and did not properly display the images. The model loading and adaptation tasks were mostly correct, but the student used an incorrect loss function (BCEWithLogitsLoss) for multi-class classification. The training and validation loops were implemented but contained logical errors, such as not adjusting the labels to be 0-indexed. No bonus tasks were attempted.</t>
        </is>
      </c>
      <c r="Z398" t="n">
        <v>8.5</v>
      </c>
      <c r="AA398" t="n">
        <v>0</v>
      </c>
      <c r="AB398" t="inlineStr">
        <is>
          <t>The student successfully completed most tasks with minor issues. The dataset loading and preparation were mostly correct, with the exception of using a hardcoded path instead of the variable 'path'. The CNN model had 5 convolutional layers but used incorrect channel sizes and output dimensions in the fully connected layers. The training and validation loops were implemented correctly, and the plots were generated properly. However, the bonus task was not attempted.</t>
        </is>
      </c>
      <c r="AC398" t="n">
        <v>3</v>
      </c>
      <c r="AD398" t="inlineStr">
        <is>
          <t>The student attempted most tasks but made significant errors. In Task 1, the dataset class and DataLoader creation were partially correct but the image and mask paths were incorrectly gathered. Task 2 had an error in defining the U-Net model with the wrong number of classes. Task 3 was not fully implemented with missing training and validation steps. Task 4 had issues with the loss function and optimizer setup, and Task 5 was incomplete with incorrect visualization code.</t>
        </is>
      </c>
      <c r="AE398" t="n">
        <v>0</v>
      </c>
      <c r="AF398" t="n">
        <v>0</v>
      </c>
      <c r="AG398" t="inlineStr">
        <is>
          <t>No submission found.</t>
        </is>
      </c>
      <c r="AH398" t="n">
        <v>16.5</v>
      </c>
      <c r="AI398" t="n">
        <v>0</v>
      </c>
    </row>
    <row r="399">
      <c r="A399" t="n">
        <v>398</v>
      </c>
      <c r="B399" t="inlineStr">
        <is>
          <t>TA_8</t>
        </is>
      </c>
      <c r="C399" t="inlineStr">
        <is>
          <t>TA_18</t>
        </is>
      </c>
      <c r="D399" t="n">
        <v>6.5</v>
      </c>
      <c r="E399" t="n">
        <v>0</v>
      </c>
      <c r="F399" t="n">
        <v>8.5</v>
      </c>
      <c r="G399" t="n">
        <v>0</v>
      </c>
      <c r="H399" t="n">
        <v>9</v>
      </c>
      <c r="I399" t="n">
        <v>0</v>
      </c>
      <c r="J399" t="n">
        <v>5.5</v>
      </c>
      <c r="K399" t="n">
        <v>0</v>
      </c>
      <c r="L399" t="n">
        <v>8.25</v>
      </c>
      <c r="M399" t="n">
        <v>0</v>
      </c>
      <c r="N399" t="n">
        <v>7</v>
      </c>
      <c r="O399" t="n">
        <v>0</v>
      </c>
      <c r="P399">
        <f>Table1[[#This Row],[TA 1 - Q1 Score]]+Table1[[#This Row],[TA 1 - Q2 Score]]+Table1[[#This Row],[TA 1 - Q3 Score]]</f>
        <v/>
      </c>
      <c r="Q399">
        <f>Table1[[#This Row],[TA 1 - Q1 Bonus]]+Table1[[#This Row],[TA 1 - Q2 Bonus]]+Table1[[#This Row],[TA 1 - Q4 Bonus]]</f>
        <v/>
      </c>
      <c r="R399">
        <f>Table1[[#This Row],[TA 2 - Q1 Score]]+Table1[[#This Row],[TA 2 - Q2 Score]]+Table1[[#This Row],[TA 2 - Q3 Score]]</f>
        <v/>
      </c>
      <c r="S399">
        <f>Table1[[#This Row],[TA 2 - Q1 Bonus]]+Table1[[#This Row],[TA 2 - Q2 Bonus]]+Table1[[#This Row],[TA 2 - Q4 Bonus]]</f>
        <v/>
      </c>
      <c r="T399">
        <f>(Table1[[#This Row],[TA 1 - Total Score (out of 35)]]+Table1[[#This Row],[TA 2 - Total Score (out of 35)]])/2</f>
        <v/>
      </c>
      <c r="U399">
        <f>(Table1[[#This Row],[TA 1 - Total Bonus (out of 13)]]+Table1[[#This Row],[TA 2 - Total Bonus (out of 13)]])/2</f>
        <v/>
      </c>
      <c r="V399">
        <f>Table1[[#This Row],[Average Questions]]/35*20+Table1[[#This Row],[Average Bonus]]/13*5</f>
        <v/>
      </c>
      <c r="W399" t="n">
        <v>7</v>
      </c>
      <c r="X399" t="n">
        <v>0</v>
      </c>
      <c r="Y399" t="inlineStr">
        <is>
          <t>The student completed most tasks with minor issues. Transforms were correctly defined, and DataLoaders were set up properly. Sample images were displayed, though with hardcoded indices. The model was loaded and adapted correctly, but the training and validation loops had logical errors, such as squeezing outputs and incorrect accuracy calculation. The plots were generated, but the bonus task was not attempted.</t>
        </is>
      </c>
      <c r="Z399" t="n">
        <v>5</v>
      </c>
      <c r="AA399" t="n">
        <v>0</v>
      </c>
      <c r="AB399" t="inlineStr">
        <is>
          <t>The student partially completed the tasks. They correctly set up the dataset with ImageFolder and applied the required transformations, including resizing to 32x32 and random rotation. However, they made mistakes in the CNN model definition, using incorrect input channels and an incorrect fully connected layer size. The training and validation loops were mostly correct but contained some logical errors, such as squeezing the output and incorrect accuracy calculation. The bonus task was not attempted.</t>
        </is>
      </c>
      <c r="AC399" t="n">
        <v>4</v>
      </c>
      <c r="AD399" t="inlineStr">
        <is>
          <t>The student attempted most tasks but made significant errors. The dataset class incorrectly uses a CSV file for paths instead of directly accessing files, leading to errors. The model class specifies a single output channel, which is incorrect for multi-class segmentation. The training and validation loops use BCEWithLogitsLoss, suitable for binary segmentation, not multi-class. The visualization code correctly displays images and masks but does not handle multi-class predictions properly.</t>
        </is>
      </c>
      <c r="AE399" t="n">
        <v>0</v>
      </c>
      <c r="AF399" t="n">
        <v>0</v>
      </c>
      <c r="AG399" t="inlineStr">
        <is>
          <t>No submission found.</t>
        </is>
      </c>
      <c r="AH399" t="n">
        <v>16</v>
      </c>
      <c r="AI399" t="n">
        <v>0</v>
      </c>
    </row>
    <row r="400">
      <c r="A400" t="n">
        <v>399</v>
      </c>
      <c r="B400" t="inlineStr">
        <is>
          <t>TA_8</t>
        </is>
      </c>
      <c r="C400" t="inlineStr">
        <is>
          <t>TA_18</t>
        </is>
      </c>
      <c r="D400" t="n">
        <v>9</v>
      </c>
      <c r="E400" t="n">
        <v>0</v>
      </c>
      <c r="F400" t="n">
        <v>0</v>
      </c>
      <c r="G400" t="n">
        <v>0</v>
      </c>
      <c r="H400" t="n">
        <v>12</v>
      </c>
      <c r="I400" t="n">
        <v>0</v>
      </c>
      <c r="J400" t="n">
        <v>11</v>
      </c>
      <c r="K400" t="n">
        <v>0</v>
      </c>
      <c r="L400" t="n">
        <v>0</v>
      </c>
      <c r="M400" t="n">
        <v>0</v>
      </c>
      <c r="N400" t="n">
        <v>12</v>
      </c>
      <c r="O400" t="n">
        <v>0</v>
      </c>
      <c r="P400">
        <f>Table1[[#This Row],[TA 1 - Q1 Score]]+Table1[[#This Row],[TA 1 - Q2 Score]]+Table1[[#This Row],[TA 1 - Q3 Score]]</f>
        <v/>
      </c>
      <c r="Q400">
        <f>Table1[[#This Row],[TA 1 - Q1 Bonus]]+Table1[[#This Row],[TA 1 - Q2 Bonus]]+Table1[[#This Row],[TA 1 - Q4 Bonus]]</f>
        <v/>
      </c>
      <c r="R400">
        <f>Table1[[#This Row],[TA 2 - Q1 Score]]+Table1[[#This Row],[TA 2 - Q2 Score]]+Table1[[#This Row],[TA 2 - Q3 Score]]</f>
        <v/>
      </c>
      <c r="S400">
        <f>Table1[[#This Row],[TA 2 - Q1 Bonus]]+Table1[[#This Row],[TA 2 - Q2 Bonus]]+Table1[[#This Row],[TA 2 - Q4 Bonus]]</f>
        <v/>
      </c>
      <c r="T400">
        <f>(Table1[[#This Row],[TA 1 - Total Score (out of 35)]]+Table1[[#This Row],[TA 2 - Total Score (out of 35)]])/2</f>
        <v/>
      </c>
      <c r="U400">
        <f>(Table1[[#This Row],[TA 1 - Total Bonus (out of 13)]]+Table1[[#This Row],[TA 2 - Total Bonus (out of 13)]])/2</f>
        <v/>
      </c>
      <c r="V400">
        <f>Table1[[#This Row],[Average Questions]]/35*20+Table1[[#This Row],[Average Bonus]]/13*5</f>
        <v/>
      </c>
      <c r="W400" t="n">
        <v>8.5</v>
      </c>
      <c r="X400" t="n">
        <v>0</v>
      </c>
      <c r="Y400" t="inlineStr">
        <is>
          <t>The student completed most tasks with minor issues. Transforms were correctly implemented in Cell 2, though there was redundant code. DataLoaders and sample image display were correctly set up in Cell 4. The model was loaded and adapted properly in Cell 3, but the backbone was not correctly frozen. Training and validation loops were implemented with correct logic but had minor syntax issues. The bonus task was not attempted.</t>
        </is>
      </c>
      <c r="Z400" t="n">
        <v>0</v>
      </c>
      <c r="AA400" t="n">
        <v>0</v>
      </c>
      <c r="AB400" t="inlineStr">
        <is>
          <t>The student did not provide any code for any of the tasks required in Question 2. Each cell from Cell 2 to Cell 6 is empty, indicating that no effort was made to load and prepare the data, build the CNN model, define training and validation functions, or perform the training process.</t>
        </is>
      </c>
      <c r="AC400" t="n">
        <v>8.5</v>
      </c>
      <c r="AD400" t="inlineStr">
        <is>
          <t>The student's submission mostly follows the reference solution but contains some minor issues. Task 1 is partially correct with a small mistake in the mask transformation. Task 2 is fully correct with the specified encoder. Task 3 is mostly correct but includes an unnecessary Dice coefficient calculation in the validation loop. Task 4 is mostly correct but uses the same dataloader for both training and validation, which is incorrect. Task 5 is mostly correct but has a typo in the title of the first subplot.</t>
        </is>
      </c>
      <c r="AE400" t="n">
        <v>0</v>
      </c>
      <c r="AF400" t="n">
        <v>0</v>
      </c>
      <c r="AG400" t="inlineStr">
        <is>
          <t>No submission found.</t>
        </is>
      </c>
      <c r="AH400" t="n">
        <v>17</v>
      </c>
      <c r="AI400" t="n">
        <v>0</v>
      </c>
    </row>
    <row r="401">
      <c r="A401" t="n">
        <v>400</v>
      </c>
      <c r="B401" t="inlineStr">
        <is>
          <t>TA_8</t>
        </is>
      </c>
      <c r="C401" t="inlineStr">
        <is>
          <t>TA_18</t>
        </is>
      </c>
      <c r="D401" t="n">
        <v>12</v>
      </c>
      <c r="E401" t="n">
        <v>4</v>
      </c>
      <c r="F401" t="n">
        <v>11</v>
      </c>
      <c r="G401" t="n">
        <v>0</v>
      </c>
      <c r="H401" t="n">
        <v>12</v>
      </c>
      <c r="I401" t="n">
        <v>0</v>
      </c>
      <c r="J401" t="n">
        <v>11</v>
      </c>
      <c r="K401" t="n">
        <v>3.5</v>
      </c>
      <c r="L401" t="n">
        <v>10.5</v>
      </c>
      <c r="M401" t="n">
        <v>0</v>
      </c>
      <c r="N401" t="n">
        <v>12</v>
      </c>
      <c r="O401" t="n">
        <v>5</v>
      </c>
      <c r="P401">
        <f>Table1[[#This Row],[TA 1 - Q1 Score]]+Table1[[#This Row],[TA 1 - Q2 Score]]+Table1[[#This Row],[TA 1 - Q3 Score]]</f>
        <v/>
      </c>
      <c r="Q401">
        <f>Table1[[#This Row],[TA 1 - Q1 Bonus]]+Table1[[#This Row],[TA 1 - Q2 Bonus]]+Table1[[#This Row],[TA 1 - Q4 Bonus]]</f>
        <v/>
      </c>
      <c r="R401">
        <f>Table1[[#This Row],[TA 2 - Q1 Score]]+Table1[[#This Row],[TA 2 - Q2 Score]]+Table1[[#This Row],[TA 2 - Q3 Score]]</f>
        <v/>
      </c>
      <c r="S401">
        <f>Table1[[#This Row],[TA 2 - Q1 Bonus]]+Table1[[#This Row],[TA 2 - Q2 Bonus]]+Table1[[#This Row],[TA 2 - Q4 Bonus]]</f>
        <v/>
      </c>
      <c r="T401">
        <f>(Table1[[#This Row],[TA 1 - Total Score (out of 35)]]+Table1[[#This Row],[TA 2 - Total Score (out of 35)]])/2</f>
        <v/>
      </c>
      <c r="U401">
        <f>(Table1[[#This Row],[TA 1 - Total Bonus (out of 13)]]+Table1[[#This Row],[TA 2 - Total Bonus (out of 13)]])/2</f>
        <v/>
      </c>
      <c r="V401">
        <f>Table1[[#This Row],[Average Questions]]/35*20+Table1[[#This Row],[Average Bonus]]/13*5</f>
        <v/>
      </c>
      <c r="W401" t="n">
        <v>7.5</v>
      </c>
      <c r="X401" t="n">
        <v>0</v>
      </c>
      <c r="Y401" t="inlineStr">
        <is>
          <t>The student completed most tasks with minor issues. The data loading and preparation were mostly correct, though the batch size was smaller than the reference. The model loading and adaptation were correct, but the student froze the entire model instead of just the backbone. The training and validation loops were implemented with some unnecessary print statements and used softmax unnecessarily. The bonus task was incorrectly implemented, averaging predictions incorrectly and using an outdated validation function.</t>
        </is>
      </c>
      <c r="Z401" t="n">
        <v>8</v>
      </c>
      <c r="AA401" t="n">
        <v>0</v>
      </c>
      <c r="AB401" t="inlineStr">
        <is>
          <t>The student successfully completed most tasks with minor issues. The dataset loading and preparation were mostly correct, with proper transformations and display of sample images. The CNN model had 5 convolutional layers and batch normalization, though the number of output classes was incorrectly set to 10 instead of 3. The training and validation loops were implemented correctly, and the model was trained and evaluated. However, the bonus task was not attempted.</t>
        </is>
      </c>
      <c r="AC401" t="n">
        <v>8.5</v>
      </c>
      <c r="AD401" t="inlineStr">
        <is>
          <t>The student's submission largely follows the reference solution but contains minor issues. Task 1 is mostly correct with a small mistake in displaying more images than intended. Task 2 correctly defines the U-Net model with the specified encoder. Task 3 implements the training and validation loops accurately. Task 4 defines the loss and optimizer correctly, trains the model, prints losses, and plots the loss curve. Task 5 visualizes predictions but uses a grayscale colormap instead of 'tab10'.</t>
        </is>
      </c>
      <c r="AE401" t="n">
        <v>0</v>
      </c>
      <c r="AF401" t="n">
        <v>0</v>
      </c>
      <c r="AG401" t="inlineStr">
        <is>
          <t>The student's implementation contains several errors. In the `rgb_to_grayscale` method, the grayscale image is incorrectly permuted, changing its shape. Additionally, in the `__getitem__` method, the student always returns the first image in the dataset instead of the image at the given index. These issues prevent the code from running correctly and producing the expected output.</t>
        </is>
      </c>
      <c r="AH401" t="n">
        <v>24</v>
      </c>
      <c r="AI401" t="n">
        <v>0</v>
      </c>
    </row>
    <row r="402">
      <c r="A402" t="n">
        <v>401</v>
      </c>
      <c r="B402" t="inlineStr">
        <is>
          <t>TA_8</t>
        </is>
      </c>
      <c r="C402" t="inlineStr">
        <is>
          <t>TA_18</t>
        </is>
      </c>
      <c r="D402" t="n">
        <v>8</v>
      </c>
      <c r="E402" t="n">
        <v>4</v>
      </c>
      <c r="F402" t="n">
        <v>8</v>
      </c>
      <c r="G402" t="n">
        <v>3</v>
      </c>
      <c r="H402" t="n">
        <v>0</v>
      </c>
      <c r="I402" t="n">
        <v>0</v>
      </c>
      <c r="J402" t="n">
        <v>11</v>
      </c>
      <c r="K402" t="n">
        <v>4</v>
      </c>
      <c r="L402" t="n">
        <v>7</v>
      </c>
      <c r="M402" t="n">
        <v>3</v>
      </c>
      <c r="N402" t="n">
        <v>4.5</v>
      </c>
      <c r="O402" t="n">
        <v>0</v>
      </c>
      <c r="P402">
        <f>Table1[[#This Row],[TA 1 - Q1 Score]]+Table1[[#This Row],[TA 1 - Q2 Score]]+Table1[[#This Row],[TA 1 - Q3 Score]]</f>
        <v/>
      </c>
      <c r="Q402">
        <f>Table1[[#This Row],[TA 1 - Q1 Bonus]]+Table1[[#This Row],[TA 1 - Q2 Bonus]]+Table1[[#This Row],[TA 1 - Q4 Bonus]]</f>
        <v/>
      </c>
      <c r="R402">
        <f>Table1[[#This Row],[TA 2 - Q1 Score]]+Table1[[#This Row],[TA 2 - Q2 Score]]+Table1[[#This Row],[TA 2 - Q3 Score]]</f>
        <v/>
      </c>
      <c r="S402">
        <f>Table1[[#This Row],[TA 2 - Q1 Bonus]]+Table1[[#This Row],[TA 2 - Q2 Bonus]]+Table1[[#This Row],[TA 2 - Q4 Bonus]]</f>
        <v/>
      </c>
      <c r="T402">
        <f>(Table1[[#This Row],[TA 1 - Total Score (out of 35)]]+Table1[[#This Row],[TA 2 - Total Score (out of 35)]])/2</f>
        <v/>
      </c>
      <c r="U402">
        <f>(Table1[[#This Row],[TA 1 - Total Bonus (out of 13)]]+Table1[[#This Row],[TA 2 - Total Bonus (out of 13)]])/2</f>
        <v/>
      </c>
      <c r="V402">
        <f>Table1[[#This Row],[Average Questions]]/35*20+Table1[[#This Row],[Average Bonus]]/13*5</f>
        <v/>
      </c>
      <c r="W402" t="n">
        <v>10.5</v>
      </c>
      <c r="X402" t="n">
        <v>3</v>
      </c>
      <c r="Y402" t="inlineStr">
        <is>
          <t>The student completed most tasks correctly. The transforms were properly defined, and the DataLoaders were set up with a slight difference in batch size. Sample images were displayed correctly. The pretrained EfficientNetV2-Small model was loaded and adapted with the backbone frozen and the classifier head replaced. The training and validation loops were implemented with label fixing. However, the optimizer was incorrectly set to only update the classifier head parameters. The training and validation losses and accuracies were plotted. For the bonus task, the student correctly implemented test time augmentation by averaging predictions from original, horizontally flipped, and vertically flipped images.</t>
        </is>
      </c>
      <c r="Z402" t="n">
        <v>7</v>
      </c>
      <c r="AA402" t="n">
        <v>0</v>
      </c>
      <c r="AB402" t="inlineStr">
        <is>
          <t>The student partially completed the tasks. They created a custom dataset class and used DataLoaders, but the paths were incorrect and the transformations did not include RandomRotation or resizing to 32x32. The CNN model had 5 convolutional layers with Batch Normalization, but the architecture differed from the reference solution. Training and validation functions were implemented, but there were issues with the accuracy calculation. The model was trained, but the plotting code was incorrect and did not run. No bonus task was attempted.</t>
        </is>
      </c>
      <c r="AC402" t="n">
        <v>3</v>
      </c>
      <c r="AD402" t="inlineStr">
        <is>
          <t>The student attempted most tasks but made significant errors. The dataset class is incomplete and incorrectly implemented, missing essential attributes like metadata and proper file path handling. The model class is not defined, and the training and validation loops contain logical errors, such as incorrect loss function usage and tensor type mismatches. Visualization of predictions is also incorrect, using binary segmentation techniques instead of multi-class. Despite these issues, the student showed effort in attempting each task.</t>
        </is>
      </c>
      <c r="AE402" t="n">
        <v>0</v>
      </c>
      <c r="AF402" t="n">
        <v>0</v>
      </c>
      <c r="AG402" t="inlineStr">
        <is>
          <t>No submission found.</t>
        </is>
      </c>
      <c r="AH402" t="n">
        <v>20.5</v>
      </c>
      <c r="AI402" t="n">
        <v>3</v>
      </c>
    </row>
    <row r="403">
      <c r="A403" t="n">
        <v>402</v>
      </c>
      <c r="B403" t="inlineStr">
        <is>
          <t>TA_8</t>
        </is>
      </c>
      <c r="C403" t="inlineStr">
        <is>
          <t>TA_18</t>
        </is>
      </c>
      <c r="D403" t="n">
        <v>2</v>
      </c>
      <c r="E403" t="n">
        <v>0</v>
      </c>
      <c r="F403" t="n">
        <v>7.5</v>
      </c>
      <c r="G403" t="n">
        <v>0</v>
      </c>
      <c r="H403" t="n">
        <v>4</v>
      </c>
      <c r="I403" t="n">
        <v>0</v>
      </c>
      <c r="J403" t="n">
        <v>6.25</v>
      </c>
      <c r="K403" t="n">
        <v>0</v>
      </c>
      <c r="L403" t="n">
        <v>8.5</v>
      </c>
      <c r="M403" t="n">
        <v>0</v>
      </c>
      <c r="N403" t="n">
        <v>4.25</v>
      </c>
      <c r="O403" t="n">
        <v>0</v>
      </c>
      <c r="P403">
        <f>Table1[[#This Row],[TA 1 - Q1 Score]]+Table1[[#This Row],[TA 1 - Q2 Score]]+Table1[[#This Row],[TA 1 - Q3 Score]]</f>
        <v/>
      </c>
      <c r="Q403">
        <f>Table1[[#This Row],[TA 1 - Q1 Bonus]]+Table1[[#This Row],[TA 1 - Q2 Bonus]]+Table1[[#This Row],[TA 1 - Q4 Bonus]]</f>
        <v/>
      </c>
      <c r="R403">
        <f>Table1[[#This Row],[TA 2 - Q1 Score]]+Table1[[#This Row],[TA 2 - Q2 Score]]+Table1[[#This Row],[TA 2 - Q3 Score]]</f>
        <v/>
      </c>
      <c r="S403">
        <f>Table1[[#This Row],[TA 2 - Q1 Bonus]]+Table1[[#This Row],[TA 2 - Q2 Bonus]]+Table1[[#This Row],[TA 2 - Q4 Bonus]]</f>
        <v/>
      </c>
      <c r="T403">
        <f>(Table1[[#This Row],[TA 1 - Total Score (out of 35)]]+Table1[[#This Row],[TA 2 - Total Score (out of 35)]])/2</f>
        <v/>
      </c>
      <c r="U403">
        <f>(Table1[[#This Row],[TA 1 - Total Bonus (out of 13)]]+Table1[[#This Row],[TA 2 - Total Bonus (out of 13)]])/2</f>
        <v/>
      </c>
      <c r="V403">
        <f>Table1[[#This Row],[Average Questions]]/35*20+Table1[[#This Row],[Average Bonus]]/13*5</f>
        <v/>
      </c>
      <c r="W403" t="n">
        <v>6.5</v>
      </c>
      <c r="X403" t="n">
        <v>0</v>
      </c>
      <c r="Y403" t="inlineStr">
        <is>
          <t>The student partially completed most tasks but made several mistakes. In Part 1, the initial transform definitions were incomplete, but the second set of transforms was correct. DataLoaders were created properly, but the sample image display had issues with label mapping. In Part 2, the model loading and adaptation were mostly correct, but the freezing of the backbone was incorrect. In Part 3, the training and validation loops were implemented but did not adjust labels correctly, resulting in a penalty. Part 4 was mostly correct, but the device setup and optimizer choice were inconsistent. No bonus task was attempted.</t>
        </is>
      </c>
      <c r="Z403" t="n">
        <v>7</v>
      </c>
      <c r="AA403" t="n">
        <v>0</v>
      </c>
      <c r="AB403" t="inlineStr">
        <is>
          <t>The student successfully loaded and prepared the data with correct transformations and displayed sample images. The CNN model has 5 convolutional layers but with incorrect channel sizes and fully connected layer input features. The training and validation loops are implemented correctly, and the model is trained and plotted. However, the bonus task was not attempted.</t>
        </is>
      </c>
      <c r="AC403" t="n">
        <v>2</v>
      </c>
      <c r="AD403" t="inlineStr">
        <is>
          <t>The student attempted most tasks but made significant errors. Task 1 was partially completed with missing dataset class implementation. Task 2 incorrectly used EfficientNet-B1 without wrapping it in a U-Net architecture. Task 3 had syntax errors in the validation loop. Task 4 included incorrect model initialization and optimizer choice. Task 5 had issues with mask visualization. Despite these errors, the student showed effort in attempting each task.</t>
        </is>
      </c>
      <c r="AE403" t="n">
        <v>0</v>
      </c>
      <c r="AF403" t="n">
        <v>0</v>
      </c>
      <c r="AG403" t="inlineStr">
        <is>
          <t>The student's implementation is incorrect and does not follow the required structure. The `ColorizationDataset` class is not properly initialized, and the methods `__len__`, `rgb_to_grayscale`, and `__getitem__` contain significant errors or are incomplete. The student incorrectly uses `glob` and `PIL` for loading images instead of utilizing the provided CIFAR-10 dataset. The visualization and DataLoader tests also fail due to these issues.</t>
        </is>
      </c>
      <c r="AH403" t="n">
        <v>15.5</v>
      </c>
      <c r="AI403" t="n">
        <v>0</v>
      </c>
    </row>
    <row r="404">
      <c r="A404" t="n">
        <v>403</v>
      </c>
      <c r="B404" t="inlineStr">
        <is>
          <t>TA_8</t>
        </is>
      </c>
      <c r="C404" t="inlineStr">
        <is>
          <t>TA_18</t>
        </is>
      </c>
      <c r="D404" t="n">
        <v>3</v>
      </c>
      <c r="E404" t="n">
        <v>0</v>
      </c>
      <c r="F404" t="n">
        <v>2</v>
      </c>
      <c r="G404" t="n">
        <v>0</v>
      </c>
      <c r="H404" t="n">
        <v>9</v>
      </c>
      <c r="I404" t="n">
        <v>0</v>
      </c>
      <c r="J404" t="n">
        <v>3</v>
      </c>
      <c r="K404" t="n">
        <v>0</v>
      </c>
      <c r="L404" t="n">
        <v>8</v>
      </c>
      <c r="M404" t="n">
        <v>0</v>
      </c>
      <c r="N404" t="n">
        <v>8.5</v>
      </c>
      <c r="O404" t="n">
        <v>0</v>
      </c>
      <c r="P404">
        <f>Table1[[#This Row],[TA 1 - Q1 Score]]+Table1[[#This Row],[TA 1 - Q2 Score]]+Table1[[#This Row],[TA 1 - Q3 Score]]</f>
        <v/>
      </c>
      <c r="Q404">
        <f>Table1[[#This Row],[TA 1 - Q1 Bonus]]+Table1[[#This Row],[TA 1 - Q2 Bonus]]+Table1[[#This Row],[TA 1 - Q4 Bonus]]</f>
        <v/>
      </c>
      <c r="R404">
        <f>Table1[[#This Row],[TA 2 - Q1 Score]]+Table1[[#This Row],[TA 2 - Q2 Score]]+Table1[[#This Row],[TA 2 - Q3 Score]]</f>
        <v/>
      </c>
      <c r="S404">
        <f>Table1[[#This Row],[TA 2 - Q1 Bonus]]+Table1[[#This Row],[TA 2 - Q2 Bonus]]+Table1[[#This Row],[TA 2 - Q4 Bonus]]</f>
        <v/>
      </c>
      <c r="T404">
        <f>(Table1[[#This Row],[TA 1 - Total Score (out of 35)]]+Table1[[#This Row],[TA 2 - Total Score (out of 35)]])/2</f>
        <v/>
      </c>
      <c r="U404">
        <f>(Table1[[#This Row],[TA 1 - Total Bonus (out of 13)]]+Table1[[#This Row],[TA 2 - Total Bonus (out of 13)]])/2</f>
        <v/>
      </c>
      <c r="V404">
        <f>Table1[[#This Row],[Average Questions]]/35*20+Table1[[#This Row],[Average Bonus]]/13*5</f>
        <v/>
      </c>
      <c r="W404" t="n">
        <v>4</v>
      </c>
      <c r="X404" t="n">
        <v>0</v>
      </c>
      <c r="Y404" t="inlineStr">
        <is>
          <t>The student partially completed several tasks but failed to fully implement others. The data loading and preparation section had missing normalization steps initially but were later added. DataLoaders were created, but sample image display was incomplete. The pretrained model was loaded, but the backbone was not frozen, and the classifier head was not replaced correctly. Training and validation loops were defined but did not adjust labels correctly. The training setup and execution were attempted but contained errors. Plotting functions were not implemented. No bonus task was attempted.</t>
        </is>
      </c>
      <c r="Z404" t="n">
        <v>3</v>
      </c>
      <c r="AA404" t="n">
        <v>0</v>
      </c>
      <c r="AB404" t="inlineStr">
        <is>
          <t>The student attempted most tasks but made several mistakes. In Part 1, the transformations were partially correct but the normalization parameters were incorrect. The dataset loading and display were not implemented. In Part 2, the CNN model had incorrect channel sizes and architecture issues. Part 3 was mostly correct except for the unnecessary softmax in the training loop. Part 4 had issues with undefined variables and incorrect function calls. No bonus task was attempted.</t>
        </is>
      </c>
      <c r="AC404" t="n">
        <v>5</v>
      </c>
      <c r="AD404" t="inlineStr">
        <is>
          <t>The student attempted most tasks but made several mistakes. In Task 1, the dataset class was partially correct but used an incorrect dataset path and dataset splitting method. DataLoader creation was incorrect due to using the wrong dataset class name. Task 2 was mostly correct except for the encoder name specified in the model definition. Task 3 had syntax errors in the training and validation loops, particularly in handling mask dimensions. Task 4 had issues with the loss function and optimizer, and the training loop did not correctly handle mask dimensions. Task 5 had logical errors in visualizing predictions, using a binary threshold instead of argmax for multi-class segmentation.</t>
        </is>
      </c>
      <c r="AE404" t="n">
        <v>0</v>
      </c>
      <c r="AF404" t="n">
        <v>0</v>
      </c>
      <c r="AG404" t="inlineStr">
        <is>
          <t>No submission found.</t>
        </is>
      </c>
      <c r="AH404" t="n">
        <v>12</v>
      </c>
      <c r="AI404" t="n">
        <v>0</v>
      </c>
    </row>
    <row r="405">
      <c r="A405" t="n">
        <v>404</v>
      </c>
      <c r="B405" t="inlineStr">
        <is>
          <t>TA_8</t>
        </is>
      </c>
      <c r="C405" t="inlineStr">
        <is>
          <t>TA_18</t>
        </is>
      </c>
      <c r="D405" t="n">
        <v>12</v>
      </c>
      <c r="E405" t="n">
        <v>0</v>
      </c>
      <c r="F405" t="n">
        <v>11</v>
      </c>
      <c r="G405" t="n">
        <v>4</v>
      </c>
      <c r="H405" t="n">
        <v>11.5</v>
      </c>
      <c r="I405" t="n">
        <v>0</v>
      </c>
      <c r="J405" t="n">
        <v>12</v>
      </c>
      <c r="K405" t="n">
        <v>3.75</v>
      </c>
      <c r="L405" t="n">
        <v>11</v>
      </c>
      <c r="M405" t="n">
        <v>4</v>
      </c>
      <c r="N405" t="n">
        <v>11.5</v>
      </c>
      <c r="O405" t="n">
        <v>0</v>
      </c>
      <c r="P405">
        <f>Table1[[#This Row],[TA 1 - Q1 Score]]+Table1[[#This Row],[TA 1 - Q2 Score]]+Table1[[#This Row],[TA 1 - Q3 Score]]</f>
        <v/>
      </c>
      <c r="Q405">
        <f>Table1[[#This Row],[TA 1 - Q1 Bonus]]+Table1[[#This Row],[TA 1 - Q2 Bonus]]+Table1[[#This Row],[TA 1 - Q4 Bonus]]</f>
        <v/>
      </c>
      <c r="R405">
        <f>Table1[[#This Row],[TA 2 - Q1 Score]]+Table1[[#This Row],[TA 2 - Q2 Score]]+Table1[[#This Row],[TA 2 - Q3 Score]]</f>
        <v/>
      </c>
      <c r="S405">
        <f>Table1[[#This Row],[TA 2 - Q1 Bonus]]+Table1[[#This Row],[TA 2 - Q2 Bonus]]+Table1[[#This Row],[TA 2 - Q4 Bonus]]</f>
        <v/>
      </c>
      <c r="T405">
        <f>(Table1[[#This Row],[TA 1 - Total Score (out of 35)]]+Table1[[#This Row],[TA 2 - Total Score (out of 35)]])/2</f>
        <v/>
      </c>
      <c r="U405">
        <f>(Table1[[#This Row],[TA 1 - Total Bonus (out of 13)]]+Table1[[#This Row],[TA 2 - Total Bonus (out of 13)]])/2</f>
        <v/>
      </c>
      <c r="V405">
        <f>Table1[[#This Row],[Average Questions]]/35*20+Table1[[#This Row],[Average Bonus]]/13*5</f>
        <v/>
      </c>
      <c r="W405" t="n">
        <v>7</v>
      </c>
      <c r="X405" t="n">
        <v>0</v>
      </c>
      <c r="Y405" t="inlineStr">
        <is>
          <t>The student completed most tasks with minor issues. The data loading and preparation were mostly correct, but the DataLoader batch size was set to 32 instead of 64. The model loading and adaptation were correct, but the classifier head was unnecessarily complex. The training and validation loops had a mistake in the label adjustment within the validation loop. The plotting of losses and accuracies was correct. The bonus task was not implemented correctly, as the averaging of predictions was done incorrectly.</t>
        </is>
      </c>
      <c r="Z405" t="n">
        <v>8.5</v>
      </c>
      <c r="AA405" t="n">
        <v>0</v>
      </c>
      <c r="AB405" t="inlineStr">
        <is>
          <t>The student successfully loaded and prepared the data with correct transformations and displayed sample images. The CNN model was built with 5 convolutional layers and batch normalization, though the number of channels in the layers differs from the reference solution. The training and validation functions were implemented correctly, and the model was trained and plotted. However, the bonus task was not completed as the residual connection was not properly defined or implemented.</t>
        </is>
      </c>
      <c r="AC405" t="n">
        <v>8.5</v>
      </c>
      <c r="AD405" t="inlineStr">
        <is>
          <t>The student's submission demonstrates a good understanding of the tasks but contains some minor issues. The dataset class and data loaders are correctly implemented, and sample images and masks are displayed. The model class uses the correct encoder, but the optimizer choice differs slightly from the reference solution. Training and validation loops are implemented correctly, and the loss curve is plotted. However, the prediction visualization cell has a minor issue with the colormap used for predicted masks.</t>
        </is>
      </c>
      <c r="AE405" t="n">
        <v>0</v>
      </c>
      <c r="AF405" t="n">
        <v>0</v>
      </c>
      <c r="AG405" t="inlineStr">
        <is>
          <t>No submission found.</t>
        </is>
      </c>
      <c r="AH405" t="n">
        <v>24</v>
      </c>
      <c r="AI405" t="n">
        <v>0</v>
      </c>
    </row>
    <row r="406">
      <c r="A406" t="n">
        <v>405</v>
      </c>
      <c r="B406" t="inlineStr">
        <is>
          <t>TA_8</t>
        </is>
      </c>
      <c r="C406" t="inlineStr">
        <is>
          <t>TA_18</t>
        </is>
      </c>
      <c r="D406" t="n">
        <v>10.5</v>
      </c>
      <c r="E406" t="n">
        <v>4</v>
      </c>
      <c r="F406" t="n">
        <v>11</v>
      </c>
      <c r="G406" t="n">
        <v>0</v>
      </c>
      <c r="H406" t="n">
        <v>12</v>
      </c>
      <c r="I406" t="n">
        <v>0</v>
      </c>
      <c r="J406" t="n">
        <v>10.5</v>
      </c>
      <c r="K406" t="n">
        <v>4</v>
      </c>
      <c r="L406" t="n">
        <v>11</v>
      </c>
      <c r="M406" t="n">
        <v>0</v>
      </c>
      <c r="N406" t="n">
        <v>12</v>
      </c>
      <c r="O406" t="n">
        <v>0</v>
      </c>
      <c r="P406">
        <f>Table1[[#This Row],[TA 1 - Q1 Score]]+Table1[[#This Row],[TA 1 - Q2 Score]]+Table1[[#This Row],[TA 1 - Q3 Score]]</f>
        <v/>
      </c>
      <c r="Q406">
        <f>Table1[[#This Row],[TA 1 - Q1 Bonus]]+Table1[[#This Row],[TA 1 - Q2 Bonus]]+Table1[[#This Row],[TA 1 - Q4 Bonus]]</f>
        <v/>
      </c>
      <c r="R406">
        <f>Table1[[#This Row],[TA 2 - Q1 Score]]+Table1[[#This Row],[TA 2 - Q2 Score]]+Table1[[#This Row],[TA 2 - Q3 Score]]</f>
        <v/>
      </c>
      <c r="S406">
        <f>Table1[[#This Row],[TA 2 - Q1 Bonus]]+Table1[[#This Row],[TA 2 - Q2 Bonus]]+Table1[[#This Row],[TA 2 - Q4 Bonus]]</f>
        <v/>
      </c>
      <c r="T406">
        <f>(Table1[[#This Row],[TA 1 - Total Score (out of 35)]]+Table1[[#This Row],[TA 2 - Total Score (out of 35)]])/2</f>
        <v/>
      </c>
      <c r="U406">
        <f>(Table1[[#This Row],[TA 1 - Total Bonus (out of 13)]]+Table1[[#This Row],[TA 2 - Total Bonus (out of 13)]])/2</f>
        <v/>
      </c>
      <c r="V406">
        <f>Table1[[#This Row],[Average Questions]]/35*20+Table1[[#This Row],[Average Bonus]]/13*5</f>
        <v/>
      </c>
      <c r="W406" t="n">
        <v>8.5</v>
      </c>
      <c r="X406" t="n">
        <v>0</v>
      </c>
      <c r="Y406" t="inlineStr">
        <is>
          <t>The student completed most tasks correctly but made some minor mistakes. The data loading and preparation were mostly correct, though the batch size was smaller than in the reference solution. The model loading and adaptation were accurate, but the student used EfficientNetV2-Small instead of EfficientNetV2-B0 as specified. The training and validation loops were implemented correctly, including the label fix. However, the bonus task was not attempted, and the final validation function for TTA was incorrectly defined, leading to no bonus points.</t>
        </is>
      </c>
      <c r="Z406" t="n">
        <v>7</v>
      </c>
      <c r="AA406" t="n">
        <v>0</v>
      </c>
      <c r="AB406" t="inlineStr">
        <is>
          <t>The student successfully loaded and prepared the data with the correct transformations and displayed sample images. The CNN model was built with five convolutional layers and batch normalization, though the fully connected layer had an incorrect input size. The training and validation loops were implemented correctly, and the model was trained and plotted. However, the number of epochs was too low, and the bonus task was not attempted.</t>
        </is>
      </c>
      <c r="AC406" t="n">
        <v>8.5</v>
      </c>
      <c r="AD406" t="inlineStr">
        <is>
          <t>The student's submission largely follows the reference solution but contains minor issues. Task 1 is mostly correct with a small mistake in displaying images. Task 2 correctly defines the U-Net model with the specified encoder. Task 3 includes both training and validation loops with minor syntax issues. Task 4 defines the loss and optimizer correctly, trains the model, and plots the loss curve. Task 5 visualizes predictions but uses a different number of samples and has a minor issue in displaying images.</t>
        </is>
      </c>
      <c r="AE406" t="n">
        <v>0</v>
      </c>
      <c r="AF406" t="n">
        <v>0</v>
      </c>
      <c r="AG406" t="inlineStr">
        <is>
          <t>The student's implementation contains several errors and does not follow the required structure. The `__init__` method incorrectly stores a single image instead of the entire dataset. The `__getitem__` method returns the same image for every index, failing to retrieve the correct image based on the index. Additionally, the grayscale conversion is not applied correctly within `__getitem__`, and the visualization section does not display the correct images. These issues prevent the code from running as intended.</t>
        </is>
      </c>
      <c r="AH406" t="n">
        <v>24</v>
      </c>
      <c r="AI406" t="n">
        <v>0</v>
      </c>
    </row>
    <row r="407">
      <c r="A407" t="n">
        <v>406</v>
      </c>
      <c r="B407" t="inlineStr">
        <is>
          <t>TA_8</t>
        </is>
      </c>
      <c r="C407" t="inlineStr">
        <is>
          <t>TA_18</t>
        </is>
      </c>
      <c r="D407" t="n">
        <v>10.5</v>
      </c>
      <c r="E407" t="n">
        <v>0</v>
      </c>
      <c r="F407" t="n">
        <v>9</v>
      </c>
      <c r="G407" t="n">
        <v>0</v>
      </c>
      <c r="H407" t="n">
        <v>12</v>
      </c>
      <c r="I407" t="n">
        <v>0</v>
      </c>
      <c r="J407" t="n">
        <v>10.5</v>
      </c>
      <c r="K407" t="n">
        <v>0</v>
      </c>
      <c r="L407" t="n">
        <v>9</v>
      </c>
      <c r="M407" t="n">
        <v>0</v>
      </c>
      <c r="N407" t="n">
        <v>12</v>
      </c>
      <c r="O407" t="n">
        <v>0</v>
      </c>
      <c r="P407">
        <f>Table1[[#This Row],[TA 1 - Q1 Score]]+Table1[[#This Row],[TA 1 - Q2 Score]]+Table1[[#This Row],[TA 1 - Q3 Score]]</f>
        <v/>
      </c>
      <c r="Q407">
        <f>Table1[[#This Row],[TA 1 - Q1 Bonus]]+Table1[[#This Row],[TA 1 - Q2 Bonus]]+Table1[[#This Row],[TA 1 - Q4 Bonus]]</f>
        <v/>
      </c>
      <c r="R407">
        <f>Table1[[#This Row],[TA 2 - Q1 Score]]+Table1[[#This Row],[TA 2 - Q2 Score]]+Table1[[#This Row],[TA 2 - Q3 Score]]</f>
        <v/>
      </c>
      <c r="S407">
        <f>Table1[[#This Row],[TA 2 - Q1 Bonus]]+Table1[[#This Row],[TA 2 - Q2 Bonus]]+Table1[[#This Row],[TA 2 - Q4 Bonus]]</f>
        <v/>
      </c>
      <c r="T407">
        <f>(Table1[[#This Row],[TA 1 - Total Score (out of 35)]]+Table1[[#This Row],[TA 2 - Total Score (out of 35)]])/2</f>
        <v/>
      </c>
      <c r="U407">
        <f>(Table1[[#This Row],[TA 1 - Total Bonus (out of 13)]]+Table1[[#This Row],[TA 2 - Total Bonus (out of 13)]])/2</f>
        <v/>
      </c>
      <c r="V407">
        <f>Table1[[#This Row],[Average Questions]]/35*20+Table1[[#This Row],[Average Bonus]]/13*5</f>
        <v/>
      </c>
      <c r="W407" t="n">
        <v>8</v>
      </c>
      <c r="X407" t="n">
        <v>0</v>
      </c>
      <c r="Y407" t="inlineStr">
        <is>
          <t>The student completed most tasks correctly but made some minor mistakes. The data loading and preparation were mostly accurate, with the correct transformations applied. However, the batch size in DataLoaders was set to 32 instead of 64. The model loading and adaptation were correct, but the student used EfficientNet-B0 instead of EfficientNetV2-Small. The training and validation loops were implemented correctly, including the label fix. The plotting of losses and accuracies was also done accurately. No bonus task was attempted.</t>
        </is>
      </c>
      <c r="Z407" t="n">
        <v>8</v>
      </c>
      <c r="AA407" t="n">
        <v>0</v>
      </c>
      <c r="AB407" t="inlineStr">
        <is>
          <t>The student successfully loaded and prepared the data with the correct transformations, including RandomRotation and resizing to 32x32. They displayed sample images with labels. The CNN model has 5 convolutional layers, but the number of channels does not match the reference solution, and there is no batch normalization. The training and validation functions are implemented correctly, and the model is trained and plotted with losses and accuracies. However, the bonus task was not attempted.</t>
        </is>
      </c>
      <c r="AC407" t="n">
        <v>8.5</v>
      </c>
      <c r="AD407" t="inlineStr">
        <is>
          <t>The student's submission largely follows the reference solution but contains minor issues. Task 1 is mostly correct with a small mistake in the DataLoader batch size. Task 2 correctly defines the U-Net model with the specified encoder. Task 3 includes both training and validation loops with minor syntax issues. Task 4 defines the loss and optimizer correctly and runs the training loop, printing losses and plotting the curve. Task 5 visualizes predictions but uses a different colormap and has redundant imports.</t>
        </is>
      </c>
      <c r="AE407" t="n">
        <v>0</v>
      </c>
      <c r="AF407" t="n">
        <v>0</v>
      </c>
      <c r="AG407" t="inlineStr">
        <is>
          <t>No submission found.</t>
        </is>
      </c>
      <c r="AH407" t="n">
        <v>24.5</v>
      </c>
      <c r="AI407" t="n">
        <v>0</v>
      </c>
    </row>
    <row r="408">
      <c r="A408" t="n">
        <v>407</v>
      </c>
      <c r="B408" t="inlineStr">
        <is>
          <t>TA_8</t>
        </is>
      </c>
      <c r="C408" t="inlineStr">
        <is>
          <t>TA_18</t>
        </is>
      </c>
      <c r="D408" t="n">
        <v>7</v>
      </c>
      <c r="E408" t="n">
        <v>0</v>
      </c>
      <c r="F408" t="n">
        <v>0</v>
      </c>
      <c r="G408" t="n">
        <v>0</v>
      </c>
      <c r="H408" t="n">
        <v>0</v>
      </c>
      <c r="I408" t="n">
        <v>0</v>
      </c>
      <c r="J408" t="n">
        <v>4.25</v>
      </c>
      <c r="K408" t="n">
        <v>0</v>
      </c>
      <c r="L408" t="n">
        <v>7.75</v>
      </c>
      <c r="M408" t="n">
        <v>0</v>
      </c>
      <c r="N408" t="n">
        <v>4.75</v>
      </c>
      <c r="O408" t="n">
        <v>0</v>
      </c>
      <c r="P408">
        <f>Table1[[#This Row],[TA 1 - Q1 Score]]+Table1[[#This Row],[TA 1 - Q2 Score]]+Table1[[#This Row],[TA 1 - Q3 Score]]</f>
        <v/>
      </c>
      <c r="Q408">
        <f>Table1[[#This Row],[TA 1 - Q1 Bonus]]+Table1[[#This Row],[TA 1 - Q2 Bonus]]+Table1[[#This Row],[TA 1 - Q4 Bonus]]</f>
        <v/>
      </c>
      <c r="R408">
        <f>Table1[[#This Row],[TA 2 - Q1 Score]]+Table1[[#This Row],[TA 2 - Q2 Score]]+Table1[[#This Row],[TA 2 - Q3 Score]]</f>
        <v/>
      </c>
      <c r="S408">
        <f>Table1[[#This Row],[TA 2 - Q1 Bonus]]+Table1[[#This Row],[TA 2 - Q2 Bonus]]+Table1[[#This Row],[TA 2 - Q4 Bonus]]</f>
        <v/>
      </c>
      <c r="T408">
        <f>(Table1[[#This Row],[TA 1 - Total Score (out of 35)]]+Table1[[#This Row],[TA 2 - Total Score (out of 35)]])/2</f>
        <v/>
      </c>
      <c r="U408">
        <f>(Table1[[#This Row],[TA 1 - Total Bonus (out of 13)]]+Table1[[#This Row],[TA 2 - Total Bonus (out of 13)]])/2</f>
        <v/>
      </c>
      <c r="V408">
        <f>Table1[[#This Row],[Average Questions]]/35*20+Table1[[#This Row],[Average Bonus]]/13*5</f>
        <v/>
      </c>
      <c r="W408" t="n">
        <v>4</v>
      </c>
      <c r="X408" t="n">
        <v>0</v>
      </c>
      <c r="Y408" t="inlineStr">
        <is>
          <t>The student partially completed several tasks but made significant errors and omissions. The data loading and preparation section had incomplete code for displaying sample images, using incorrect labels, and incorrect class mappings. The model adaptation section incorrectly froze the entire model instead of just the backbone. The training and validation loops contained errors, such as squeezing outputs and incorrect label adjustments. The training section lacked validation loss and accuracy tracking. No bonus task was attempted.</t>
        </is>
      </c>
      <c r="Z408" t="n">
        <v>2</v>
      </c>
      <c r="AA408" t="n">
        <v>0</v>
      </c>
      <c r="AB408" t="inlineStr">
        <is>
          <t>The student attempted to create a custom dataset class and defined transformations, but used incorrect dimensions and grayscale conversion. The CNN model definition had significant errors, including incorrect input channels, missing batch normalization, and incorrect layer connections. The training and validation loops were partially correct but contained errors in handling labels. The training setup and execution were incomplete due to undefined variables and incorrect loader usage.</t>
        </is>
      </c>
      <c r="AC408" t="n">
        <v>5</v>
      </c>
      <c r="AD408" t="inlineStr">
        <is>
          <t>The student partially completed the tasks with some syntax and logical errors. The dataset class and data loaders were correctly implemented, but the display of sample images and masks had issues. The model class used an incorrect approach by attempting to modify EfficientNet-B1 directly instead of using a pretrained U-Net with EfficientNet-B1 as an encoder. The training and validation loops were mostly correct but had minor issues. The loss and optimizer were defined, and the model trained for 5 epochs, but the number of output classes was incorrectly set to 3 instead of 8. The loss curve was plotted correctly.</t>
        </is>
      </c>
      <c r="AE408" t="n">
        <v>0</v>
      </c>
      <c r="AF408" t="n">
        <v>0</v>
      </c>
      <c r="AG408" t="inlineStr">
        <is>
          <t>No submission found.</t>
        </is>
      </c>
      <c r="AH408" t="n">
        <v>11</v>
      </c>
      <c r="AI408" t="n">
        <v>0</v>
      </c>
    </row>
    <row r="409">
      <c r="A409" t="n">
        <v>408</v>
      </c>
      <c r="B409" t="inlineStr">
        <is>
          <t>TA_8</t>
        </is>
      </c>
      <c r="C409" t="inlineStr">
        <is>
          <t>TA_18</t>
        </is>
      </c>
      <c r="D409" t="n">
        <v>11</v>
      </c>
      <c r="E409" t="n">
        <v>0</v>
      </c>
      <c r="F409" t="n">
        <v>9</v>
      </c>
      <c r="G409" t="n">
        <v>0</v>
      </c>
      <c r="H409" t="n">
        <v>11.5</v>
      </c>
      <c r="I409" t="n">
        <v>0</v>
      </c>
      <c r="J409" t="n">
        <v>11</v>
      </c>
      <c r="K409" t="n">
        <v>0</v>
      </c>
      <c r="L409" t="n">
        <v>9</v>
      </c>
      <c r="M409" t="n">
        <v>0</v>
      </c>
      <c r="N409" t="n">
        <v>11.5</v>
      </c>
      <c r="O409" t="n">
        <v>0</v>
      </c>
      <c r="P409">
        <f>Table1[[#This Row],[TA 1 - Q1 Score]]+Table1[[#This Row],[TA 1 - Q2 Score]]+Table1[[#This Row],[TA 1 - Q3 Score]]</f>
        <v/>
      </c>
      <c r="Q409">
        <f>Table1[[#This Row],[TA 1 - Q1 Bonus]]+Table1[[#This Row],[TA 1 - Q2 Bonus]]+Table1[[#This Row],[TA 1 - Q4 Bonus]]</f>
        <v/>
      </c>
      <c r="R409">
        <f>Table1[[#This Row],[TA 2 - Q1 Score]]+Table1[[#This Row],[TA 2 - Q2 Score]]+Table1[[#This Row],[TA 2 - Q3 Score]]</f>
        <v/>
      </c>
      <c r="S409">
        <f>Table1[[#This Row],[TA 2 - Q1 Bonus]]+Table1[[#This Row],[TA 2 - Q2 Bonus]]+Table1[[#This Row],[TA 2 - Q4 Bonus]]</f>
        <v/>
      </c>
      <c r="T409">
        <f>(Table1[[#This Row],[TA 1 - Total Score (out of 35)]]+Table1[[#This Row],[TA 2 - Total Score (out of 35)]])/2</f>
        <v/>
      </c>
      <c r="U409">
        <f>(Table1[[#This Row],[TA 1 - Total Bonus (out of 13)]]+Table1[[#This Row],[TA 2 - Total Bonus (out of 13)]])/2</f>
        <v/>
      </c>
      <c r="V409">
        <f>Table1[[#This Row],[Average Questions]]/35*20+Table1[[#This Row],[Average Bonus]]/13*5</f>
        <v/>
      </c>
      <c r="W409" t="n">
        <v>10.5</v>
      </c>
      <c r="X409" t="n">
        <v>0</v>
      </c>
      <c r="Y409" t="inlineStr">
        <is>
          <t>The student completed most tasks correctly, including defining transforms, creating DataLoaders, loading and adapting the pretrained model, and implementing training and validation loops. However, the student did not display sample images, resulting in a deduction. The training loop used softmax unnecessarily, but this does not affect correctness. The bonus task was not attempted.</t>
        </is>
      </c>
      <c r="Z409" t="n">
        <v>6</v>
      </c>
      <c r="AA409" t="n">
        <v>0</v>
      </c>
      <c r="AB409" t="inlineStr">
        <is>
          <t>The student successfully loaded and prepared the data with the correct transformations and displayed sample images. The CNN model was defined with five convolutional layers, but the channel sizes were incorrect and did not follow the reference solution. The training and validation loops were implemented correctly, and the model was trained and plotted. However, the bonus task was not attempted.</t>
        </is>
      </c>
      <c r="AC409" t="n">
        <v>7</v>
      </c>
      <c r="AD409" t="inlineStr">
        <is>
          <t>The student's submission contains mostly correct code with minor issues. Task 1 is partially completed with correct dataset class and DataLoader creation but has a mistake in displaying images (incorrect titles and subplot indexing). Task 2 is fully correct with the U-Net model defined using efficientnet-b1. Task 3 is mostly correct with training and validation loops implemented, though the validation loop could benefit from removing unnecessary imports. Task 4 is mostly correct with loss and optimizer defined, model training executed, and loss printed, but the learning rate is unusually low. Task 5 is partially correct with visualization of predictions, but the colormap used for predicted masks is grayscale instead of tab10.</t>
        </is>
      </c>
      <c r="AE409" t="n">
        <v>0</v>
      </c>
      <c r="AF409" t="n">
        <v>0</v>
      </c>
      <c r="AG409" t="inlineStr">
        <is>
          <t>No submission found.</t>
        </is>
      </c>
      <c r="AH409" t="n">
        <v>23.5</v>
      </c>
      <c r="AI409" t="n">
        <v>0</v>
      </c>
    </row>
    <row r="410">
      <c r="A410" t="n">
        <v>409</v>
      </c>
      <c r="B410" t="inlineStr">
        <is>
          <t>TA_8</t>
        </is>
      </c>
      <c r="C410" t="inlineStr">
        <is>
          <t>TA_18</t>
        </is>
      </c>
      <c r="D410" t="n">
        <v>6.5</v>
      </c>
      <c r="E410" t="n">
        <v>0</v>
      </c>
      <c r="F410" t="n">
        <v>8.5</v>
      </c>
      <c r="G410" t="n">
        <v>0</v>
      </c>
      <c r="H410" t="n">
        <v>8</v>
      </c>
      <c r="I410" t="n">
        <v>0</v>
      </c>
      <c r="J410" t="n">
        <v>6.75</v>
      </c>
      <c r="K410" t="n">
        <v>0</v>
      </c>
      <c r="L410" t="n">
        <v>9</v>
      </c>
      <c r="M410" t="n">
        <v>0</v>
      </c>
      <c r="N410" t="n">
        <v>8.5</v>
      </c>
      <c r="O410" t="n">
        <v>0</v>
      </c>
      <c r="P410">
        <f>Table1[[#This Row],[TA 1 - Q1 Score]]+Table1[[#This Row],[TA 1 - Q2 Score]]+Table1[[#This Row],[TA 1 - Q3 Score]]</f>
        <v/>
      </c>
      <c r="Q410">
        <f>Table1[[#This Row],[TA 1 - Q1 Bonus]]+Table1[[#This Row],[TA 1 - Q2 Bonus]]+Table1[[#This Row],[TA 1 - Q4 Bonus]]</f>
        <v/>
      </c>
      <c r="R410">
        <f>Table1[[#This Row],[TA 2 - Q1 Score]]+Table1[[#This Row],[TA 2 - Q2 Score]]+Table1[[#This Row],[TA 2 - Q3 Score]]</f>
        <v/>
      </c>
      <c r="S410">
        <f>Table1[[#This Row],[TA 2 - Q1 Bonus]]+Table1[[#This Row],[TA 2 - Q2 Bonus]]+Table1[[#This Row],[TA 2 - Q4 Bonus]]</f>
        <v/>
      </c>
      <c r="T410">
        <f>(Table1[[#This Row],[TA 1 - Total Score (out of 35)]]+Table1[[#This Row],[TA 2 - Total Score (out of 35)]])/2</f>
        <v/>
      </c>
      <c r="U410">
        <f>(Table1[[#This Row],[TA 1 - Total Bonus (out of 13)]]+Table1[[#This Row],[TA 2 - Total Bonus (out of 13)]])/2</f>
        <v/>
      </c>
      <c r="V410">
        <f>Table1[[#This Row],[Average Questions]]/35*20+Table1[[#This Row],[Average Bonus]]/13*5</f>
        <v/>
      </c>
      <c r="W410" t="n">
        <v>4</v>
      </c>
      <c r="X410" t="n">
        <v>0</v>
      </c>
      <c r="Y410" t="inlineStr">
        <is>
          <t>The student partially completed several tasks but made significant errors. The data loading and preparation section had issues with displaying sample images and incorrect DataLoader usage. The model adaptation section froze all parameters instead of just the backbone. The training and validation loops contained mistakes in handling outputs and labels, affecting accuracy calculations. No bonus task was attempted.</t>
        </is>
      </c>
      <c r="Z410" t="n">
        <v>8.5</v>
      </c>
      <c r="AA410" t="n">
        <v>0</v>
      </c>
      <c r="AB410" t="inlineStr">
        <is>
          <t>The student successfully implemented a custom Dataset class and used DataLoader for both training and testing datasets, achieving full marks for Part 1. The CNN model was built with 5 convolutional layers, earning full marks for Task 1 in Part 2. However, Batch Normalization was not added, resulting in 0 points for Task 2 in Part 2. The training and validation loops were correctly defined and executed, earning full marks for Part 3. The model was trained and plotted correctly, earning full marks for Part 4. No bonus task was attempted.</t>
        </is>
      </c>
      <c r="AC410" t="n">
        <v>6</v>
      </c>
      <c r="AD410" t="inlineStr">
        <is>
          <t>The student's submission partially completes several tasks but contains errors and omissions. Task 1 is mostly correct with a minor issue in the mask shape check. Task 2 correctly defines the U-Net model with the specified encoder. Task 3 has syntax errors in the validation loop where masks are incorrectly converted to float. Task 4 defines the loss and optimizer but trains for only 3 epochs instead of 10, and the validation loop has a mistake. Task 5 is incomplete with no visualization code provided.</t>
        </is>
      </c>
      <c r="AE410" t="n">
        <v>0</v>
      </c>
      <c r="AF410" t="n">
        <v>0</v>
      </c>
      <c r="AG410" t="inlineStr">
        <is>
          <t>No submission found.</t>
        </is>
      </c>
      <c r="AH410" t="n">
        <v>18.5</v>
      </c>
      <c r="AI410" t="n">
        <v>0</v>
      </c>
    </row>
    <row r="411">
      <c r="A411" t="n">
        <v>410</v>
      </c>
      <c r="B411" t="inlineStr">
        <is>
          <t>TA_8</t>
        </is>
      </c>
      <c r="C411" t="inlineStr">
        <is>
          <t>TA_18</t>
        </is>
      </c>
      <c r="D411" t="n">
        <v>7</v>
      </c>
      <c r="E411" t="n">
        <v>0</v>
      </c>
      <c r="F411" t="n">
        <v>11</v>
      </c>
      <c r="G411" t="n">
        <v>4</v>
      </c>
      <c r="H411" t="n">
        <v>12</v>
      </c>
      <c r="I411" t="n">
        <v>0</v>
      </c>
      <c r="J411" t="n">
        <v>10</v>
      </c>
      <c r="K411" t="n">
        <v>0</v>
      </c>
      <c r="L411" t="n">
        <v>11</v>
      </c>
      <c r="M411" t="n">
        <v>4</v>
      </c>
      <c r="N411" t="n">
        <v>12</v>
      </c>
      <c r="O411" t="n">
        <v>0</v>
      </c>
      <c r="P411">
        <f>Table1[[#This Row],[TA 1 - Q1 Score]]+Table1[[#This Row],[TA 1 - Q2 Score]]+Table1[[#This Row],[TA 1 - Q3 Score]]</f>
        <v/>
      </c>
      <c r="Q411">
        <f>Table1[[#This Row],[TA 1 - Q1 Bonus]]+Table1[[#This Row],[TA 1 - Q2 Bonus]]+Table1[[#This Row],[TA 1 - Q4 Bonus]]</f>
        <v/>
      </c>
      <c r="R411">
        <f>Table1[[#This Row],[TA 2 - Q1 Score]]+Table1[[#This Row],[TA 2 - Q2 Score]]+Table1[[#This Row],[TA 2 - Q3 Score]]</f>
        <v/>
      </c>
      <c r="S411">
        <f>Table1[[#This Row],[TA 2 - Q1 Bonus]]+Table1[[#This Row],[TA 2 - Q2 Bonus]]+Table1[[#This Row],[TA 2 - Q4 Bonus]]</f>
        <v/>
      </c>
      <c r="T411">
        <f>(Table1[[#This Row],[TA 1 - Total Score (out of 35)]]+Table1[[#This Row],[TA 2 - Total Score (out of 35)]])/2</f>
        <v/>
      </c>
      <c r="U411">
        <f>(Table1[[#This Row],[TA 1 - Total Bonus (out of 13)]]+Table1[[#This Row],[TA 2 - Total Bonus (out of 13)]])/2</f>
        <v/>
      </c>
      <c r="V411">
        <f>Table1[[#This Row],[Average Questions]]/35*20+Table1[[#This Row],[Average Bonus]]/13*5</f>
        <v/>
      </c>
      <c r="W411" t="n">
        <v>5</v>
      </c>
      <c r="X411" t="n">
        <v>0</v>
      </c>
      <c r="Y411" t="inlineStr">
        <is>
          <t>The student completed the data loading and preparation with minor issues, such as incorrect batch size and missing label adjustment. The model loading and adaptation were mostly correct but had a mistake in the number of output classes. The training and validation loops were implemented with some syntax errors, particularly in the label adjustment and accuracy calculation. No bonus task was attempted.</t>
        </is>
      </c>
      <c r="Z411" t="n">
        <v>6</v>
      </c>
      <c r="AA411" t="n">
        <v>0</v>
      </c>
      <c r="AB411" t="inlineStr">
        <is>
          <t>The student successfully loaded and prepared the data with the correct transformations and displayed sample images. However, the CNN model has fewer than 5 convolutional layers and incorrect pooling sizes, resulting in a partial score. The training and validation functions are mostly correct but contain minor issues like unnecessary softmax usage. The model was trained and plotted, but no bonus task was attempted.</t>
        </is>
      </c>
      <c r="AC411" t="n">
        <v>8</v>
      </c>
      <c r="AD411" t="inlineStr">
        <is>
          <t>The student's submission includes most of the required tasks with some minor issues. Task 1 is partially completed with a DataFrame-based dataset class and DataLoader setup, but the image paths are hardcoded. Task 2 correctly defines a U-Net model with the specified encoder. Task 3 has both training and validation loops implemented, though the training loop is duplicated. Task 4 sets up the loss and optimizer, trains the model, prints losses, and plots the loss curve. Task 5 visualizes predictions but uses grayscale for the predicted mask instead of a colormap.</t>
        </is>
      </c>
      <c r="AE411" t="n">
        <v>0</v>
      </c>
      <c r="AF411" t="n">
        <v>0</v>
      </c>
      <c r="AG411" t="inlineStr">
        <is>
          <t>No submission found.</t>
        </is>
      </c>
      <c r="AH411" t="n">
        <v>19</v>
      </c>
      <c r="AI411" t="n">
        <v>0</v>
      </c>
    </row>
    <row r="412">
      <c r="A412" t="n">
        <v>411</v>
      </c>
      <c r="B412" t="inlineStr">
        <is>
          <t>TA_8</t>
        </is>
      </c>
      <c r="C412" t="inlineStr">
        <is>
          <t>TA_18</t>
        </is>
      </c>
      <c r="D412" t="n">
        <v>12</v>
      </c>
      <c r="E412" t="n">
        <v>4</v>
      </c>
      <c r="F412" t="n">
        <v>11</v>
      </c>
      <c r="G412" t="n">
        <v>4</v>
      </c>
      <c r="H412" t="n">
        <v>11.5</v>
      </c>
      <c r="I412" t="n">
        <v>0</v>
      </c>
      <c r="J412" t="n">
        <v>12</v>
      </c>
      <c r="K412" t="n">
        <v>3.75</v>
      </c>
      <c r="L412" t="n">
        <v>11</v>
      </c>
      <c r="M412" t="n">
        <v>4</v>
      </c>
      <c r="N412" t="n">
        <v>11.5</v>
      </c>
      <c r="O412" t="n">
        <v>0</v>
      </c>
      <c r="P412">
        <f>Table1[[#This Row],[TA 1 - Q1 Score]]+Table1[[#This Row],[TA 1 - Q2 Score]]+Table1[[#This Row],[TA 1 - Q3 Score]]</f>
        <v/>
      </c>
      <c r="Q412">
        <f>Table1[[#This Row],[TA 1 - Q1 Bonus]]+Table1[[#This Row],[TA 1 - Q2 Bonus]]+Table1[[#This Row],[TA 1 - Q4 Bonus]]</f>
        <v/>
      </c>
      <c r="R412">
        <f>Table1[[#This Row],[TA 2 - Q1 Score]]+Table1[[#This Row],[TA 2 - Q2 Score]]+Table1[[#This Row],[TA 2 - Q3 Score]]</f>
        <v/>
      </c>
      <c r="S412">
        <f>Table1[[#This Row],[TA 2 - Q1 Bonus]]+Table1[[#This Row],[TA 2 - Q2 Bonus]]+Table1[[#This Row],[TA 2 - Q4 Bonus]]</f>
        <v/>
      </c>
      <c r="T412">
        <f>(Table1[[#This Row],[TA 1 - Total Score (out of 35)]]+Table1[[#This Row],[TA 2 - Total Score (out of 35)]])/2</f>
        <v/>
      </c>
      <c r="U412">
        <f>(Table1[[#This Row],[TA 1 - Total Bonus (out of 13)]]+Table1[[#This Row],[TA 2 - Total Bonus (out of 13)]])/2</f>
        <v/>
      </c>
      <c r="V412">
        <f>Table1[[#This Row],[Average Questions]]/35*20+Table1[[#This Row],[Average Bonus]]/13*5</f>
        <v/>
      </c>
      <c r="W412" t="n">
        <v>8</v>
      </c>
      <c r="X412" t="n">
        <v>1</v>
      </c>
      <c r="Y412" t="inlineStr">
        <is>
          <t>The student completed most tasks with minor issues. Transforms were correctly defined, and DataLoaders were set up properly. Sample images were displayed with labels. The pretrained EfficientNetV2-Small model was loaded and adapted, though the backbone was incorrectly frozen using model.requires_grad_(False) instead of freezing individual layers. Training and validation loops were implemented with label fixing, but the validation loop in TTA used the original predictions for accuracy calculation instead of averaged predictions.</t>
        </is>
      </c>
      <c r="Z412" t="n">
        <v>7</v>
      </c>
      <c r="AA412" t="n">
        <v>0</v>
      </c>
      <c r="AB412" t="inlineStr">
        <is>
          <t>The student partially completed the tasks. The data loading and preparation section had issues with the order of transformations and redundant code. The CNN model was built with 5 convolutional layers and batch normalization, but the number of channels did not match the reference solution. The training and validation loops were implemented correctly, but the model was trained for only 2 epochs in the bonus part instead of 10. No bonus points were awarded as the residual connection was not correctly defined or retrained for the required number of epochs.</t>
        </is>
      </c>
      <c r="AC412" t="n">
        <v>7</v>
      </c>
      <c r="AD412" t="inlineStr">
        <is>
          <t>The student's submission contains mostly correct code with minor issues. Task 1 is partially correct with a custom dataset class and DataLoaders, but the display of images and masks has a small mistake in the mask display. Task 2 has an error in defining the model with incorrect class numbers. Task 3 is correctly implemented with training and validation loops. Task 4 defines the loss and optimizer correctly, trains the model, prints losses, and plots the loss curve. Task 5 visualizes predictions but uses grayscale instead of a colormap for masks.</t>
        </is>
      </c>
      <c r="AE412" t="n">
        <v>0</v>
      </c>
      <c r="AF412" t="n">
        <v>0</v>
      </c>
      <c r="AG412" t="inlineStr">
        <is>
          <t>No submission found.</t>
        </is>
      </c>
      <c r="AH412" t="n">
        <v>22</v>
      </c>
      <c r="AI412" t="n">
        <v>1</v>
      </c>
    </row>
    <row r="413">
      <c r="A413" t="n">
        <v>412</v>
      </c>
      <c r="B413" t="inlineStr">
        <is>
          <t>TA_8</t>
        </is>
      </c>
      <c r="C413" t="inlineStr">
        <is>
          <t>TA_18</t>
        </is>
      </c>
      <c r="D413" t="n">
        <v>7</v>
      </c>
      <c r="E413" t="n">
        <v>0</v>
      </c>
      <c r="F413" t="n">
        <v>8.5</v>
      </c>
      <c r="G413" t="n">
        <v>0</v>
      </c>
      <c r="H413" t="n">
        <v>9.5</v>
      </c>
      <c r="I413" t="n">
        <v>0</v>
      </c>
      <c r="J413" t="n">
        <v>6.25</v>
      </c>
      <c r="K413" t="n">
        <v>2</v>
      </c>
      <c r="L413" t="n">
        <v>8.5</v>
      </c>
      <c r="M413" t="n">
        <v>0</v>
      </c>
      <c r="N413" t="n">
        <v>7</v>
      </c>
      <c r="O413" t="n">
        <v>0</v>
      </c>
      <c r="P413">
        <f>Table1[[#This Row],[TA 1 - Q1 Score]]+Table1[[#This Row],[TA 1 - Q2 Score]]+Table1[[#This Row],[TA 1 - Q3 Score]]</f>
        <v/>
      </c>
      <c r="Q413">
        <f>Table1[[#This Row],[TA 1 - Q1 Bonus]]+Table1[[#This Row],[TA 1 - Q2 Bonus]]+Table1[[#This Row],[TA 1 - Q4 Bonus]]</f>
        <v/>
      </c>
      <c r="R413">
        <f>Table1[[#This Row],[TA 2 - Q1 Score]]+Table1[[#This Row],[TA 2 - Q2 Score]]+Table1[[#This Row],[TA 2 - Q3 Score]]</f>
        <v/>
      </c>
      <c r="S413">
        <f>Table1[[#This Row],[TA 2 - Q1 Bonus]]+Table1[[#This Row],[TA 2 - Q2 Bonus]]+Table1[[#This Row],[TA 2 - Q4 Bonus]]</f>
        <v/>
      </c>
      <c r="T413">
        <f>(Table1[[#This Row],[TA 1 - Total Score (out of 35)]]+Table1[[#This Row],[TA 2 - Total Score (out of 35)]])/2</f>
        <v/>
      </c>
      <c r="U413">
        <f>(Table1[[#This Row],[TA 1 - Total Bonus (out of 13)]]+Table1[[#This Row],[TA 2 - Total Bonus (out of 13)]])/2</f>
        <v/>
      </c>
      <c r="V413">
        <f>Table1[[#This Row],[Average Questions]]/35*20+Table1[[#This Row],[Average Bonus]]/13*5</f>
        <v/>
      </c>
      <c r="W413" t="n">
        <v>5</v>
      </c>
      <c r="X413" t="n">
        <v>0</v>
      </c>
      <c r="Y413" t="inlineStr">
        <is>
          <t>The student completed the data loading and preparation with minor issues, such as incorrect batch size and missing label display. The model loading and adaptation were mostly correct but used the wrong model variant and froze all parameters instead of just the backbone. The training and validation loops had several errors, including incorrect handling of model outputs and label adjustments. The bonus task was not attempted.</t>
        </is>
      </c>
      <c r="Z413" t="n">
        <v>8</v>
      </c>
      <c r="AA413" t="n">
        <v>0</v>
      </c>
      <c r="AB413" t="inlineStr">
        <is>
          <t>The student successfully loaded and prepared the data with the correct transformations and displayed sample images. The CNN model has 5 convolutional layers but does not include batch normalization, earning partial credit. Both training and validation functions are implemented correctly. The model setup, training, and plotting of losses and accuracies are also correct. However, the bonus task for adding a residual connection was not completed.</t>
        </is>
      </c>
      <c r="AC413" t="n">
        <v>4</v>
      </c>
      <c r="AD413" t="inlineStr">
        <is>
          <t>The student's submission has several issues. In Task 1, the dataset class is partially correct but uses a different class name and has minor issues with mask transformation. DataLoader creation and sample display are mostly correct. In Task 2, the model is incorrectly defined with only one class instead of eight. Task 3 has syntax errors in the training and validation loops. Task 4 uses the wrong loss function and optimizer, and the training loop does not correctly handle the dataloaders. Task 5 has issues with the prediction visualization, using a binary threshold instead of multi-class handling.</t>
        </is>
      </c>
      <c r="AE413" t="n">
        <v>0</v>
      </c>
      <c r="AF413" t="n">
        <v>0</v>
      </c>
      <c r="AG413" t="inlineStr">
        <is>
          <t>No submission found.</t>
        </is>
      </c>
      <c r="AH413" t="n">
        <v>17</v>
      </c>
      <c r="AI413" t="n">
        <v>0</v>
      </c>
    </row>
    <row r="414">
      <c r="A414" t="n">
        <v>413</v>
      </c>
      <c r="B414" t="inlineStr">
        <is>
          <t>TA_8</t>
        </is>
      </c>
      <c r="C414" t="inlineStr">
        <is>
          <t>TA_18</t>
        </is>
      </c>
      <c r="D414" t="n">
        <v>6.5</v>
      </c>
      <c r="E414" t="n">
        <v>0</v>
      </c>
      <c r="F414" t="n">
        <v>7.5</v>
      </c>
      <c r="G414" t="n">
        <v>0</v>
      </c>
      <c r="H414" t="n">
        <v>12</v>
      </c>
      <c r="I414" t="n">
        <v>0</v>
      </c>
      <c r="J414" t="n">
        <v>6.75</v>
      </c>
      <c r="K414" t="n">
        <v>0</v>
      </c>
      <c r="L414" t="n">
        <v>7.5</v>
      </c>
      <c r="M414" t="n">
        <v>0</v>
      </c>
      <c r="N414" t="n">
        <v>12</v>
      </c>
      <c r="O414" t="n">
        <v>0</v>
      </c>
      <c r="P414">
        <f>Table1[[#This Row],[TA 1 - Q1 Score]]+Table1[[#This Row],[TA 1 - Q2 Score]]+Table1[[#This Row],[TA 1 - Q3 Score]]</f>
        <v/>
      </c>
      <c r="Q414">
        <f>Table1[[#This Row],[TA 1 - Q1 Bonus]]+Table1[[#This Row],[TA 1 - Q2 Bonus]]+Table1[[#This Row],[TA 1 - Q4 Bonus]]</f>
        <v/>
      </c>
      <c r="R414">
        <f>Table1[[#This Row],[TA 2 - Q1 Score]]+Table1[[#This Row],[TA 2 - Q2 Score]]+Table1[[#This Row],[TA 2 - Q3 Score]]</f>
        <v/>
      </c>
      <c r="S414">
        <f>Table1[[#This Row],[TA 2 - Q1 Bonus]]+Table1[[#This Row],[TA 2 - Q2 Bonus]]+Table1[[#This Row],[TA 2 - Q4 Bonus]]</f>
        <v/>
      </c>
      <c r="T414">
        <f>(Table1[[#This Row],[TA 1 - Total Score (out of 35)]]+Table1[[#This Row],[TA 2 - Total Score (out of 35)]])/2</f>
        <v/>
      </c>
      <c r="U414">
        <f>(Table1[[#This Row],[TA 1 - Total Bonus (out of 13)]]+Table1[[#This Row],[TA 2 - Total Bonus (out of 13)]])/2</f>
        <v/>
      </c>
      <c r="V414">
        <f>Table1[[#This Row],[Average Questions]]/35*20+Table1[[#This Row],[Average Bonus]]/13*5</f>
        <v/>
      </c>
      <c r="W414" t="n">
        <v>4</v>
      </c>
      <c r="X414" t="n">
        <v>0</v>
      </c>
      <c r="Y414" t="inlineStr">
        <is>
          <t>The student partially completed several tasks but made significant errors. The data loading and preparation section had incomplete transformations and incorrect DataLoader configurations. The model setup froze all parameters instead of just the backbone. The training and validation loops contained logical errors, such as using sigmoid activation and incorrect label handling. The training process referenced an undefined DataLoader. No bonus tasks were attempted.</t>
        </is>
      </c>
      <c r="Z414" t="n">
        <v>6</v>
      </c>
      <c r="AA414" t="n">
        <v>0</v>
      </c>
      <c r="AB414" t="inlineStr">
        <is>
          <t>The student implemented a custom Dataset class and used the correct transformations, earning full marks for Part 1. The CNN model has 5 convolutional layers but with incorrect channel sizes and fully connected layer dimensions, earning 50% for Part 2. The training and validation loops are correctly implemented, earning full marks for Part 3. The model setup, training, and plotting are mostly correct but with fewer epochs, earning 50% for Part 4. No bonus task was attempted.</t>
        </is>
      </c>
      <c r="AC414" t="n">
        <v>8.5</v>
      </c>
      <c r="AD414" t="inlineStr">
        <is>
          <t>The student's submission largely follows the reference solution but includes some minor issues. Task 1 is mostly correct with a small mistake in the mask transformation (PILToTensor instead of ToTensor). Task 2 correctly defines the U-Net model with the specified encoder. Task 3 implements the training and validation loops accurately. Task 4 defines the loss and optimizer correctly, trains the model, and plots the loss curve. Task 5 visualizes predictions but uses grayscale for masks instead of the specified colormap. Overall, the code runs and attempts all tasks with minor issues.</t>
        </is>
      </c>
      <c r="AE414" t="n">
        <v>0</v>
      </c>
      <c r="AF414" t="n">
        <v>0</v>
      </c>
      <c r="AG414" t="inlineStr">
        <is>
          <t>No submission found.</t>
        </is>
      </c>
      <c r="AH414" t="n">
        <v>18.5</v>
      </c>
      <c r="AI414" t="n">
        <v>0</v>
      </c>
    </row>
    <row r="415">
      <c r="A415" t="n">
        <v>414</v>
      </c>
      <c r="B415" t="inlineStr">
        <is>
          <t>TA_8</t>
        </is>
      </c>
      <c r="C415" t="inlineStr">
        <is>
          <t>TA_18</t>
        </is>
      </c>
      <c r="D415" t="n">
        <v>5.5</v>
      </c>
      <c r="E415" t="n">
        <v>0</v>
      </c>
      <c r="F415" t="n">
        <v>7.5</v>
      </c>
      <c r="G415" t="n">
        <v>0</v>
      </c>
      <c r="H415" t="n">
        <v>12</v>
      </c>
      <c r="I415" t="n">
        <v>0</v>
      </c>
      <c r="J415" t="n">
        <v>5.5</v>
      </c>
      <c r="K415" t="n">
        <v>0</v>
      </c>
      <c r="L415" t="n">
        <v>7.5</v>
      </c>
      <c r="M415" t="n">
        <v>0</v>
      </c>
      <c r="N415" t="n">
        <v>12</v>
      </c>
      <c r="O415" t="n">
        <v>0</v>
      </c>
      <c r="P415">
        <f>Table1[[#This Row],[TA 1 - Q1 Score]]+Table1[[#This Row],[TA 1 - Q2 Score]]+Table1[[#This Row],[TA 1 - Q3 Score]]</f>
        <v/>
      </c>
      <c r="Q415">
        <f>Table1[[#This Row],[TA 1 - Q1 Bonus]]+Table1[[#This Row],[TA 1 - Q2 Bonus]]+Table1[[#This Row],[TA 1 - Q4 Bonus]]</f>
        <v/>
      </c>
      <c r="R415">
        <f>Table1[[#This Row],[TA 2 - Q1 Score]]+Table1[[#This Row],[TA 2 - Q2 Score]]+Table1[[#This Row],[TA 2 - Q3 Score]]</f>
        <v/>
      </c>
      <c r="S415">
        <f>Table1[[#This Row],[TA 2 - Q1 Bonus]]+Table1[[#This Row],[TA 2 - Q2 Bonus]]+Table1[[#This Row],[TA 2 - Q4 Bonus]]</f>
        <v/>
      </c>
      <c r="T415">
        <f>(Table1[[#This Row],[TA 1 - Total Score (out of 35)]]+Table1[[#This Row],[TA 2 - Total Score (out of 35)]])/2</f>
        <v/>
      </c>
      <c r="U415">
        <f>(Table1[[#This Row],[TA 1 - Total Bonus (out of 13)]]+Table1[[#This Row],[TA 2 - Total Bonus (out of 13)]])/2</f>
        <v/>
      </c>
      <c r="V415">
        <f>Table1[[#This Row],[Average Questions]]/35*20+Table1[[#This Row],[Average Bonus]]/13*5</f>
        <v/>
      </c>
      <c r="W415" t="n">
        <v>2</v>
      </c>
      <c r="X415" t="n">
        <v>0</v>
      </c>
      <c r="Y415" t="inlineStr">
        <is>
          <t>The student completed the data loading and transformation tasks correctly, including resizing, converting to tensor, and normalizing the images. However, the data loader creation and sample image display were partially implemented with incorrect label handling and missing functionality. The model loading and adaptation section had significant issues, including incorrect freezing of parameters and incorrect replacement of the classifier head. The training and validation loops were incorrectly implemented, using binary classification logic instead of multi-class classification. No bonus task was attempted.</t>
        </is>
      </c>
      <c r="Z415" t="n">
        <v>5</v>
      </c>
      <c r="AA415" t="n">
        <v>0</v>
      </c>
      <c r="AB415" t="inlineStr">
        <is>
          <t>The student partially completed the tasks. They correctly set up the dataset and DataLoaders with the required transformations, including RandomRotation and resizing to 32x32. However, the CNN model does not meet the requirements as it has more than 5 convolutional layers and does not use Batch Normalization. The training and validation loops are implemented correctly, and the model is trained and evaluated. The bonus task was not attempted.</t>
        </is>
      </c>
      <c r="AC415" t="n">
        <v>7</v>
      </c>
      <c r="AD415" t="inlineStr">
        <is>
          <t>The student's submission contains mostly correct code but has some issues. In Task 1, the dataset class and DataLoaders are correctly implemented, and sample images and masks are displayed. However, the train and test directories are incorrectly set to the same path. In Task 2, the U-Net model is defined with the correct encoder but an incorrect number of classes (5 instead of 8). In Task 3, both training and validation loops are implemented correctly. In Task 4, the loss function and optimizer are defined, and the model is trained, but the learning rate is too low, and the plot labels are missing epoch numbers. In Task 5, predictions are visualized, but the colormap is not consistent with the ground truth.</t>
        </is>
      </c>
      <c r="AE415" t="n">
        <v>0</v>
      </c>
      <c r="AF415" t="n">
        <v>0</v>
      </c>
      <c r="AG415" t="inlineStr">
        <is>
          <t>No submission found.</t>
        </is>
      </c>
      <c r="AH415" t="n">
        <v>14</v>
      </c>
      <c r="AI415" t="n">
        <v>0</v>
      </c>
    </row>
    <row r="416">
      <c r="A416" t="n">
        <v>415</v>
      </c>
      <c r="B416" t="inlineStr">
        <is>
          <t>TA_8</t>
        </is>
      </c>
      <c r="C416" t="inlineStr">
        <is>
          <t>TA_18</t>
        </is>
      </c>
      <c r="D416" t="n">
        <v>12</v>
      </c>
      <c r="E416" t="n">
        <v>4</v>
      </c>
      <c r="F416" t="n">
        <v>11</v>
      </c>
      <c r="G416" t="n">
        <v>4</v>
      </c>
      <c r="H416" t="n">
        <v>12</v>
      </c>
      <c r="I416" t="n">
        <v>0</v>
      </c>
      <c r="J416" t="n">
        <v>12</v>
      </c>
      <c r="K416" t="n">
        <v>4</v>
      </c>
      <c r="L416" t="n">
        <v>11</v>
      </c>
      <c r="M416" t="n">
        <v>2.5</v>
      </c>
      <c r="N416" t="n">
        <v>12</v>
      </c>
      <c r="O416" t="n">
        <v>5</v>
      </c>
      <c r="P416">
        <f>Table1[[#This Row],[TA 1 - Q1 Score]]+Table1[[#This Row],[TA 1 - Q2 Score]]+Table1[[#This Row],[TA 1 - Q3 Score]]</f>
        <v/>
      </c>
      <c r="Q416">
        <f>Table1[[#This Row],[TA 1 - Q1 Bonus]]+Table1[[#This Row],[TA 1 - Q2 Bonus]]+Table1[[#This Row],[TA 1 - Q4 Bonus]]</f>
        <v/>
      </c>
      <c r="R416">
        <f>Table1[[#This Row],[TA 2 - Q1 Score]]+Table1[[#This Row],[TA 2 - Q2 Score]]+Table1[[#This Row],[TA 2 - Q3 Score]]</f>
        <v/>
      </c>
      <c r="S416">
        <f>Table1[[#This Row],[TA 2 - Q1 Bonus]]+Table1[[#This Row],[TA 2 - Q2 Bonus]]+Table1[[#This Row],[TA 2 - Q4 Bonus]]</f>
        <v/>
      </c>
      <c r="T416">
        <f>(Table1[[#This Row],[TA 1 - Total Score (out of 35)]]+Table1[[#This Row],[TA 2 - Total Score (out of 35)]])/2</f>
        <v/>
      </c>
      <c r="U416">
        <f>(Table1[[#This Row],[TA 1 - Total Bonus (out of 13)]]+Table1[[#This Row],[TA 2 - Total Bonus (out of 13)]])/2</f>
        <v/>
      </c>
      <c r="V416">
        <f>Table1[[#This Row],[Average Questions]]/35*20+Table1[[#This Row],[Average Bonus]]/13*5</f>
        <v/>
      </c>
      <c r="W416" t="n">
        <v>8</v>
      </c>
      <c r="X416" t="n">
        <v>0</v>
      </c>
      <c r="Y416" t="inlineStr">
        <is>
          <t>The student completed most tasks correctly but made some minor mistakes. The data loading and preparation were mostly correct, though the batch size was set too small. The model loading and adaptation were accurate, and the training and validation loops were implemented properly with label fixing. However, the bonus task was not fully completed as the validation function for TTA was not called correctly, and the plotting section for TTA results was missing.</t>
        </is>
      </c>
      <c r="Z416" t="n">
        <v>5</v>
      </c>
      <c r="AA416" t="n">
        <v>0</v>
      </c>
      <c r="AB416" t="inlineStr">
        <is>
          <t>The student partially completed the tasks. They correctly set up the dataset and DataLoaders with the required transformations, including RandomRotation and resizing to 32x32. Sample images were displayed with labels. However, the CNN model did not meet the requirements, as it had more than 5 convolutional layers and did not follow the specified architecture. The training and validation functions were implemented correctly, and the model was trained and plotted. The bonus task was not attempted.</t>
        </is>
      </c>
      <c r="AC416" t="n">
        <v>8.5</v>
      </c>
      <c r="AD416" t="inlineStr">
        <is>
          <t>The student's submission largely follows the required tasks but has some issues. Task 1 is mostly correct with a custom dataset class and DataLoaders, though the dataset splitting method differs slightly from the reference. Task 2 correctly defines a pretrained U-Net with efficientnet-b1 encoder. Task 3 includes training and validation loops with minor syntax issues. Task 4 defines loss and optimizer, trains the model, prints losses, and plots the loss curve. Task 5 visualizes predictions but uses a different colormap and resizing dimensions compared to the reference.</t>
        </is>
      </c>
      <c r="AE416" t="n">
        <v>0</v>
      </c>
      <c r="AF416" t="n">
        <v>5</v>
      </c>
      <c r="AG416" t="inlineStr">
        <is>
          <t>The student's implementation of the ColorizationDataset class is correct and runs without errors. The grayscale conversion formula is accurate, and the shapes of the returned images match the expected dimensions. The visualization also displays the grayscale and color images correctly. Therefore, the bonus task is fully completed.</t>
        </is>
      </c>
      <c r="AH416" t="n">
        <v>21.5</v>
      </c>
      <c r="AI416" t="n">
        <v>5</v>
      </c>
    </row>
    <row r="417">
      <c r="A417" t="n">
        <v>416</v>
      </c>
      <c r="B417" t="inlineStr">
        <is>
          <t>TA_8</t>
        </is>
      </c>
      <c r="C417" t="inlineStr">
        <is>
          <t>TA_18</t>
        </is>
      </c>
      <c r="D417" t="n">
        <v>12</v>
      </c>
      <c r="E417" t="n">
        <v>0</v>
      </c>
      <c r="F417" t="n">
        <v>11</v>
      </c>
      <c r="G417" t="n">
        <v>0</v>
      </c>
      <c r="H417" t="n">
        <v>2</v>
      </c>
      <c r="I417" t="n">
        <v>0</v>
      </c>
      <c r="J417" t="n">
        <v>12</v>
      </c>
      <c r="K417" t="n">
        <v>0</v>
      </c>
      <c r="L417" t="n">
        <v>11</v>
      </c>
      <c r="M417" t="n">
        <v>0</v>
      </c>
      <c r="N417" t="n">
        <v>2</v>
      </c>
      <c r="O417" t="n">
        <v>0</v>
      </c>
      <c r="P417">
        <f>Table1[[#This Row],[TA 1 - Q1 Score]]+Table1[[#This Row],[TA 1 - Q2 Score]]+Table1[[#This Row],[TA 1 - Q3 Score]]</f>
        <v/>
      </c>
      <c r="Q417">
        <f>Table1[[#This Row],[TA 1 - Q1 Bonus]]+Table1[[#This Row],[TA 1 - Q2 Bonus]]+Table1[[#This Row],[TA 1 - Q4 Bonus]]</f>
        <v/>
      </c>
      <c r="R417">
        <f>Table1[[#This Row],[TA 2 - Q1 Score]]+Table1[[#This Row],[TA 2 - Q2 Score]]+Table1[[#This Row],[TA 2 - Q3 Score]]</f>
        <v/>
      </c>
      <c r="S417">
        <f>Table1[[#This Row],[TA 2 - Q1 Bonus]]+Table1[[#This Row],[TA 2 - Q2 Bonus]]+Table1[[#This Row],[TA 2 - Q4 Bonus]]</f>
        <v/>
      </c>
      <c r="T417">
        <f>(Table1[[#This Row],[TA 1 - Total Score (out of 35)]]+Table1[[#This Row],[TA 2 - Total Score (out of 35)]])/2</f>
        <v/>
      </c>
      <c r="U417">
        <f>(Table1[[#This Row],[TA 1 - Total Bonus (out of 13)]]+Table1[[#This Row],[TA 2 - Total Bonus (out of 13)]])/2</f>
        <v/>
      </c>
      <c r="V417">
        <f>Table1[[#This Row],[Average Questions]]/35*20+Table1[[#This Row],[Average Bonus]]/13*5</f>
        <v/>
      </c>
      <c r="W417" t="n">
        <v>10.5</v>
      </c>
      <c r="X417" t="n">
        <v>0</v>
      </c>
      <c r="Y417" t="inlineStr">
        <is>
          <t>The student completed all base tasks with minor issues. The transforms were correctly defined, and the DataLoaders were set up properly. Sample images were displayed correctly. The pretrained EfficientNetV2-Small model was loaded and adapted with the backbone frozen and the classifier replaced. The training and validation loops were implemented correctly, including label fixing. However, the student reduced the number of epochs to 2, which affects the model's performance but does not impact the correctness of the implementation. The bonus task was not attempted.</t>
        </is>
      </c>
      <c r="Z417" t="n">
        <v>10</v>
      </c>
      <c r="AA417" t="n">
        <v>0</v>
      </c>
      <c r="AB417" t="inlineStr">
        <is>
          <t>The student successfully completed all base tasks for Question 2, including loading and preparing the data with the correct transformations, building a CNN model with five convolutional layers and batch normalization, defining training and validation functions, setting up the device, model, loss, and optimizer, and plotting the losses and accuracies. However, the bonus task was not attempted, as no code was provided for adding a residual connection.</t>
        </is>
      </c>
      <c r="AC417" t="n">
        <v>2</v>
      </c>
      <c r="AD417" t="inlineStr">
        <is>
          <t>The student has correctly defined the remap_mask function and set up the U-Net model with the specified encoder. However, the student did not complete the dataset class, data loaders, training and validation loops, running training, or visualizing predictions. The missing sections are crucial for the functionality of the entire pipeline.</t>
        </is>
      </c>
      <c r="AE417" t="n">
        <v>0</v>
      </c>
      <c r="AF417" t="n">
        <v>0</v>
      </c>
      <c r="AG417" t="inlineStr">
        <is>
          <t>No submission found.</t>
        </is>
      </c>
      <c r="AH417" t="n">
        <v>22.5</v>
      </c>
      <c r="AI417" t="n">
        <v>0</v>
      </c>
    </row>
    <row r="418">
      <c r="A418" t="n">
        <v>417</v>
      </c>
      <c r="B418" t="inlineStr">
        <is>
          <t>TA_8</t>
        </is>
      </c>
      <c r="C418" t="inlineStr">
        <is>
          <t>TA_18</t>
        </is>
      </c>
      <c r="D418" t="n">
        <v>12</v>
      </c>
      <c r="E418" t="n">
        <v>0</v>
      </c>
      <c r="F418" t="n">
        <v>11</v>
      </c>
      <c r="G418" t="n">
        <v>0</v>
      </c>
      <c r="H418" t="n">
        <v>12</v>
      </c>
      <c r="I418" t="n">
        <v>0</v>
      </c>
      <c r="J418" t="n">
        <v>12</v>
      </c>
      <c r="K418" t="n">
        <v>3.75</v>
      </c>
      <c r="L418" t="n">
        <v>11</v>
      </c>
      <c r="M418" t="n">
        <v>0</v>
      </c>
      <c r="N418" t="n">
        <v>12</v>
      </c>
      <c r="O418" t="n">
        <v>0</v>
      </c>
      <c r="P418">
        <f>Table1[[#This Row],[TA 1 - Q1 Score]]+Table1[[#This Row],[TA 1 - Q2 Score]]+Table1[[#This Row],[TA 1 - Q3 Score]]</f>
        <v/>
      </c>
      <c r="Q418">
        <f>Table1[[#This Row],[TA 1 - Q1 Bonus]]+Table1[[#This Row],[TA 1 - Q2 Bonus]]+Table1[[#This Row],[TA 1 - Q4 Bonus]]</f>
        <v/>
      </c>
      <c r="R418">
        <f>Table1[[#This Row],[TA 2 - Q1 Score]]+Table1[[#This Row],[TA 2 - Q2 Score]]+Table1[[#This Row],[TA 2 - Q3 Score]]</f>
        <v/>
      </c>
      <c r="S418">
        <f>Table1[[#This Row],[TA 2 - Q1 Bonus]]+Table1[[#This Row],[TA 2 - Q2 Bonus]]+Table1[[#This Row],[TA 2 - Q4 Bonus]]</f>
        <v/>
      </c>
      <c r="T418">
        <f>(Table1[[#This Row],[TA 1 - Total Score (out of 35)]]+Table1[[#This Row],[TA 2 - Total Score (out of 35)]])/2</f>
        <v/>
      </c>
      <c r="U418">
        <f>(Table1[[#This Row],[TA 1 - Total Bonus (out of 13)]]+Table1[[#This Row],[TA 2 - Total Bonus (out of 13)]])/2</f>
        <v/>
      </c>
      <c r="V418">
        <f>Table1[[#This Row],[Average Questions]]/35*20+Table1[[#This Row],[Average Bonus]]/13*5</f>
        <v/>
      </c>
      <c r="W418" t="n">
        <v>8.5</v>
      </c>
      <c r="X418" t="n">
        <v>0</v>
      </c>
      <c r="Y418" t="inlineStr">
        <is>
          <t>The student completed most tasks correctly but made some minor mistakes. In Part 1, all transforms were correctly implemented. In Part 2, the model was loaded and adapted properly, but the backbone was not correctly frozen. In Part 3, the training and validation loops were mostly correct, but the label fix was not applied, resulting in a penalty. In Part 4, the setup and training were correct, and the plots were generated. The bonus task was not attempted.</t>
        </is>
      </c>
      <c r="Z418" t="n">
        <v>8.5</v>
      </c>
      <c r="AA418" t="n">
        <v>0</v>
      </c>
      <c r="AB418" t="inlineStr">
        <is>
          <t>The student successfully completed most tasks with minor issues. The dataset loading and preparation were mostly correct, though the image display lacked labels. The CNN model had 5 convolutional layers with batch normalization, earning full points. The training and validation loops were implemented correctly, and the model was trained and plotted accurately. However, the bonus task was not attempted.</t>
        </is>
      </c>
      <c r="AC418" t="n">
        <v>10</v>
      </c>
      <c r="AD418" t="inlineStr">
        <is>
          <t>The student's submission is mostly correct and runs end-to-end. The dataset class is implemented correctly with proper transformations and splitting. The model class uses the correct U-Net architecture with the specified encoder. The training and validation loops are implemented accurately, and the loss and optimizer are defined properly. The training process prints the losses and plots the loss curve. The predictions are visualized correctly against the ground truth. Minor issues include the use of AdamW instead of Adam for the optimizer and a slightly different learning rate, but these do not affect the overall correctness of the implementation.</t>
        </is>
      </c>
      <c r="AE418" t="n">
        <v>0</v>
      </c>
      <c r="AF418" t="n">
        <v>0</v>
      </c>
      <c r="AG418" t="inlineStr">
        <is>
          <t>No submission found.</t>
        </is>
      </c>
      <c r="AH418" t="n">
        <v>27</v>
      </c>
      <c r="AI418" t="n">
        <v>0</v>
      </c>
    </row>
    <row r="419">
      <c r="A419" t="n">
        <v>418</v>
      </c>
      <c r="B419" t="inlineStr">
        <is>
          <t>TA_8</t>
        </is>
      </c>
      <c r="C419" t="inlineStr">
        <is>
          <t>TA_18</t>
        </is>
      </c>
      <c r="D419" t="n">
        <v>12</v>
      </c>
      <c r="E419" t="n">
        <v>0</v>
      </c>
      <c r="F419" t="n">
        <v>9</v>
      </c>
      <c r="G419" t="n">
        <v>0</v>
      </c>
      <c r="H419" t="n">
        <v>9</v>
      </c>
      <c r="I419" t="n">
        <v>0</v>
      </c>
      <c r="J419" t="n">
        <v>12</v>
      </c>
      <c r="K419" t="n">
        <v>0</v>
      </c>
      <c r="L419" t="n">
        <v>9</v>
      </c>
      <c r="M419" t="n">
        <v>0</v>
      </c>
      <c r="N419" t="n">
        <v>8.25</v>
      </c>
      <c r="O419" t="n">
        <v>0</v>
      </c>
      <c r="P419">
        <f>Table1[[#This Row],[TA 1 - Q1 Score]]+Table1[[#This Row],[TA 1 - Q2 Score]]+Table1[[#This Row],[TA 1 - Q3 Score]]</f>
        <v/>
      </c>
      <c r="Q419">
        <f>Table1[[#This Row],[TA 1 - Q1 Bonus]]+Table1[[#This Row],[TA 1 - Q2 Bonus]]+Table1[[#This Row],[TA 1 - Q4 Bonus]]</f>
        <v/>
      </c>
      <c r="R419">
        <f>Table1[[#This Row],[TA 2 - Q1 Score]]+Table1[[#This Row],[TA 2 - Q2 Score]]+Table1[[#This Row],[TA 2 - Q3 Score]]</f>
        <v/>
      </c>
      <c r="S419">
        <f>Table1[[#This Row],[TA 2 - Q1 Bonus]]+Table1[[#This Row],[TA 2 - Q2 Bonus]]+Table1[[#This Row],[TA 2 - Q4 Bonus]]</f>
        <v/>
      </c>
      <c r="T419">
        <f>(Table1[[#This Row],[TA 1 - Total Score (out of 35)]]+Table1[[#This Row],[TA 2 - Total Score (out of 35)]])/2</f>
        <v/>
      </c>
      <c r="U419">
        <f>(Table1[[#This Row],[TA 1 - Total Bonus (out of 13)]]+Table1[[#This Row],[TA 2 - Total Bonus (out of 13)]])/2</f>
        <v/>
      </c>
      <c r="V419">
        <f>Table1[[#This Row],[Average Questions]]/35*20+Table1[[#This Row],[Average Bonus]]/13*5</f>
        <v/>
      </c>
      <c r="W419" t="n">
        <v>8.5</v>
      </c>
      <c r="X419" t="n">
        <v>0</v>
      </c>
      <c r="Y419" t="inlineStr">
        <is>
          <t>The student completed most tasks correctly but made some minor mistakes. The data loading and preparation were mostly accurate, though the batch size was smaller than in the reference solution. The model loading and adaptation were correct, but the student used EfficientNetV2-Small incorrectly, mistakenly referring to it as EfficientNet-B0. The training and validation loops were implemented correctly, with proper label fixing. However, the student did not attempt the bonus task for Test Time Augmentation.</t>
        </is>
      </c>
      <c r="Z419" t="n">
        <v>6</v>
      </c>
      <c r="AA419" t="n">
        <v>0</v>
      </c>
      <c r="AB419" t="inlineStr">
        <is>
          <t>The student successfully loaded and prepared the data with the correct transformations and displayed sample images. However, the CNN model does not meet the requirements as it has more than 5 convolutional layers and does not follow the specified architecture. The training and validation functions are implemented correctly, and the model is trained and plotted. The bonus task was not attempted.</t>
        </is>
      </c>
      <c r="AC419" t="n">
        <v>5</v>
      </c>
      <c r="AD419" t="inlineStr">
        <is>
          <t>The student's submission contains several issues. In Task 1, the dataset splitting is incorrect, using `train_test_split` on directory paths instead of file paths, which results in incorrect dataset creation. Task 2 is partially correct with the correct model definition but uses `efficientnet-b1` instead of `efficientnet-b0`. Task 3 has syntax errors in the training and validation loops, converting masks to float instead of long, which is incompatible with CrossEntropyLoss. Task 4 defines the loss and optimizer correctly but the training loop does not run due to the previous issues. Task 5 is not attempted.</t>
        </is>
      </c>
      <c r="AE419" t="n">
        <v>0</v>
      </c>
      <c r="AF419" t="n">
        <v>0</v>
      </c>
      <c r="AG419" t="inlineStr">
        <is>
          <t>No submission found.</t>
        </is>
      </c>
      <c r="AH419" t="n">
        <v>19.5</v>
      </c>
      <c r="AI419" t="n">
        <v>0</v>
      </c>
    </row>
    <row r="420">
      <c r="A420" t="n">
        <v>419</v>
      </c>
      <c r="B420" t="inlineStr">
        <is>
          <t>TA_8</t>
        </is>
      </c>
      <c r="C420" t="inlineStr">
        <is>
          <t>TA_18</t>
        </is>
      </c>
      <c r="D420" t="n">
        <v>6</v>
      </c>
      <c r="E420" t="n">
        <v>0</v>
      </c>
      <c r="F420" t="n">
        <v>9</v>
      </c>
      <c r="G420" t="n">
        <v>0</v>
      </c>
      <c r="H420" t="n">
        <v>11.5</v>
      </c>
      <c r="I420" t="n">
        <v>0</v>
      </c>
      <c r="J420" t="n">
        <v>6</v>
      </c>
      <c r="K420" t="n">
        <v>0</v>
      </c>
      <c r="L420" t="n">
        <v>9</v>
      </c>
      <c r="M420" t="n">
        <v>0</v>
      </c>
      <c r="N420" t="n">
        <v>11.5</v>
      </c>
      <c r="O420" t="n">
        <v>0</v>
      </c>
      <c r="P420">
        <f>Table1[[#This Row],[TA 1 - Q1 Score]]+Table1[[#This Row],[TA 1 - Q2 Score]]+Table1[[#This Row],[TA 1 - Q3 Score]]</f>
        <v/>
      </c>
      <c r="Q420">
        <f>Table1[[#This Row],[TA 1 - Q1 Bonus]]+Table1[[#This Row],[TA 1 - Q2 Bonus]]+Table1[[#This Row],[TA 1 - Q4 Bonus]]</f>
        <v/>
      </c>
      <c r="R420">
        <f>Table1[[#This Row],[TA 2 - Q1 Score]]+Table1[[#This Row],[TA 2 - Q2 Score]]+Table1[[#This Row],[TA 2 - Q3 Score]]</f>
        <v/>
      </c>
      <c r="S420">
        <f>Table1[[#This Row],[TA 2 - Q1 Bonus]]+Table1[[#This Row],[TA 2 - Q2 Bonus]]+Table1[[#This Row],[TA 2 - Q4 Bonus]]</f>
        <v/>
      </c>
      <c r="T420">
        <f>(Table1[[#This Row],[TA 1 - Total Score (out of 35)]]+Table1[[#This Row],[TA 2 - Total Score (out of 35)]])/2</f>
        <v/>
      </c>
      <c r="U420">
        <f>(Table1[[#This Row],[TA 1 - Total Bonus (out of 13)]]+Table1[[#This Row],[TA 2 - Total Bonus (out of 13)]])/2</f>
        <v/>
      </c>
      <c r="V420">
        <f>Table1[[#This Row],[Average Questions]]/35*20+Table1[[#This Row],[Average Bonus]]/13*5</f>
        <v/>
      </c>
      <c r="W420" t="n">
        <v>2</v>
      </c>
      <c r="X420" t="n">
        <v>0</v>
      </c>
      <c r="Y420" t="inlineStr">
        <is>
          <t>The student completed the data loading and transformation tasks correctly, including resizing, converting to tensor, and normalizing the images. However, they incorrectly added a SubtractOne layer in the transform pipeline, which would cause errors. The DataLoader creation and sample image display were mostly correct but lacked label display. The model loading and adaptation were partially correct, with the backbone frozen and the classifier head replaced, but the entire model was frozen instead of just the backbone. No code was provided for the training and validation loops, plotting, or the bonus task.</t>
        </is>
      </c>
      <c r="Z420" t="n">
        <v>8</v>
      </c>
      <c r="AA420" t="n">
        <v>0</v>
      </c>
      <c r="AB420" t="inlineStr">
        <is>
          <t>The student successfully completed most tasks with minor issues. The dataset loading and preparation were mostly correct, though the test loader should not shuffle the data. The CNN model had 5 convolutional layers but used different channel sizes than specified. Batch normalization was missing. The training and validation loops were implemented correctly, and the model trained and plotted results. However, the bonus task was not attempted.</t>
        </is>
      </c>
      <c r="AC420" t="n">
        <v>4</v>
      </c>
      <c r="AD420" t="inlineStr">
        <is>
          <t>The student attempted most tasks but made significant errors. The dataset class was partially correct but used an incorrect remapping function and displayed incorrect images. The model class used the wrong number of classes. The training and validation loops had issues with loss calculation and mask handling. The training process used an incorrect loss function and number of classes. Visualization of predictions was attempted but incorrectly handled the output.</t>
        </is>
      </c>
      <c r="AE420" t="n">
        <v>0</v>
      </c>
      <c r="AF420" t="n">
        <v>0</v>
      </c>
      <c r="AG420" t="inlineStr">
        <is>
          <t>No submission found.</t>
        </is>
      </c>
      <c r="AH420" t="n">
        <v>14</v>
      </c>
      <c r="AI420" t="n">
        <v>0</v>
      </c>
    </row>
    <row r="421">
      <c r="A421" t="n">
        <v>420</v>
      </c>
      <c r="B421" t="inlineStr">
        <is>
          <t>TA_8</t>
        </is>
      </c>
      <c r="C421" t="inlineStr">
        <is>
          <t>TA_18</t>
        </is>
      </c>
      <c r="D421" t="n">
        <v>12</v>
      </c>
      <c r="E421" t="n">
        <v>0</v>
      </c>
      <c r="F421" t="n">
        <v>11</v>
      </c>
      <c r="G421" t="n">
        <v>0</v>
      </c>
      <c r="H421" t="n">
        <v>12</v>
      </c>
      <c r="I421" t="n">
        <v>0</v>
      </c>
      <c r="J421" t="n">
        <v>12</v>
      </c>
      <c r="K421" t="n">
        <v>0</v>
      </c>
      <c r="L421" t="n">
        <v>11</v>
      </c>
      <c r="M421" t="n">
        <v>0</v>
      </c>
      <c r="N421" t="n">
        <v>12</v>
      </c>
      <c r="O421" t="n">
        <v>0</v>
      </c>
      <c r="P421">
        <f>Table1[[#This Row],[TA 1 - Q1 Score]]+Table1[[#This Row],[TA 1 - Q2 Score]]+Table1[[#This Row],[TA 1 - Q3 Score]]</f>
        <v/>
      </c>
      <c r="Q421">
        <f>Table1[[#This Row],[TA 1 - Q1 Bonus]]+Table1[[#This Row],[TA 1 - Q2 Bonus]]+Table1[[#This Row],[TA 1 - Q4 Bonus]]</f>
        <v/>
      </c>
      <c r="R421">
        <f>Table1[[#This Row],[TA 2 - Q1 Score]]+Table1[[#This Row],[TA 2 - Q2 Score]]+Table1[[#This Row],[TA 2 - Q3 Score]]</f>
        <v/>
      </c>
      <c r="S421">
        <f>Table1[[#This Row],[TA 2 - Q1 Bonus]]+Table1[[#This Row],[TA 2 - Q2 Bonus]]+Table1[[#This Row],[TA 2 - Q4 Bonus]]</f>
        <v/>
      </c>
      <c r="T421">
        <f>(Table1[[#This Row],[TA 1 - Total Score (out of 35)]]+Table1[[#This Row],[TA 2 - Total Score (out of 35)]])/2</f>
        <v/>
      </c>
      <c r="U421">
        <f>(Table1[[#This Row],[TA 1 - Total Bonus (out of 13)]]+Table1[[#This Row],[TA 2 - Total Bonus (out of 13)]])/2</f>
        <v/>
      </c>
      <c r="V421">
        <f>Table1[[#This Row],[Average Questions]]/35*20+Table1[[#This Row],[Average Bonus]]/13*5</f>
        <v/>
      </c>
      <c r="W421" t="n">
        <v>8</v>
      </c>
      <c r="X421" t="n">
        <v>0</v>
      </c>
      <c r="Y421" t="inlineStr">
        <is>
          <t>The student completed most tasks correctly but made several minor mistakes. In Part 1, the DataLoader batch size was set to 32 instead of 64, and the sample image display used hardcoded indices. In Part 2, the model's backbone was frozen incorrectly using `model.requires_grad_(False)` instead of freezing individual layers. In Part 3, the `.squeeze()` method was incorrectly applied to the model outputs, affecting the loss calculation. In Part 4, the learning rate was set too low at 0.0001, potentially affecting training performance. No bonus task was attempted.</t>
        </is>
      </c>
      <c r="Z421" t="n">
        <v>8</v>
      </c>
      <c r="AA421" t="n">
        <v>0</v>
      </c>
      <c r="AB421" t="inlineStr">
        <is>
          <t>The student successfully completed most tasks with minor issues. The data loading and preparation section had a small mistake in the test DataLoader shuffle parameter, which should be False. The CNN model was built with 5 convolutional layers and batch normalization, earning full points. The training and validation loops were implemented correctly, and the model was trained and plotted with appropriate metrics. However, the bonus task was not attempted.</t>
        </is>
      </c>
      <c r="AC421" t="n">
        <v>4</v>
      </c>
      <c r="AD421" t="inlineStr">
        <is>
          <t>The student's submission partially completes Task 1 by creating a custom dataset class and DataLoaders, but the mask transformation is incorrect for multi-class segmentation. Task 2 is incomplete due to using a binary segmentation setup with BCEWithLogitsLoss instead of CrossEntropyLoss for multi-class segmentation. Task 3 is partially completed with training and validation loops, but the implementation is flawed due to incorrect loss handling. Task 4 is partially completed with defining loss and optimizer, but the training loop has issues. Task 5 is partially completed with visualization, but the predicted masks are incorrectly thresholded for binary segmentation.</t>
        </is>
      </c>
      <c r="AE421" t="n">
        <v>0</v>
      </c>
      <c r="AF421" t="n">
        <v>0</v>
      </c>
      <c r="AG421" t="inlineStr">
        <is>
          <t>No submission found.</t>
        </is>
      </c>
      <c r="AH421" t="n">
        <v>20</v>
      </c>
      <c r="AI421" t="n">
        <v>0</v>
      </c>
    </row>
    <row r="422">
      <c r="A422" t="n">
        <v>421</v>
      </c>
      <c r="B422" t="inlineStr">
        <is>
          <t>TA_8</t>
        </is>
      </c>
      <c r="C422" t="inlineStr">
        <is>
          <t>TA_18</t>
        </is>
      </c>
      <c r="D422" t="n">
        <v>4.5</v>
      </c>
      <c r="E422" t="n">
        <v>0</v>
      </c>
      <c r="F422" t="n">
        <v>8.5</v>
      </c>
      <c r="G422" t="n">
        <v>0</v>
      </c>
      <c r="H422" t="n">
        <v>9</v>
      </c>
      <c r="I422" t="n">
        <v>0</v>
      </c>
      <c r="J422" t="n">
        <v>6.5</v>
      </c>
      <c r="K422" t="n">
        <v>0</v>
      </c>
      <c r="L422" t="n">
        <v>10.5</v>
      </c>
      <c r="M422" t="n">
        <v>0</v>
      </c>
      <c r="N422" t="n">
        <v>6.25</v>
      </c>
      <c r="O422" t="n">
        <v>0</v>
      </c>
      <c r="P422">
        <f>Table1[[#This Row],[TA 1 - Q1 Score]]+Table1[[#This Row],[TA 1 - Q2 Score]]+Table1[[#This Row],[TA 1 - Q3 Score]]</f>
        <v/>
      </c>
      <c r="Q422">
        <f>Table1[[#This Row],[TA 1 - Q1 Bonus]]+Table1[[#This Row],[TA 1 - Q2 Bonus]]+Table1[[#This Row],[TA 1 - Q4 Bonus]]</f>
        <v/>
      </c>
      <c r="R422">
        <f>Table1[[#This Row],[TA 2 - Q1 Score]]+Table1[[#This Row],[TA 2 - Q2 Score]]+Table1[[#This Row],[TA 2 - Q3 Score]]</f>
        <v/>
      </c>
      <c r="S422">
        <f>Table1[[#This Row],[TA 2 - Q1 Bonus]]+Table1[[#This Row],[TA 2 - Q2 Bonus]]+Table1[[#This Row],[TA 2 - Q4 Bonus]]</f>
        <v/>
      </c>
      <c r="T422">
        <f>(Table1[[#This Row],[TA 1 - Total Score (out of 35)]]+Table1[[#This Row],[TA 2 - Total Score (out of 35)]])/2</f>
        <v/>
      </c>
      <c r="U422">
        <f>(Table1[[#This Row],[TA 1 - Total Bonus (out of 13)]]+Table1[[#This Row],[TA 2 - Total Bonus (out of 13)]])/2</f>
        <v/>
      </c>
      <c r="V422">
        <f>Table1[[#This Row],[Average Questions]]/35*20+Table1[[#This Row],[Average Bonus]]/13*5</f>
        <v/>
      </c>
      <c r="W422" t="n">
        <v>4</v>
      </c>
      <c r="X422" t="n">
        <v>0</v>
      </c>
      <c r="Y422" t="inlineStr">
        <is>
          <t>The student made several mistakes in the implementation. The image resizing was incorrect (64x64 instead of 28x28), and the model used was EfficientNet-B0 instead of EfficientNetV2-Small. The training and validation loops contained errors, such as squeezing the outputs and using sigmoid activation for multi-class classification. The student did not attempt the bonus task.</t>
        </is>
      </c>
      <c r="Z422" t="n">
        <v>4</v>
      </c>
      <c r="AA422" t="n">
        <v>0</v>
      </c>
      <c r="AB422" t="inlineStr">
        <is>
          <t>The student partially completed Part 1 by creating a custom Dataset class and setting up DataLoaders with the correct transformations. However, there were syntax errors in the CNN model definition in Part 2, such as missing commas and incorrect layer connections. The training and validation functions in Part 3 were incorrectly implemented for a classification task, resembling an autoencoder setup. Part 4 was not fully executed due to the incorrect model and functions. No bonus task was attempted.</t>
        </is>
      </c>
      <c r="AC422" t="n">
        <v>2</v>
      </c>
      <c r="AD422" t="inlineStr">
        <is>
          <t>The student attempted most tasks but made significant errors. Task 1 had issues with dataset path handling and incorrect file filtering. Task 2 had a dataset class with logical errors, such as incorrect path joining and missing imports. Task 3 was not implemented correctly, with incorrect model definition and loss function choice. Task 4 had incomplete implementation with undefined test_loader and incorrect loss function. Task 5 was partially correct but used incorrect paths and had issues with mask processing.</t>
        </is>
      </c>
      <c r="AE422" t="n">
        <v>0</v>
      </c>
      <c r="AF422" t="n">
        <v>0</v>
      </c>
      <c r="AG422" t="inlineStr">
        <is>
          <t>No submission found.</t>
        </is>
      </c>
      <c r="AH422" t="n">
        <v>10</v>
      </c>
      <c r="AI422" t="n">
        <v>0</v>
      </c>
    </row>
    <row r="423">
      <c r="A423" t="n">
        <v>422</v>
      </c>
      <c r="B423" t="inlineStr">
        <is>
          <t>TA_8</t>
        </is>
      </c>
      <c r="C423" t="inlineStr">
        <is>
          <t>TA_18</t>
        </is>
      </c>
      <c r="D423" t="n">
        <v>5</v>
      </c>
      <c r="E423" t="n">
        <v>0</v>
      </c>
      <c r="F423" t="n">
        <v>4.5</v>
      </c>
      <c r="G423" t="n">
        <v>0</v>
      </c>
      <c r="H423" t="n">
        <v>10</v>
      </c>
      <c r="I423" t="n">
        <v>0</v>
      </c>
      <c r="J423" t="n">
        <v>0.5</v>
      </c>
      <c r="K423" t="n">
        <v>0</v>
      </c>
      <c r="L423" t="n">
        <v>2.5</v>
      </c>
      <c r="M423" t="n">
        <v>0</v>
      </c>
      <c r="N423" t="n">
        <v>6</v>
      </c>
      <c r="O423" t="n">
        <v>0</v>
      </c>
      <c r="P423">
        <f>Table1[[#This Row],[TA 1 - Q1 Score]]+Table1[[#This Row],[TA 1 - Q2 Score]]+Table1[[#This Row],[TA 1 - Q3 Score]]</f>
        <v/>
      </c>
      <c r="Q423">
        <f>Table1[[#This Row],[TA 1 - Q1 Bonus]]+Table1[[#This Row],[TA 1 - Q2 Bonus]]+Table1[[#This Row],[TA 1 - Q4 Bonus]]</f>
        <v/>
      </c>
      <c r="R423">
        <f>Table1[[#This Row],[TA 2 - Q1 Score]]+Table1[[#This Row],[TA 2 - Q2 Score]]+Table1[[#This Row],[TA 2 - Q3 Score]]</f>
        <v/>
      </c>
      <c r="S423">
        <f>Table1[[#This Row],[TA 2 - Q1 Bonus]]+Table1[[#This Row],[TA 2 - Q2 Bonus]]+Table1[[#This Row],[TA 2 - Q4 Bonus]]</f>
        <v/>
      </c>
      <c r="T423">
        <f>(Table1[[#This Row],[TA 1 - Total Score (out of 35)]]+Table1[[#This Row],[TA 2 - Total Score (out of 35)]])/2</f>
        <v/>
      </c>
      <c r="U423">
        <f>(Table1[[#This Row],[TA 1 - Total Bonus (out of 13)]]+Table1[[#This Row],[TA 2 - Total Bonus (out of 13)]])/2</f>
        <v/>
      </c>
      <c r="V423">
        <f>Table1[[#This Row],[Average Questions]]/35*20+Table1[[#This Row],[Average Bonus]]/13*5</f>
        <v/>
      </c>
      <c r="W423" t="n">
        <v>2</v>
      </c>
      <c r="X423" t="n">
        <v>0</v>
      </c>
      <c r="Y423" t="inlineStr">
        <is>
          <t>The student attempted most tasks but made significant errors. In Part 1, the SubtractOne transform is incorrectly implemented and applied to images instead of labels. DataLoaders were created but with incorrect shuffling for the test set. In Part 2, the model definition is incorrect, attempting to modify EfficientNetV2-Small incorrectly. Parts 3 and 4 contain logical errors in the training and validation loops, such as squeezing outputs and using sigmoid activation for multi-class classification. No bonus task was attempted.</t>
        </is>
      </c>
      <c r="Z423" t="n">
        <v>5</v>
      </c>
      <c r="AA423" t="n">
        <v>0</v>
      </c>
      <c r="AB423" t="inlineStr">
        <is>
          <t>The student implemented a custom dataset class and used appropriate transformations, including RandomRotation and resizing. However, the dataset class had a mistake in the class labels dictionary, where 'Early_blight' was repeated instead of 'Late_blight'. The CNN model was defined with only three convolutional layers instead of five, and it lacked batch normalization. The training and validation loops were mostly correct but contained minor issues, such as incorrect handling of labels in the validation loop. The student did not attempt the bonus task.</t>
        </is>
      </c>
      <c r="AC423" t="n">
        <v>4</v>
      </c>
      <c r="AD423" t="inlineStr">
        <is>
          <t>The student attempted most tasks but made significant errors. In Task 1, the dataset class was partially correct but used an incorrect dataset path and did not display images and masks correctly. Task 2 failed as the student implemented a custom U-Net instead of using a pretrained U-Net with an efficientnet-b1 encoder. Task 3 had syntax errors in the training and validation loops. Task 4 included incorrect loss calculation due to mask type conversion issues and did not plot the loss curve. Task 5 had visualization issues with incorrect mask handling.</t>
        </is>
      </c>
      <c r="AE423" t="n">
        <v>0</v>
      </c>
      <c r="AF423" t="n">
        <v>0</v>
      </c>
      <c r="AG423" t="inlineStr">
        <is>
          <t>No submission found.</t>
        </is>
      </c>
      <c r="AH423" t="n">
        <v>11</v>
      </c>
      <c r="AI423" t="n">
        <v>0</v>
      </c>
    </row>
    <row r="424">
      <c r="A424" t="n">
        <v>423</v>
      </c>
      <c r="B424" t="inlineStr">
        <is>
          <t>TA_8</t>
        </is>
      </c>
      <c r="C424" t="inlineStr">
        <is>
          <t>TA_18</t>
        </is>
      </c>
      <c r="D424" t="n">
        <v>8</v>
      </c>
      <c r="E424" t="n">
        <v>4</v>
      </c>
      <c r="F424" t="n">
        <v>11</v>
      </c>
      <c r="G424" t="n">
        <v>0</v>
      </c>
      <c r="H424" t="n">
        <v>12</v>
      </c>
      <c r="I424" t="n">
        <v>5</v>
      </c>
      <c r="J424" t="n">
        <v>8.75</v>
      </c>
      <c r="K424" t="n">
        <v>4</v>
      </c>
      <c r="L424" t="n">
        <v>11</v>
      </c>
      <c r="M424" t="n">
        <v>0</v>
      </c>
      <c r="N424" t="n">
        <v>11.75</v>
      </c>
      <c r="O424" t="n">
        <v>5</v>
      </c>
      <c r="P424">
        <f>Table1[[#This Row],[TA 1 - Q1 Score]]+Table1[[#This Row],[TA 1 - Q2 Score]]+Table1[[#This Row],[TA 1 - Q3 Score]]</f>
        <v/>
      </c>
      <c r="Q424">
        <f>Table1[[#This Row],[TA 1 - Q1 Bonus]]+Table1[[#This Row],[TA 1 - Q2 Bonus]]+Table1[[#This Row],[TA 1 - Q4 Bonus]]</f>
        <v/>
      </c>
      <c r="R424">
        <f>Table1[[#This Row],[TA 2 - Q1 Score]]+Table1[[#This Row],[TA 2 - Q2 Score]]+Table1[[#This Row],[TA 2 - Q3 Score]]</f>
        <v/>
      </c>
      <c r="S424">
        <f>Table1[[#This Row],[TA 2 - Q1 Bonus]]+Table1[[#This Row],[TA 2 - Q2 Bonus]]+Table1[[#This Row],[TA 2 - Q4 Bonus]]</f>
        <v/>
      </c>
      <c r="T424">
        <f>(Table1[[#This Row],[TA 1 - Total Score (out of 35)]]+Table1[[#This Row],[TA 2 - Total Score (out of 35)]])/2</f>
        <v/>
      </c>
      <c r="U424">
        <f>(Table1[[#This Row],[TA 1 - Total Bonus (out of 13)]]+Table1[[#This Row],[TA 2 - Total Bonus (out of 13)]])/2</f>
        <v/>
      </c>
      <c r="V424">
        <f>Table1[[#This Row],[Average Questions]]/35*20+Table1[[#This Row],[Average Bonus]]/13*5</f>
        <v/>
      </c>
      <c r="W424" t="n">
        <v>7</v>
      </c>
      <c r="X424" t="n">
        <v>3</v>
      </c>
      <c r="Y424" t="inlineStr">
        <is>
          <t>The student partially completed the tasks with some syntax and logical mistakes. The transforms were incorrectly set to resize images to 224x224 instead of 28x28. DataLoaders were created but with a different batch size and variable name. Sample images were displayed without proper visualization. The model was loaded and adapted correctly, but the backbone was not explicitly frozen. Training and validation loops were implemented with label fixing, and plots were generated. The bonus task for Test Time Augmentation was correctly defined and executed.</t>
        </is>
      </c>
      <c r="Z424" t="n">
        <v>9</v>
      </c>
      <c r="AA424" t="n">
        <v>0</v>
      </c>
      <c r="AB424" t="inlineStr">
        <is>
          <t>The student successfully completed all base tasks with minor issues. The dataset loading and preparation were correct, including the use of RandomRotation and resizing to 32x32. The CNN model had 5 convolutional layers with batch normalization, though the number of filters was different from the reference solution. The training and validation loops were implemented correctly, and the model was trained and plotted. However, the bonus task was not attempted.</t>
        </is>
      </c>
      <c r="AC424" t="n">
        <v>8</v>
      </c>
      <c r="AD424" t="inlineStr">
        <is>
          <t>The student's submission contains mostly correct code with minor issues. Task 1 is partially correct with a small mistake in the mask conversion. Task 2 correctly defines the U-Net model with the specified encoder. Task 3 has a few logical errors in the training and validation loops. Task 4 is mostly correct but has redundant code and does not fully implement the required number of epochs. Task 5 visualizes predictions correctly but does not fully utilize the available data.</t>
        </is>
      </c>
      <c r="AE424" t="n">
        <v>0</v>
      </c>
      <c r="AF424" t="n">
        <v>5</v>
      </c>
      <c r="AG424" t="inlineStr">
        <is>
          <t>The student's implementation of the ColorizationDataset class is correct and runs perfectly, producing the expected output and following the optimal logic. The code includes all required methods (__init__, __len__, rgb_to_grayscale, __getitem__) with correct formulas and dimensions. The visualization also works as intended, showing both grayscale and color images correctly.</t>
        </is>
      </c>
      <c r="AH424" t="n">
        <v>24</v>
      </c>
      <c r="AI424" t="n">
        <v>8</v>
      </c>
    </row>
    <row r="425">
      <c r="A425" t="n">
        <v>424</v>
      </c>
      <c r="B425" t="inlineStr">
        <is>
          <t>TA_8</t>
        </is>
      </c>
      <c r="C425" t="inlineStr">
        <is>
          <t>TA_18</t>
        </is>
      </c>
      <c r="D425" t="n">
        <v>12</v>
      </c>
      <c r="E425" t="n">
        <v>0</v>
      </c>
      <c r="F425" t="n">
        <v>11</v>
      </c>
      <c r="G425" t="n">
        <v>0</v>
      </c>
      <c r="H425" t="n">
        <v>12</v>
      </c>
      <c r="I425" t="n">
        <v>5</v>
      </c>
      <c r="J425" t="n">
        <v>12</v>
      </c>
      <c r="K425" t="n">
        <v>0</v>
      </c>
      <c r="L425" t="n">
        <v>11</v>
      </c>
      <c r="M425" t="n">
        <v>0</v>
      </c>
      <c r="N425" t="n">
        <v>12</v>
      </c>
      <c r="O425" t="n">
        <v>5</v>
      </c>
      <c r="P425">
        <f>Table1[[#This Row],[TA 1 - Q1 Score]]+Table1[[#This Row],[TA 1 - Q2 Score]]+Table1[[#This Row],[TA 1 - Q3 Score]]</f>
        <v/>
      </c>
      <c r="Q425">
        <f>Table1[[#This Row],[TA 1 - Q1 Bonus]]+Table1[[#This Row],[TA 1 - Q2 Bonus]]+Table1[[#This Row],[TA 1 - Q4 Bonus]]</f>
        <v/>
      </c>
      <c r="R425">
        <f>Table1[[#This Row],[TA 2 - Q1 Score]]+Table1[[#This Row],[TA 2 - Q2 Score]]+Table1[[#This Row],[TA 2 - Q3 Score]]</f>
        <v/>
      </c>
      <c r="S425">
        <f>Table1[[#This Row],[TA 2 - Q1 Bonus]]+Table1[[#This Row],[TA 2 - Q2 Bonus]]+Table1[[#This Row],[TA 2 - Q4 Bonus]]</f>
        <v/>
      </c>
      <c r="T425">
        <f>(Table1[[#This Row],[TA 1 - Total Score (out of 35)]]+Table1[[#This Row],[TA 2 - Total Score (out of 35)]])/2</f>
        <v/>
      </c>
      <c r="U425">
        <f>(Table1[[#This Row],[TA 1 - Total Bonus (out of 13)]]+Table1[[#This Row],[TA 2 - Total Bonus (out of 13)]])/2</f>
        <v/>
      </c>
      <c r="V425">
        <f>Table1[[#This Row],[Average Questions]]/35*20+Table1[[#This Row],[Average Bonus]]/13*5</f>
        <v/>
      </c>
      <c r="W425" t="n">
        <v>8.5</v>
      </c>
      <c r="X425" t="n">
        <v>0</v>
      </c>
      <c r="Y425" t="inlineStr">
        <is>
          <t>The student completed most tasks correctly but made some minor mistakes. The data loading and preparation were mostly accurate, though a custom dataset class was unnecessarily created. The model loading and adaptation were correct, but the student froze all layers instead of just the backbone. The training and validation loops were implemented properly, and the plots were generated correctly. However, the student did not attempt the bonus task for Test Time Augmentation.</t>
        </is>
      </c>
      <c r="Z425" t="n">
        <v>6</v>
      </c>
      <c r="AA425" t="n">
        <v>0</v>
      </c>
      <c r="AB425" t="inlineStr">
        <is>
          <t>The student partially completed the tasks. They correctly set up the dataset paths and defined the necessary transformations, including RandomRotation and resizing to 32x32, but incorrectly added Grayscale transformation. The data loaders were set up correctly. Sample images were displayed with labels. The CNN model had more layers than required and used different architecture parameters, earning partial credit. Training and validation loops were implemented correctly. However, the model was not trained with the specified number of convolutional layers and batch normalization, and the bonus task was not attempted.</t>
        </is>
      </c>
      <c r="AC425" t="n">
        <v>10</v>
      </c>
      <c r="AD425" t="inlineStr">
        <is>
          <t>The student's submission is mostly correct and runs end-to-end. The dataset class is implemented correctly with proper data loading and transformations. The DataLoaders are set up properly, and sample images and masks are displayed. The U-Net model with efficientnet-b1 encoder is defined correctly. The training and validation loops are implemented with minor issues, such as using AdamW instead of Adam and a higher learning rate. The loss and optimizer are defined, and the model trains for 25 epochs with printed losses. The loss curve is plotted, and predictions are visualized against ground truth. The only issues are the choice of optimizer and learning rate, which do not affect the correctness of the implementation.</t>
        </is>
      </c>
      <c r="AE425" t="n">
        <v>0</v>
      </c>
      <c r="AF425" t="n">
        <v>5</v>
      </c>
      <c r="AG425" t="inlineStr">
        <is>
          <t>The student's implementation of the ColorizationDataset class is correct and runs without errors. The rgb_to_grayscale method accurately converts RGB images to grayscale using the specified formula, and the __getitem__ method returns the correct (grayscale, color) tuples. The visualization and DataLoader tests also work as expected, confirming the correctness of the implementation.</t>
        </is>
      </c>
      <c r="AH425" t="n">
        <v>24.5</v>
      </c>
      <c r="AI425" t="n">
        <v>5</v>
      </c>
    </row>
    <row r="426">
      <c r="A426" t="n">
        <v>425</v>
      </c>
      <c r="B426" t="inlineStr">
        <is>
          <t>TA_8</t>
        </is>
      </c>
      <c r="C426" t="inlineStr">
        <is>
          <t>TA_18</t>
        </is>
      </c>
      <c r="D426" t="n">
        <v>5</v>
      </c>
      <c r="E426" t="n">
        <v>0</v>
      </c>
      <c r="F426" t="n">
        <v>3.5</v>
      </c>
      <c r="G426" t="n">
        <v>0</v>
      </c>
      <c r="H426" t="n">
        <v>10</v>
      </c>
      <c r="I426" t="n">
        <v>0</v>
      </c>
      <c r="J426" t="n">
        <v>6.75</v>
      </c>
      <c r="K426" t="n">
        <v>0</v>
      </c>
      <c r="L426" t="n">
        <v>5.25</v>
      </c>
      <c r="M426" t="n">
        <v>0</v>
      </c>
      <c r="N426" t="n">
        <v>7</v>
      </c>
      <c r="O426" t="n">
        <v>0</v>
      </c>
      <c r="P426">
        <f>Table1[[#This Row],[TA 1 - Q1 Score]]+Table1[[#This Row],[TA 1 - Q2 Score]]+Table1[[#This Row],[TA 1 - Q3 Score]]</f>
        <v/>
      </c>
      <c r="Q426">
        <f>Table1[[#This Row],[TA 1 - Q1 Bonus]]+Table1[[#This Row],[TA 1 - Q2 Bonus]]+Table1[[#This Row],[TA 1 - Q4 Bonus]]</f>
        <v/>
      </c>
      <c r="R426">
        <f>Table1[[#This Row],[TA 2 - Q1 Score]]+Table1[[#This Row],[TA 2 - Q2 Score]]+Table1[[#This Row],[TA 2 - Q3 Score]]</f>
        <v/>
      </c>
      <c r="S426">
        <f>Table1[[#This Row],[TA 2 - Q1 Bonus]]+Table1[[#This Row],[TA 2 - Q2 Bonus]]+Table1[[#This Row],[TA 2 - Q4 Bonus]]</f>
        <v/>
      </c>
      <c r="T426">
        <f>(Table1[[#This Row],[TA 1 - Total Score (out of 35)]]+Table1[[#This Row],[TA 2 - Total Score (out of 35)]])/2</f>
        <v/>
      </c>
      <c r="U426">
        <f>(Table1[[#This Row],[TA 1 - Total Bonus (out of 13)]]+Table1[[#This Row],[TA 2 - Total Bonus (out of 13)]])/2</f>
        <v/>
      </c>
      <c r="V426">
        <f>Table1[[#This Row],[Average Questions]]/35*20+Table1[[#This Row],[Average Bonus]]/13*5</f>
        <v/>
      </c>
      <c r="W426" t="n">
        <v>5</v>
      </c>
      <c r="X426" t="n">
        <v>0</v>
      </c>
      <c r="Y426" t="inlineStr">
        <is>
          <t>The student completed the data loading and preparation with minor issues, such as incorrect batch size and missing label adjustment. The model loading and adaptation were partially correct but had errors in freezing the backbone and replacing the classifier. The training and validation loops were mostly correct but lacked label fixing, resulting in a penalty. The plotting of losses and accuracies was not implemented. No bonus task was attempted.</t>
        </is>
      </c>
      <c r="Z426" t="n">
        <v>5</v>
      </c>
      <c r="AA426" t="n">
        <v>0</v>
      </c>
      <c r="AB426" t="inlineStr">
        <is>
          <t>The student partially completed the tasks. The data loading and preparation section had issues with incorrect image resizing and normalization parameters, and the displayed images were not correctly processed. The CNN model had incorrect layer sizes and a flawed fully connected layer input size. The training and validation loops were mostly correct but contained unnecessary softmax operations. The bonus task was not attempted.</t>
        </is>
      </c>
      <c r="AC426" t="n">
        <v>6</v>
      </c>
      <c r="AD426" t="inlineStr">
        <is>
          <t>The student's submission partially completes several tasks but contains errors and omissions. The dataset class is implemented correctly, but the DataLoader creation has a batch size of 32, which is not specified in the reference solution. The model class uses 'efficientnet-b1' instead of 'efficientnet-b0' as instructed. The training and validation loops are mostly correct but the model's output channels are set to 1 instead of 8, affecting the loss calculation. The training process runs for only 1 epoch instead of 10. Visualization of predictions is attempted but uses a grayscale colormap instead of 'tab10'.</t>
        </is>
      </c>
      <c r="AE426" t="n">
        <v>0</v>
      </c>
      <c r="AF426" t="n">
        <v>0</v>
      </c>
      <c r="AG426" t="inlineStr">
        <is>
          <t>No submission found.</t>
        </is>
      </c>
      <c r="AH426" t="n">
        <v>16</v>
      </c>
      <c r="AI426" t="n">
        <v>0</v>
      </c>
    </row>
    <row r="427">
      <c r="A427" t="n">
        <v>426</v>
      </c>
      <c r="B427" t="inlineStr">
        <is>
          <t>TA_8</t>
        </is>
      </c>
      <c r="C427" t="inlineStr">
        <is>
          <t>TA_18</t>
        </is>
      </c>
      <c r="D427" t="n">
        <v>11</v>
      </c>
      <c r="E427" t="n">
        <v>0</v>
      </c>
      <c r="F427" t="n">
        <v>8.5</v>
      </c>
      <c r="G427" t="n">
        <v>0</v>
      </c>
      <c r="H427" t="n">
        <v>11.5</v>
      </c>
      <c r="I427" t="n">
        <v>0</v>
      </c>
      <c r="J427" t="n">
        <v>11</v>
      </c>
      <c r="K427" t="n">
        <v>0</v>
      </c>
      <c r="L427" t="n">
        <v>8.5</v>
      </c>
      <c r="M427" t="n">
        <v>0</v>
      </c>
      <c r="N427" t="n">
        <v>11.5</v>
      </c>
      <c r="O427" t="n">
        <v>0</v>
      </c>
      <c r="P427">
        <f>Table1[[#This Row],[TA 1 - Q1 Score]]+Table1[[#This Row],[TA 1 - Q2 Score]]+Table1[[#This Row],[TA 1 - Q3 Score]]</f>
        <v/>
      </c>
      <c r="Q427">
        <f>Table1[[#This Row],[TA 1 - Q1 Bonus]]+Table1[[#This Row],[TA 1 - Q2 Bonus]]+Table1[[#This Row],[TA 1 - Q4 Bonus]]</f>
        <v/>
      </c>
      <c r="R427">
        <f>Table1[[#This Row],[TA 2 - Q1 Score]]+Table1[[#This Row],[TA 2 - Q2 Score]]+Table1[[#This Row],[TA 2 - Q3 Score]]</f>
        <v/>
      </c>
      <c r="S427">
        <f>Table1[[#This Row],[TA 2 - Q1 Bonus]]+Table1[[#This Row],[TA 2 - Q2 Bonus]]+Table1[[#This Row],[TA 2 - Q4 Bonus]]</f>
        <v/>
      </c>
      <c r="T427">
        <f>(Table1[[#This Row],[TA 1 - Total Score (out of 35)]]+Table1[[#This Row],[TA 2 - Total Score (out of 35)]])/2</f>
        <v/>
      </c>
      <c r="U427">
        <f>(Table1[[#This Row],[TA 1 - Total Bonus (out of 13)]]+Table1[[#This Row],[TA 2 - Total Bonus (out of 13)]])/2</f>
        <v/>
      </c>
      <c r="V427">
        <f>Table1[[#This Row],[Average Questions]]/35*20+Table1[[#This Row],[Average Bonus]]/13*5</f>
        <v/>
      </c>
      <c r="W427" t="n">
        <v>7</v>
      </c>
      <c r="X427" t="n">
        <v>0</v>
      </c>
      <c r="Y427" t="inlineStr">
        <is>
          <t>The student completed most tasks with minor issues. The transforms were correctly defined, and DataLoaders were set up properly. Sample images were displayed, though with hardcoded indices. The model was loaded and adapted correctly, but all parameters were frozen instead of just the backbone. The training and validation loops had syntax errors and logical mistakes, particularly in handling outputs and labels. No bonus task was attempted.</t>
        </is>
      </c>
      <c r="Z427" t="n">
        <v>8</v>
      </c>
      <c r="AA427" t="n">
        <v>0</v>
      </c>
      <c r="AB427" t="inlineStr">
        <is>
          <t>The student successfully implemented a custom dataset class, created train and test datasets with appropriate transformations, and displayed sample images. The CNN model has 5 convolutional layers but does not include batch normalization. The training and validation loops are correctly defined and executed, and the losses and accuracies are plotted. However, the CNN model architecture deviates from the specified requirements, and no bonus task was attempted.</t>
        </is>
      </c>
      <c r="AC427" t="n">
        <v>10</v>
      </c>
      <c r="AD427" t="inlineStr">
        <is>
          <t>The student's submission is mostly correct and runs end-to-end. The dataset class is implemented correctly with proper transformations and splitting. The model class uses the correct pretrained U-Net with efficientnet-b1 encoder. The training and validation loops are implemented accurately, and the loss and optimizer are defined properly. The training process prints the losses and plots the loss curve. The predictions are visualized correctly against the ground truth. Minor issues include the use of AdamW instead of Adam for the optimizer and a slightly different learning rate, but these do not affect the overall correctness of the implementation.</t>
        </is>
      </c>
      <c r="AE427" t="n">
        <v>0</v>
      </c>
      <c r="AF427" t="n">
        <v>0</v>
      </c>
      <c r="AG427" t="inlineStr">
        <is>
          <t>The student's implementation contains several errors and incomplete sections. The `__init__` method incorrectly stores the dataset and attempts to define `image_paths` without initialization. The `__len__` method references undefined `image_paths`. The `rgb_to_grayscale` method incorrectly uses PIL's `convert` method instead of performing the specified formula. The `__getitem__` method has syntax errors, uses undefined variables, and incorrectly calls `rgb_to_grayscale`. The visualization and DataLoader tests are not functional due to these issues.</t>
        </is>
      </c>
      <c r="AH427" t="n">
        <v>25</v>
      </c>
      <c r="AI427" t="n">
        <v>0</v>
      </c>
    </row>
    <row r="428">
      <c r="A428" t="n">
        <v>427</v>
      </c>
      <c r="B428" t="inlineStr">
        <is>
          <t>TA_8</t>
        </is>
      </c>
      <c r="C428" t="inlineStr">
        <is>
          <t>TA_18</t>
        </is>
      </c>
      <c r="D428" t="n">
        <v>12</v>
      </c>
      <c r="E428" t="n">
        <v>4</v>
      </c>
      <c r="F428" t="n">
        <v>11</v>
      </c>
      <c r="G428" t="n">
        <v>0</v>
      </c>
      <c r="H428" t="n">
        <v>12</v>
      </c>
      <c r="I428" t="n">
        <v>0</v>
      </c>
      <c r="J428" t="n">
        <v>12</v>
      </c>
      <c r="K428" t="n">
        <v>4</v>
      </c>
      <c r="L428" t="n">
        <v>11</v>
      </c>
      <c r="M428" t="n">
        <v>3.25</v>
      </c>
      <c r="N428" t="n">
        <v>12</v>
      </c>
      <c r="O428" t="n">
        <v>0</v>
      </c>
      <c r="P428">
        <f>Table1[[#This Row],[TA 1 - Q1 Score]]+Table1[[#This Row],[TA 1 - Q2 Score]]+Table1[[#This Row],[TA 1 - Q3 Score]]</f>
        <v/>
      </c>
      <c r="Q428">
        <f>Table1[[#This Row],[TA 1 - Q1 Bonus]]+Table1[[#This Row],[TA 1 - Q2 Bonus]]+Table1[[#This Row],[TA 1 - Q4 Bonus]]</f>
        <v/>
      </c>
      <c r="R428">
        <f>Table1[[#This Row],[TA 2 - Q1 Score]]+Table1[[#This Row],[TA 2 - Q2 Score]]+Table1[[#This Row],[TA 2 - Q3 Score]]</f>
        <v/>
      </c>
      <c r="S428">
        <f>Table1[[#This Row],[TA 2 - Q1 Bonus]]+Table1[[#This Row],[TA 2 - Q2 Bonus]]+Table1[[#This Row],[TA 2 - Q4 Bonus]]</f>
        <v/>
      </c>
      <c r="T428">
        <f>(Table1[[#This Row],[TA 1 - Total Score (out of 35)]]+Table1[[#This Row],[TA 2 - Total Score (out of 35)]])/2</f>
        <v/>
      </c>
      <c r="U428">
        <f>(Table1[[#This Row],[TA 1 - Total Bonus (out of 13)]]+Table1[[#This Row],[TA 2 - Total Bonus (out of 13)]])/2</f>
        <v/>
      </c>
      <c r="V428">
        <f>Table1[[#This Row],[Average Questions]]/35*20+Table1[[#This Row],[Average Bonus]]/13*5</f>
        <v/>
      </c>
      <c r="W428" t="n">
        <v>8.5</v>
      </c>
      <c r="X428" t="n">
        <v>1</v>
      </c>
      <c r="Y428" t="inlineStr">
        <is>
          <t>The student completed most tasks correctly but made some minor mistakes. The data loading and preparation were mostly accurate, though the batch size was smaller than in the reference. The model setup and adaptation were correct, but the training and validation loops had issues with unnecessary squeezing of outputs. The label fixing was done correctly, avoiding the penalty. The plotting of losses and accuracies was accurate. In the bonus task, the student implemented TTA correctly but ran it for fewer epochs than specified.</t>
        </is>
      </c>
      <c r="Z428" t="n">
        <v>7</v>
      </c>
      <c r="AA428" t="n">
        <v>0</v>
      </c>
      <c r="AB428" t="inlineStr">
        <is>
          <t>The student successfully loaded and prepared the data with the correct transformations and displayed sample images. The CNN model was built with five convolutional layers and batch normalization, though the final layer had an incorrect input size due to the resizing transformation. The training and validation functions were implemented correctly, and the model was trained and plotted. However, the bonus task was not completed as the residual connection was incorrectly defined and the model was not retrained.</t>
        </is>
      </c>
      <c r="AC428" t="n">
        <v>7</v>
      </c>
      <c r="AD428" t="inlineStr">
        <is>
          <t>The student's submission partially completes most tasks but contains several issues. The dataset class is implemented correctly, but the image and mask transformations differ from the reference solution, potentially affecting model performance. The model class uses the correct architecture but is set to run on CPU instead of GPU. The training and validation loops are mostly correct but contain a mistake in the validation loop where masks are converted to float instead of long. The training process runs for only 2 epochs, which is less than the reference solution. The visualization of predictions is attempted but incorrectly converts the predicted mask to a binary mask, which is not suitable for multi-class segmentation.</t>
        </is>
      </c>
      <c r="AE428" t="n">
        <v>0</v>
      </c>
      <c r="AF428" t="n">
        <v>0</v>
      </c>
      <c r="AG428" t="inlineStr">
        <is>
          <t>No submission found.</t>
        </is>
      </c>
      <c r="AH428" t="n">
        <v>22.5</v>
      </c>
      <c r="AI428" t="n">
        <v>1</v>
      </c>
    </row>
    <row r="429">
      <c r="A429" t="n">
        <v>428</v>
      </c>
      <c r="B429" t="inlineStr">
        <is>
          <t>TA_8</t>
        </is>
      </c>
      <c r="C429" t="inlineStr">
        <is>
          <t>TA_18</t>
        </is>
      </c>
      <c r="D429" t="n">
        <v>7</v>
      </c>
      <c r="E429" t="n">
        <v>0</v>
      </c>
      <c r="F429" t="n">
        <v>9.5</v>
      </c>
      <c r="G429" t="n">
        <v>0</v>
      </c>
      <c r="H429" t="n">
        <v>10</v>
      </c>
      <c r="I429" t="n">
        <v>0</v>
      </c>
      <c r="J429" t="n">
        <v>10.25</v>
      </c>
      <c r="K429" t="n">
        <v>0</v>
      </c>
      <c r="L429" t="n">
        <v>9.5</v>
      </c>
      <c r="M429" t="n">
        <v>0</v>
      </c>
      <c r="N429" t="n">
        <v>8.25</v>
      </c>
      <c r="O429" t="n">
        <v>0</v>
      </c>
      <c r="P429">
        <f>Table1[[#This Row],[TA 1 - Q1 Score]]+Table1[[#This Row],[TA 1 - Q2 Score]]+Table1[[#This Row],[TA 1 - Q3 Score]]</f>
        <v/>
      </c>
      <c r="Q429">
        <f>Table1[[#This Row],[TA 1 - Q1 Bonus]]+Table1[[#This Row],[TA 1 - Q2 Bonus]]+Table1[[#This Row],[TA 1 - Q4 Bonus]]</f>
        <v/>
      </c>
      <c r="R429">
        <f>Table1[[#This Row],[TA 2 - Q1 Score]]+Table1[[#This Row],[TA 2 - Q2 Score]]+Table1[[#This Row],[TA 2 - Q3 Score]]</f>
        <v/>
      </c>
      <c r="S429">
        <f>Table1[[#This Row],[TA 2 - Q1 Bonus]]+Table1[[#This Row],[TA 2 - Q2 Bonus]]+Table1[[#This Row],[TA 2 - Q4 Bonus]]</f>
        <v/>
      </c>
      <c r="T429">
        <f>(Table1[[#This Row],[TA 1 - Total Score (out of 35)]]+Table1[[#This Row],[TA 2 - Total Score (out of 35)]])/2</f>
        <v/>
      </c>
      <c r="U429">
        <f>(Table1[[#This Row],[TA 1 - Total Bonus (out of 13)]]+Table1[[#This Row],[TA 2 - Total Bonus (out of 13)]])/2</f>
        <v/>
      </c>
      <c r="V429">
        <f>Table1[[#This Row],[Average Questions]]/35*20+Table1[[#This Row],[Average Bonus]]/13*5</f>
        <v/>
      </c>
      <c r="W429" t="n">
        <v>5</v>
      </c>
      <c r="X429" t="n">
        <v>0</v>
      </c>
      <c r="Y429" t="inlineStr">
        <is>
          <t>The student completed the data loading and preparation with correct transformations, including resizing, converting to tensor, and normalizing. However, the DataLoader creation had incorrect batch sizes and num_workers. The model loading part incorrectly used EfficientNet-B0 instead of EfficientNetV2-Small. The backbone freezing was partially correct but the classifier replacement was incorrect. The training and validation loops had syntax errors and logical mistakes, such as squeezing the model outputs and incorrect label adjustments. The plotting of losses and accuracies was correct. No bonus task was attempted.</t>
        </is>
      </c>
      <c r="Z429" t="n">
        <v>8</v>
      </c>
      <c r="AA429" t="n">
        <v>0</v>
      </c>
      <c r="AB429" t="inlineStr">
        <is>
          <t>The student successfully loaded and prepared the data with the correct transformations and displayed sample images. The CNN model was built with five convolutional layers and batch normalization, though the architecture differs slightly from the reference solution. The training and validation loops were implemented correctly, and the model was trained and evaluated. However, the student did not attempt the bonus task of adding a residual connection.</t>
        </is>
      </c>
      <c r="AC429" t="n">
        <v>10</v>
      </c>
      <c r="AD429" t="inlineStr">
        <is>
          <t>The student's submission is mostly correct and runs end-to-end. The dataset class is implemented correctly, and the DataLoaders are set up properly. Sample images and masks are displayed accurately. The U-Net model with the efficientnet-b0 encoder is defined as required. Training and validation loops are implemented with minor issues, such as using AdamW instead of Adam and a different learning rate. The loss and optimizer are defined, and the model trains for 10 epochs with printed losses. The loss curve is plotted correctly. Predictions are visualized against ground truth for multiple images. Overall, the submission meets the requirements with only slight variations.</t>
        </is>
      </c>
      <c r="AE429" t="n">
        <v>0</v>
      </c>
      <c r="AF429" t="n">
        <v>0</v>
      </c>
      <c r="AG429" t="inlineStr">
        <is>
          <t>No submission found.</t>
        </is>
      </c>
      <c r="AH429" t="n">
        <v>23</v>
      </c>
      <c r="AI429" t="n">
        <v>0</v>
      </c>
    </row>
    <row r="430">
      <c r="A430" t="n">
        <v>429</v>
      </c>
      <c r="B430" t="inlineStr">
        <is>
          <t>TA_8</t>
        </is>
      </c>
      <c r="C430" t="inlineStr">
        <is>
          <t>TA_18</t>
        </is>
      </c>
      <c r="D430" t="n">
        <v>12</v>
      </c>
      <c r="E430" t="n">
        <v>0</v>
      </c>
      <c r="F430" t="n">
        <v>8</v>
      </c>
      <c r="G430" t="n">
        <v>0</v>
      </c>
      <c r="H430" t="n">
        <v>5.5</v>
      </c>
      <c r="I430" t="n">
        <v>0</v>
      </c>
      <c r="J430" t="n">
        <v>12</v>
      </c>
      <c r="K430" t="n">
        <v>0</v>
      </c>
      <c r="L430" t="n">
        <v>11</v>
      </c>
      <c r="M430" t="n">
        <v>0.25</v>
      </c>
      <c r="N430" t="n">
        <v>9.25</v>
      </c>
      <c r="O430" t="n">
        <v>0</v>
      </c>
      <c r="P430">
        <f>Table1[[#This Row],[TA 1 - Q1 Score]]+Table1[[#This Row],[TA 1 - Q2 Score]]+Table1[[#This Row],[TA 1 - Q3 Score]]</f>
        <v/>
      </c>
      <c r="Q430">
        <f>Table1[[#This Row],[TA 1 - Q1 Bonus]]+Table1[[#This Row],[TA 1 - Q2 Bonus]]+Table1[[#This Row],[TA 1 - Q4 Bonus]]</f>
        <v/>
      </c>
      <c r="R430">
        <f>Table1[[#This Row],[TA 2 - Q1 Score]]+Table1[[#This Row],[TA 2 - Q2 Score]]+Table1[[#This Row],[TA 2 - Q3 Score]]</f>
        <v/>
      </c>
      <c r="S430">
        <f>Table1[[#This Row],[TA 2 - Q1 Bonus]]+Table1[[#This Row],[TA 2 - Q2 Bonus]]+Table1[[#This Row],[TA 2 - Q4 Bonus]]</f>
        <v/>
      </c>
      <c r="T430">
        <f>(Table1[[#This Row],[TA 1 - Total Score (out of 35)]]+Table1[[#This Row],[TA 2 - Total Score (out of 35)]])/2</f>
        <v/>
      </c>
      <c r="U430">
        <f>(Table1[[#This Row],[TA 1 - Total Bonus (out of 13)]]+Table1[[#This Row],[TA 2 - Total Bonus (out of 13)]])/2</f>
        <v/>
      </c>
      <c r="V430">
        <f>Table1[[#This Row],[Average Questions]]/35*20+Table1[[#This Row],[Average Bonus]]/13*5</f>
        <v/>
      </c>
      <c r="W430" t="n">
        <v>7</v>
      </c>
      <c r="X430" t="n">
        <v>0</v>
      </c>
      <c r="Y430" t="inlineStr">
        <is>
          <t>The student completed most tasks with minor issues. The data loading and preparation were mostly correct, but the sample image display lacked denormalization for proper visualization. The model loading and adaptation were accurate, but the backbone was incorrectly frozen entirely rather than just the feature extractor. The training and validation loops were implemented correctly, including the label fix, but the validation loop in the bonus section was incorrect, using sigmoid and binary classification logic instead of softmax and multi-class logic.</t>
        </is>
      </c>
      <c r="Z430" t="n">
        <v>6</v>
      </c>
      <c r="AA430" t="n">
        <v>0</v>
      </c>
      <c r="AB430" t="inlineStr">
        <is>
          <t>The student successfully loaded and prepared the data with correct transformations and displayed sample images. The CNN model was built with 5 convolutional layers and batch normalization, though the number of channels and fully connected layer sizes were different from the reference. The training and validation loops were implemented correctly, and the model was trained and plotted. However, the bonus task was not completed as the student defined a U-Net architecture instead of adding a residual connection to the original CNN.</t>
        </is>
      </c>
      <c r="AC430" t="n">
        <v>4</v>
      </c>
      <c r="AD430" t="inlineStr">
        <is>
          <t>The student attempted most tasks but made significant errors. The dataset class incorrectly uses a CSV file for paths instead of directly listing files, causing issues in loading data. DataLoader creation uses DataFrames instead of Dataset objects, leading to runtime errors. The training and validation loops contain logical mistakes, such as converting masks to float, which is incompatible with CrossEntropyLoss. Visualization code also fails due to incorrect handling of images and masks. Despite these issues, the student showed effort in attempting each task.</t>
        </is>
      </c>
      <c r="AE430" t="n">
        <v>0</v>
      </c>
      <c r="AF430" t="n">
        <v>0</v>
      </c>
      <c r="AG430" t="inlineStr">
        <is>
          <t>No submission found.</t>
        </is>
      </c>
      <c r="AH430" t="n">
        <v>17</v>
      </c>
      <c r="AI430" t="n">
        <v>0</v>
      </c>
    </row>
    <row r="431">
      <c r="A431" t="n">
        <v>430</v>
      </c>
      <c r="B431" t="inlineStr">
        <is>
          <t>TA_8</t>
        </is>
      </c>
      <c r="C431" t="inlineStr">
        <is>
          <t>TA_18</t>
        </is>
      </c>
      <c r="D431" t="n">
        <v>12</v>
      </c>
      <c r="E431" t="n">
        <v>0</v>
      </c>
      <c r="F431" t="n">
        <v>11</v>
      </c>
      <c r="G431" t="n">
        <v>0</v>
      </c>
      <c r="H431" t="n">
        <v>12</v>
      </c>
      <c r="I431" t="n">
        <v>0</v>
      </c>
      <c r="J431" t="n">
        <v>12</v>
      </c>
      <c r="K431" t="n">
        <v>0</v>
      </c>
      <c r="L431" t="n">
        <v>11</v>
      </c>
      <c r="M431" t="n">
        <v>0</v>
      </c>
      <c r="N431" t="n">
        <v>12</v>
      </c>
      <c r="O431" t="n">
        <v>0</v>
      </c>
      <c r="P431">
        <f>Table1[[#This Row],[TA 1 - Q1 Score]]+Table1[[#This Row],[TA 1 - Q2 Score]]+Table1[[#This Row],[TA 1 - Q3 Score]]</f>
        <v/>
      </c>
      <c r="Q431">
        <f>Table1[[#This Row],[TA 1 - Q1 Bonus]]+Table1[[#This Row],[TA 1 - Q2 Bonus]]+Table1[[#This Row],[TA 1 - Q4 Bonus]]</f>
        <v/>
      </c>
      <c r="R431">
        <f>Table1[[#This Row],[TA 2 - Q1 Score]]+Table1[[#This Row],[TA 2 - Q2 Score]]+Table1[[#This Row],[TA 2 - Q3 Score]]</f>
        <v/>
      </c>
      <c r="S431">
        <f>Table1[[#This Row],[TA 2 - Q1 Bonus]]+Table1[[#This Row],[TA 2 - Q2 Bonus]]+Table1[[#This Row],[TA 2 - Q4 Bonus]]</f>
        <v/>
      </c>
      <c r="T431">
        <f>(Table1[[#This Row],[TA 1 - Total Score (out of 35)]]+Table1[[#This Row],[TA 2 - Total Score (out of 35)]])/2</f>
        <v/>
      </c>
      <c r="U431">
        <f>(Table1[[#This Row],[TA 1 - Total Bonus (out of 13)]]+Table1[[#This Row],[TA 2 - Total Bonus (out of 13)]])/2</f>
        <v/>
      </c>
      <c r="V431">
        <f>Table1[[#This Row],[Average Questions]]/35*20+Table1[[#This Row],[Average Bonus]]/13*5</f>
        <v/>
      </c>
      <c r="W431" t="n">
        <v>8.5</v>
      </c>
      <c r="X431" t="n">
        <v>0</v>
      </c>
      <c r="Y431" t="inlineStr">
        <is>
          <t>The student completed most tasks correctly but made some minor mistakes. The data loading and preparation were mostly accurate, though the batch size was smaller than in the reference solution. The model loading and adaptation were correct, and the training and validation loops were implemented properly with label fixing. However, the student did not plot the training and validation accuracy, resulting in a deduction. No bonus task was attempted.</t>
        </is>
      </c>
      <c r="Z431" t="n">
        <v>7</v>
      </c>
      <c r="AA431" t="n">
        <v>0</v>
      </c>
      <c r="AB431" t="inlineStr">
        <is>
          <t>The student successfully loaded and prepared the data with correct transformations and displayed sample images. The CNN model has 5 convolutional layers with batch normalization, though the architecture differs from the reference solution. Training and validation functions are implemented correctly, and the model is trained and plotted. However, the bonus task was not completed as the student did not define a residual connection or retrain the model with it.</t>
        </is>
      </c>
      <c r="AC431" t="n">
        <v>8.5</v>
      </c>
      <c r="AD431" t="inlineStr">
        <is>
          <t>The student's submission contains mostly correct code with minor issues. Task 1 is partially correct with a small mistake in sorting paths within the dataset class. Task 2 is correct with the specified encoder. Task 3 is correct with proper training and validation loops. Task 4 is mostly correct with a minor issue in the optimizer choice and learning rate. Task 5 is correct with proper visualization of predictions.</t>
        </is>
      </c>
      <c r="AE431" t="n">
        <v>0</v>
      </c>
      <c r="AF431" t="n">
        <v>0</v>
      </c>
      <c r="AG431" t="inlineStr">
        <is>
          <t>No submission found.</t>
        </is>
      </c>
      <c r="AH431" t="n">
        <v>24</v>
      </c>
      <c r="AI431" t="n">
        <v>0</v>
      </c>
    </row>
    <row r="432">
      <c r="A432" t="n">
        <v>431</v>
      </c>
      <c r="B432" t="inlineStr">
        <is>
          <t>TA_8</t>
        </is>
      </c>
      <c r="C432" t="inlineStr">
        <is>
          <t>TA_18</t>
        </is>
      </c>
      <c r="D432" t="n">
        <v>4.5</v>
      </c>
      <c r="E432" t="n">
        <v>0</v>
      </c>
      <c r="F432" t="n">
        <v>9</v>
      </c>
      <c r="G432" t="n">
        <v>0</v>
      </c>
      <c r="H432" t="n">
        <v>11.5</v>
      </c>
      <c r="I432" t="n">
        <v>0</v>
      </c>
      <c r="J432" t="n">
        <v>5.75</v>
      </c>
      <c r="K432" t="n">
        <v>0</v>
      </c>
      <c r="L432" t="n">
        <v>7.75</v>
      </c>
      <c r="M432" t="n">
        <v>0</v>
      </c>
      <c r="N432" t="n">
        <v>5.75</v>
      </c>
      <c r="O432" t="n">
        <v>0</v>
      </c>
      <c r="P432">
        <f>Table1[[#This Row],[TA 1 - Q1 Score]]+Table1[[#This Row],[TA 1 - Q2 Score]]+Table1[[#This Row],[TA 1 - Q3 Score]]</f>
        <v/>
      </c>
      <c r="Q432">
        <f>Table1[[#This Row],[TA 1 - Q1 Bonus]]+Table1[[#This Row],[TA 1 - Q2 Bonus]]+Table1[[#This Row],[TA 1 - Q4 Bonus]]</f>
        <v/>
      </c>
      <c r="R432">
        <f>Table1[[#This Row],[TA 2 - Q1 Score]]+Table1[[#This Row],[TA 2 - Q2 Score]]+Table1[[#This Row],[TA 2 - Q3 Score]]</f>
        <v/>
      </c>
      <c r="S432">
        <f>Table1[[#This Row],[TA 2 - Q1 Bonus]]+Table1[[#This Row],[TA 2 - Q2 Bonus]]+Table1[[#This Row],[TA 2 - Q4 Bonus]]</f>
        <v/>
      </c>
      <c r="T432">
        <f>(Table1[[#This Row],[TA 1 - Total Score (out of 35)]]+Table1[[#This Row],[TA 2 - Total Score (out of 35)]])/2</f>
        <v/>
      </c>
      <c r="U432">
        <f>(Table1[[#This Row],[TA 1 - Total Bonus (out of 13)]]+Table1[[#This Row],[TA 2 - Total Bonus (out of 13)]])/2</f>
        <v/>
      </c>
      <c r="V432">
        <f>Table1[[#This Row],[Average Questions]]/35*20+Table1[[#This Row],[Average Bonus]]/13*5</f>
        <v/>
      </c>
      <c r="W432" t="n">
        <v>4</v>
      </c>
      <c r="X432" t="n">
        <v>0</v>
      </c>
      <c r="Y432" t="inlineStr">
        <is>
          <t>The student completed the data loading and transformation tasks correctly, including resizing, converting to tensor, and normalizing the images. However, the DataLoader creation had a mistake in shuffling the test set, which should not be shuffled. The model loading and adaptation were mostly correct, but the classifier head was incorrectly set to 32 classes instead of 26. The training and validation loops contained significant errors, such as using BCEWithLogitsLoss and sigmoid activation, which are inappropriate for multi-class classification. The plotting of losses and accuracies was correct, but the bonus task was not attempted.</t>
        </is>
      </c>
      <c r="Z432" t="n">
        <v>5</v>
      </c>
      <c r="AA432" t="n">
        <v>0</v>
      </c>
      <c r="AB432" t="inlineStr">
        <is>
          <t>The student attempted most tasks but made several mistakes. In Part 1, the dataset class was correctly implemented, but the DataLoader setup used incorrect datasets (train_dataset and test_dataset were not defined properly). The transformations were partially correct but included resizing to 224x224 instead of 32x32. Sample images were displayed correctly. In Part 2, the CNN model had only 5 convolutional layers but with incorrect output sizes and fully connected layers. Batch normalization was missing. In Part 3, the training and validation loops were mostly correct but included unnecessary softmax operations. In Part 4, the model setup and training were attempted but failed due to incorrect DataLoader definitions. No bonus tasks were completed.</t>
        </is>
      </c>
      <c r="AC432" t="n">
        <v>2</v>
      </c>
      <c r="AD432" t="inlineStr">
        <is>
          <t>The student attempted most tasks but made significant errors. The dataset class was partially implemented with incorrect paths and missing CSV file handling. DataLoaders were defined but not correctly initialized. The model class used the wrong number of output classes. Training and validation loops contained syntax errors and used incorrect loss functions. Visualization code was incomplete and used binary segmentation logic instead of multi-class. Despite these issues, the student showed effort in attempting each task.</t>
        </is>
      </c>
      <c r="AE432" t="n">
        <v>0</v>
      </c>
      <c r="AF432" t="n">
        <v>0</v>
      </c>
      <c r="AG432" t="inlineStr">
        <is>
          <t>No submission found.</t>
        </is>
      </c>
      <c r="AH432" t="n">
        <v>11</v>
      </c>
      <c r="AI432" t="n">
        <v>0</v>
      </c>
    </row>
    <row r="433">
      <c r="A433" t="n">
        <v>432</v>
      </c>
      <c r="B433" t="inlineStr">
        <is>
          <t>TA_8</t>
        </is>
      </c>
      <c r="C433" t="inlineStr">
        <is>
          <t>TA_18</t>
        </is>
      </c>
      <c r="D433" t="n">
        <v>6</v>
      </c>
      <c r="E433" t="n">
        <v>0</v>
      </c>
      <c r="F433" t="n">
        <v>7.5</v>
      </c>
      <c r="G433" t="n">
        <v>0</v>
      </c>
      <c r="H433" t="n">
        <v>8.5</v>
      </c>
      <c r="I433" t="n">
        <v>0</v>
      </c>
      <c r="J433" t="n">
        <v>6.75</v>
      </c>
      <c r="K433" t="n">
        <v>0</v>
      </c>
      <c r="L433" t="n">
        <v>8.5</v>
      </c>
      <c r="M433" t="n">
        <v>2.5</v>
      </c>
      <c r="N433" t="n">
        <v>9</v>
      </c>
      <c r="O433" t="n">
        <v>0</v>
      </c>
      <c r="P433">
        <f>Table1[[#This Row],[TA 1 - Q1 Score]]+Table1[[#This Row],[TA 1 - Q2 Score]]+Table1[[#This Row],[TA 1 - Q3 Score]]</f>
        <v/>
      </c>
      <c r="Q433">
        <f>Table1[[#This Row],[TA 1 - Q1 Bonus]]+Table1[[#This Row],[TA 1 - Q2 Bonus]]+Table1[[#This Row],[TA 1 - Q4 Bonus]]</f>
        <v/>
      </c>
      <c r="R433">
        <f>Table1[[#This Row],[TA 2 - Q1 Score]]+Table1[[#This Row],[TA 2 - Q2 Score]]+Table1[[#This Row],[TA 2 - Q3 Score]]</f>
        <v/>
      </c>
      <c r="S433">
        <f>Table1[[#This Row],[TA 2 - Q1 Bonus]]+Table1[[#This Row],[TA 2 - Q2 Bonus]]+Table1[[#This Row],[TA 2 - Q4 Bonus]]</f>
        <v/>
      </c>
      <c r="T433">
        <f>(Table1[[#This Row],[TA 1 - Total Score (out of 35)]]+Table1[[#This Row],[TA 2 - Total Score (out of 35)]])/2</f>
        <v/>
      </c>
      <c r="U433">
        <f>(Table1[[#This Row],[TA 1 - Total Bonus (out of 13)]]+Table1[[#This Row],[TA 2 - Total Bonus (out of 13)]])/2</f>
        <v/>
      </c>
      <c r="V433">
        <f>Table1[[#This Row],[Average Questions]]/35*20+Table1[[#This Row],[Average Bonus]]/13*5</f>
        <v/>
      </c>
      <c r="W433" t="n">
        <v>5.5</v>
      </c>
      <c r="X433" t="n">
        <v>0</v>
      </c>
      <c r="Y433" t="inlineStr">
        <is>
          <t>The student completed the data loading and transformation tasks correctly, including resizing, converting to tensor, and normalizing the images. However, there were issues in creating and displaying sample images, where the images were not denormalized for display. The model loading and adaptation were mostly correct, but the classifier head was incorrectly set to 27 classes instead of 26. The training and validation loops were implemented but contained errors in label fixing and loss computation. No bonus tasks were attempted.</t>
        </is>
      </c>
      <c r="Z433" t="n">
        <v>5</v>
      </c>
      <c r="AA433" t="n">
        <v>0</v>
      </c>
      <c r="AB433" t="inlineStr">
        <is>
          <t>The student partially completed the tasks. They correctly set up the dataset and DataLoaders with the required transformations, including RandomRotation and resizing to 32x32. However, they made several mistakes in the CNN model definition, such as incorrect channel sizes and missing Batch Normalization. The training and validation loops were implemented correctly, but the model was not trained due to the issues in the model definition. The bonus task was not attempted.</t>
        </is>
      </c>
      <c r="AC433" t="n">
        <v>4</v>
      </c>
      <c r="AD433" t="inlineStr">
        <is>
          <t>The student attempted most tasks but made significant errors. The dataset class was partially implemented with issues in the mask transformation and data splitting. The model class used an incorrect number of output classes. The training and validation loops had errors in handling the masks and loss calculation. The visualization task was incomplete and used incorrect data sources.</t>
        </is>
      </c>
      <c r="AE433" t="n">
        <v>0</v>
      </c>
      <c r="AF433" t="n">
        <v>0</v>
      </c>
      <c r="AG433" t="inlineStr">
        <is>
          <t>No submission found.</t>
        </is>
      </c>
      <c r="AH433" t="n">
        <v>14.5</v>
      </c>
      <c r="AI433" t="n">
        <v>0</v>
      </c>
    </row>
    <row r="434">
      <c r="A434" t="n">
        <v>433</v>
      </c>
      <c r="B434" t="inlineStr">
        <is>
          <t>TA_8</t>
        </is>
      </c>
      <c r="C434" t="inlineStr">
        <is>
          <t>TA_18</t>
        </is>
      </c>
      <c r="D434" t="n">
        <v>8.5</v>
      </c>
      <c r="E434" t="n">
        <v>0</v>
      </c>
      <c r="F434" t="n">
        <v>11</v>
      </c>
      <c r="G434" t="n">
        <v>0</v>
      </c>
      <c r="H434" t="n">
        <v>12</v>
      </c>
      <c r="I434" t="n">
        <v>0</v>
      </c>
      <c r="J434" t="n">
        <v>3.5</v>
      </c>
      <c r="K434" t="n">
        <v>0</v>
      </c>
      <c r="L434" t="n">
        <v>10.5</v>
      </c>
      <c r="M434" t="n">
        <v>0</v>
      </c>
      <c r="N434" t="n">
        <v>4.5</v>
      </c>
      <c r="O434" t="n">
        <v>0</v>
      </c>
      <c r="P434">
        <f>Table1[[#This Row],[TA 1 - Q1 Score]]+Table1[[#This Row],[TA 1 - Q2 Score]]+Table1[[#This Row],[TA 1 - Q3 Score]]</f>
        <v/>
      </c>
      <c r="Q434">
        <f>Table1[[#This Row],[TA 1 - Q1 Bonus]]+Table1[[#This Row],[TA 1 - Q2 Bonus]]+Table1[[#This Row],[TA 1 - Q4 Bonus]]</f>
        <v/>
      </c>
      <c r="R434">
        <f>Table1[[#This Row],[TA 2 - Q1 Score]]+Table1[[#This Row],[TA 2 - Q2 Score]]+Table1[[#This Row],[TA 2 - Q3 Score]]</f>
        <v/>
      </c>
      <c r="S434">
        <f>Table1[[#This Row],[TA 2 - Q1 Bonus]]+Table1[[#This Row],[TA 2 - Q2 Bonus]]+Table1[[#This Row],[TA 2 - Q4 Bonus]]</f>
        <v/>
      </c>
      <c r="T434">
        <f>(Table1[[#This Row],[TA 1 - Total Score (out of 35)]]+Table1[[#This Row],[TA 2 - Total Score (out of 35)]])/2</f>
        <v/>
      </c>
      <c r="U434">
        <f>(Table1[[#This Row],[TA 1 - Total Bonus (out of 13)]]+Table1[[#This Row],[TA 2 - Total Bonus (out of 13)]])/2</f>
        <v/>
      </c>
      <c r="V434">
        <f>Table1[[#This Row],[Average Questions]]/35*20+Table1[[#This Row],[Average Bonus]]/13*5</f>
        <v/>
      </c>
      <c r="W434" t="n">
        <v>4</v>
      </c>
      <c r="X434" t="n">
        <v>0</v>
      </c>
      <c r="Y434" t="inlineStr">
        <is>
          <t>The student completed the data loading and transformation tasks correctly, including resizing, converting to tensor, and normalizing the images. However, the data loader creation and sample image display were partially implemented with incorrect batch sizes and manual image selection, respectively. The model loading and adaptation were incorrect, as the student used a custom feature extraction method instead of freezing the backbone and replacing the classifier head. The training and validation loops had syntax errors and logical mistakes, such as squeezing the model outputs and using an incorrect learning rate. No bonus tasks were attempted.</t>
        </is>
      </c>
      <c r="Z434" t="n">
        <v>5</v>
      </c>
      <c r="AA434" t="n">
        <v>0</v>
      </c>
      <c r="AB434" t="inlineStr">
        <is>
          <t>The student implemented a custom dataset class and used the correct transformations, but incorrectly assigned the train and test directories. The CNN model has 5 convolutional layers but lacks Batch Normalization. The training and validation loops are mostly correct but contain minor issues like unnecessary softmax usage. The model was trained, but no plots were generated. The bonus task was not attempted.</t>
        </is>
      </c>
      <c r="AC434" t="n">
        <v>4</v>
      </c>
      <c r="AD434" t="inlineStr">
        <is>
          <t>The student attempted most tasks but made significant errors. The dataset class is partially implemented with incorrect initialization and missing image/mask paths. DataLoaders are incorrectly instantiated without proper dataset splits. The remapping function for masks is incorrect for multi-class segmentation. Training and validation loops include unnecessary accuracy calculations and incorrect model instantiation. Visualization code is incomplete and uses incorrect model calls.</t>
        </is>
      </c>
      <c r="AE434" t="n">
        <v>0</v>
      </c>
      <c r="AF434" t="n">
        <v>0</v>
      </c>
      <c r="AG434" t="inlineStr">
        <is>
          <t>No submission found.</t>
        </is>
      </c>
      <c r="AH434" t="n">
        <v>13</v>
      </c>
      <c r="AI434" t="n">
        <v>0</v>
      </c>
    </row>
    <row r="435">
      <c r="A435" t="n">
        <v>434</v>
      </c>
      <c r="B435" t="inlineStr">
        <is>
          <t>TA_8</t>
        </is>
      </c>
      <c r="C435" t="inlineStr">
        <is>
          <t>TA_18</t>
        </is>
      </c>
      <c r="D435" t="n">
        <v>7</v>
      </c>
      <c r="E435" t="n">
        <v>0</v>
      </c>
      <c r="F435" t="n">
        <v>8.5</v>
      </c>
      <c r="G435" t="n">
        <v>0</v>
      </c>
      <c r="H435" t="n">
        <v>12</v>
      </c>
      <c r="I435" t="n">
        <v>0</v>
      </c>
      <c r="J435" t="n">
        <v>6.75</v>
      </c>
      <c r="K435" t="n">
        <v>0</v>
      </c>
      <c r="L435" t="n">
        <v>9</v>
      </c>
      <c r="M435" t="n">
        <v>2</v>
      </c>
      <c r="N435" t="n">
        <v>10</v>
      </c>
      <c r="O435" t="n">
        <v>0</v>
      </c>
      <c r="P435">
        <f>Table1[[#This Row],[TA 1 - Q1 Score]]+Table1[[#This Row],[TA 1 - Q2 Score]]+Table1[[#This Row],[TA 1 - Q3 Score]]</f>
        <v/>
      </c>
      <c r="Q435">
        <f>Table1[[#This Row],[TA 1 - Q1 Bonus]]+Table1[[#This Row],[TA 1 - Q2 Bonus]]+Table1[[#This Row],[TA 1 - Q4 Bonus]]</f>
        <v/>
      </c>
      <c r="R435">
        <f>Table1[[#This Row],[TA 2 - Q1 Score]]+Table1[[#This Row],[TA 2 - Q2 Score]]+Table1[[#This Row],[TA 2 - Q3 Score]]</f>
        <v/>
      </c>
      <c r="S435">
        <f>Table1[[#This Row],[TA 2 - Q1 Bonus]]+Table1[[#This Row],[TA 2 - Q2 Bonus]]+Table1[[#This Row],[TA 2 - Q4 Bonus]]</f>
        <v/>
      </c>
      <c r="T435">
        <f>(Table1[[#This Row],[TA 1 - Total Score (out of 35)]]+Table1[[#This Row],[TA 2 - Total Score (out of 35)]])/2</f>
        <v/>
      </c>
      <c r="U435">
        <f>(Table1[[#This Row],[TA 1 - Total Bonus (out of 13)]]+Table1[[#This Row],[TA 2 - Total Bonus (out of 13)]])/2</f>
        <v/>
      </c>
      <c r="V435">
        <f>Table1[[#This Row],[Average Questions]]/35*20+Table1[[#This Row],[Average Bonus]]/13*5</f>
        <v/>
      </c>
      <c r="W435" t="n">
        <v>4</v>
      </c>
      <c r="X435" t="n">
        <v>0</v>
      </c>
      <c r="Y435" t="inlineStr">
        <is>
          <t>The student partially completed Part 1 by defining the transforms and creating DataLoaders but incorrectly displayed sample images with incorrect labels and titles. Part 2 had issues as the student froze all parameters instead of just the backbone and incorrectly set up the model for 26 classes. Part 3 contained syntax errors in the training and validation loops, particularly in handling labels and outputs. Part 4 was incomplete with missing validation and plotting code. No bonus tasks were attempted.</t>
        </is>
      </c>
      <c r="Z435" t="n">
        <v>6</v>
      </c>
      <c r="AA435" t="n">
        <v>0</v>
      </c>
      <c r="AB435" t="inlineStr">
        <is>
          <t>The student successfully loaded and prepared the data with correct transformations and displayed sample images. The CNN model was defined with five convolutional layers, but the number of channels and architecture differed from the reference solution. Batch normalization was added correctly. Training and validation functions were implemented, and the model was trained and plotted. However, the bonus task was not completed as the residual connection was incorrectly defined and not properly integrated into the model.</t>
        </is>
      </c>
      <c r="AC435" t="n">
        <v>4</v>
      </c>
      <c r="AD435" t="inlineStr">
        <is>
          <t>The student's submission contains several issues. In Task 1, the dataset class is partially correct but uses incorrect paths and transformations. The DataLoader creation is correct, but displaying images and masks has syntax errors. In Task 2, the model is incorrectly defined with only one class instead of eight. Task 3 has syntax errors in the training and validation loops. Task 4 uses the wrong loss function and optimizer, and the training loop has issues. Task 5 has syntax errors and visualizes binary masks instead of multi-class predictions.</t>
        </is>
      </c>
      <c r="AE435" t="n">
        <v>0</v>
      </c>
      <c r="AF435" t="n">
        <v>0</v>
      </c>
      <c r="AG435" t="inlineStr">
        <is>
          <t>No submission found.</t>
        </is>
      </c>
      <c r="AH435" t="n">
        <v>14</v>
      </c>
      <c r="AI435" t="n">
        <v>0</v>
      </c>
    </row>
    <row r="436">
      <c r="A436" t="n">
        <v>435</v>
      </c>
      <c r="B436" t="inlineStr">
        <is>
          <t>TA_8</t>
        </is>
      </c>
      <c r="C436" t="inlineStr">
        <is>
          <t>TA_18</t>
        </is>
      </c>
      <c r="D436" t="n">
        <v>7</v>
      </c>
      <c r="E436" t="n">
        <v>0</v>
      </c>
      <c r="F436" t="n">
        <v>9.5</v>
      </c>
      <c r="G436" t="n">
        <v>0</v>
      </c>
      <c r="H436" t="n">
        <v>11.5</v>
      </c>
      <c r="I436" t="n">
        <v>5</v>
      </c>
      <c r="J436" t="n">
        <v>2.5</v>
      </c>
      <c r="K436" t="n">
        <v>0</v>
      </c>
      <c r="L436" t="n">
        <v>10.5</v>
      </c>
      <c r="M436" t="n">
        <v>0</v>
      </c>
      <c r="N436" t="n">
        <v>11.5</v>
      </c>
      <c r="O436" t="n">
        <v>5</v>
      </c>
      <c r="P436">
        <f>Table1[[#This Row],[TA 1 - Q1 Score]]+Table1[[#This Row],[TA 1 - Q2 Score]]+Table1[[#This Row],[TA 1 - Q3 Score]]</f>
        <v/>
      </c>
      <c r="Q436">
        <f>Table1[[#This Row],[TA 1 - Q1 Bonus]]+Table1[[#This Row],[TA 1 - Q2 Bonus]]+Table1[[#This Row],[TA 1 - Q4 Bonus]]</f>
        <v/>
      </c>
      <c r="R436">
        <f>Table1[[#This Row],[TA 2 - Q1 Score]]+Table1[[#This Row],[TA 2 - Q2 Score]]+Table1[[#This Row],[TA 2 - Q3 Score]]</f>
        <v/>
      </c>
      <c r="S436">
        <f>Table1[[#This Row],[TA 2 - Q1 Bonus]]+Table1[[#This Row],[TA 2 - Q2 Bonus]]+Table1[[#This Row],[TA 2 - Q4 Bonus]]</f>
        <v/>
      </c>
      <c r="T436">
        <f>(Table1[[#This Row],[TA 1 - Total Score (out of 35)]]+Table1[[#This Row],[TA 2 - Total Score (out of 35)]])/2</f>
        <v/>
      </c>
      <c r="U436">
        <f>(Table1[[#This Row],[TA 1 - Total Bonus (out of 13)]]+Table1[[#This Row],[TA 2 - Total Bonus (out of 13)]])/2</f>
        <v/>
      </c>
      <c r="V436">
        <f>Table1[[#This Row],[Average Questions]]/35*20+Table1[[#This Row],[Average Bonus]]/13*5</f>
        <v/>
      </c>
      <c r="W436" t="n">
        <v>6</v>
      </c>
      <c r="X436" t="n">
        <v>0</v>
      </c>
      <c r="Y436" t="inlineStr">
        <is>
          <t>The student completed the data loading and preparation, including defining the necessary transforms and creating DataLoaders. Sample images were displayed correctly. However, the student used a custom model architecture instead of adapting a pretrained EfficientNetV2-Small, resulting in a significant deviation from the required approach. The training and validation loops were implemented but did not adjust the labels to be 0-indexed, leading to a penalty. The bonus task was not attempted.</t>
        </is>
      </c>
      <c r="Z436" t="n">
        <v>8.5</v>
      </c>
      <c r="AA436" t="n">
        <v>0</v>
      </c>
      <c r="AB436" t="inlineStr">
        <is>
          <t>The student successfully implemented a custom dataset class, created train/test datasets and DataLoaders, applied transformations including resizing, and displayed sample images with labels. The CNN model includes five convolutional layers with batch normalization. Training and validation functions were defined and used to train the model, and the training process was plotted. However, the transformations did not include RandomRotation, and the image resizing was done to 224x224 instead of 32x32 as specified. No bonus task was attempted.</t>
        </is>
      </c>
      <c r="AC436" t="n">
        <v>10</v>
      </c>
      <c r="AD436" t="inlineStr">
        <is>
          <t>The student's submission is mostly correct and runs end-to-end. The dataset class is implemented properly with transformations and splitting. The model class uses the correct pretrained U-Net with efficientnet-b1 encoder. Training and validation loops are correctly defined and executed. Losses are printed and plotted. Predictions are visualized against ground truth. Minor issues include the installation command within the notebook and slight differences in implementation details compared to the reference solution, but these do not affect functionality.</t>
        </is>
      </c>
      <c r="AE436" t="n">
        <v>0</v>
      </c>
      <c r="AF436" t="n">
        <v>5</v>
      </c>
      <c r="AG436" t="inlineStr">
        <is>
          <t>The student's implementation of the ColorizationDataset class is correct and runs perfectly, producing the expected output. The code follows the optimal logic, including the correct formula for converting RGB to grayscale and returning the correct shapes for both grayscale and color images. The visualization also displays the images correctly. Therefore, the student receives full bonus points for this task.</t>
        </is>
      </c>
      <c r="AH436" t="n">
        <v>24.5</v>
      </c>
      <c r="AI436" t="n">
        <v>5</v>
      </c>
    </row>
    <row r="437">
      <c r="A437" t="n">
        <v>436</v>
      </c>
      <c r="B437" t="inlineStr">
        <is>
          <t>TA_8</t>
        </is>
      </c>
      <c r="C437" t="inlineStr">
        <is>
          <t>TA_18</t>
        </is>
      </c>
      <c r="D437" t="n">
        <v>4.5</v>
      </c>
      <c r="E437" t="n">
        <v>0</v>
      </c>
      <c r="F437" t="n">
        <v>0</v>
      </c>
      <c r="G437" t="n">
        <v>0</v>
      </c>
      <c r="H437" t="n">
        <v>0</v>
      </c>
      <c r="I437" t="n">
        <v>0</v>
      </c>
      <c r="J437" t="n">
        <v>6.25</v>
      </c>
      <c r="K437" t="n">
        <v>0</v>
      </c>
      <c r="L437" t="n">
        <v>7.25</v>
      </c>
      <c r="M437" t="n">
        <v>0</v>
      </c>
      <c r="N437" t="n">
        <v>7</v>
      </c>
      <c r="O437" t="n">
        <v>0</v>
      </c>
      <c r="P437">
        <f>Table1[[#This Row],[TA 1 - Q1 Score]]+Table1[[#This Row],[TA 1 - Q2 Score]]+Table1[[#This Row],[TA 1 - Q3 Score]]</f>
        <v/>
      </c>
      <c r="Q437">
        <f>Table1[[#This Row],[TA 1 - Q1 Bonus]]+Table1[[#This Row],[TA 1 - Q2 Bonus]]+Table1[[#This Row],[TA 1 - Q4 Bonus]]</f>
        <v/>
      </c>
      <c r="R437">
        <f>Table1[[#This Row],[TA 2 - Q1 Score]]+Table1[[#This Row],[TA 2 - Q2 Score]]+Table1[[#This Row],[TA 2 - Q3 Score]]</f>
        <v/>
      </c>
      <c r="S437">
        <f>Table1[[#This Row],[TA 2 - Q1 Bonus]]+Table1[[#This Row],[TA 2 - Q2 Bonus]]+Table1[[#This Row],[TA 2 - Q4 Bonus]]</f>
        <v/>
      </c>
      <c r="T437">
        <f>(Table1[[#This Row],[TA 1 - Total Score (out of 35)]]+Table1[[#This Row],[TA 2 - Total Score (out of 35)]])/2</f>
        <v/>
      </c>
      <c r="U437">
        <f>(Table1[[#This Row],[TA 1 - Total Bonus (out of 13)]]+Table1[[#This Row],[TA 2 - Total Bonus (out of 13)]])/2</f>
        <v/>
      </c>
      <c r="V437">
        <f>Table1[[#This Row],[Average Questions]]/35*20+Table1[[#This Row],[Average Bonus]]/13*5</f>
        <v/>
      </c>
      <c r="W437" t="n">
        <v>4</v>
      </c>
      <c r="X437" t="n">
        <v>0</v>
      </c>
      <c r="Y437" t="inlineStr">
        <is>
          <t>The student partially completed several tasks but made significant errors. The resize transformation was incorrectly set to 224x224 instead of 28x28. The DataLoader creation and sample image display were attempted but had issues with normalization and image visualization. The model loading and adaptation were mostly correct, but the classifier replacement was incorrectly implemented. The training and validation loops were attempted but did not adjust labels correctly. No bonus task was attempted.</t>
        </is>
      </c>
      <c r="Z437" t="n">
        <v>5</v>
      </c>
      <c r="AA437" t="n">
        <v>0</v>
      </c>
      <c r="AB437" t="inlineStr">
        <is>
          <t>The student partially completed the tasks. They correctly set up the dataset paths and defined a custom dataset class, but there were issues with the class implementation, such as incorrect method definitions and label mapping. The transforms were correctly defined, but the DataLoader setup had errors, with both train and test loaders pointing to the same dataset. The CNN model was defined with 5 convolutional layers but had incorrect fully connected layer sizes. The training and validation loops were mostly correct but included unnecessary softmax operations. No bonus tasks were attempted.</t>
        </is>
      </c>
      <c r="AC437" t="n">
        <v>2</v>
      </c>
      <c r="AD437" t="inlineStr">
        <is>
          <t>The student attempted most tasks but made significant errors. In Task 1, the dataset class had issues with file paths and method definitions. Task 2 used the correct model but with an incorrect activation function. Task 3 had incomplete code for training and validation loops. Task 4 included incorrect calls to the model and undefined variables. Task 5 was not attempted.</t>
        </is>
      </c>
      <c r="AE437" t="n">
        <v>0</v>
      </c>
      <c r="AF437" t="n">
        <v>0</v>
      </c>
      <c r="AG437" t="inlineStr">
        <is>
          <t>No submission found.</t>
        </is>
      </c>
      <c r="AH437" t="n">
        <v>11</v>
      </c>
      <c r="AI437" t="n">
        <v>0</v>
      </c>
    </row>
    <row r="438">
      <c r="A438" t="n">
        <v>437</v>
      </c>
      <c r="B438" t="inlineStr">
        <is>
          <t>TA_8</t>
        </is>
      </c>
      <c r="C438" t="inlineStr">
        <is>
          <t>TA_18</t>
        </is>
      </c>
      <c r="D438" t="n">
        <v>10.5</v>
      </c>
      <c r="E438" t="n">
        <v>0</v>
      </c>
      <c r="F438" t="n">
        <v>9</v>
      </c>
      <c r="G438" t="n">
        <v>0</v>
      </c>
      <c r="H438" t="n">
        <v>12</v>
      </c>
      <c r="I438" t="n">
        <v>0</v>
      </c>
      <c r="J438" t="n">
        <v>10.5</v>
      </c>
      <c r="K438" t="n">
        <v>3.5</v>
      </c>
      <c r="L438" t="n">
        <v>9</v>
      </c>
      <c r="M438" t="n">
        <v>0</v>
      </c>
      <c r="N438" t="n">
        <v>12</v>
      </c>
      <c r="O438" t="n">
        <v>0</v>
      </c>
      <c r="P438">
        <f>Table1[[#This Row],[TA 1 - Q1 Score]]+Table1[[#This Row],[TA 1 - Q2 Score]]+Table1[[#This Row],[TA 1 - Q3 Score]]</f>
        <v/>
      </c>
      <c r="Q438">
        <f>Table1[[#This Row],[TA 1 - Q1 Bonus]]+Table1[[#This Row],[TA 1 - Q2 Bonus]]+Table1[[#This Row],[TA 1 - Q4 Bonus]]</f>
        <v/>
      </c>
      <c r="R438">
        <f>Table1[[#This Row],[TA 2 - Q1 Score]]+Table1[[#This Row],[TA 2 - Q2 Score]]+Table1[[#This Row],[TA 2 - Q3 Score]]</f>
        <v/>
      </c>
      <c r="S438">
        <f>Table1[[#This Row],[TA 2 - Q1 Bonus]]+Table1[[#This Row],[TA 2 - Q2 Bonus]]+Table1[[#This Row],[TA 2 - Q4 Bonus]]</f>
        <v/>
      </c>
      <c r="T438">
        <f>(Table1[[#This Row],[TA 1 - Total Score (out of 35)]]+Table1[[#This Row],[TA 2 - Total Score (out of 35)]])/2</f>
        <v/>
      </c>
      <c r="U438">
        <f>(Table1[[#This Row],[TA 1 - Total Bonus (out of 13)]]+Table1[[#This Row],[TA 2 - Total Bonus (out of 13)]])/2</f>
        <v/>
      </c>
      <c r="V438">
        <f>Table1[[#This Row],[Average Questions]]/35*20+Table1[[#This Row],[Average Bonus]]/13*5</f>
        <v/>
      </c>
      <c r="W438" t="n">
        <v>6</v>
      </c>
      <c r="X438" t="n">
        <v>0</v>
      </c>
      <c r="Y438" t="inlineStr">
        <is>
          <t>The student completed the data loading and preparation, including defining the correct transforms and creating DataLoaders. Sample images were displayed with labels. However, the student used EfficientNet-B0 instead of EfficientNetV2-Small, which is incorrect. The classifier head was modified correctly, but the training and validation loops contained errors, such as squeezing the outputs unnecessarily. The student did not implement Test Time Augmentation correctly, leading to a failure in the bonus task.</t>
        </is>
      </c>
      <c r="Z438" t="n">
        <v>6</v>
      </c>
      <c r="AA438" t="n">
        <v>0</v>
      </c>
      <c r="AB438" t="inlineStr">
        <is>
          <t>The student partially completed the tasks. They correctly set up the dataset and DataLoaders with the required transformations, including RandomRotation and resizing to 32x32. However, they made mistakes in the CNN model architecture, using incorrect output sizes and numbers of classes. The training and validation loops were mostly correct but included unnecessary softmax operations. The bonus task was not attempted.</t>
        </is>
      </c>
      <c r="AC438" t="n">
        <v>10</v>
      </c>
      <c r="AD438" t="inlineStr">
        <is>
          <t>The student's submission largely follows the reference solution, with minor differences. The dataset class is correctly implemented, and the DataLoaders are set up properly. Sample images and masks are displayed correctly. The model class uses the correct U-Net architecture with the specified encoder. Training and validation loops are implemented with appropriate loss calculation and optimization steps. The training process runs for the specified number of epochs, and the loss curve is plotted. Predictions are visualized alongside ground truth masks. The only discrepancy is the use of 'efficientnet-b1' instead of 'efficientnet-b0' for the encoder, which is a minor deviation from the instructions.</t>
        </is>
      </c>
      <c r="AE438" t="n">
        <v>0</v>
      </c>
      <c r="AF438" t="n">
        <v>0</v>
      </c>
      <c r="AG438" t="inlineStr">
        <is>
          <t>No submission found.</t>
        </is>
      </c>
      <c r="AH438" t="n">
        <v>22</v>
      </c>
      <c r="AI438" t="n">
        <v>0</v>
      </c>
    </row>
    <row r="439">
      <c r="A439" t="n">
        <v>438</v>
      </c>
      <c r="B439" t="inlineStr">
        <is>
          <t>TA_8</t>
        </is>
      </c>
      <c r="C439" t="inlineStr">
        <is>
          <t>TA_18</t>
        </is>
      </c>
      <c r="D439" t="n">
        <v>12</v>
      </c>
      <c r="E439" t="n">
        <v>0</v>
      </c>
      <c r="F439" t="n">
        <v>11</v>
      </c>
      <c r="G439" t="n">
        <v>0</v>
      </c>
      <c r="H439" t="n">
        <v>12</v>
      </c>
      <c r="I439" t="n">
        <v>0</v>
      </c>
      <c r="J439" t="n">
        <v>10</v>
      </c>
      <c r="K439" t="n">
        <v>3</v>
      </c>
      <c r="L439" t="n">
        <v>10.5</v>
      </c>
      <c r="M439" t="n">
        <v>2.5</v>
      </c>
      <c r="N439" t="n">
        <v>5.75</v>
      </c>
      <c r="O439" t="n">
        <v>0</v>
      </c>
      <c r="P439">
        <f>Table1[[#This Row],[TA 1 - Q1 Score]]+Table1[[#This Row],[TA 1 - Q2 Score]]+Table1[[#This Row],[TA 1 - Q3 Score]]</f>
        <v/>
      </c>
      <c r="Q439">
        <f>Table1[[#This Row],[TA 1 - Q1 Bonus]]+Table1[[#This Row],[TA 1 - Q2 Bonus]]+Table1[[#This Row],[TA 1 - Q4 Bonus]]</f>
        <v/>
      </c>
      <c r="R439">
        <f>Table1[[#This Row],[TA 2 - Q1 Score]]+Table1[[#This Row],[TA 2 - Q2 Score]]+Table1[[#This Row],[TA 2 - Q3 Score]]</f>
        <v/>
      </c>
      <c r="S439">
        <f>Table1[[#This Row],[TA 2 - Q1 Bonus]]+Table1[[#This Row],[TA 2 - Q2 Bonus]]+Table1[[#This Row],[TA 2 - Q4 Bonus]]</f>
        <v/>
      </c>
      <c r="T439">
        <f>(Table1[[#This Row],[TA 1 - Total Score (out of 35)]]+Table1[[#This Row],[TA 2 - Total Score (out of 35)]])/2</f>
        <v/>
      </c>
      <c r="U439">
        <f>(Table1[[#This Row],[TA 1 - Total Bonus (out of 13)]]+Table1[[#This Row],[TA 2 - Total Bonus (out of 13)]])/2</f>
        <v/>
      </c>
      <c r="V439">
        <f>Table1[[#This Row],[Average Questions]]/35*20+Table1[[#This Row],[Average Bonus]]/13*5</f>
        <v/>
      </c>
      <c r="W439" t="n">
        <v>5</v>
      </c>
      <c r="X439" t="n">
        <v>0</v>
      </c>
      <c r="Y439" t="inlineStr">
        <is>
          <t>The student completed the data loading and preparation with correct transformations, including resizing, converting to tensor, and normalizing. However, the DataLoader creation and sample image display were incomplete. In Part 2, the student loaded the correct model but incorrectly froze all parameters instead of just the backbone. The classifier head replacement was correct. In Part 3, the training and validation loops had syntax errors and logical mistakes, such as squeezing the outputs and incorrectly computing predictions. Part 4 was partially implemented with incorrect training setup and no plotting of losses and accuracies. The bonus task was not attempted.</t>
        </is>
      </c>
      <c r="Z439" t="n">
        <v>7</v>
      </c>
      <c r="AA439" t="n">
        <v>0</v>
      </c>
      <c r="AB439" t="inlineStr">
        <is>
          <t>The student implemented a custom dataset class and used the correct transformations, including RandomRotation and resizing to 32x32, earning full marks for Part 1. The CNN model was built with 5 convolutional layers and batch normalization, receiving full marks for Part 2. However, the training and validation functions contained errors, such as squeezing the outputs and incorrectly applying softmax, resulting in partial credit for Part 3. The model was set up and trained correctly, but the plotting of losses and accuracies was missing, leading to partial credit for Part 4. No bonus task was attempted.</t>
        </is>
      </c>
      <c r="AC439" t="n">
        <v>5</v>
      </c>
      <c r="AD439" t="inlineStr">
        <is>
          <t>The student's submission partially completes several tasks but contains significant errors. Task 1 is mostly correct with a DataFrame-based dataset class and DataLoaders, but the image and mask resizing dimensions do not match. Task 2 incorrectly sets the number of classes to 1 instead of 8. Task 3 has syntax errors in the training and validation loops, using BCEWithLogitsLoss which is inappropriate for multi-class segmentation. Task 4 correctly defines loss and optimizer but fails due to the previous issues. Task 5 visualizes predictions but does not handle multi-class masks correctly.</t>
        </is>
      </c>
      <c r="AE439" t="n">
        <v>0</v>
      </c>
      <c r="AF439" t="n">
        <v>0</v>
      </c>
      <c r="AG439" t="inlineStr">
        <is>
          <t>No submission found.</t>
        </is>
      </c>
      <c r="AH439" t="n">
        <v>17</v>
      </c>
      <c r="AI439" t="n">
        <v>0</v>
      </c>
    </row>
    <row r="440">
      <c r="A440" t="n">
        <v>439</v>
      </c>
      <c r="B440" t="inlineStr">
        <is>
          <t>TA_8</t>
        </is>
      </c>
      <c r="C440" t="inlineStr">
        <is>
          <t>TA_18</t>
        </is>
      </c>
      <c r="D440" t="n">
        <v>7</v>
      </c>
      <c r="E440" t="n">
        <v>0</v>
      </c>
      <c r="F440" t="n">
        <v>8</v>
      </c>
      <c r="G440" t="n">
        <v>0</v>
      </c>
      <c r="H440" t="n">
        <v>0</v>
      </c>
      <c r="I440" t="n">
        <v>0</v>
      </c>
      <c r="J440" t="n">
        <v>6.75</v>
      </c>
      <c r="K440" t="n">
        <v>0</v>
      </c>
      <c r="L440" t="n">
        <v>8</v>
      </c>
      <c r="M440" t="n">
        <v>0</v>
      </c>
      <c r="N440" t="n">
        <v>0</v>
      </c>
      <c r="O440" t="n">
        <v>0</v>
      </c>
      <c r="P440">
        <f>Table1[[#This Row],[TA 1 - Q1 Score]]+Table1[[#This Row],[TA 1 - Q2 Score]]+Table1[[#This Row],[TA 1 - Q3 Score]]</f>
        <v/>
      </c>
      <c r="Q440">
        <f>Table1[[#This Row],[TA 1 - Q1 Bonus]]+Table1[[#This Row],[TA 1 - Q2 Bonus]]+Table1[[#This Row],[TA 1 - Q4 Bonus]]</f>
        <v/>
      </c>
      <c r="R440">
        <f>Table1[[#This Row],[TA 2 - Q1 Score]]+Table1[[#This Row],[TA 2 - Q2 Score]]+Table1[[#This Row],[TA 2 - Q3 Score]]</f>
        <v/>
      </c>
      <c r="S440">
        <f>Table1[[#This Row],[TA 2 - Q1 Bonus]]+Table1[[#This Row],[TA 2 - Q2 Bonus]]+Table1[[#This Row],[TA 2 - Q4 Bonus]]</f>
        <v/>
      </c>
      <c r="T440">
        <f>(Table1[[#This Row],[TA 1 - Total Score (out of 35)]]+Table1[[#This Row],[TA 2 - Total Score (out of 35)]])/2</f>
        <v/>
      </c>
      <c r="U440">
        <f>(Table1[[#This Row],[TA 1 - Total Bonus (out of 13)]]+Table1[[#This Row],[TA 2 - Total Bonus (out of 13)]])/2</f>
        <v/>
      </c>
      <c r="V440">
        <f>Table1[[#This Row],[Average Questions]]/35*20+Table1[[#This Row],[Average Bonus]]/13*5</f>
        <v/>
      </c>
      <c r="W440" t="n">
        <v>7</v>
      </c>
      <c r="X440" t="n">
        <v>0</v>
      </c>
      <c r="Y440" t="inlineStr">
        <is>
          <t>The student completed the data loading and preparation with minor issues, such as using a different batch size and hardcoding image indices for plotting. The model loading and adaptation were partially correct, but the student defined a custom model class instead of modifying the pretrained EfficientNetV2-Small directly. The training and validation loops were implemented with syntax errors, such as incorrect handling of labels and missing label fixing. The training process ran, but the code did not plot the training and validation losses and accuracies. No bonus task was attempted.</t>
        </is>
      </c>
      <c r="Z440" t="n">
        <v>8</v>
      </c>
      <c r="AA440" t="n">
        <v>0</v>
      </c>
      <c r="AB440" t="inlineStr">
        <is>
          <t>The student successfully completed most tasks with minor issues. The dataset loading and preparation were mostly correct, with the image resizing set to 32x32 as required. However, the CNN model had fewer convolutional layers than specified (5 layers required, 5 provided but with different channel sizes). Batch normalization was missing. The training and validation loops were implemented correctly, and the model trained and plotted the results accurately. The bonus task was not attempted.</t>
        </is>
      </c>
      <c r="AC440" t="n">
        <v>0</v>
      </c>
      <c r="AD440" t="inlineStr">
        <is>
          <t>The student did not provide any code for Tasks 1 through 5. The submission is incomplete and lacks any implementation for the dataset class, data loaders, model definition, training and validation loops, or visualization of predictions.</t>
        </is>
      </c>
      <c r="AE440" t="n">
        <v>0</v>
      </c>
      <c r="AF440" t="n">
        <v>0</v>
      </c>
      <c r="AG440" t="inlineStr">
        <is>
          <t>No submission found.</t>
        </is>
      </c>
      <c r="AH440" t="n">
        <v>15</v>
      </c>
      <c r="AI440" t="n">
        <v>0</v>
      </c>
    </row>
    <row r="441">
      <c r="A441" t="n">
        <v>440</v>
      </c>
      <c r="B441" t="inlineStr">
        <is>
          <t>TA_8</t>
        </is>
      </c>
      <c r="C441" t="inlineStr">
        <is>
          <t>TA_18</t>
        </is>
      </c>
      <c r="D441" t="n">
        <v>3.75</v>
      </c>
      <c r="E441" t="n">
        <v>0</v>
      </c>
      <c r="F441" t="n">
        <v>2</v>
      </c>
      <c r="G441" t="n">
        <v>0</v>
      </c>
      <c r="H441" t="n">
        <v>2.5</v>
      </c>
      <c r="I441" t="n">
        <v>0</v>
      </c>
      <c r="J441" t="n">
        <v>6.75</v>
      </c>
      <c r="K441" t="n">
        <v>0</v>
      </c>
      <c r="L441" t="n">
        <v>-1</v>
      </c>
      <c r="M441" t="n">
        <v>0</v>
      </c>
      <c r="N441" t="n">
        <v>0</v>
      </c>
      <c r="O441" t="n">
        <v>0</v>
      </c>
      <c r="P441">
        <f>Table1[[#This Row],[TA 1 - Q1 Score]]+Table1[[#This Row],[TA 1 - Q2 Score]]+Table1[[#This Row],[TA 1 - Q3 Score]]</f>
        <v/>
      </c>
      <c r="Q441">
        <f>Table1[[#This Row],[TA 1 - Q1 Bonus]]+Table1[[#This Row],[TA 1 - Q2 Bonus]]+Table1[[#This Row],[TA 1 - Q4 Bonus]]</f>
        <v/>
      </c>
      <c r="R441">
        <f>Table1[[#This Row],[TA 2 - Q1 Score]]+Table1[[#This Row],[TA 2 - Q2 Score]]+Table1[[#This Row],[TA 2 - Q3 Score]]</f>
        <v/>
      </c>
      <c r="S441">
        <f>Table1[[#This Row],[TA 2 - Q1 Bonus]]+Table1[[#This Row],[TA 2 - Q2 Bonus]]+Table1[[#This Row],[TA 2 - Q4 Bonus]]</f>
        <v/>
      </c>
      <c r="T441">
        <f>(Table1[[#This Row],[TA 1 - Total Score (out of 35)]]+Table1[[#This Row],[TA 2 - Total Score (out of 35)]])/2</f>
        <v/>
      </c>
      <c r="U441">
        <f>(Table1[[#This Row],[TA 1 - Total Bonus (out of 13)]]+Table1[[#This Row],[TA 2 - Total Bonus (out of 13)]])/2</f>
        <v/>
      </c>
      <c r="V441">
        <f>Table1[[#This Row],[Average Questions]]/35*20+Table1[[#This Row],[Average Bonus]]/13*5</f>
        <v/>
      </c>
      <c r="W441" t="n">
        <v>2</v>
      </c>
      <c r="X441" t="n">
        <v>0</v>
      </c>
      <c r="Y441" t="inlineStr">
        <is>
          <t>The student partially completed the tasks but made several mistakes. In Part 1, the transforms were mostly correct but the dataset loading was duplicated. In Part 2, the model was incorrectly loaded and modified, with the classifier head set to output only one class instead of 26. Parts 3 and 4 had significant issues, including incorrect loss functions and training loops, and the validation loader was undefined. No bonus task was attempted.</t>
        </is>
      </c>
      <c r="Z441" t="n">
        <v>0</v>
      </c>
      <c r="AA441" t="n">
        <v>0</v>
      </c>
      <c r="AB441" t="inlineStr">
        <is>
          <t>The student's submission does not follow the required structure and instructions. The dataset loading and preparation are incorrect, using a custom dataset class improperly and resizing images to 28x28 instead of 32x32. The model used is EfficientNetV2-Small, which is not a CNN built from scratch as required. The training and validation functions are partially implemented but contain errors, such as shifting labels unnecessarily. No plots or residual connection implementation were provided.</t>
        </is>
      </c>
      <c r="AC441" t="n">
        <v>2</v>
      </c>
      <c r="AD441" t="inlineStr">
        <is>
          <t>The student has partially completed Task 1 by defining the custom dataset class and the remap_mask function correctly. However, they incorrectly used the OxfordIIITPet dataset instead of creating DataLoaders for the provided underwater imagery dataset. Tasks 2 through 5 were not attempted, resulting in no code for those sections.</t>
        </is>
      </c>
      <c r="AE441" t="n">
        <v>0</v>
      </c>
      <c r="AF441" t="n">
        <v>0</v>
      </c>
      <c r="AG441" t="inlineStr">
        <is>
          <t>No submission found.</t>
        </is>
      </c>
      <c r="AH441" t="n">
        <v>4</v>
      </c>
      <c r="AI441" t="n">
        <v>0</v>
      </c>
    </row>
    <row r="442">
      <c r="A442" t="n">
        <v>441</v>
      </c>
      <c r="B442" t="inlineStr">
        <is>
          <t>TA_8</t>
        </is>
      </c>
      <c r="C442" t="inlineStr">
        <is>
          <t>TA_18</t>
        </is>
      </c>
      <c r="D442" t="n">
        <v>6</v>
      </c>
      <c r="E442" t="n">
        <v>0</v>
      </c>
      <c r="F442" t="n">
        <v>7.5</v>
      </c>
      <c r="G442" t="n">
        <v>0</v>
      </c>
      <c r="H442" t="n">
        <v>5.5</v>
      </c>
      <c r="I442" t="n">
        <v>0</v>
      </c>
      <c r="J442" t="n">
        <v>9</v>
      </c>
      <c r="K442" t="n">
        <v>0</v>
      </c>
      <c r="L442" t="n">
        <v>7.5</v>
      </c>
      <c r="M442" t="n">
        <v>0</v>
      </c>
      <c r="N442" t="n">
        <v>4.75</v>
      </c>
      <c r="O442" t="n">
        <v>0</v>
      </c>
      <c r="P442">
        <f>Table1[[#This Row],[TA 1 - Q1 Score]]+Table1[[#This Row],[TA 1 - Q2 Score]]+Table1[[#This Row],[TA 1 - Q3 Score]]</f>
        <v/>
      </c>
      <c r="Q442">
        <f>Table1[[#This Row],[TA 1 - Q1 Bonus]]+Table1[[#This Row],[TA 1 - Q2 Bonus]]+Table1[[#This Row],[TA 1 - Q4 Bonus]]</f>
        <v/>
      </c>
      <c r="R442">
        <f>Table1[[#This Row],[TA 2 - Q1 Score]]+Table1[[#This Row],[TA 2 - Q2 Score]]+Table1[[#This Row],[TA 2 - Q3 Score]]</f>
        <v/>
      </c>
      <c r="S442">
        <f>Table1[[#This Row],[TA 2 - Q1 Bonus]]+Table1[[#This Row],[TA 2 - Q2 Bonus]]+Table1[[#This Row],[TA 2 - Q4 Bonus]]</f>
        <v/>
      </c>
      <c r="T442">
        <f>(Table1[[#This Row],[TA 1 - Total Score (out of 35)]]+Table1[[#This Row],[TA 2 - Total Score (out of 35)]])/2</f>
        <v/>
      </c>
      <c r="U442">
        <f>(Table1[[#This Row],[TA 1 - Total Bonus (out of 13)]]+Table1[[#This Row],[TA 2 - Total Bonus (out of 13)]])/2</f>
        <v/>
      </c>
      <c r="V442">
        <f>Table1[[#This Row],[Average Questions]]/35*20+Table1[[#This Row],[Average Bonus]]/13*5</f>
        <v/>
      </c>
      <c r="W442" t="n">
        <v>5</v>
      </c>
      <c r="X442" t="n">
        <v>0</v>
      </c>
      <c r="Y442" t="inlineStr">
        <is>
          <t>The student completed the data loading and transformation tasks correctly, including resizing, converting to tensor, and normalizing the images. However, there were issues in the model setup where the entire model was frozen instead of just the backbone. The training and validation loops had syntax errors and logical mistakes, such as incorrect handling of model outputs and labels. The bonus task was not attempted.</t>
        </is>
      </c>
      <c r="Z442" t="n">
        <v>7</v>
      </c>
      <c r="AA442" t="n">
        <v>0</v>
      </c>
      <c r="AB442" t="inlineStr">
        <is>
          <t>The student implemented a custom dataset class and used DataLoader correctly, earning full points for Part 1. The CNN model has 5 convolutional layers but lacks Batch Normalization, earning 1 point out of 2 for Part 2. The training and validation loops are implemented correctly, earning full points for Part 3. The model setup, training, and plotting of losses and accuracies are also correct, earning full points for Part 4. However, no bonus task was attempted.</t>
        </is>
      </c>
      <c r="AC442" t="n">
        <v>3</v>
      </c>
      <c r="AD442" t="inlineStr">
        <is>
          <t>The student attempted most tasks but made significant errors. In Task 1, they created a custom dataset class but included an unnecessary second class and incorrect mask transformations. They also did not create DataLoaders or display sample images and masks. In Task 2, they defined a U-Net model with incorrect class settings. Task 3 was partially completed with incorrect training and validation loops. Task 4 had issues with defining loss and optimizer, and Task 5 was not attempted.</t>
        </is>
      </c>
      <c r="AE442" t="n">
        <v>0</v>
      </c>
      <c r="AF442" t="n">
        <v>0</v>
      </c>
      <c r="AG442" t="inlineStr">
        <is>
          <t>The student did not implement any of the required methods in the `ColorizationDataset` class. The `__init__`, `__len__`, `rgb_to_grayscale`, and `__getitem__` methods are all placeholders with no actual implementation. Therefore, the code does not run and does not meet the requirements for any partial credit.</t>
        </is>
      </c>
      <c r="AH442" t="n">
        <v>15</v>
      </c>
      <c r="AI442" t="n">
        <v>0</v>
      </c>
    </row>
    <row r="443">
      <c r="A443" t="n">
        <v>442</v>
      </c>
      <c r="B443" t="inlineStr">
        <is>
          <t>TA_8</t>
        </is>
      </c>
      <c r="C443" t="inlineStr">
        <is>
          <t>TA_18</t>
        </is>
      </c>
      <c r="D443" t="n">
        <v>6.5</v>
      </c>
      <c r="E443" t="n">
        <v>0</v>
      </c>
      <c r="F443" t="n">
        <v>11</v>
      </c>
      <c r="G443" t="n">
        <v>0</v>
      </c>
      <c r="H443" t="n">
        <v>10</v>
      </c>
      <c r="I443" t="n">
        <v>0</v>
      </c>
      <c r="J443" t="n">
        <v>8</v>
      </c>
      <c r="K443" t="n">
        <v>0</v>
      </c>
      <c r="L443" t="n">
        <v>11</v>
      </c>
      <c r="M443" t="n">
        <v>0</v>
      </c>
      <c r="N443" t="n">
        <v>10.5</v>
      </c>
      <c r="O443" t="n">
        <v>0</v>
      </c>
      <c r="P443">
        <f>Table1[[#This Row],[TA 1 - Q1 Score]]+Table1[[#This Row],[TA 1 - Q2 Score]]+Table1[[#This Row],[TA 1 - Q3 Score]]</f>
        <v/>
      </c>
      <c r="Q443">
        <f>Table1[[#This Row],[TA 1 - Q1 Bonus]]+Table1[[#This Row],[TA 1 - Q2 Bonus]]+Table1[[#This Row],[TA 1 - Q4 Bonus]]</f>
        <v/>
      </c>
      <c r="R443">
        <f>Table1[[#This Row],[TA 2 - Q1 Score]]+Table1[[#This Row],[TA 2 - Q2 Score]]+Table1[[#This Row],[TA 2 - Q3 Score]]</f>
        <v/>
      </c>
      <c r="S443">
        <f>Table1[[#This Row],[TA 2 - Q1 Bonus]]+Table1[[#This Row],[TA 2 - Q2 Bonus]]+Table1[[#This Row],[TA 2 - Q4 Bonus]]</f>
        <v/>
      </c>
      <c r="T443">
        <f>(Table1[[#This Row],[TA 1 - Total Score (out of 35)]]+Table1[[#This Row],[TA 2 - Total Score (out of 35)]])/2</f>
        <v/>
      </c>
      <c r="U443">
        <f>(Table1[[#This Row],[TA 1 - Total Bonus (out of 13)]]+Table1[[#This Row],[TA 2 - Total Bonus (out of 13)]])/2</f>
        <v/>
      </c>
      <c r="V443">
        <f>Table1[[#This Row],[Average Questions]]/35*20+Table1[[#This Row],[Average Bonus]]/13*5</f>
        <v/>
      </c>
      <c r="W443" t="n">
        <v>5</v>
      </c>
      <c r="X443" t="n">
        <v>0</v>
      </c>
      <c r="Y443" t="inlineStr">
        <is>
          <t>The student completed the data loading and transformation tasks correctly, including resizing, converting to tensor, and normalizing the images. However, the student incorrectly added a SubtractOne transform, which is unnecessary since label fixing is handled in the training and validation loops. The DataLoader creation had a batch size of 26, which is unconventional but does not prevent functionality. The model loading and adaptation were mostly correct, but the classifier replacement used 'out_features' instead of 'num_classes'. The training and validation loops contained logical errors, such as using sigmoid activation and binary comparison for a multi-class classification problem. The bonus task was not attempted.</t>
        </is>
      </c>
      <c r="Z443" t="n">
        <v>8.5</v>
      </c>
      <c r="AA443" t="n">
        <v>0</v>
      </c>
      <c r="AB443" t="inlineStr">
        <is>
          <t>The student successfully completed most tasks with minor issues. The dataset loading and preparation were correct, including the use of RandomRotation and resizing to 32x32. The CNN model had 5 convolutional layers with Batch Normalization, though the number of classes was incorrectly set to 10 instead of 3. The training and validation loops were implemented correctly, and the model trained for 2 epochs. However, the bonus task was not attempted.</t>
        </is>
      </c>
      <c r="AC443" t="n">
        <v>6</v>
      </c>
      <c r="AD443" t="inlineStr">
        <is>
          <t>The student attempted most tasks but made several mistakes. In Task 1, the dataset class was partially implemented with some missing details, and the DataLoader setup had issues. Task 2 was mostly correct except for the encoder name specified in the model definition. Task 3 was correctly implemented. Task 4 had issues with the number of epochs and the learning rate, but the logic was correct. Task 5 had visualization issues, including incorrect handling of the predicted mask.</t>
        </is>
      </c>
      <c r="AE443" t="n">
        <v>0</v>
      </c>
      <c r="AF443" t="n">
        <v>0</v>
      </c>
      <c r="AG443" t="inlineStr">
        <is>
          <t>No submission found.</t>
        </is>
      </c>
      <c r="AH443" t="n">
        <v>19.5</v>
      </c>
      <c r="AI443" t="n">
        <v>0</v>
      </c>
    </row>
    <row r="444">
      <c r="A444" t="n">
        <v>443</v>
      </c>
      <c r="B444" t="inlineStr">
        <is>
          <t>TA_8</t>
        </is>
      </c>
      <c r="C444" t="inlineStr">
        <is>
          <t>TA_18</t>
        </is>
      </c>
      <c r="D444" t="n">
        <v>11</v>
      </c>
      <c r="E444" t="n">
        <v>0</v>
      </c>
      <c r="F444" t="n">
        <v>11</v>
      </c>
      <c r="G444" t="n">
        <v>0</v>
      </c>
      <c r="H444" t="n">
        <v>10</v>
      </c>
      <c r="I444" t="n">
        <v>0</v>
      </c>
      <c r="J444" t="n">
        <v>11</v>
      </c>
      <c r="K444" t="n">
        <v>0</v>
      </c>
      <c r="L444" t="n">
        <v>11</v>
      </c>
      <c r="M444" t="n">
        <v>0</v>
      </c>
      <c r="N444" t="n">
        <v>11</v>
      </c>
      <c r="O444" t="n">
        <v>0</v>
      </c>
      <c r="P444">
        <f>Table1[[#This Row],[TA 1 - Q1 Score]]+Table1[[#This Row],[TA 1 - Q2 Score]]+Table1[[#This Row],[TA 1 - Q3 Score]]</f>
        <v/>
      </c>
      <c r="Q444">
        <f>Table1[[#This Row],[TA 1 - Q1 Bonus]]+Table1[[#This Row],[TA 1 - Q2 Bonus]]+Table1[[#This Row],[TA 1 - Q4 Bonus]]</f>
        <v/>
      </c>
      <c r="R444">
        <f>Table1[[#This Row],[TA 2 - Q1 Score]]+Table1[[#This Row],[TA 2 - Q2 Score]]+Table1[[#This Row],[TA 2 - Q3 Score]]</f>
        <v/>
      </c>
      <c r="S444">
        <f>Table1[[#This Row],[TA 2 - Q1 Bonus]]+Table1[[#This Row],[TA 2 - Q2 Bonus]]+Table1[[#This Row],[TA 2 - Q4 Bonus]]</f>
        <v/>
      </c>
      <c r="T444">
        <f>(Table1[[#This Row],[TA 1 - Total Score (out of 35)]]+Table1[[#This Row],[TA 2 - Total Score (out of 35)]])/2</f>
        <v/>
      </c>
      <c r="U444">
        <f>(Table1[[#This Row],[TA 1 - Total Bonus (out of 13)]]+Table1[[#This Row],[TA 2 - Total Bonus (out of 13)]])/2</f>
        <v/>
      </c>
      <c r="V444">
        <f>Table1[[#This Row],[Average Questions]]/35*20+Table1[[#This Row],[Average Bonus]]/13*5</f>
        <v/>
      </c>
      <c r="W444" t="n">
        <v>4</v>
      </c>
      <c r="X444" t="n">
        <v>0</v>
      </c>
      <c r="Y444" t="inlineStr">
        <is>
          <t>The student partially completed several tasks but made significant errors. The data loading and preparation section had incomplete code for displaying sample images. The model adaptation section froze the entire model instead of just the backbone. The training and validation loops contained logical errors, particularly in label handling and output processing. The training section used an incorrect learning rate and did not plot the results correctly. No bonus task was attempted.</t>
        </is>
      </c>
      <c r="Z444" t="n">
        <v>7</v>
      </c>
      <c r="AA444" t="n">
        <v>0</v>
      </c>
      <c r="AB444" t="inlineStr">
        <is>
          <t>The student successfully loaded and prepared the data with the correct transformations and displayed sample images. The CNN model has 5 convolutional layers with batch normalization, though the number of channels and pooling layers differ from the reference solution. The training and validation loops are implemented correctly, and the model is trained and plotted. However, the model definition has issues with channel sizes and pooling layers, and the number of epochs is too low, affecting the training process.</t>
        </is>
      </c>
      <c r="AC444" t="n">
        <v>10</v>
      </c>
      <c r="AD444" t="inlineStr">
        <is>
          <t>The student's submission is mostly correct and runs end-to-end. The dataset class is implemented correctly with proper data loading and transformations. The model class uses the correct pretrained U-Net with efficientnet-b0 encoder. The training and validation loops are implemented with minor issues, such as using AdamW instead of Adam for optimization. The training process prints and plots the loss curves correctly. The predictions are visualized against the ground truth, though the colormap used for predicted masks could be improved for better visualization.</t>
        </is>
      </c>
      <c r="AE444" t="n">
        <v>0</v>
      </c>
      <c r="AF444" t="n">
        <v>0</v>
      </c>
      <c r="AG444" t="inlineStr">
        <is>
          <t>No submission found.</t>
        </is>
      </c>
      <c r="AH444" t="n">
        <v>21</v>
      </c>
      <c r="AI444" t="n">
        <v>0</v>
      </c>
    </row>
    <row r="445">
      <c r="A445" t="n">
        <v>444</v>
      </c>
      <c r="B445" t="inlineStr">
        <is>
          <t>TA_8</t>
        </is>
      </c>
      <c r="C445" t="inlineStr">
        <is>
          <t>TA_18</t>
        </is>
      </c>
      <c r="D445" t="n">
        <v>2</v>
      </c>
      <c r="E445" t="n">
        <v>0</v>
      </c>
      <c r="F445" t="n">
        <v>5</v>
      </c>
      <c r="G445" t="n">
        <v>0</v>
      </c>
      <c r="H445" t="n">
        <v>9.5</v>
      </c>
      <c r="I445" t="n">
        <v>0</v>
      </c>
      <c r="J445" t="n">
        <v>4.5</v>
      </c>
      <c r="K445" t="n">
        <v>0</v>
      </c>
      <c r="L445" t="n">
        <v>2.5</v>
      </c>
      <c r="M445" t="n">
        <v>0</v>
      </c>
      <c r="N445" t="n">
        <v>3</v>
      </c>
      <c r="O445" t="n">
        <v>0</v>
      </c>
      <c r="P445">
        <f>Table1[[#This Row],[TA 1 - Q1 Score]]+Table1[[#This Row],[TA 1 - Q2 Score]]+Table1[[#This Row],[TA 1 - Q3 Score]]</f>
        <v/>
      </c>
      <c r="Q445">
        <f>Table1[[#This Row],[TA 1 - Q1 Bonus]]+Table1[[#This Row],[TA 1 - Q2 Bonus]]+Table1[[#This Row],[TA 1 - Q4 Bonus]]</f>
        <v/>
      </c>
      <c r="R445">
        <f>Table1[[#This Row],[TA 2 - Q1 Score]]+Table1[[#This Row],[TA 2 - Q2 Score]]+Table1[[#This Row],[TA 2 - Q3 Score]]</f>
        <v/>
      </c>
      <c r="S445">
        <f>Table1[[#This Row],[TA 2 - Q1 Bonus]]+Table1[[#This Row],[TA 2 - Q2 Bonus]]+Table1[[#This Row],[TA 2 - Q4 Bonus]]</f>
        <v/>
      </c>
      <c r="T445">
        <f>(Table1[[#This Row],[TA 1 - Total Score (out of 35)]]+Table1[[#This Row],[TA 2 - Total Score (out of 35)]])/2</f>
        <v/>
      </c>
      <c r="U445">
        <f>(Table1[[#This Row],[TA 1 - Total Bonus (out of 13)]]+Table1[[#This Row],[TA 2 - Total Bonus (out of 13)]])/2</f>
        <v/>
      </c>
      <c r="V445">
        <f>Table1[[#This Row],[Average Questions]]/35*20+Table1[[#This Row],[Average Bonus]]/13*5</f>
        <v/>
      </c>
      <c r="W445" t="n">
        <v>2</v>
      </c>
      <c r="X445" t="n">
        <v>0</v>
      </c>
      <c r="Y445" t="inlineStr">
        <is>
          <t>The student partially completed the tasks but made several mistakes. In Part 1, the resize transformation was incorrectly set to 64x64 instead of 28x28. DataLoaders were created but with a batch size of 32 instead of 64. In Part 2, the model was loaded and frozen correctly, but the classifier head was incorrectly set for binary classification instead of 26 classes. Parts 3 and 4 had significant issues: the training and validation loops used binary classification logic with sigmoid and BCE loss, which is incorrect for multi-class classification. No bonus task was attempted.</t>
        </is>
      </c>
      <c r="Z445" t="n">
        <v>2</v>
      </c>
      <c r="AA445" t="n">
        <v>0</v>
      </c>
      <c r="AB445" t="inlineStr">
        <is>
          <t>The student partially completed Part 1 by setting up the dataset and DataLoaders with the correct transformations, but made errors in the image display section by using CIFAR-10 class names instead of the actual dataset classes. Part 2 was not completed correctly as the CNN model defined was an autoencoder rather than a classifier with 5 convolutional layers and batch normalization. Parts 3 and 4 were not attempted, and no bonus tasks were completed.</t>
        </is>
      </c>
      <c r="AC445" t="n">
        <v>3</v>
      </c>
      <c r="AD445" t="inlineStr">
        <is>
          <t>The student attempted all tasks but made significant errors. In Task 1, the dataset class incorrectly used a CSV file for paths instead of directly accessing the image and mask directories. Task 2 defined a model for binary segmentation instead of multi-class segmentation. Task 3 had incorrect training and validation loops using BCEWithLogitsLoss for multi-class segmentation. Task 4 used an incorrect loss function and optimizer, and Task 5 visualized binary masks instead of multi-class masks.</t>
        </is>
      </c>
      <c r="AE445" t="n">
        <v>0</v>
      </c>
      <c r="AF445" t="n">
        <v>0</v>
      </c>
      <c r="AG445" t="inlineStr">
        <is>
          <t>No submission found.</t>
        </is>
      </c>
      <c r="AH445" t="n">
        <v>7</v>
      </c>
      <c r="AI445" t="n">
        <v>0</v>
      </c>
    </row>
    <row r="446">
      <c r="A446" t="n">
        <v>445</v>
      </c>
      <c r="B446" t="inlineStr">
        <is>
          <t>TA_8</t>
        </is>
      </c>
      <c r="C446" t="inlineStr">
        <is>
          <t>TA_18</t>
        </is>
      </c>
      <c r="D446" t="n">
        <v>5.5</v>
      </c>
      <c r="E446" t="n">
        <v>0</v>
      </c>
      <c r="F446" t="n">
        <v>0</v>
      </c>
      <c r="G446" t="n">
        <v>0</v>
      </c>
      <c r="H446" t="n">
        <v>0</v>
      </c>
      <c r="I446" t="n">
        <v>0</v>
      </c>
      <c r="J446" t="n">
        <v>7</v>
      </c>
      <c r="K446" t="n">
        <v>0</v>
      </c>
      <c r="L446" t="n">
        <v>2.5</v>
      </c>
      <c r="M446" t="n">
        <v>0</v>
      </c>
      <c r="N446" t="n">
        <v>0</v>
      </c>
      <c r="O446" t="n">
        <v>0</v>
      </c>
      <c r="P446">
        <f>Table1[[#This Row],[TA 1 - Q1 Score]]+Table1[[#This Row],[TA 1 - Q2 Score]]+Table1[[#This Row],[TA 1 - Q3 Score]]</f>
        <v/>
      </c>
      <c r="Q446">
        <f>Table1[[#This Row],[TA 1 - Q1 Bonus]]+Table1[[#This Row],[TA 1 - Q2 Bonus]]+Table1[[#This Row],[TA 1 - Q4 Bonus]]</f>
        <v/>
      </c>
      <c r="R446">
        <f>Table1[[#This Row],[TA 2 - Q1 Score]]+Table1[[#This Row],[TA 2 - Q2 Score]]+Table1[[#This Row],[TA 2 - Q3 Score]]</f>
        <v/>
      </c>
      <c r="S446">
        <f>Table1[[#This Row],[TA 2 - Q1 Bonus]]+Table1[[#This Row],[TA 2 - Q2 Bonus]]+Table1[[#This Row],[TA 2 - Q4 Bonus]]</f>
        <v/>
      </c>
      <c r="T446">
        <f>(Table1[[#This Row],[TA 1 - Total Score (out of 35)]]+Table1[[#This Row],[TA 2 - Total Score (out of 35)]])/2</f>
        <v/>
      </c>
      <c r="U446">
        <f>(Table1[[#This Row],[TA 1 - Total Bonus (out of 13)]]+Table1[[#This Row],[TA 2 - Total Bonus (out of 13)]])/2</f>
        <v/>
      </c>
      <c r="V446">
        <f>Table1[[#This Row],[Average Questions]]/35*20+Table1[[#This Row],[Average Bonus]]/13*5</f>
        <v/>
      </c>
      <c r="W446" t="n">
        <v>4</v>
      </c>
      <c r="X446" t="n">
        <v>0</v>
      </c>
      <c r="Y446" t="inlineStr">
        <is>
          <t>The student completed the data loading and transformation tasks correctly, including resizing, converting to tensor, and normalizing the images. However, there were issues in creating the DataLoaders and displaying sample images. The DataLoader creation had incorrect usage of the EMNIST dataset, and the sample image display used incorrect label mapping. The model loading and adaptation were mostly correct, but the student froze all parameters instead of just the backbone. The training and validation loops contained logical errors, such as using sigmoid activation and binary thresholding for a multi-class classification problem. No bonus task was attempted.</t>
        </is>
      </c>
      <c r="Z446" t="n">
        <v>0.5</v>
      </c>
      <c r="AA446" t="n">
        <v>0</v>
      </c>
      <c r="AB446" t="inlineStr">
        <is>
          <t>The student attempted to create a custom dataset class but made several mistakes. The `__len__` method incorrectly references `self.path`, which is undefined. The `__getitem__` method incorrectly converts labels to floats, which is inappropriate for classification tasks. Additionally, the dataset initialization does not properly set up the paths and labels. No code was provided for creating train/test datasets, defining transformations, displaying sample images, building the CNN model, defining training/validation functions, setting up training, or implementing the bonus task.</t>
        </is>
      </c>
      <c r="AC446" t="n">
        <v>0</v>
      </c>
      <c r="AD446" t="inlineStr">
        <is>
          <t>The student did not provide any code for Tasks 1 through 5. The submission is incomplete and lacks any implementation for the required tasks, resulting in a score of 0.</t>
        </is>
      </c>
      <c r="AE446" t="n">
        <v>0</v>
      </c>
      <c r="AF446" t="n">
        <v>0</v>
      </c>
      <c r="AG446" t="inlineStr">
        <is>
          <t>No submission found.</t>
        </is>
      </c>
      <c r="AH446" t="n">
        <v>4.5</v>
      </c>
      <c r="AI446" t="n">
        <v>0</v>
      </c>
    </row>
    <row r="447">
      <c r="A447" t="n">
        <v>446</v>
      </c>
      <c r="B447" t="inlineStr">
        <is>
          <t>TA_8</t>
        </is>
      </c>
      <c r="C447" t="inlineStr">
        <is>
          <t>TA_18</t>
        </is>
      </c>
      <c r="D447" t="n">
        <v>7</v>
      </c>
      <c r="E447" t="n">
        <v>0</v>
      </c>
      <c r="F447" t="n">
        <v>8.5</v>
      </c>
      <c r="G447" t="n">
        <v>0</v>
      </c>
      <c r="H447" t="n">
        <v>9.5</v>
      </c>
      <c r="I447" t="n">
        <v>0</v>
      </c>
      <c r="J447" t="n">
        <v>7</v>
      </c>
      <c r="K447" t="n">
        <v>0</v>
      </c>
      <c r="L447" t="n">
        <v>7.25</v>
      </c>
      <c r="M447" t="n">
        <v>0</v>
      </c>
      <c r="N447" t="n">
        <v>3.75</v>
      </c>
      <c r="O447" t="n">
        <v>0</v>
      </c>
      <c r="P447">
        <f>Table1[[#This Row],[TA 1 - Q1 Score]]+Table1[[#This Row],[TA 1 - Q2 Score]]+Table1[[#This Row],[TA 1 - Q3 Score]]</f>
        <v/>
      </c>
      <c r="Q447">
        <f>Table1[[#This Row],[TA 1 - Q1 Bonus]]+Table1[[#This Row],[TA 1 - Q2 Bonus]]+Table1[[#This Row],[TA 1 - Q4 Bonus]]</f>
        <v/>
      </c>
      <c r="R447">
        <f>Table1[[#This Row],[TA 2 - Q1 Score]]+Table1[[#This Row],[TA 2 - Q2 Score]]+Table1[[#This Row],[TA 2 - Q3 Score]]</f>
        <v/>
      </c>
      <c r="S447">
        <f>Table1[[#This Row],[TA 2 - Q1 Bonus]]+Table1[[#This Row],[TA 2 - Q2 Bonus]]+Table1[[#This Row],[TA 2 - Q4 Bonus]]</f>
        <v/>
      </c>
      <c r="T447">
        <f>(Table1[[#This Row],[TA 1 - Total Score (out of 35)]]+Table1[[#This Row],[TA 2 - Total Score (out of 35)]])/2</f>
        <v/>
      </c>
      <c r="U447">
        <f>(Table1[[#This Row],[TA 1 - Total Bonus (out of 13)]]+Table1[[#This Row],[TA 2 - Total Bonus (out of 13)]])/2</f>
        <v/>
      </c>
      <c r="V447">
        <f>Table1[[#This Row],[Average Questions]]/35*20+Table1[[#This Row],[Average Bonus]]/13*5</f>
        <v/>
      </c>
      <c r="W447" t="n">
        <v>7</v>
      </c>
      <c r="X447" t="n">
        <v>0</v>
      </c>
      <c r="Y447" t="inlineStr">
        <is>
          <t>The student completed most tasks with minor issues. The data loading and preparation were mostly correct, with a small mistake in displaying labels. The model loading and adaptation were nearly complete, but the backbone was not properly frozen. The training and validation loops had syntax errors and logical mistakes, particularly in handling outputs and labels. The plotting of losses and accuracies was not implemented. No bonus task was attempted.</t>
        </is>
      </c>
      <c r="Z447" t="n">
        <v>6</v>
      </c>
      <c r="AA447" t="n">
        <v>0</v>
      </c>
      <c r="AB447" t="inlineStr">
        <is>
          <t>The student successfully loaded and prepared the data with the correct transformations and displayed sample images. The CNN model has 5 convolutional layers but does not include batch normalization, earning partial credit. The training and validation functions are mostly correct but contain minor issues like unnecessary softmax usage. The model setup, training, and plotting of losses and accuracies were done correctly. No bonus task was attempted.</t>
        </is>
      </c>
      <c r="AC447" t="n">
        <v>4</v>
      </c>
      <c r="AD447" t="inlineStr">
        <is>
          <t>The student attempted most tasks but made significant errors. In Task 1, the dataset paths were incorrectly collected, leading to incorrect image and mask paths. Task 2 had a mistake in the number of classes specified (10 instead of 8). Task 3 contained errors in the training and validation loops, particularly in handling mask data types. Task 4 used an incorrect loss function (BCEWithLogitsLoss instead of CrossEntropyLoss) and had issues with mask data types. Task 5 had issues with mask visualization, using sigmoid activation and binary thresholding instead of argmax for multi-class segmentation.</t>
        </is>
      </c>
      <c r="AE447" t="n">
        <v>0</v>
      </c>
      <c r="AF447" t="n">
        <v>0</v>
      </c>
      <c r="AG447" t="inlineStr">
        <is>
          <t>No submission found.</t>
        </is>
      </c>
      <c r="AH447" t="n">
        <v>17</v>
      </c>
      <c r="AI447" t="n">
        <v>0</v>
      </c>
    </row>
    <row r="448">
      <c r="A448" t="n">
        <v>447</v>
      </c>
      <c r="B448" t="inlineStr">
        <is>
          <t>TA_8</t>
        </is>
      </c>
      <c r="C448" t="inlineStr">
        <is>
          <t>TA_18</t>
        </is>
      </c>
      <c r="D448" t="n">
        <v>3</v>
      </c>
      <c r="E448" t="n">
        <v>0</v>
      </c>
      <c r="F448" t="n">
        <v>0</v>
      </c>
      <c r="G448" t="n">
        <v>0</v>
      </c>
      <c r="H448" t="n">
        <v>0</v>
      </c>
      <c r="I448" t="n">
        <v>0</v>
      </c>
      <c r="J448" t="n">
        <v>5.25</v>
      </c>
      <c r="K448" t="n">
        <v>0</v>
      </c>
      <c r="L448" t="n">
        <v>0</v>
      </c>
      <c r="M448" t="n">
        <v>0</v>
      </c>
      <c r="N448" t="n">
        <v>4.75</v>
      </c>
      <c r="O448" t="n">
        <v>0</v>
      </c>
      <c r="P448">
        <f>Table1[[#This Row],[TA 1 - Q1 Score]]+Table1[[#This Row],[TA 1 - Q2 Score]]+Table1[[#This Row],[TA 1 - Q3 Score]]</f>
        <v/>
      </c>
      <c r="Q448">
        <f>Table1[[#This Row],[TA 1 - Q1 Bonus]]+Table1[[#This Row],[TA 1 - Q2 Bonus]]+Table1[[#This Row],[TA 1 - Q4 Bonus]]</f>
        <v/>
      </c>
      <c r="R448">
        <f>Table1[[#This Row],[TA 2 - Q1 Score]]+Table1[[#This Row],[TA 2 - Q2 Score]]+Table1[[#This Row],[TA 2 - Q3 Score]]</f>
        <v/>
      </c>
      <c r="S448">
        <f>Table1[[#This Row],[TA 2 - Q1 Bonus]]+Table1[[#This Row],[TA 2 - Q2 Bonus]]+Table1[[#This Row],[TA 2 - Q4 Bonus]]</f>
        <v/>
      </c>
      <c r="T448">
        <f>(Table1[[#This Row],[TA 1 - Total Score (out of 35)]]+Table1[[#This Row],[TA 2 - Total Score (out of 35)]])/2</f>
        <v/>
      </c>
      <c r="U448">
        <f>(Table1[[#This Row],[TA 1 - Total Bonus (out of 13)]]+Table1[[#This Row],[TA 2 - Total Bonus (out of 13)]])/2</f>
        <v/>
      </c>
      <c r="V448">
        <f>Table1[[#This Row],[Average Questions]]/35*20+Table1[[#This Row],[Average Bonus]]/13*5</f>
        <v/>
      </c>
      <c r="W448" t="n">
        <v>5</v>
      </c>
      <c r="X448" t="n">
        <v>0</v>
      </c>
      <c r="Y448" t="inlineStr">
        <is>
          <t>The student completed the data loading and transformation tasks correctly, including resizing, converting to tensor, and normalizing the images. However, the DataLoader creation had inconsistent batch sizes, and the sample image display used hardcoded indices. The model loading and adaptation were partially correct but used an incorrect model class name and did not replace the classifier head properly. The training and validation loops were implemented but did not adjust the labels to be 0-indexed, resulting in a penalty. No bonus task was attempted.</t>
        </is>
      </c>
      <c r="Z448" t="n">
        <v>0</v>
      </c>
      <c r="AA448" t="n">
        <v>0</v>
      </c>
      <c r="AB448" t="inlineStr">
        <is>
          <t>The student did not provide any code for any of the tasks required in Question 2. Each cell from Cell 2 to Cell 6 is empty, indicating that no effort was made to load and prepare the data, build the CNN model, define training and validation functions, or perform the training process.</t>
        </is>
      </c>
      <c r="AC448" t="n">
        <v>5</v>
      </c>
      <c r="AD448" t="inlineStr">
        <is>
          <t>The student partially completed the tasks. The dataset class and data loaders were implemented correctly, but the mask transformation used 'target_transform' instead of 'mask_transform'. The model class was incorrectly implemented as a custom U-Net rather than using a pretrained U-Net with an efficientnet-b1 encoder. The training and validation loops were mostly correct but had minor issues with mask handling. The training process used an incorrect model and had a mismatch in the number of output channels. Visualization of predictions was not attempted.</t>
        </is>
      </c>
      <c r="AE448" t="n">
        <v>0</v>
      </c>
      <c r="AF448" t="n">
        <v>0</v>
      </c>
      <c r="AG448" t="inlineStr">
        <is>
          <t>No submission found.</t>
        </is>
      </c>
      <c r="AH448" t="n">
        <v>10</v>
      </c>
      <c r="AI448" t="n">
        <v>0</v>
      </c>
    </row>
    <row r="449">
      <c r="A449" t="n">
        <v>448</v>
      </c>
      <c r="B449" t="inlineStr">
        <is>
          <t>TA_8</t>
        </is>
      </c>
      <c r="C449" t="inlineStr">
        <is>
          <t>TA_18</t>
        </is>
      </c>
      <c r="D449" t="n">
        <v>12</v>
      </c>
      <c r="E449" t="n">
        <v>0</v>
      </c>
      <c r="F449" t="n">
        <v>8.5</v>
      </c>
      <c r="G449" t="n">
        <v>0</v>
      </c>
      <c r="H449" t="n">
        <v>9</v>
      </c>
      <c r="I449" t="n">
        <v>0</v>
      </c>
      <c r="J449" t="n">
        <v>12</v>
      </c>
      <c r="K449" t="n">
        <v>0</v>
      </c>
      <c r="L449" t="n">
        <v>9</v>
      </c>
      <c r="M449" t="n">
        <v>0</v>
      </c>
      <c r="N449" t="n">
        <v>9</v>
      </c>
      <c r="O449" t="n">
        <v>0</v>
      </c>
      <c r="P449">
        <f>Table1[[#This Row],[TA 1 - Q1 Score]]+Table1[[#This Row],[TA 1 - Q2 Score]]+Table1[[#This Row],[TA 1 - Q3 Score]]</f>
        <v/>
      </c>
      <c r="Q449">
        <f>Table1[[#This Row],[TA 1 - Q1 Bonus]]+Table1[[#This Row],[TA 1 - Q2 Bonus]]+Table1[[#This Row],[TA 1 - Q4 Bonus]]</f>
        <v/>
      </c>
      <c r="R449">
        <f>Table1[[#This Row],[TA 2 - Q1 Score]]+Table1[[#This Row],[TA 2 - Q2 Score]]+Table1[[#This Row],[TA 2 - Q3 Score]]</f>
        <v/>
      </c>
      <c r="S449">
        <f>Table1[[#This Row],[TA 2 - Q1 Bonus]]+Table1[[#This Row],[TA 2 - Q2 Bonus]]+Table1[[#This Row],[TA 2 - Q4 Bonus]]</f>
        <v/>
      </c>
      <c r="T449">
        <f>(Table1[[#This Row],[TA 1 - Total Score (out of 35)]]+Table1[[#This Row],[TA 2 - Total Score (out of 35)]])/2</f>
        <v/>
      </c>
      <c r="U449">
        <f>(Table1[[#This Row],[TA 1 - Total Bonus (out of 13)]]+Table1[[#This Row],[TA 2 - Total Bonus (out of 13)]])/2</f>
        <v/>
      </c>
      <c r="V449">
        <f>Table1[[#This Row],[Average Questions]]/35*20+Table1[[#This Row],[Average Bonus]]/13*5</f>
        <v/>
      </c>
      <c r="W449" t="n">
        <v>10.5</v>
      </c>
      <c r="X449" t="n">
        <v>0</v>
      </c>
      <c r="Y449" t="inlineStr">
        <is>
          <t>The student completed most tasks correctly. The data loading and preparation were mostly accurate, with minor issues in displaying sample images. The model loading and adaptation were correct, and the training and validation loops were implemented properly with label fixing. However, the student did not attempt the bonus task for Test Time Augmentation.</t>
        </is>
      </c>
      <c r="Z449" t="n">
        <v>7</v>
      </c>
      <c r="AA449" t="n">
        <v>0</v>
      </c>
      <c r="AB449" t="inlineStr">
        <is>
          <t>The student successfully loaded and prepared the data with correct transformations and displayed sample images. However, the CNN model has only 5 convolutional layers but does not include batch normalization, resulting in partial credit. The training and validation functions are correctly implemented, and the model is trained and plotted with appropriate metrics. The bonus task was not attempted.</t>
        </is>
      </c>
      <c r="AC449" t="n">
        <v>8.5</v>
      </c>
      <c r="AD449" t="inlineStr">
        <is>
          <t>The student's submission demonstrates a good understanding of the tasks but contains some minor issues. Task 1 is mostly correct with a small mistake in the mask transformation where the interpolation mode should be specified as NEAREST. Task 2 correctly defines the U-Net model with the specified encoder. Task 3 includes both training and validation loops with minor syntax issues. Task 4 defines the loss and optimizer correctly and runs the training loop, printing the losses, but the learning rate is lower than the reference solution. Task 5 visualizes predictions but does not plot them as required. Overall, the submission is functional with some room for improvement.</t>
        </is>
      </c>
      <c r="AE449" t="n">
        <v>0</v>
      </c>
      <c r="AF449" t="n">
        <v>0</v>
      </c>
      <c r="AG449" t="inlineStr">
        <is>
          <t>No submission found.</t>
        </is>
      </c>
      <c r="AH449" t="n">
        <v>26</v>
      </c>
      <c r="AI449" t="n">
        <v>0</v>
      </c>
    </row>
    <row r="450">
      <c r="A450" t="n">
        <v>449</v>
      </c>
      <c r="B450" t="inlineStr">
        <is>
          <t>TA_8</t>
        </is>
      </c>
      <c r="C450" t="inlineStr">
        <is>
          <t>TA_18</t>
        </is>
      </c>
      <c r="D450" t="n">
        <v>5</v>
      </c>
      <c r="E450" t="n">
        <v>0</v>
      </c>
      <c r="F450" t="n">
        <v>4.5</v>
      </c>
      <c r="G450" t="n">
        <v>0</v>
      </c>
      <c r="H450" t="n">
        <v>3</v>
      </c>
      <c r="I450" t="n">
        <v>0</v>
      </c>
      <c r="J450" t="n">
        <v>6.25</v>
      </c>
      <c r="K450" t="n">
        <v>4</v>
      </c>
      <c r="L450" t="n">
        <v>1.75</v>
      </c>
      <c r="M450" t="n">
        <v>0</v>
      </c>
      <c r="N450" t="n">
        <v>0</v>
      </c>
      <c r="O450" t="n">
        <v>0</v>
      </c>
      <c r="P450">
        <f>Table1[[#This Row],[TA 1 - Q1 Score]]+Table1[[#This Row],[TA 1 - Q2 Score]]+Table1[[#This Row],[TA 1 - Q3 Score]]</f>
        <v/>
      </c>
      <c r="Q450">
        <f>Table1[[#This Row],[TA 1 - Q1 Bonus]]+Table1[[#This Row],[TA 1 - Q2 Bonus]]+Table1[[#This Row],[TA 1 - Q4 Bonus]]</f>
        <v/>
      </c>
      <c r="R450">
        <f>Table1[[#This Row],[TA 2 - Q1 Score]]+Table1[[#This Row],[TA 2 - Q2 Score]]+Table1[[#This Row],[TA 2 - Q3 Score]]</f>
        <v/>
      </c>
      <c r="S450">
        <f>Table1[[#This Row],[TA 2 - Q1 Bonus]]+Table1[[#This Row],[TA 2 - Q2 Bonus]]+Table1[[#This Row],[TA 2 - Q4 Bonus]]</f>
        <v/>
      </c>
      <c r="T450">
        <f>(Table1[[#This Row],[TA 1 - Total Score (out of 35)]]+Table1[[#This Row],[TA 2 - Total Score (out of 35)]])/2</f>
        <v/>
      </c>
      <c r="U450">
        <f>(Table1[[#This Row],[TA 1 - Total Bonus (out of 13)]]+Table1[[#This Row],[TA 2 - Total Bonus (out of 13)]])/2</f>
        <v/>
      </c>
      <c r="V450">
        <f>Table1[[#This Row],[Average Questions]]/35*20+Table1[[#This Row],[Average Bonus]]/13*5</f>
        <v/>
      </c>
      <c r="W450" t="n">
        <v>5</v>
      </c>
      <c r="X450" t="n">
        <v>0</v>
      </c>
      <c r="Y450" t="inlineStr">
        <is>
          <t>The student partially completed several tasks but made significant errors. The data loading and preparation section had issues with displaying sample images due to incorrect code. The model loading and adaptation section incorrectly froze all parameters and set the classifier to 27 classes instead of 26. The training and validation functions lacked label fixing, resulting in a penalty. The training section used incorrect batch sizes and did not plot losses and accuracies. The bonus task was not fully implemented as it did not calculate the loss.</t>
        </is>
      </c>
      <c r="Z450" t="n">
        <v>3.5</v>
      </c>
      <c r="AA450" t="n">
        <v>0</v>
      </c>
      <c r="AB450" t="inlineStr">
        <is>
          <t>The student partially completed several tasks but made significant errors. They used incorrect image sizes (224x224 instead of 32x32), included unnecessary transformations like RandomHorizontalFlip and Normalize, and incorrectly defined BatchNorm2d layers without assigning them to attributes. The CNN model lacks two required convolutional layers and has incorrect fully connected layer dimensions. The training loop is implemented but does not plot losses and accuracies. No bonus task was attempted.</t>
        </is>
      </c>
      <c r="AC450" t="n">
        <v>0</v>
      </c>
      <c r="AD450" t="inlineStr">
        <is>
          <t>No submission found.</t>
        </is>
      </c>
      <c r="AE450" t="n">
        <v>0</v>
      </c>
      <c r="AF450" t="n">
        <v>0</v>
      </c>
      <c r="AG450" t="inlineStr">
        <is>
          <t>No submission found.</t>
        </is>
      </c>
      <c r="AH450" t="n">
        <v>8.5</v>
      </c>
      <c r="AI450" t="n">
        <v>0</v>
      </c>
    </row>
    <row r="451">
      <c r="A451" t="n">
        <v>450</v>
      </c>
      <c r="B451" t="inlineStr">
        <is>
          <t>TA_8</t>
        </is>
      </c>
      <c r="C451" t="inlineStr">
        <is>
          <t>TA_18</t>
        </is>
      </c>
      <c r="D451" t="n">
        <v>2</v>
      </c>
      <c r="E451" t="n">
        <v>0</v>
      </c>
      <c r="F451" t="n">
        <v>9</v>
      </c>
      <c r="G451" t="n">
        <v>0</v>
      </c>
      <c r="H451" t="n">
        <v>0</v>
      </c>
      <c r="I451" t="n">
        <v>0</v>
      </c>
      <c r="J451" t="n">
        <v>0.5</v>
      </c>
      <c r="K451" t="n">
        <v>0</v>
      </c>
      <c r="L451" t="n">
        <v>7.5</v>
      </c>
      <c r="M451" t="n">
        <v>0</v>
      </c>
      <c r="N451" t="n">
        <v>0</v>
      </c>
      <c r="O451" t="n">
        <v>0</v>
      </c>
      <c r="P451">
        <f>Table1[[#This Row],[TA 1 - Q1 Score]]+Table1[[#This Row],[TA 1 - Q2 Score]]+Table1[[#This Row],[TA 1 - Q3 Score]]</f>
        <v/>
      </c>
      <c r="Q451">
        <f>Table1[[#This Row],[TA 1 - Q1 Bonus]]+Table1[[#This Row],[TA 1 - Q2 Bonus]]+Table1[[#This Row],[TA 1 - Q4 Bonus]]</f>
        <v/>
      </c>
      <c r="R451">
        <f>Table1[[#This Row],[TA 2 - Q1 Score]]+Table1[[#This Row],[TA 2 - Q2 Score]]+Table1[[#This Row],[TA 2 - Q3 Score]]</f>
        <v/>
      </c>
      <c r="S451">
        <f>Table1[[#This Row],[TA 2 - Q1 Bonus]]+Table1[[#This Row],[TA 2 - Q2 Bonus]]+Table1[[#This Row],[TA 2 - Q4 Bonus]]</f>
        <v/>
      </c>
      <c r="T451">
        <f>(Table1[[#This Row],[TA 1 - Total Score (out of 35)]]+Table1[[#This Row],[TA 2 - Total Score (out of 35)]])/2</f>
        <v/>
      </c>
      <c r="U451">
        <f>(Table1[[#This Row],[TA 1 - Total Bonus (out of 13)]]+Table1[[#This Row],[TA 2 - Total Bonus (out of 13)]])/2</f>
        <v/>
      </c>
      <c r="V451">
        <f>Table1[[#This Row],[Average Questions]]/35*20+Table1[[#This Row],[Average Bonus]]/13*5</f>
        <v/>
      </c>
      <c r="W451" t="n">
        <v>1.5</v>
      </c>
      <c r="X451" t="n">
        <v>0</v>
      </c>
      <c r="Y451" t="inlineStr">
        <is>
          <t>The student completed the transforms correctly in Part 1, Task 1. However, Part 1, Task 2 and Task 3 were not implemented. In Part 2, the student attempted to load the pretrained model but used an incorrect method. Parts 3, 4, and the bonus task were not attempted.</t>
        </is>
      </c>
      <c r="Z451" t="n">
        <v>7</v>
      </c>
      <c r="AA451" t="n">
        <v>0</v>
      </c>
      <c r="AB451" t="inlineStr">
        <is>
          <t>The student implemented a custom dataset class and used the correct transformations, including RandomRotation and resizing to 32x32, earning full marks for Part 1. The CNN model has 5 convolutional layers but does not include batch normalization, resulting in 50% for Part 2. Both training and validation loops are correctly defined, earning full marks for Part 3. The model setup, training, and plotting of losses and accuracies are mostly correct, though the number of epochs is reduced to 3, earning 50% for Part 4. No bonus task was attempted.</t>
        </is>
      </c>
      <c r="AC451" t="n">
        <v>0</v>
      </c>
      <c r="AD451" t="inlineStr">
        <is>
          <t>No submission found.</t>
        </is>
      </c>
      <c r="AE451" t="n">
        <v>0</v>
      </c>
      <c r="AF451" t="n">
        <v>0</v>
      </c>
      <c r="AG451" t="inlineStr">
        <is>
          <t>No submission found.</t>
        </is>
      </c>
      <c r="AH451" t="n">
        <v>8.5</v>
      </c>
      <c r="AI451" t="n">
        <v>0</v>
      </c>
    </row>
    <row r="452">
      <c r="A452" t="n">
        <v>451</v>
      </c>
      <c r="B452" t="inlineStr">
        <is>
          <t>TA_8</t>
        </is>
      </c>
      <c r="C452" t="inlineStr">
        <is>
          <t>TA_18</t>
        </is>
      </c>
      <c r="D452" t="n">
        <v>7</v>
      </c>
      <c r="E452" t="n">
        <v>0</v>
      </c>
      <c r="F452" t="n">
        <v>8</v>
      </c>
      <c r="G452" t="n">
        <v>0</v>
      </c>
      <c r="H452" t="n">
        <v>12</v>
      </c>
      <c r="I452" t="n">
        <v>0</v>
      </c>
      <c r="J452" t="n">
        <v>4.5</v>
      </c>
      <c r="K452" t="n">
        <v>0</v>
      </c>
      <c r="L452" t="n">
        <v>11</v>
      </c>
      <c r="M452" t="n">
        <v>0</v>
      </c>
      <c r="N452" t="n">
        <v>8.75</v>
      </c>
      <c r="O452" t="n">
        <v>0</v>
      </c>
      <c r="P452">
        <f>Table1[[#This Row],[TA 1 - Q1 Score]]+Table1[[#This Row],[TA 1 - Q2 Score]]+Table1[[#This Row],[TA 1 - Q3 Score]]</f>
        <v/>
      </c>
      <c r="Q452">
        <f>Table1[[#This Row],[TA 1 - Q1 Bonus]]+Table1[[#This Row],[TA 1 - Q2 Bonus]]+Table1[[#This Row],[TA 1 - Q4 Bonus]]</f>
        <v/>
      </c>
      <c r="R452">
        <f>Table1[[#This Row],[TA 2 - Q1 Score]]+Table1[[#This Row],[TA 2 - Q2 Score]]+Table1[[#This Row],[TA 2 - Q3 Score]]</f>
        <v/>
      </c>
      <c r="S452">
        <f>Table1[[#This Row],[TA 2 - Q1 Bonus]]+Table1[[#This Row],[TA 2 - Q2 Bonus]]+Table1[[#This Row],[TA 2 - Q4 Bonus]]</f>
        <v/>
      </c>
      <c r="T452">
        <f>(Table1[[#This Row],[TA 1 - Total Score (out of 35)]]+Table1[[#This Row],[TA 2 - Total Score (out of 35)]])/2</f>
        <v/>
      </c>
      <c r="U452">
        <f>(Table1[[#This Row],[TA 1 - Total Bonus (out of 13)]]+Table1[[#This Row],[TA 2 - Total Bonus (out of 13)]])/2</f>
        <v/>
      </c>
      <c r="V452">
        <f>Table1[[#This Row],[Average Questions]]/35*20+Table1[[#This Row],[Average Bonus]]/13*5</f>
        <v/>
      </c>
      <c r="W452" t="n">
        <v>5</v>
      </c>
      <c r="X452" t="n">
        <v>0</v>
      </c>
      <c r="Y452" t="inlineStr">
        <is>
          <t>The student completed the data loading and transformation tasks correctly, including resizing, converting to tensor, and normalizing the images. However, there were issues in creating and displaying sample images, where the visualization function had errors in accessing dataset classes. The model loading and adaptation were mostly correct, but the student froze all parameters instead of just the backbone. The training and validation loops had syntax errors, such as using 'masks' instead of 'labels'. The bonus task was not attempted.</t>
        </is>
      </c>
      <c r="Z452" t="n">
        <v>7.5</v>
      </c>
      <c r="AA452" t="n">
        <v>0</v>
      </c>
      <c r="AB452" t="inlineStr">
        <is>
          <t>The student partially completed the tasks. They correctly set up the dataset using ImageFolder and applied the required transformations, earning full marks for Part 1. However, the CNN model had several issues: incorrect number of output channels in fully connected layers, missing BatchNormalization assignments, and incorrect input size assumptions, resulting in 25% for Part 2. The training and validation loops were mostly correct but included unnecessary softmax operations, earning 50% for Part 3. The training setup and execution were correct, earning full marks for Part 4. No bonus task was attempted.</t>
        </is>
      </c>
      <c r="AC452" t="n">
        <v>7</v>
      </c>
      <c r="AD452" t="inlineStr">
        <is>
          <t>The student's submission contains mostly correct code with some minor issues. Task 1 is partially correct with a small mistake in the mask transformation. Task 2 has a critical error where the model is defined for binary segmentation instead of multi-class segmentation. Task 3 is correct. Task 4 is mostly correct with a minor issue in the learning rate. Task 5 is partially correct with a minor issue in the colormap used for displaying predictions.</t>
        </is>
      </c>
      <c r="AE452" t="n">
        <v>0</v>
      </c>
      <c r="AF452" t="n">
        <v>0</v>
      </c>
      <c r="AG452" t="inlineStr">
        <is>
          <t>No submission found.</t>
        </is>
      </c>
      <c r="AH452" t="n">
        <v>19.5</v>
      </c>
      <c r="AI452" t="n">
        <v>0</v>
      </c>
    </row>
    <row r="453">
      <c r="A453" t="n">
        <v>452</v>
      </c>
      <c r="B453" t="inlineStr">
        <is>
          <t>TA_8</t>
        </is>
      </c>
      <c r="C453" t="inlineStr">
        <is>
          <t>TA_18</t>
        </is>
      </c>
      <c r="D453" t="n">
        <v>12</v>
      </c>
      <c r="E453" t="n">
        <v>4</v>
      </c>
      <c r="F453" t="n">
        <v>11</v>
      </c>
      <c r="G453" t="n">
        <v>4</v>
      </c>
      <c r="H453" t="n">
        <v>3</v>
      </c>
      <c r="I453" t="n">
        <v>0</v>
      </c>
      <c r="J453" t="n">
        <v>12</v>
      </c>
      <c r="K453" t="n">
        <v>4</v>
      </c>
      <c r="L453" t="n">
        <v>11</v>
      </c>
      <c r="M453" t="n">
        <v>4</v>
      </c>
      <c r="N453" t="n">
        <v>-1</v>
      </c>
      <c r="O453" t="n">
        <v>0</v>
      </c>
      <c r="P453">
        <f>Table1[[#This Row],[TA 1 - Q1 Score]]+Table1[[#This Row],[TA 1 - Q2 Score]]+Table1[[#This Row],[TA 1 - Q3 Score]]</f>
        <v/>
      </c>
      <c r="Q453">
        <f>Table1[[#This Row],[TA 1 - Q1 Bonus]]+Table1[[#This Row],[TA 1 - Q2 Bonus]]+Table1[[#This Row],[TA 1 - Q4 Bonus]]</f>
        <v/>
      </c>
      <c r="R453">
        <f>Table1[[#This Row],[TA 2 - Q1 Score]]+Table1[[#This Row],[TA 2 - Q2 Score]]+Table1[[#This Row],[TA 2 - Q3 Score]]</f>
        <v/>
      </c>
      <c r="S453">
        <f>Table1[[#This Row],[TA 2 - Q1 Bonus]]+Table1[[#This Row],[TA 2 - Q2 Bonus]]+Table1[[#This Row],[TA 2 - Q4 Bonus]]</f>
        <v/>
      </c>
      <c r="T453">
        <f>(Table1[[#This Row],[TA 1 - Total Score (out of 35)]]+Table1[[#This Row],[TA 2 - Total Score (out of 35)]])/2</f>
        <v/>
      </c>
      <c r="U453">
        <f>(Table1[[#This Row],[TA 1 - Total Bonus (out of 13)]]+Table1[[#This Row],[TA 2 - Total Bonus (out of 13)]])/2</f>
        <v/>
      </c>
      <c r="V453">
        <f>Table1[[#This Row],[Average Questions]]/35*20+Table1[[#This Row],[Average Bonus]]/13*5</f>
        <v/>
      </c>
      <c r="W453" t="n">
        <v>10.5</v>
      </c>
      <c r="X453" t="n">
        <v>4</v>
      </c>
      <c r="Y453" t="inlineStr">
        <is>
          <t>The student completed all required tasks with minor issues. In Part 1, the transforms were correctly implemented. In Part 2, the model was loaded and adapted properly, though the backbone freezing method could be improved by specifically targeting the feature extractor. In Part 3, the training and validation loops were correct, and the label fix was applied. In Part 4, the setup and training process were accurate, and the plots were generated correctly. For the bonus task, the TTA implementation was complete and correct.</t>
        </is>
      </c>
      <c r="Z453" t="n">
        <v>8.5</v>
      </c>
      <c r="AA453" t="n">
        <v>1</v>
      </c>
      <c r="AB453" t="inlineStr">
        <is>
          <t>The student successfully loaded and prepared the data with the correct transformations and displayed sample images. The CNN model was built with 5 convolutional layers and batch normalization, though the number of filters differs from the reference solution. Training and validation functions were correctly implemented, and the model was trained and plotted. The residual connection was added between the second and fourth layers, and the model was retrained and plotted, earning partial bonus points.</t>
        </is>
      </c>
      <c r="AC453" t="n">
        <v>2</v>
      </c>
      <c r="AD453" t="inlineStr">
        <is>
          <t>The student partially completed Task 1 by defining the remap_mask function and attempting to set up the dataset class, but did not fully implement it. Task 2 had an incorrect model definition with a binary segmentation setup instead of multi-class. Task 3 was partially implemented with training and validation loops, but included unnecessary accuracy calculations. Task 4 was mostly correct except for the binary segmentation assumption. Task 5 was partially correct but used a binary threshold for predictions.</t>
        </is>
      </c>
      <c r="AE453" t="n">
        <v>0</v>
      </c>
      <c r="AF453" t="n">
        <v>0</v>
      </c>
      <c r="AG453" t="inlineStr">
        <is>
          <t>The student's implementation contains several issues that prevent it from running correctly. In the `__init__` method, the dataset is stored under `self.cifar_dataset` instead of `self.dataset`, which causes errors in other methods. The `rgb_to_grayscale` method is missing the step to add a channel dimension to the grayscale image, resulting in incorrect shape. Despite these issues, the student attempted to implement all required tasks, so partial credit is not applicable due to the all-or-nothing nature of the bonus question.</t>
        </is>
      </c>
      <c r="AH453" t="n">
        <v>21</v>
      </c>
      <c r="AI453" t="n">
        <v>5</v>
      </c>
    </row>
    <row r="454">
      <c r="A454" t="n">
        <v>453</v>
      </c>
      <c r="B454" t="inlineStr">
        <is>
          <t>TA_8</t>
        </is>
      </c>
      <c r="C454" t="inlineStr">
        <is>
          <t>TA_18</t>
        </is>
      </c>
      <c r="D454" t="n">
        <v>12</v>
      </c>
      <c r="E454" t="n">
        <v>0</v>
      </c>
      <c r="F454" t="n">
        <v>11</v>
      </c>
      <c r="G454" t="n">
        <v>0</v>
      </c>
      <c r="H454" t="n">
        <v>12</v>
      </c>
      <c r="I454" t="n">
        <v>5</v>
      </c>
      <c r="J454" t="n">
        <v>12</v>
      </c>
      <c r="K454" t="n">
        <v>0</v>
      </c>
      <c r="L454" t="n">
        <v>11</v>
      </c>
      <c r="M454" t="n">
        <v>0</v>
      </c>
      <c r="N454" t="n">
        <v>12</v>
      </c>
      <c r="O454" t="n">
        <v>5</v>
      </c>
      <c r="P454">
        <f>Table1[[#This Row],[TA 1 - Q1 Score]]+Table1[[#This Row],[TA 1 - Q2 Score]]+Table1[[#This Row],[TA 1 - Q3 Score]]</f>
        <v/>
      </c>
      <c r="Q454">
        <f>Table1[[#This Row],[TA 1 - Q1 Bonus]]+Table1[[#This Row],[TA 1 - Q2 Bonus]]+Table1[[#This Row],[TA 1 - Q4 Bonus]]</f>
        <v/>
      </c>
      <c r="R454">
        <f>Table1[[#This Row],[TA 2 - Q1 Score]]+Table1[[#This Row],[TA 2 - Q2 Score]]+Table1[[#This Row],[TA 2 - Q3 Score]]</f>
        <v/>
      </c>
      <c r="S454">
        <f>Table1[[#This Row],[TA 2 - Q1 Bonus]]+Table1[[#This Row],[TA 2 - Q2 Bonus]]+Table1[[#This Row],[TA 2 - Q4 Bonus]]</f>
        <v/>
      </c>
      <c r="T454">
        <f>(Table1[[#This Row],[TA 1 - Total Score (out of 35)]]+Table1[[#This Row],[TA 2 - Total Score (out of 35)]])/2</f>
        <v/>
      </c>
      <c r="U454">
        <f>(Table1[[#This Row],[TA 1 - Total Bonus (out of 13)]]+Table1[[#This Row],[TA 2 - Total Bonus (out of 13)]])/2</f>
        <v/>
      </c>
      <c r="V454">
        <f>Table1[[#This Row],[Average Questions]]/35*20+Table1[[#This Row],[Average Bonus]]/13*5</f>
        <v/>
      </c>
      <c r="W454" t="n">
        <v>7</v>
      </c>
      <c r="X454" t="n">
        <v>0</v>
      </c>
      <c r="Y454" t="inlineStr">
        <is>
          <t>The student completed most tasks with minor issues. The transforms were correctly defined, and DataLoaders were set up properly. Sample images were displayed, though with fewer samples than the reference. The model was loaded and adapted correctly, but the backbone was not explicitly frozen. The training and validation loops were implemented with a small mistake in the label adjustment, where the labels were already adjusted during dataset loading. The training process ran without errors, and plots were generated. The bonus task was not attempted.</t>
        </is>
      </c>
      <c r="Z454" t="n">
        <v>8.5</v>
      </c>
      <c r="AA454" t="n">
        <v>0</v>
      </c>
      <c r="AB454" t="inlineStr">
        <is>
          <t>The student successfully completed most tasks with minor issues. The dataset loading and preparation were mostly correct, with the exception of using 32x32 resizing instead of 128x128 as specified. The CNN model had 5 convolutional layers with batch normalization, earning full points. The training and validation loops were implemented correctly, and the model was trained and plotted accurately. However, the bonus task was not attempted.</t>
        </is>
      </c>
      <c r="AC454" t="n">
        <v>10</v>
      </c>
      <c r="AD454" t="inlineStr">
        <is>
          <t>The student's submission is mostly correct and runs end-to-end. The dataset class is implemented properly with appropriate transformations and data loading. The model class uses the correct pretrained U-Net with efficientnet-b1 encoder. Training and validation loops are correctly defined and executed, with loss printed and plotted. Predictions are visualized against ground truth. Minor issues include redundant imports and a slightly different structure, but these do not affect functionality.</t>
        </is>
      </c>
      <c r="AE454" t="n">
        <v>0</v>
      </c>
      <c r="AF454" t="n">
        <v>5</v>
      </c>
      <c r="AG454" t="inlineStr">
        <is>
          <t>The student's implementation of the ColorizationDataset class is correct and runs perfectly, producing the expected output. The code follows the optimal logic, including the correct RGB to grayscale conversion formula and returning the correct shapes for both grayscale and color images. The visualization also displays the images correctly.</t>
        </is>
      </c>
      <c r="AH454" t="n">
        <v>25.5</v>
      </c>
      <c r="AI454" t="n">
        <v>5</v>
      </c>
    </row>
    <row r="455">
      <c r="A455" t="n">
        <v>454</v>
      </c>
      <c r="B455" t="inlineStr">
        <is>
          <t>TA_8</t>
        </is>
      </c>
      <c r="C455" t="inlineStr">
        <is>
          <t>TA_18</t>
        </is>
      </c>
      <c r="D455" t="n">
        <v>3</v>
      </c>
      <c r="E455" t="n">
        <v>0</v>
      </c>
      <c r="F455" t="n">
        <v>7.5</v>
      </c>
      <c r="G455" t="n">
        <v>0</v>
      </c>
      <c r="H455" t="n">
        <v>0</v>
      </c>
      <c r="I455" t="n">
        <v>0</v>
      </c>
      <c r="J455" t="n">
        <v>4.25</v>
      </c>
      <c r="K455" t="n">
        <v>0</v>
      </c>
      <c r="L455" t="n">
        <v>5.75</v>
      </c>
      <c r="M455" t="n">
        <v>0</v>
      </c>
      <c r="N455" t="n">
        <v>3.5</v>
      </c>
      <c r="O455" t="n">
        <v>0</v>
      </c>
      <c r="P455">
        <f>Table1[[#This Row],[TA 1 - Q1 Score]]+Table1[[#This Row],[TA 1 - Q2 Score]]+Table1[[#This Row],[TA 1 - Q3 Score]]</f>
        <v/>
      </c>
      <c r="Q455">
        <f>Table1[[#This Row],[TA 1 - Q1 Bonus]]+Table1[[#This Row],[TA 1 - Q2 Bonus]]+Table1[[#This Row],[TA 1 - Q4 Bonus]]</f>
        <v/>
      </c>
      <c r="R455">
        <f>Table1[[#This Row],[TA 2 - Q1 Score]]+Table1[[#This Row],[TA 2 - Q2 Score]]+Table1[[#This Row],[TA 2 - Q3 Score]]</f>
        <v/>
      </c>
      <c r="S455">
        <f>Table1[[#This Row],[TA 2 - Q1 Bonus]]+Table1[[#This Row],[TA 2 - Q2 Bonus]]+Table1[[#This Row],[TA 2 - Q4 Bonus]]</f>
        <v/>
      </c>
      <c r="T455">
        <f>(Table1[[#This Row],[TA 1 - Total Score (out of 35)]]+Table1[[#This Row],[TA 2 - Total Score (out of 35)]])/2</f>
        <v/>
      </c>
      <c r="U455">
        <f>(Table1[[#This Row],[TA 1 - Total Bonus (out of 13)]]+Table1[[#This Row],[TA 2 - Total Bonus (out of 13)]])/2</f>
        <v/>
      </c>
      <c r="V455">
        <f>Table1[[#This Row],[Average Questions]]/35*20+Table1[[#This Row],[Average Bonus]]/13*5</f>
        <v/>
      </c>
      <c r="W455" t="n">
        <v>2</v>
      </c>
      <c r="X455" t="n">
        <v>0</v>
      </c>
      <c r="Y455" t="inlineStr">
        <is>
          <t>The student partially completed the data loading and preparation tasks, including defining the necessary transforms and creating DataLoaders. However, the sample image display was incomplete and lacked labels. The model loading and adaptation section contained significant errors, using the wrong model (EfficientNet B0 instead of EfficientNetV2-Small) and incorrectly setting up the classifier head. The training and validation loops were implemented but did not adjust the labels to be 0-indexed, resulting in a penalty. The bonus task was not attempted.</t>
        </is>
      </c>
      <c r="Z455" t="n">
        <v>6</v>
      </c>
      <c r="AA455" t="n">
        <v>0</v>
      </c>
      <c r="AB455" t="inlineStr">
        <is>
          <t>The student implemented a custom Dataset class and used DataLoader correctly, earning full points for Part 1. However, the CNN model has incorrect layer configurations and output dimensions, receiving 25% for Part 2. Training and validation loops were implemented correctly, earning full points for Part 3. The model setup, training, and plotting were done properly, earning full points for Part 4. No bonus task was attempted.</t>
        </is>
      </c>
      <c r="AC455" t="n">
        <v>2</v>
      </c>
      <c r="AD455" t="inlineStr">
        <is>
          <t>The student's submission contains significant errors and does not follow the required structure. The dataset class is incorrectly implemented, using a classification approach instead of segmentation. The model is defined for binary segmentation rather than multi-class segmentation. The training and validation loops contain logical errors, and the visualization section does not correctly display predictions versus ground truth. Despite these issues, the student attempted each task, warranting partial credit.</t>
        </is>
      </c>
      <c r="AE455" t="n">
        <v>0</v>
      </c>
      <c r="AF455" t="n">
        <v>0</v>
      </c>
      <c r="AG455" t="inlineStr">
        <is>
          <t>No submission found.</t>
        </is>
      </c>
      <c r="AH455" t="n">
        <v>10</v>
      </c>
      <c r="AI455" t="n">
        <v>0</v>
      </c>
    </row>
    <row r="456">
      <c r="A456" t="n">
        <v>455</v>
      </c>
      <c r="B456" t="inlineStr">
        <is>
          <t>TA_8</t>
        </is>
      </c>
      <c r="C456" t="inlineStr">
        <is>
          <t>TA_18</t>
        </is>
      </c>
      <c r="D456" t="n">
        <v>9.5</v>
      </c>
      <c r="E456" t="n">
        <v>0</v>
      </c>
      <c r="F456" t="n">
        <v>10.5</v>
      </c>
      <c r="G456" t="n">
        <v>0</v>
      </c>
      <c r="H456" t="n">
        <v>8.5</v>
      </c>
      <c r="I456" t="n">
        <v>0</v>
      </c>
      <c r="J456" t="n">
        <v>9.5</v>
      </c>
      <c r="K456" t="n">
        <v>0</v>
      </c>
      <c r="L456" t="n">
        <v>10.25</v>
      </c>
      <c r="M456" t="n">
        <v>0</v>
      </c>
      <c r="N456" t="n">
        <v>8.25</v>
      </c>
      <c r="O456" t="n">
        <v>0</v>
      </c>
      <c r="P456">
        <f>Table1[[#This Row],[TA 1 - Q1 Score]]+Table1[[#This Row],[TA 1 - Q2 Score]]+Table1[[#This Row],[TA 1 - Q3 Score]]</f>
        <v/>
      </c>
      <c r="Q456">
        <f>Table1[[#This Row],[TA 1 - Q1 Bonus]]+Table1[[#This Row],[TA 1 - Q2 Bonus]]+Table1[[#This Row],[TA 1 - Q4 Bonus]]</f>
        <v/>
      </c>
      <c r="R456">
        <f>Table1[[#This Row],[TA 2 - Q1 Score]]+Table1[[#This Row],[TA 2 - Q2 Score]]+Table1[[#This Row],[TA 2 - Q3 Score]]</f>
        <v/>
      </c>
      <c r="S456">
        <f>Table1[[#This Row],[TA 2 - Q1 Bonus]]+Table1[[#This Row],[TA 2 - Q2 Bonus]]+Table1[[#This Row],[TA 2 - Q4 Bonus]]</f>
        <v/>
      </c>
      <c r="T456">
        <f>(Table1[[#This Row],[TA 1 - Total Score (out of 35)]]+Table1[[#This Row],[TA 2 - Total Score (out of 35)]])/2</f>
        <v/>
      </c>
      <c r="U456">
        <f>(Table1[[#This Row],[TA 1 - Total Bonus (out of 13)]]+Table1[[#This Row],[TA 2 - Total Bonus (out of 13)]])/2</f>
        <v/>
      </c>
      <c r="V456">
        <f>Table1[[#This Row],[Average Questions]]/35*20+Table1[[#This Row],[Average Bonus]]/13*5</f>
        <v/>
      </c>
      <c r="W456" t="n">
        <v>6</v>
      </c>
      <c r="X456" t="n">
        <v>0</v>
      </c>
      <c r="Y456" t="inlineStr">
        <is>
          <t>The student completed the data loading and preparation, including defining the necessary transforms and creating DataLoaders. Sample images were displayed correctly. However, there were issues in loading and adapting the pretrained model, where the model was incorrectly loaded twice without freezing the backbone. The training and validation loops were mostly correct but had minor issues like unnecessary squeezing of outputs. The bonus task was not attempted.</t>
        </is>
      </c>
      <c r="Z456" t="n">
        <v>7</v>
      </c>
      <c r="AA456" t="n">
        <v>0</v>
      </c>
      <c r="AB456" t="inlineStr">
        <is>
          <t>The student partially completed the tasks. They correctly defined a custom dataset class and used appropriate transformations, including RandomRotation and resizing to 32x32. However, there were issues in displaying sample images due to incorrect file path handling and missing imports. The CNN model was built with 5 convolutional layers and batch normalization, but the channel sizes were smaller than specified in the reference solution. The training and validation loops were implemented correctly, and the model was trained and evaluated. The bonus task was not attempted.</t>
        </is>
      </c>
      <c r="AC456" t="n">
        <v>6</v>
      </c>
      <c r="AD456" t="inlineStr">
        <is>
          <t>The student's submission partially completes several tasks but has significant issues. Task 1 is mostly complete with a custom dataset class and DataLoaders, but the test DataLoader is missing. Task 2 has an error in defining the model with an incorrect number of classes (5 instead of 8). Task 3 is partially implemented with both training and validation loops, but the validation loop does not append validation losses. Task 4 defines the loss and optimizer but only trains for the training set without validation, and the plot only shows training loss. Task 5 is incomplete with no visualization of predictions.</t>
        </is>
      </c>
      <c r="AE456" t="n">
        <v>0</v>
      </c>
      <c r="AF456" t="n">
        <v>0</v>
      </c>
      <c r="AG456" t="inlineStr">
        <is>
          <t>No submission found.</t>
        </is>
      </c>
      <c r="AH456" t="n">
        <v>19</v>
      </c>
      <c r="AI456" t="n">
        <v>0</v>
      </c>
    </row>
    <row r="457">
      <c r="A457" t="n">
        <v>456</v>
      </c>
      <c r="B457" t="inlineStr">
        <is>
          <t>TA_9</t>
        </is>
      </c>
      <c r="C457" t="inlineStr">
        <is>
          <t>TA_19</t>
        </is>
      </c>
      <c r="D457" t="n">
        <v>7.8</v>
      </c>
      <c r="E457" t="n">
        <v>0</v>
      </c>
      <c r="F457" t="n">
        <v>9.800000000000001</v>
      </c>
      <c r="G457" t="n">
        <v>0</v>
      </c>
      <c r="H457" t="n">
        <v>6</v>
      </c>
      <c r="I457" t="n">
        <v>0</v>
      </c>
      <c r="J457" t="n">
        <v>8.75</v>
      </c>
      <c r="K457" t="n">
        <v>0</v>
      </c>
      <c r="L457" t="n">
        <v>7.25</v>
      </c>
      <c r="M457" t="n">
        <v>0</v>
      </c>
      <c r="N457" t="n">
        <v>8.5</v>
      </c>
      <c r="O457" t="n">
        <v>0</v>
      </c>
      <c r="P457">
        <f>Table1[[#This Row],[TA 1 - Q1 Score]]+Table1[[#This Row],[TA 1 - Q2 Score]]+Table1[[#This Row],[TA 1 - Q3 Score]]</f>
        <v/>
      </c>
      <c r="Q457">
        <f>Table1[[#This Row],[TA 1 - Q1 Bonus]]+Table1[[#This Row],[TA 1 - Q2 Bonus]]+Table1[[#This Row],[TA 1 - Q4 Bonus]]</f>
        <v/>
      </c>
      <c r="R457">
        <f>Table1[[#This Row],[TA 2 - Q1 Score]]+Table1[[#This Row],[TA 2 - Q2 Score]]+Table1[[#This Row],[TA 2 - Q3 Score]]</f>
        <v/>
      </c>
      <c r="S457">
        <f>Table1[[#This Row],[TA 2 - Q1 Bonus]]+Table1[[#This Row],[TA 2 - Q2 Bonus]]+Table1[[#This Row],[TA 2 - Q4 Bonus]]</f>
        <v/>
      </c>
      <c r="T457">
        <f>(Table1[[#This Row],[TA 1 - Total Score (out of 35)]]+Table1[[#This Row],[TA 2 - Total Score (out of 35)]])/2</f>
        <v/>
      </c>
      <c r="U457">
        <f>(Table1[[#This Row],[TA 1 - Total Bonus (out of 13)]]+Table1[[#This Row],[TA 2 - Total Bonus (out of 13)]])/2</f>
        <v/>
      </c>
      <c r="V457">
        <f>Table1[[#This Row],[Average Questions]]/35*20+Table1[[#This Row],[Average Bonus]]/13*5</f>
        <v/>
      </c>
      <c r="W457" t="n">
        <v>8.5</v>
      </c>
      <c r="X457" t="n">
        <v>0</v>
      </c>
      <c r="Y457" t="inlineStr">
        <is>
          <t>The student completed most tasks correctly but made several minor mistakes. In Part 1, the transforms were correctly defined, and DataLoaders were created, though the batch size was smaller than in the reference. Sample images were displayed, but labels were not adjusted for 0-indexing. In Part 2, the model was loaded and adapted correctly. In Part 3, the training and validation loops were implemented, but labels were incorrectly converted to float and used a custom SubtractOne module instead of directly subtracting 1. In Part 4, the model was set up and trained, but the number of epochs was higher than in the reference. Plots were generated correctly. No bonus task was attempted.</t>
        </is>
      </c>
      <c r="Z457" t="n">
        <v>6</v>
      </c>
      <c r="AA457" t="n">
        <v>0</v>
      </c>
      <c r="AB457" t="inlineStr">
        <is>
          <t>The student successfully loaded and prepared the data with the correct transformations and displayed sample images. The CNN model was built with 5 convolutional layers and batch normalization, though the number of output classes was incorrectly set to 26 instead of 3. The training and validation functions were implemented correctly, and the model was trained and evaluated. However, the bonus task was not attempted.</t>
        </is>
      </c>
      <c r="AC457" t="n">
        <v>8</v>
      </c>
      <c r="AD457" t="inlineStr">
        <is>
          <t>The student's submission includes most of the required tasks with minor issues. The dataset class is implemented correctly, but the image and mask transformations could be improved for better normalization. The model class uses the correct encoder but has a small mistake in the number of classes. The training and validation loops are mostly correct but could benefit from more detailed comments. The loss and optimizer are defined properly, and the training process runs without errors. The loss curve is plotted correctly. However, the visualization of predictions is missing, which deducts points.</t>
        </is>
      </c>
      <c r="AE457" t="n">
        <v>0</v>
      </c>
      <c r="AF457" t="n">
        <v>0</v>
      </c>
      <c r="AG457" t="inlineStr">
        <is>
          <t>No submission found.</t>
        </is>
      </c>
      <c r="AH457" t="n">
        <v>22.5</v>
      </c>
      <c r="AI457" t="n">
        <v>0</v>
      </c>
    </row>
    <row r="458">
      <c r="A458" t="n">
        <v>457</v>
      </c>
      <c r="B458" t="inlineStr">
        <is>
          <t>TA_9</t>
        </is>
      </c>
      <c r="C458" t="inlineStr">
        <is>
          <t>TA_19</t>
        </is>
      </c>
      <c r="D458" t="n">
        <v>11</v>
      </c>
      <c r="E458" t="n">
        <v>0</v>
      </c>
      <c r="F458" t="n">
        <v>9</v>
      </c>
      <c r="G458" t="n">
        <v>0</v>
      </c>
      <c r="H458" t="n">
        <v>12</v>
      </c>
      <c r="I458" t="n">
        <v>0</v>
      </c>
      <c r="J458" t="n">
        <v>9.5</v>
      </c>
      <c r="K458" t="n">
        <v>1</v>
      </c>
      <c r="L458" t="n">
        <v>8.5</v>
      </c>
      <c r="M458" t="n">
        <v>0</v>
      </c>
      <c r="N458" t="n">
        <v>12</v>
      </c>
      <c r="O458" t="n">
        <v>0</v>
      </c>
      <c r="P458">
        <f>Table1[[#This Row],[TA 1 - Q1 Score]]+Table1[[#This Row],[TA 1 - Q2 Score]]+Table1[[#This Row],[TA 1 - Q3 Score]]</f>
        <v/>
      </c>
      <c r="Q458">
        <f>Table1[[#This Row],[TA 1 - Q1 Bonus]]+Table1[[#This Row],[TA 1 - Q2 Bonus]]+Table1[[#This Row],[TA 1 - Q4 Bonus]]</f>
        <v/>
      </c>
      <c r="R458">
        <f>Table1[[#This Row],[TA 2 - Q1 Score]]+Table1[[#This Row],[TA 2 - Q2 Score]]+Table1[[#This Row],[TA 2 - Q3 Score]]</f>
        <v/>
      </c>
      <c r="S458">
        <f>Table1[[#This Row],[TA 2 - Q1 Bonus]]+Table1[[#This Row],[TA 2 - Q2 Bonus]]+Table1[[#This Row],[TA 2 - Q4 Bonus]]</f>
        <v/>
      </c>
      <c r="T458">
        <f>(Table1[[#This Row],[TA 1 - Total Score (out of 35)]]+Table1[[#This Row],[TA 2 - Total Score (out of 35)]])/2</f>
        <v/>
      </c>
      <c r="U458">
        <f>(Table1[[#This Row],[TA 1 - Total Bonus (out of 13)]]+Table1[[#This Row],[TA 2 - Total Bonus (out of 13)]])/2</f>
        <v/>
      </c>
      <c r="V458">
        <f>Table1[[#This Row],[Average Questions]]/35*20+Table1[[#This Row],[Average Bonus]]/13*5</f>
        <v/>
      </c>
      <c r="W458" t="n">
        <v>5</v>
      </c>
      <c r="X458" t="n">
        <v>0</v>
      </c>
      <c r="Y458" t="inlineStr">
        <is>
          <t>The student partially completed several tasks but had significant issues in others. They correctly implemented the transforms, created DataLoaders, and displayed sample images, earning full points for these tasks. However, they incorrectly loaded a different model (EfficientNet-B0 instead of EfficientNetV2-Small) and froze the entire model instead of just the backbone. The training and validation loops were mostly correct but had minor issues like using a smaller batch size and an incorrect model setup. The bonus task was not attempted.</t>
        </is>
      </c>
      <c r="Z458" t="n">
        <v>7</v>
      </c>
      <c r="AA458" t="n">
        <v>0</v>
      </c>
      <c r="AB458" t="inlineStr">
        <is>
          <t>The student implemented a custom dataset class, created train and test datasets with the correct transformations, and displayed sample images. However, the CNN model has incorrect layer sizes and does not include batch normalization. The training and validation loops are mostly correct but contain unnecessary softmax calls. The student did not attempt the bonus task.</t>
        </is>
      </c>
      <c r="AC458" t="n">
        <v>8.5</v>
      </c>
      <c r="AD458" t="inlineStr">
        <is>
          <t>The student's submission includes most of the required tasks with minor issues. The dataset class is implemented correctly with a slight modification in the constructor parameters. DataLoaders are created and displayed properly. The model class uses the correct U-Net architecture with the specified encoder. Training and validation loops are implemented with minor syntax issues. Loss and optimizer are defined, and the model trains for 10 epochs with printed losses. The loss curve is plotted correctly. Predictions are visualized against ground truth, though the colormap could be improved for better visualization.</t>
        </is>
      </c>
      <c r="AE458" t="n">
        <v>0</v>
      </c>
      <c r="AF458" t="n">
        <v>0</v>
      </c>
      <c r="AG458" t="inlineStr">
        <is>
          <t>No submission found.</t>
        </is>
      </c>
      <c r="AH458" t="n">
        <v>20.5</v>
      </c>
      <c r="AI458" t="n">
        <v>0</v>
      </c>
    </row>
    <row r="459">
      <c r="A459" t="n">
        <v>458</v>
      </c>
      <c r="B459" t="inlineStr">
        <is>
          <t>TA_9</t>
        </is>
      </c>
      <c r="C459" t="inlineStr">
        <is>
          <t>TA_19</t>
        </is>
      </c>
      <c r="D459" t="n">
        <v>12</v>
      </c>
      <c r="E459" t="n">
        <v>0</v>
      </c>
      <c r="F459" t="n">
        <v>11</v>
      </c>
      <c r="G459" t="n">
        <v>0</v>
      </c>
      <c r="H459" t="n">
        <v>11.5</v>
      </c>
      <c r="I459" t="n">
        <v>0</v>
      </c>
      <c r="J459" t="n">
        <v>12</v>
      </c>
      <c r="K459" t="n">
        <v>0</v>
      </c>
      <c r="L459" t="n">
        <v>10.75</v>
      </c>
      <c r="M459" t="n">
        <v>0</v>
      </c>
      <c r="N459" t="n">
        <v>11.5</v>
      </c>
      <c r="O459" t="n">
        <v>0</v>
      </c>
      <c r="P459">
        <f>Table1[[#This Row],[TA 1 - Q1 Score]]+Table1[[#This Row],[TA 1 - Q2 Score]]+Table1[[#This Row],[TA 1 - Q3 Score]]</f>
        <v/>
      </c>
      <c r="Q459">
        <f>Table1[[#This Row],[TA 1 - Q1 Bonus]]+Table1[[#This Row],[TA 1 - Q2 Bonus]]+Table1[[#This Row],[TA 1 - Q4 Bonus]]</f>
        <v/>
      </c>
      <c r="R459">
        <f>Table1[[#This Row],[TA 2 - Q1 Score]]+Table1[[#This Row],[TA 2 - Q2 Score]]+Table1[[#This Row],[TA 2 - Q3 Score]]</f>
        <v/>
      </c>
      <c r="S459">
        <f>Table1[[#This Row],[TA 2 - Q1 Bonus]]+Table1[[#This Row],[TA 2 - Q2 Bonus]]+Table1[[#This Row],[TA 2 - Q4 Bonus]]</f>
        <v/>
      </c>
      <c r="T459">
        <f>(Table1[[#This Row],[TA 1 - Total Score (out of 35)]]+Table1[[#This Row],[TA 2 - Total Score (out of 35)]])/2</f>
        <v/>
      </c>
      <c r="U459">
        <f>(Table1[[#This Row],[TA 1 - Total Bonus (out of 13)]]+Table1[[#This Row],[TA 2 - Total Bonus (out of 13)]])/2</f>
        <v/>
      </c>
      <c r="V459">
        <f>Table1[[#This Row],[Average Questions]]/35*20+Table1[[#This Row],[Average Bonus]]/13*5</f>
        <v/>
      </c>
      <c r="W459" t="n">
        <v>8.5</v>
      </c>
      <c r="X459" t="n">
        <v>0</v>
      </c>
      <c r="Y459" t="inlineStr">
        <is>
          <t>The student completed most tasks correctly but made several minor mistakes. The data loading and preparation were mostly accurate, with the correct transformations applied. However, the batch size was set to 32 instead of 64. The model loading and adaptation were correct, but the student froze all parameters instead of just the backbone. The training and validation loops had logical errors, particularly in the calculation of accuracy, where the student did not adjust the labels correctly. The plotting of losses and accuracies was done correctly. No bonus task was attempted.</t>
        </is>
      </c>
      <c r="Z459" t="n">
        <v>7</v>
      </c>
      <c r="AA459" t="n">
        <v>0</v>
      </c>
      <c r="AB459" t="inlineStr">
        <is>
          <t>The student successfully implemented a custom dataset class, created train and test datasets with appropriate transformations, and displayed sample images. However, the CNN model deviated significantly from the required specifications, using more layers and different configurations. The training and validation loops were correctly implemented, and the model was trained and plotted. No bonus task was attempted.</t>
        </is>
      </c>
      <c r="AC459" t="n">
        <v>6</v>
      </c>
      <c r="AD459" t="inlineStr">
        <is>
          <t>The student attempted most tasks but made several mistakes. In Task 1, the dataset class incorrectly used lists of file paths instead of a CSV file, causing issues in loading images and masks. The DataLoader creation and sample display were partially correct but had syntax errors. Task 2 correctly defined the U-Net model with the specified encoder. Task 3 implemented training and validation loops with minor syntax issues. Task 4 defined the loss and optimizer correctly, trained the model, and plotted the loss curve, but the number of epochs was higher than required. Task 5 visualized predictions but had issues with image and mask loading due to the incorrect dataset class implementation.</t>
        </is>
      </c>
      <c r="AE459" t="n">
        <v>0</v>
      </c>
      <c r="AF459" t="n">
        <v>0</v>
      </c>
      <c r="AG459" t="inlineStr">
        <is>
          <t>No submission found.</t>
        </is>
      </c>
      <c r="AH459" t="n">
        <v>21.5</v>
      </c>
      <c r="AI459" t="n">
        <v>0</v>
      </c>
    </row>
    <row r="460">
      <c r="A460" t="n">
        <v>459</v>
      </c>
      <c r="B460" t="inlineStr">
        <is>
          <t>TA_9</t>
        </is>
      </c>
      <c r="C460" t="inlineStr">
        <is>
          <t>TA_19</t>
        </is>
      </c>
      <c r="D460" t="n">
        <v>12</v>
      </c>
      <c r="E460" t="n">
        <v>4</v>
      </c>
      <c r="F460" t="n">
        <v>11</v>
      </c>
      <c r="G460" t="n">
        <v>4</v>
      </c>
      <c r="H460" t="n">
        <v>12</v>
      </c>
      <c r="I460" t="n">
        <v>5</v>
      </c>
      <c r="J460" t="n">
        <v>12</v>
      </c>
      <c r="K460" t="n">
        <v>4</v>
      </c>
      <c r="L460" t="n">
        <v>11</v>
      </c>
      <c r="M460" t="n">
        <v>4</v>
      </c>
      <c r="N460" t="n">
        <v>12</v>
      </c>
      <c r="O460" t="n">
        <v>5</v>
      </c>
      <c r="P460">
        <f>Table1[[#This Row],[TA 1 - Q1 Score]]+Table1[[#This Row],[TA 1 - Q2 Score]]+Table1[[#This Row],[TA 1 - Q3 Score]]</f>
        <v/>
      </c>
      <c r="Q460">
        <f>Table1[[#This Row],[TA 1 - Q1 Bonus]]+Table1[[#This Row],[TA 1 - Q2 Bonus]]+Table1[[#This Row],[TA 1 - Q4 Bonus]]</f>
        <v/>
      </c>
      <c r="R460">
        <f>Table1[[#This Row],[TA 2 - Q1 Score]]+Table1[[#This Row],[TA 2 - Q2 Score]]+Table1[[#This Row],[TA 2 - Q3 Score]]</f>
        <v/>
      </c>
      <c r="S460">
        <f>Table1[[#This Row],[TA 2 - Q1 Bonus]]+Table1[[#This Row],[TA 2 - Q2 Bonus]]+Table1[[#This Row],[TA 2 - Q4 Bonus]]</f>
        <v/>
      </c>
      <c r="T460">
        <f>(Table1[[#This Row],[TA 1 - Total Score (out of 35)]]+Table1[[#This Row],[TA 2 - Total Score (out of 35)]])/2</f>
        <v/>
      </c>
      <c r="U460">
        <f>(Table1[[#This Row],[TA 1 - Total Bonus (out of 13)]]+Table1[[#This Row],[TA 2 - Total Bonus (out of 13)]])/2</f>
        <v/>
      </c>
      <c r="V460">
        <f>Table1[[#This Row],[Average Questions]]/35*20+Table1[[#This Row],[Average Bonus]]/13*5</f>
        <v/>
      </c>
      <c r="W460" t="n">
        <v>10.5</v>
      </c>
      <c r="X460" t="n">
        <v>3</v>
      </c>
      <c r="Y460" t="inlineStr">
        <is>
          <t>The student completed most tasks correctly. The transforms were fully defined, and DataLoaders were set up properly. Sample images were displayed with correct labels. The pretrained EfficientNetV2-Small model was loaded and adapted correctly, with the backbone frozen and the classifier head replaced. The training and validation loops were implemented accurately, including the label fix. However, the optimizer was incorrectly set to update only the classifier parameters instead of all trainable parameters. The training process ran for 10 epochs, and plots were generated. For the bonus task, the student correctly implemented test time augmentation by averaging predictions from original, horizontally flipped, and vertically flipped images.</t>
        </is>
      </c>
      <c r="Z460" t="n">
        <v>10.5</v>
      </c>
      <c r="AA460" t="n">
        <v>3</v>
      </c>
      <c r="AB460" t="inlineStr">
        <is>
          <t>The student successfully completed all base tasks with minor issues. The dataset loading and preparation were correct, including the use of RandomRotation and resizing to 32x32. Sample images were displayed with labels. The CNN model had 5 convolutional layers with Batch Normalization. Training and validation functions were implemented correctly. The model was trained and plotted accurately. For the bonus task, the student defined a residual connection from the second to fourth layer, though the implementation used summation instead of concatenation, which is acceptable. However, the student did not retrain and plot the losses and accuracies for the residual model, resulting in partial bonus points.</t>
        </is>
      </c>
      <c r="AC460" t="n">
        <v>8</v>
      </c>
      <c r="AD460" t="inlineStr">
        <is>
          <t>The student's submission includes most of the required tasks with some minor issues. The dataset class is implemented correctly, and the DataLoaders are set up properly. However, the mask transformation in the dataset class has a mistake where the mask is not correctly converted to a tensor. The model class is defined with the correct encoder, and the training and validation loops are implemented but contain logical errors, such as not squeezing the masks for the CrossEntropyLoss. The training process is executed, and the loss curve is plotted. The visualization of predictions is also attempted but has issues with the mask conversion. Overall, the submission shows effort and understanding but contains several mistakes that prevent full functionality.</t>
        </is>
      </c>
      <c r="AE460" t="n">
        <v>0</v>
      </c>
      <c r="AF460" t="n">
        <v>5</v>
      </c>
      <c r="AG460" t="inlineStr">
        <is>
          <t>The student's implementation of the ColorizationDataset class is correct and follows the reference solution accurately. The code runs perfectly, produces the correct output, and adheres to the optimal logic specified in the rubric. The grayscale conversion formula and dimensions are correct, and the visualization displays the grayscale and color images appropriately.</t>
        </is>
      </c>
      <c r="AH460" t="n">
        <v>29</v>
      </c>
      <c r="AI460" t="n">
        <v>11</v>
      </c>
    </row>
    <row r="461">
      <c r="A461" t="n">
        <v>460</v>
      </c>
      <c r="B461" t="inlineStr">
        <is>
          <t>TA_9</t>
        </is>
      </c>
      <c r="C461" t="inlineStr">
        <is>
          <t>TA_19</t>
        </is>
      </c>
      <c r="D461" t="n">
        <v>12</v>
      </c>
      <c r="E461" t="n">
        <v>3.8</v>
      </c>
      <c r="F461" t="n">
        <v>10.75</v>
      </c>
      <c r="G461" t="n">
        <v>4</v>
      </c>
      <c r="H461" t="n">
        <v>10.75</v>
      </c>
      <c r="I461" t="n">
        <v>5</v>
      </c>
      <c r="J461" t="n">
        <v>12</v>
      </c>
      <c r="K461" t="n">
        <v>2</v>
      </c>
      <c r="L461" t="n">
        <v>10.75</v>
      </c>
      <c r="M461" t="n">
        <v>4</v>
      </c>
      <c r="N461" t="n">
        <v>10</v>
      </c>
      <c r="O461" t="n">
        <v>5</v>
      </c>
      <c r="P461">
        <f>Table1[[#This Row],[TA 1 - Q1 Score]]+Table1[[#This Row],[TA 1 - Q2 Score]]+Table1[[#This Row],[TA 1 - Q3 Score]]</f>
        <v/>
      </c>
      <c r="Q461">
        <f>Table1[[#This Row],[TA 1 - Q1 Bonus]]+Table1[[#This Row],[TA 1 - Q2 Bonus]]+Table1[[#This Row],[TA 1 - Q4 Bonus]]</f>
        <v/>
      </c>
      <c r="R461">
        <f>Table1[[#This Row],[TA 2 - Q1 Score]]+Table1[[#This Row],[TA 2 - Q2 Score]]+Table1[[#This Row],[TA 2 - Q3 Score]]</f>
        <v/>
      </c>
      <c r="S461">
        <f>Table1[[#This Row],[TA 2 - Q1 Bonus]]+Table1[[#This Row],[TA 2 - Q2 Bonus]]+Table1[[#This Row],[TA 2 - Q4 Bonus]]</f>
        <v/>
      </c>
      <c r="T461">
        <f>(Table1[[#This Row],[TA 1 - Total Score (out of 35)]]+Table1[[#This Row],[TA 2 - Total Score (out of 35)]])/2</f>
        <v/>
      </c>
      <c r="U461">
        <f>(Table1[[#This Row],[TA 1 - Total Bonus (out of 13)]]+Table1[[#This Row],[TA 2 - Total Bonus (out of 13)]])/2</f>
        <v/>
      </c>
      <c r="V461">
        <f>Table1[[#This Row],[Average Questions]]/35*20+Table1[[#This Row],[Average Bonus]]/13*5</f>
        <v/>
      </c>
      <c r="W461" t="n">
        <v>8</v>
      </c>
      <c r="X461" t="n">
        <v>0</v>
      </c>
      <c r="Y461" t="inlineStr">
        <is>
          <t>The student completed most tasks correctly but made some minor mistakes. The data loading and preparation were mostly accurate, though the batch size was smaller than in the reference. The model loading and adaptation were correct, but the student froze all parameters instead of just the backbone. The training and validation loops were implemented correctly, including label fixing. However, the TTA implementation had errors in flipping dimensions, leading to incorrect predictions.</t>
        </is>
      </c>
      <c r="Z461" t="n">
        <v>9.5</v>
      </c>
      <c r="AA461" t="n">
        <v>3</v>
      </c>
      <c r="AB461" t="inlineStr">
        <is>
          <t>The student successfully completed most tasks with minor issues. The dataset loading and preparation were mostly correct, with the exception of hardcoding the dataset path. The CNN model was built with 5 convolutional layers and batch normalization, earning full points. The training and validation functions were implemented correctly. The model was trained and plotted accurately. For the bonus task, the student added a residual connection between the second and fourth layers, but the implementation used summation instead of concatenation, which is acceptable. However, the plotting of losses and accuracies for the residual model was missing, resulting in partial bonus points.</t>
        </is>
      </c>
      <c r="AC461" t="n">
        <v>7</v>
      </c>
      <c r="AD461" t="inlineStr">
        <is>
          <t>The student attempted all tasks but made several mistakes. In Task 1, the dataset class and DataLoader were implemented correctly, but the image and mask resizing dimensions were inconsistent (512x512 vs. 256x256). Task 2 defined the model class correctly. Task 3 implemented training and validation loops with minor issues in the validation loop where the validation DataLoader used the training DataLoader instead. Task 4 defined the loss and optimizer correctly but trained for only 3 epochs instead of 10, and the validation DataLoader was incorrectly set to the training DataLoader. Task 5 attempted to visualize predictions but had issues with the plotting logic, causing incorrect visualization.</t>
        </is>
      </c>
      <c r="AE461" t="n">
        <v>0</v>
      </c>
      <c r="AF461" t="n">
        <v>5</v>
      </c>
      <c r="AG461" t="inlineStr">
        <is>
          <t>The student's implementation of the ColorizationDataset class is correct and runs perfectly. It includes the proper initialization, length method, grayscale conversion, and item retrieval. The visualization also works as expected, showing both grayscale and color images correctly. The DataLoader test confirms the correct batch shapes. Therefore, the bonus question is fully implemented and receives full marks.</t>
        </is>
      </c>
      <c r="AH461" t="n">
        <v>24.5</v>
      </c>
      <c r="AI461" t="n">
        <v>8</v>
      </c>
    </row>
    <row r="462">
      <c r="A462" t="n">
        <v>461</v>
      </c>
      <c r="B462" t="inlineStr">
        <is>
          <t>TA_9</t>
        </is>
      </c>
      <c r="C462" t="inlineStr">
        <is>
          <t>TA_19</t>
        </is>
      </c>
      <c r="D462" t="n">
        <v>11.75</v>
      </c>
      <c r="E462" t="n">
        <v>0</v>
      </c>
      <c r="F462" t="n">
        <v>10.25</v>
      </c>
      <c r="G462" t="n">
        <v>0</v>
      </c>
      <c r="H462" t="n">
        <v>12</v>
      </c>
      <c r="I462" t="n">
        <v>5</v>
      </c>
      <c r="J462" t="n">
        <v>12</v>
      </c>
      <c r="K462" t="n">
        <v>0</v>
      </c>
      <c r="L462" t="n">
        <v>8.25</v>
      </c>
      <c r="M462" t="n">
        <v>0</v>
      </c>
      <c r="N462" t="n">
        <v>11</v>
      </c>
      <c r="O462" t="n">
        <v>5</v>
      </c>
      <c r="P462">
        <f>Table1[[#This Row],[TA 1 - Q1 Score]]+Table1[[#This Row],[TA 1 - Q2 Score]]+Table1[[#This Row],[TA 1 - Q3 Score]]</f>
        <v/>
      </c>
      <c r="Q462">
        <f>Table1[[#This Row],[TA 1 - Q1 Bonus]]+Table1[[#This Row],[TA 1 - Q2 Bonus]]+Table1[[#This Row],[TA 1 - Q4 Bonus]]</f>
        <v/>
      </c>
      <c r="R462">
        <f>Table1[[#This Row],[TA 2 - Q1 Score]]+Table1[[#This Row],[TA 2 - Q2 Score]]+Table1[[#This Row],[TA 2 - Q3 Score]]</f>
        <v/>
      </c>
      <c r="S462">
        <f>Table1[[#This Row],[TA 2 - Q1 Bonus]]+Table1[[#This Row],[TA 2 - Q2 Bonus]]+Table1[[#This Row],[TA 2 - Q4 Bonus]]</f>
        <v/>
      </c>
      <c r="T462">
        <f>(Table1[[#This Row],[TA 1 - Total Score (out of 35)]]+Table1[[#This Row],[TA 2 - Total Score (out of 35)]])/2</f>
        <v/>
      </c>
      <c r="U462">
        <f>(Table1[[#This Row],[TA 1 - Total Bonus (out of 13)]]+Table1[[#This Row],[TA 2 - Total Bonus (out of 13)]])/2</f>
        <v/>
      </c>
      <c r="V462">
        <f>Table1[[#This Row],[Average Questions]]/35*20+Table1[[#This Row],[Average Bonus]]/13*5</f>
        <v/>
      </c>
      <c r="W462" t="n">
        <v>8</v>
      </c>
      <c r="X462" t="n">
        <v>0</v>
      </c>
      <c r="Y462" t="inlineStr">
        <is>
          <t>The student completed most tasks correctly but made some minor mistakes. The data loading and preparation were mostly accurate, though the DataLoader batch size was smaller than the reference. The model loading and adaptation were correct, but the student froze all parameters instead of just the backbone. The training and validation loops were implemented correctly, including label fixing. However, the student did not attempt the bonus task for Test Time Augmentation.</t>
        </is>
      </c>
      <c r="Z462" t="n">
        <v>7</v>
      </c>
      <c r="AA462" t="n">
        <v>0</v>
      </c>
      <c r="AB462" t="inlineStr">
        <is>
          <t>The student partially completed the tasks. They used incorrect image sizes (224x224 instead of 32x32) and transformations (RandomHorizontalFlip instead of RandomRotation). The dataset loading and DataLoader creation were mostly correct. Sample images were displayed, though with incorrect indices leading to potential issues. The CNN model had 5 convolutional layers with BatchNormalization but used different channel sizes. Training and validation loops were implemented correctly, and the model trained and plotted loss and accuracy curves. However, the bonus task was not attempted.</t>
        </is>
      </c>
      <c r="AC462" t="n">
        <v>10</v>
      </c>
      <c r="AD462" t="inlineStr">
        <is>
          <t>The student's submission is mostly correct and runs end-to-end. The dataset class is implemented correctly with proper data loading and splitting. The model class uses the correct U-Net architecture with the specified encoder. The training and validation loops are implemented accurately, and the loss and optimizer are defined properly. The training process runs without issues, and the loss curve is plotted correctly. The predictions are visualized against the ground truth, although the colormap used for predictions could be improved for better clarity.</t>
        </is>
      </c>
      <c r="AE462" t="n">
        <v>0</v>
      </c>
      <c r="AF462" t="n">
        <v>5</v>
      </c>
      <c r="AG462" t="inlineStr">
        <is>
          <t>The student's implementation of the `ColorizationDataset` class is correct and runs perfectly. The `__init__`, `__len__`, `rgb_to_grayscale`, and `__getitem__` methods are all implemented accurately. The visualization and DataLoader tests also work as expected, producing the correct shapes and displaying the images properly.</t>
        </is>
      </c>
      <c r="AH462" t="n">
        <v>25</v>
      </c>
      <c r="AI462" t="n">
        <v>5</v>
      </c>
    </row>
    <row r="463">
      <c r="A463" t="n">
        <v>462</v>
      </c>
      <c r="B463" t="inlineStr">
        <is>
          <t>TA_9</t>
        </is>
      </c>
      <c r="C463" t="inlineStr">
        <is>
          <t>TA_19</t>
        </is>
      </c>
      <c r="D463" t="n">
        <v>2.75</v>
      </c>
      <c r="E463" t="n">
        <v>0</v>
      </c>
      <c r="F463" t="n">
        <v>9</v>
      </c>
      <c r="G463" t="n">
        <v>0</v>
      </c>
      <c r="H463" t="n">
        <v>7</v>
      </c>
      <c r="I463" t="n">
        <v>0</v>
      </c>
      <c r="J463" t="n">
        <v>5.5</v>
      </c>
      <c r="K463" t="n">
        <v>0</v>
      </c>
      <c r="L463" t="n">
        <v>9</v>
      </c>
      <c r="M463" t="n">
        <v>0</v>
      </c>
      <c r="N463" t="n">
        <v>7.75</v>
      </c>
      <c r="O463" t="n">
        <v>0</v>
      </c>
      <c r="P463">
        <f>Table1[[#This Row],[TA 1 - Q1 Score]]+Table1[[#This Row],[TA 1 - Q2 Score]]+Table1[[#This Row],[TA 1 - Q3 Score]]</f>
        <v/>
      </c>
      <c r="Q463">
        <f>Table1[[#This Row],[TA 1 - Q1 Bonus]]+Table1[[#This Row],[TA 1 - Q2 Bonus]]+Table1[[#This Row],[TA 1 - Q4 Bonus]]</f>
        <v/>
      </c>
      <c r="R463">
        <f>Table1[[#This Row],[TA 2 - Q1 Score]]+Table1[[#This Row],[TA 2 - Q2 Score]]+Table1[[#This Row],[TA 2 - Q3 Score]]</f>
        <v/>
      </c>
      <c r="S463">
        <f>Table1[[#This Row],[TA 2 - Q1 Bonus]]+Table1[[#This Row],[TA 2 - Q2 Bonus]]+Table1[[#This Row],[TA 2 - Q4 Bonus]]</f>
        <v/>
      </c>
      <c r="T463">
        <f>(Table1[[#This Row],[TA 1 - Total Score (out of 35)]]+Table1[[#This Row],[TA 2 - Total Score (out of 35)]])/2</f>
        <v/>
      </c>
      <c r="U463">
        <f>(Table1[[#This Row],[TA 1 - Total Bonus (out of 13)]]+Table1[[#This Row],[TA 2 - Total Bonus (out of 13)]])/2</f>
        <v/>
      </c>
      <c r="V463">
        <f>Table1[[#This Row],[Average Questions]]/35*20+Table1[[#This Row],[Average Bonus]]/13*5</f>
        <v/>
      </c>
      <c r="W463" t="n">
        <v>5</v>
      </c>
      <c r="X463" t="n">
        <v>0</v>
      </c>
      <c r="Y463" t="inlineStr">
        <is>
          <t>The student completed the data loading and preparation with correct transformations, including resizing, converting to tensor, and normalizing. However, there were issues in displaying sample images, where the labels were not adjusted for 0-indexing. The pretrained model was loaded and adapted correctly, with the backbone frozen and the classifier head replaced. The training and validation loops had several issues, including incorrect handling of input batches and label adjustments. The plotting of losses and accuracies was done correctly, but the bonus task for test time augmentation was not attempted.</t>
        </is>
      </c>
      <c r="Z463" t="n">
        <v>8.5</v>
      </c>
      <c r="AA463" t="n">
        <v>0</v>
      </c>
      <c r="AB463" t="inlineStr">
        <is>
          <t>The student successfully implemented a custom dataset class, created train/test datasets and DataLoaders, applied the required transformations, and displayed sample images with labels. The CNN model has 5 convolutional layers but does not include batch normalization. The training and validation loops are correctly defined and executed, and the losses and accuracies are plotted. However, the bonus task was not completed.</t>
        </is>
      </c>
      <c r="AC463" t="n">
        <v>4</v>
      </c>
      <c r="AD463" t="inlineStr">
        <is>
          <t>The student attempted most tasks but made significant errors. In Task 1, the dataset class and DataLoaders were correctly implemented, but the display function had issues due to incorrect normalization. In Task 2, the model was incorrectly defined with only one class instead of eight. Tasks 3 and 4 had syntax errors and logical mistakes, particularly in the training and validation loops where masks were not properly handled. Task 5 had visualization issues due to incorrect handling of predicted masks.</t>
        </is>
      </c>
      <c r="AE463" t="n">
        <v>0</v>
      </c>
      <c r="AF463" t="n">
        <v>0</v>
      </c>
      <c r="AG463" t="inlineStr">
        <is>
          <t>No submission found.</t>
        </is>
      </c>
      <c r="AH463" t="n">
        <v>17.5</v>
      </c>
      <c r="AI463" t="n">
        <v>0</v>
      </c>
    </row>
    <row r="464">
      <c r="A464" t="n">
        <v>463</v>
      </c>
      <c r="B464" t="inlineStr">
        <is>
          <t>TA_9</t>
        </is>
      </c>
      <c r="C464" t="inlineStr">
        <is>
          <t>TA_19</t>
        </is>
      </c>
      <c r="D464" t="n">
        <v>11.75</v>
      </c>
      <c r="E464" t="n">
        <v>4</v>
      </c>
      <c r="F464" t="n">
        <v>11</v>
      </c>
      <c r="G464" t="n">
        <v>3.5</v>
      </c>
      <c r="H464" t="n">
        <v>12</v>
      </c>
      <c r="I464" t="n">
        <v>5</v>
      </c>
      <c r="J464" t="n">
        <v>12</v>
      </c>
      <c r="K464" t="n">
        <v>4</v>
      </c>
      <c r="L464" t="n">
        <v>9</v>
      </c>
      <c r="M464" t="n">
        <v>3</v>
      </c>
      <c r="N464" t="n">
        <v>12</v>
      </c>
      <c r="O464" t="n">
        <v>5</v>
      </c>
      <c r="P464">
        <f>Table1[[#This Row],[TA 1 - Q1 Score]]+Table1[[#This Row],[TA 1 - Q2 Score]]+Table1[[#This Row],[TA 1 - Q3 Score]]</f>
        <v/>
      </c>
      <c r="Q464">
        <f>Table1[[#This Row],[TA 1 - Q1 Bonus]]+Table1[[#This Row],[TA 1 - Q2 Bonus]]+Table1[[#This Row],[TA 1 - Q4 Bonus]]</f>
        <v/>
      </c>
      <c r="R464">
        <f>Table1[[#This Row],[TA 2 - Q1 Score]]+Table1[[#This Row],[TA 2 - Q2 Score]]+Table1[[#This Row],[TA 2 - Q3 Score]]</f>
        <v/>
      </c>
      <c r="S464">
        <f>Table1[[#This Row],[TA 2 - Q1 Bonus]]+Table1[[#This Row],[TA 2 - Q2 Bonus]]+Table1[[#This Row],[TA 2 - Q4 Bonus]]</f>
        <v/>
      </c>
      <c r="T464">
        <f>(Table1[[#This Row],[TA 1 - Total Score (out of 35)]]+Table1[[#This Row],[TA 2 - Total Score (out of 35)]])/2</f>
        <v/>
      </c>
      <c r="U464">
        <f>(Table1[[#This Row],[TA 1 - Total Bonus (out of 13)]]+Table1[[#This Row],[TA 2 - Total Bonus (out of 13)]])/2</f>
        <v/>
      </c>
      <c r="V464">
        <f>Table1[[#This Row],[Average Questions]]/35*20+Table1[[#This Row],[Average Bonus]]/13*5</f>
        <v/>
      </c>
      <c r="W464" t="n">
        <v>10.5</v>
      </c>
      <c r="X464" t="n">
        <v>4</v>
      </c>
      <c r="Y464" t="inlineStr">
        <is>
          <t>The student completed all base tasks with minor issues. The transforms were correctly defined, and the DataLoaders were set up properly. Sample images were displayed with correct labels. The pretrained EfficientNetV2-Small model was loaded and adapted correctly, with the backbone frozen and the classifier head replaced. The training and validation loops were implemented accurately, including label fixing. The model was trained, and the training and validation losses and accuracies were plotted. For the bonus task, the student correctly implemented test time augmentation by averaging predictions from original, horizontally flipped, and vertically flipped images.</t>
        </is>
      </c>
      <c r="Z464" t="n">
        <v>8</v>
      </c>
      <c r="AA464" t="n">
        <v>0</v>
      </c>
      <c r="AB464" t="inlineStr">
        <is>
          <t>The student successfully loaded and prepared the data with appropriate transformations, including RandomRotation and resizing to 128x128, though the resize size differs from the required 32x32. The CNN model was built with five convolutional layers and batch normalization, earning full points for this part. However, the model's fully connected layer input size is incorrectly set to 256 * 32 * 32 instead of 256 * 4 * 4. The training and validation loops were implemented correctly, and the model was trained and plotted. The bonus task was not completed as the residual connection was not correctly defined or implemented.</t>
        </is>
      </c>
      <c r="AC464" t="n">
        <v>10.5</v>
      </c>
      <c r="AD464" t="inlineStr">
        <is>
          <t>The student's submission is mostly correct and runs end-to-end. Task 1 is well-implemented with a custom dataset class, DataLoaders, and sample image/mask visualization. Task 2 correctly defines a pretrained U-Net with efficientnet-b1 encoder. Task 3 includes both training and validation loops. Task 4 defines the loss and optimizer, trains the model, prints losses, and plots the loss curve. Task 5 visualizes predictions versus ground truth. Minor issues include redundant training loop definition and slight differences in implementation details compared to the reference solution.</t>
        </is>
      </c>
      <c r="AE464" t="n">
        <v>0</v>
      </c>
      <c r="AF464" t="n">
        <v>5</v>
      </c>
      <c r="AG464" t="inlineStr">
        <is>
          <t>The student's implementation of the ColorizationDataset class is correct and runs perfectly, producing the expected output and following the optimal logic. The code includes all required methods (__init__, __len__, rgb_to_grayscale, __getitem__) and provides correct visualizations. No mistakes were found in the implementation.</t>
        </is>
      </c>
      <c r="AH464" t="n">
        <v>29</v>
      </c>
      <c r="AI464" t="n">
        <v>9</v>
      </c>
    </row>
    <row r="465">
      <c r="A465" t="n">
        <v>464</v>
      </c>
      <c r="B465" t="inlineStr">
        <is>
          <t>TA_9</t>
        </is>
      </c>
      <c r="C465" t="inlineStr">
        <is>
          <t>TA_19</t>
        </is>
      </c>
      <c r="D465" t="n">
        <v>11.75</v>
      </c>
      <c r="E465" t="n">
        <v>0</v>
      </c>
      <c r="F465" t="n">
        <v>11</v>
      </c>
      <c r="G465" t="n">
        <v>0</v>
      </c>
      <c r="H465" t="n">
        <v>6</v>
      </c>
      <c r="I465" t="n">
        <v>0</v>
      </c>
      <c r="J465" t="n">
        <v>12</v>
      </c>
      <c r="K465" t="n">
        <v>0</v>
      </c>
      <c r="L465" t="n">
        <v>10.5</v>
      </c>
      <c r="M465" t="n">
        <v>0</v>
      </c>
      <c r="N465" t="n">
        <v>4.25</v>
      </c>
      <c r="O465" t="n">
        <v>0</v>
      </c>
      <c r="P465">
        <f>Table1[[#This Row],[TA 1 - Q1 Score]]+Table1[[#This Row],[TA 1 - Q2 Score]]+Table1[[#This Row],[TA 1 - Q3 Score]]</f>
        <v/>
      </c>
      <c r="Q465">
        <f>Table1[[#This Row],[TA 1 - Q1 Bonus]]+Table1[[#This Row],[TA 1 - Q2 Bonus]]+Table1[[#This Row],[TA 1 - Q4 Bonus]]</f>
        <v/>
      </c>
      <c r="R465">
        <f>Table1[[#This Row],[TA 2 - Q1 Score]]+Table1[[#This Row],[TA 2 - Q2 Score]]+Table1[[#This Row],[TA 2 - Q3 Score]]</f>
        <v/>
      </c>
      <c r="S465">
        <f>Table1[[#This Row],[TA 2 - Q1 Bonus]]+Table1[[#This Row],[TA 2 - Q2 Bonus]]+Table1[[#This Row],[TA 2 - Q4 Bonus]]</f>
        <v/>
      </c>
      <c r="T465">
        <f>(Table1[[#This Row],[TA 1 - Total Score (out of 35)]]+Table1[[#This Row],[TA 2 - Total Score (out of 35)]])/2</f>
        <v/>
      </c>
      <c r="U465">
        <f>(Table1[[#This Row],[TA 1 - Total Bonus (out of 13)]]+Table1[[#This Row],[TA 2 - Total Bonus (out of 13)]])/2</f>
        <v/>
      </c>
      <c r="V465">
        <f>Table1[[#This Row],[Average Questions]]/35*20+Table1[[#This Row],[Average Bonus]]/13*5</f>
        <v/>
      </c>
      <c r="W465" t="n">
        <v>10.5</v>
      </c>
      <c r="X465" t="n">
        <v>0</v>
      </c>
      <c r="Y465" t="inlineStr">
        <is>
          <t>The student completed most tasks correctly. The transforms were properly defined, including normalization. DataLoaders were created, and sample images were displayed with correct labels. The pretrained EfficientNetV2-Small model was loaded and adapted correctly, with the backbone frozen and the classifier head replaced. Training and validation loops were implemented accurately, with label fixing applied. However, the bonus task was not attempted, resulting in no bonus points. The student used a different batch size and number of epochs compared to the reference solution, but this does not affect the correctness of the implementation.</t>
        </is>
      </c>
      <c r="Z465" t="n">
        <v>7</v>
      </c>
      <c r="AA465" t="n">
        <v>0</v>
      </c>
      <c r="AB465" t="inlineStr">
        <is>
          <t>The student successfully loaded and prepared the data with correct transformations and displayed sample images. However, the CNN model does not meet the requirement of having exactly 5 convolutional layers with batch normalization, instead using a different architecture inspired by AlexNet. The training and validation functions are implemented correctly, and the model is trained and evaluated properly. No bonus task was attempted.</t>
        </is>
      </c>
      <c r="AC465" t="n">
        <v>2</v>
      </c>
      <c r="AD465" t="inlineStr">
        <is>
          <t>The student attempted most tasks but made significant errors. In Task 1, the dataset class was partially correct but used incorrect paths and did not create separate train and test loaders. Task 2 incorrectly defined the model with a single class instead of 8. Task 3 had syntax errors in the training and validation loops. Task 4 used an incorrect loss function and optimizer, and Task 5 was incomplete. Despite these issues, the student showed effort in attempting each task.</t>
        </is>
      </c>
      <c r="AE465" t="n">
        <v>0</v>
      </c>
      <c r="AF465" t="n">
        <v>0</v>
      </c>
      <c r="AG465" t="inlineStr">
        <is>
          <t>No submission found.</t>
        </is>
      </c>
      <c r="AH465" t="n">
        <v>19.5</v>
      </c>
      <c r="AI465" t="n">
        <v>0</v>
      </c>
    </row>
    <row r="466">
      <c r="A466" t="n">
        <v>465</v>
      </c>
      <c r="B466" t="inlineStr">
        <is>
          <t>TA_9</t>
        </is>
      </c>
      <c r="C466" t="inlineStr">
        <is>
          <t>TA_19</t>
        </is>
      </c>
      <c r="D466" t="n">
        <v>11</v>
      </c>
      <c r="E466" t="n">
        <v>0</v>
      </c>
      <c r="F466" t="n">
        <v>11</v>
      </c>
      <c r="G466" t="n">
        <v>0</v>
      </c>
      <c r="H466" t="n">
        <v>12</v>
      </c>
      <c r="I466" t="n">
        <v>0</v>
      </c>
      <c r="J466" t="n">
        <v>11</v>
      </c>
      <c r="K466" t="n">
        <v>0</v>
      </c>
      <c r="L466" t="n">
        <v>10.9</v>
      </c>
      <c r="M466" t="n">
        <v>0</v>
      </c>
      <c r="N466" t="n">
        <v>12</v>
      </c>
      <c r="O466" t="n">
        <v>0</v>
      </c>
      <c r="P466">
        <f>Table1[[#This Row],[TA 1 - Q1 Score]]+Table1[[#This Row],[TA 1 - Q2 Score]]+Table1[[#This Row],[TA 1 - Q3 Score]]</f>
        <v/>
      </c>
      <c r="Q466">
        <f>Table1[[#This Row],[TA 1 - Q1 Bonus]]+Table1[[#This Row],[TA 1 - Q2 Bonus]]+Table1[[#This Row],[TA 1 - Q4 Bonus]]</f>
        <v/>
      </c>
      <c r="R466">
        <f>Table1[[#This Row],[TA 2 - Q1 Score]]+Table1[[#This Row],[TA 2 - Q2 Score]]+Table1[[#This Row],[TA 2 - Q3 Score]]</f>
        <v/>
      </c>
      <c r="S466">
        <f>Table1[[#This Row],[TA 2 - Q1 Bonus]]+Table1[[#This Row],[TA 2 - Q2 Bonus]]+Table1[[#This Row],[TA 2 - Q4 Bonus]]</f>
        <v/>
      </c>
      <c r="T466">
        <f>(Table1[[#This Row],[TA 1 - Total Score (out of 35)]]+Table1[[#This Row],[TA 2 - Total Score (out of 35)]])/2</f>
        <v/>
      </c>
      <c r="U466">
        <f>(Table1[[#This Row],[TA 1 - Total Bonus (out of 13)]]+Table1[[#This Row],[TA 2 - Total Bonus (out of 13)]])/2</f>
        <v/>
      </c>
      <c r="V466">
        <f>Table1[[#This Row],[Average Questions]]/35*20+Table1[[#This Row],[Average Bonus]]/13*5</f>
        <v/>
      </c>
      <c r="W466" t="n">
        <v>8</v>
      </c>
      <c r="X466" t="n">
        <v>0</v>
      </c>
      <c r="Y466" t="inlineStr">
        <is>
          <t>The student completed most tasks correctly but made some minor mistakes. The data loading and preparation were mostly correct, with the exception of using a batch size of 32 instead of 64. The model loading and adaptation were accurate, though the student froze all parameters instead of just the backbone. The training and validation loops were implemented correctly, including fixing the labels. However, the plotting of losses and accuracies had errors, using incorrect variable names. No bonus task was attempted.</t>
        </is>
      </c>
      <c r="Z466" t="n">
        <v>8.5</v>
      </c>
      <c r="AA466" t="n">
        <v>0</v>
      </c>
      <c r="AB466" t="inlineStr">
        <is>
          <t>The student successfully completed most tasks with minor issues. The data loading and preparation section had correct transformations and displayed sample images. The CNN model was built with five convolutional layers and batch normalization, though the number of channels in the first layer was lower than the reference solution. The training and validation loops were implemented correctly, and the model was trained and plotted. However, the bonus task was not attempted.</t>
        </is>
      </c>
      <c r="AC466" t="n">
        <v>7</v>
      </c>
      <c r="AD466" t="inlineStr">
        <is>
          <t>The student's submission contains mostly correct code with some minor issues. Task 1 is partially correct with syntax errors in displaying images and masks. Task 2 is correct with the right model definition. Task 3 is mostly correct with a small mistake in the validation loop. Task 4 is partially correct with incorrect image resizing and a different learning rate. Task 5 is partially correct with incorrect image titles and a different colormap.</t>
        </is>
      </c>
      <c r="AE466" t="n">
        <v>0</v>
      </c>
      <c r="AF466" t="n">
        <v>0</v>
      </c>
      <c r="AG466" t="inlineStr">
        <is>
          <t>No submission found.</t>
        </is>
      </c>
      <c r="AH466" t="n">
        <v>23.5</v>
      </c>
      <c r="AI466" t="n">
        <v>0</v>
      </c>
    </row>
    <row r="467">
      <c r="A467" t="n">
        <v>466</v>
      </c>
      <c r="B467" t="inlineStr">
        <is>
          <t>TA_9</t>
        </is>
      </c>
      <c r="C467" t="inlineStr">
        <is>
          <t>TA_19</t>
        </is>
      </c>
      <c r="D467" t="n">
        <v>3.75</v>
      </c>
      <c r="E467" t="n">
        <v>0</v>
      </c>
      <c r="F467" t="n">
        <v>8.5</v>
      </c>
      <c r="G467" t="n">
        <v>0</v>
      </c>
      <c r="H467" t="n">
        <v>8.25</v>
      </c>
      <c r="I467" t="n">
        <v>0</v>
      </c>
      <c r="J467" t="n">
        <v>3.75</v>
      </c>
      <c r="K467" t="n">
        <v>0</v>
      </c>
      <c r="L467" t="n">
        <v>7.75</v>
      </c>
      <c r="M467" t="n">
        <v>0</v>
      </c>
      <c r="N467" t="n">
        <v>6.75</v>
      </c>
      <c r="O467" t="n">
        <v>0</v>
      </c>
      <c r="P467">
        <f>Table1[[#This Row],[TA 1 - Q1 Score]]+Table1[[#This Row],[TA 1 - Q2 Score]]+Table1[[#This Row],[TA 1 - Q3 Score]]</f>
        <v/>
      </c>
      <c r="Q467">
        <f>Table1[[#This Row],[TA 1 - Q1 Bonus]]+Table1[[#This Row],[TA 1 - Q2 Bonus]]+Table1[[#This Row],[TA 1 - Q4 Bonus]]</f>
        <v/>
      </c>
      <c r="R467">
        <f>Table1[[#This Row],[TA 2 - Q1 Score]]+Table1[[#This Row],[TA 2 - Q2 Score]]+Table1[[#This Row],[TA 2 - Q3 Score]]</f>
        <v/>
      </c>
      <c r="S467">
        <f>Table1[[#This Row],[TA 2 - Q1 Bonus]]+Table1[[#This Row],[TA 2 - Q2 Bonus]]+Table1[[#This Row],[TA 2 - Q4 Bonus]]</f>
        <v/>
      </c>
      <c r="T467">
        <f>(Table1[[#This Row],[TA 1 - Total Score (out of 35)]]+Table1[[#This Row],[TA 2 - Total Score (out of 35)]])/2</f>
        <v/>
      </c>
      <c r="U467">
        <f>(Table1[[#This Row],[TA 1 - Total Bonus (out of 13)]]+Table1[[#This Row],[TA 2 - Total Bonus (out of 13)]])/2</f>
        <v/>
      </c>
      <c r="V467">
        <f>Table1[[#This Row],[Average Questions]]/35*20+Table1[[#This Row],[Average Bonus]]/13*5</f>
        <v/>
      </c>
      <c r="W467" t="n">
        <v>3</v>
      </c>
      <c r="X467" t="n">
        <v>0</v>
      </c>
      <c r="Y467" t="inlineStr">
        <is>
          <t>The student completed the data loading and preparation tasks correctly, including defining the necessary transforms and creating DataLoaders. However, the student did not display sample images, resulting in a deduction. In Part 2, the student loaded the EfficientNetV2-Small model and adapted it correctly by freezing the backbone and replacing the classifier head. Parts 3 and 4 were not fully implemented: the training and validation loops were partially correct but contained syntax and logical errors, such as using the wrong model variable name and not adjusting the labels. The bonus task was not attempted.</t>
        </is>
      </c>
      <c r="Z467" t="n">
        <v>6</v>
      </c>
      <c r="AA467" t="n">
        <v>0</v>
      </c>
      <c r="AB467" t="inlineStr">
        <is>
          <t>The student partially completed the tasks. They correctly set up the dataset and DataLoaders with the specified transformations, including RandomRotation and resizing to 32x32. However, there were issues with the CNN model definition, such as incorrect batch normalization channel sizes and mismatched fully connected layer input dimensions. The training and validation loops were implemented correctly, but the model was not trained for the full number of epochs specified in the reference solution. No bonus task was attempted.</t>
        </is>
      </c>
      <c r="AC467" t="n">
        <v>4</v>
      </c>
      <c r="AD467" t="inlineStr">
        <is>
          <t>The student attempted most tasks but made significant errors. The dataset class and transformations were correctly defined, but the data splitting and DataLoader creation were incorrect. The model definition used the wrong number of classes and loss function. The training and validation loops had logical errors, and the visualization code did not run due to incorrect model output handling.</t>
        </is>
      </c>
      <c r="AE467" t="n">
        <v>0</v>
      </c>
      <c r="AF467" t="n">
        <v>0</v>
      </c>
      <c r="AG467" t="inlineStr">
        <is>
          <t>No submission found.</t>
        </is>
      </c>
      <c r="AH467" t="n">
        <v>13</v>
      </c>
      <c r="AI467" t="n">
        <v>0</v>
      </c>
    </row>
    <row r="468">
      <c r="A468" t="n">
        <v>467</v>
      </c>
      <c r="B468" t="inlineStr">
        <is>
          <t>TA_9</t>
        </is>
      </c>
      <c r="C468" t="inlineStr">
        <is>
          <t>TA_19</t>
        </is>
      </c>
      <c r="D468" t="n">
        <v>5</v>
      </c>
      <c r="E468" t="n">
        <v>0</v>
      </c>
      <c r="F468" t="n">
        <v>11</v>
      </c>
      <c r="G468" t="n">
        <v>0</v>
      </c>
      <c r="H468" t="n">
        <v>7.5</v>
      </c>
      <c r="I468" t="n">
        <v>0</v>
      </c>
      <c r="J468" t="n">
        <v>7</v>
      </c>
      <c r="K468" t="n">
        <v>0</v>
      </c>
      <c r="L468" t="n">
        <v>11</v>
      </c>
      <c r="M468" t="n">
        <v>0</v>
      </c>
      <c r="N468" t="n">
        <v>7</v>
      </c>
      <c r="O468" t="n">
        <v>0</v>
      </c>
      <c r="P468">
        <f>Table1[[#This Row],[TA 1 - Q1 Score]]+Table1[[#This Row],[TA 1 - Q2 Score]]+Table1[[#This Row],[TA 1 - Q3 Score]]</f>
        <v/>
      </c>
      <c r="Q468">
        <f>Table1[[#This Row],[TA 1 - Q1 Bonus]]+Table1[[#This Row],[TA 1 - Q2 Bonus]]+Table1[[#This Row],[TA 1 - Q4 Bonus]]</f>
        <v/>
      </c>
      <c r="R468">
        <f>Table1[[#This Row],[TA 2 - Q1 Score]]+Table1[[#This Row],[TA 2 - Q2 Score]]+Table1[[#This Row],[TA 2 - Q3 Score]]</f>
        <v/>
      </c>
      <c r="S468">
        <f>Table1[[#This Row],[TA 2 - Q1 Bonus]]+Table1[[#This Row],[TA 2 - Q2 Bonus]]+Table1[[#This Row],[TA 2 - Q4 Bonus]]</f>
        <v/>
      </c>
      <c r="T468">
        <f>(Table1[[#This Row],[TA 1 - Total Score (out of 35)]]+Table1[[#This Row],[TA 2 - Total Score (out of 35)]])/2</f>
        <v/>
      </c>
      <c r="U468">
        <f>(Table1[[#This Row],[TA 1 - Total Bonus (out of 13)]]+Table1[[#This Row],[TA 2 - Total Bonus (out of 13)]])/2</f>
        <v/>
      </c>
      <c r="V468">
        <f>Table1[[#This Row],[Average Questions]]/35*20+Table1[[#This Row],[Average Bonus]]/13*5</f>
        <v/>
      </c>
      <c r="W468" t="n">
        <v>7</v>
      </c>
      <c r="X468" t="n">
        <v>0</v>
      </c>
      <c r="Y468" t="inlineStr">
        <is>
          <t>The student completed the data loading and preparation tasks correctly, including resizing, converting to tensor, normalizing, and displaying sample images. However, the student froze all parameters of the model instead of just the backbone, which is a mistake. The training and validation loops were implemented but did not adjust the labels to be 0-indexed, resulting in a penalty. The bonus task was not attempted.</t>
        </is>
      </c>
      <c r="Z468" t="n">
        <v>6</v>
      </c>
      <c r="AA468" t="n">
        <v>0</v>
      </c>
      <c r="AB468" t="inlineStr">
        <is>
          <t>The student successfully loaded and prepared the data with correct transformations and displayed sample images. However, the CNN model does not meet the requirement of having exactly 5 convolutional layers with batch normalization. Instead, it has a different architecture with more layers and different parameters. The training and validation functions are implemented correctly, and the model is trained and plotted. No bonus task was attempted.</t>
        </is>
      </c>
      <c r="AC468" t="n">
        <v>5</v>
      </c>
      <c r="AD468" t="inlineStr">
        <is>
          <t>The student partially completed the tasks with some syntax and logical errors. The dataset class and data loaders were implemented but had issues with mask remapping. The model class used the correct encoder but had an incorrect number of classes. The training and validation loops were mostly correct but had issues with mask preprocessing. The training and validation processes were attempted but with incorrect mask handling. Visualization of predictions was not attempted.</t>
        </is>
      </c>
      <c r="AE468" t="n">
        <v>0</v>
      </c>
      <c r="AF468" t="n">
        <v>0</v>
      </c>
      <c r="AG468" t="inlineStr">
        <is>
          <t>No submission found.</t>
        </is>
      </c>
      <c r="AH468" t="n">
        <v>18</v>
      </c>
      <c r="AI468" t="n">
        <v>0</v>
      </c>
    </row>
    <row r="469">
      <c r="A469" t="n">
        <v>468</v>
      </c>
      <c r="B469" t="inlineStr">
        <is>
          <t>TA_9</t>
        </is>
      </c>
      <c r="C469" t="inlineStr">
        <is>
          <t>TA_19</t>
        </is>
      </c>
      <c r="D469" t="n">
        <v>4</v>
      </c>
      <c r="E469" t="n">
        <v>0</v>
      </c>
      <c r="F469" t="n">
        <v>6.5</v>
      </c>
      <c r="G469" t="n">
        <v>0</v>
      </c>
      <c r="H469" t="n">
        <v>5</v>
      </c>
      <c r="I469" t="n">
        <v>0</v>
      </c>
      <c r="J469" t="n">
        <v>3.75</v>
      </c>
      <c r="K469" t="n">
        <v>0</v>
      </c>
      <c r="L469" t="n">
        <v>6.65</v>
      </c>
      <c r="M469" t="n">
        <v>0</v>
      </c>
      <c r="N469" t="n">
        <v>3.25</v>
      </c>
      <c r="O469" t="n">
        <v>0</v>
      </c>
      <c r="P469">
        <f>Table1[[#This Row],[TA 1 - Q1 Score]]+Table1[[#This Row],[TA 1 - Q2 Score]]+Table1[[#This Row],[TA 1 - Q3 Score]]</f>
        <v/>
      </c>
      <c r="Q469">
        <f>Table1[[#This Row],[TA 1 - Q1 Bonus]]+Table1[[#This Row],[TA 1 - Q2 Bonus]]+Table1[[#This Row],[TA 1 - Q4 Bonus]]</f>
        <v/>
      </c>
      <c r="R469">
        <f>Table1[[#This Row],[TA 2 - Q1 Score]]+Table1[[#This Row],[TA 2 - Q2 Score]]+Table1[[#This Row],[TA 2 - Q3 Score]]</f>
        <v/>
      </c>
      <c r="S469">
        <f>Table1[[#This Row],[TA 2 - Q1 Bonus]]+Table1[[#This Row],[TA 2 - Q2 Bonus]]+Table1[[#This Row],[TA 2 - Q4 Bonus]]</f>
        <v/>
      </c>
      <c r="T469">
        <f>(Table1[[#This Row],[TA 1 - Total Score (out of 35)]]+Table1[[#This Row],[TA 2 - Total Score (out of 35)]])/2</f>
        <v/>
      </c>
      <c r="U469">
        <f>(Table1[[#This Row],[TA 1 - Total Bonus (out of 13)]]+Table1[[#This Row],[TA 2 - Total Bonus (out of 13)]])/2</f>
        <v/>
      </c>
      <c r="V469">
        <f>Table1[[#This Row],[Average Questions]]/35*20+Table1[[#This Row],[Average Bonus]]/13*5</f>
        <v/>
      </c>
      <c r="W469" t="n">
        <v>2</v>
      </c>
      <c r="X469" t="n">
        <v>0</v>
      </c>
      <c r="Y469" t="inlineStr">
        <is>
          <t>The student partially completed Part 1 by defining the transforms with incorrect resizing dimensions and creating DataLoaders. Sample images were not displayed. In Part 2, the student incorrectly loaded EfficientNet-B0 instead of EfficientNetV2-Small and did not freeze the backbone. The classifier head was incorrectly modified for 26 classes. Parts 3 and 4 were not properly implemented, with incorrect training and validation loops, and no plots were generated. The bonus task was not attempted.</t>
        </is>
      </c>
      <c r="Z469" t="n">
        <v>7</v>
      </c>
      <c r="AA469" t="n">
        <v>0</v>
      </c>
      <c r="AB469" t="inlineStr">
        <is>
          <t>The student successfully loaded and prepared the data with the correct transformations and displayed sample images. The CNN model has 5 convolutional layers but does not include batch normalization, earning partial credit. The training and validation functions are implemented correctly. The model setup, training, and plotting of losses and accuracies are also correct. However, the bonus task was not attempted.</t>
        </is>
      </c>
      <c r="AC469" t="n">
        <v>2</v>
      </c>
      <c r="AD469" t="inlineStr">
        <is>
          <t>The student attempted to build a custom dataset class and define transformations, but there were significant issues. The dataset class did not correctly load images and masks due to incorrect file path handling. The training and validation loops were partially implemented but contained errors, such as converting masks to float instead of long. The loss function and optimizer were defined, but the loss function was inappropriate for multi-class segmentation. Visualization and plotting were not attempted.</t>
        </is>
      </c>
      <c r="AE469" t="n">
        <v>0</v>
      </c>
      <c r="AF469" t="n">
        <v>0</v>
      </c>
      <c r="AG469" t="inlineStr">
        <is>
          <t>The student did not implement any of the required methods in the `ColorizationDataset` class. The `__init__`, `__len__`, `rgb_to_grayscale`, and `__getitem__` methods were left unimplemented with only placeholder comments. As a result, the code does not run and fails to produce the expected output.</t>
        </is>
      </c>
      <c r="AH469" t="n">
        <v>11</v>
      </c>
      <c r="AI469" t="n">
        <v>0</v>
      </c>
    </row>
    <row r="470">
      <c r="A470" t="n">
        <v>469</v>
      </c>
      <c r="B470" t="inlineStr">
        <is>
          <t>TA_9</t>
        </is>
      </c>
      <c r="C470" t="inlineStr">
        <is>
          <t>TA_19</t>
        </is>
      </c>
      <c r="D470" t="n">
        <v>12</v>
      </c>
      <c r="E470" t="n">
        <v>0</v>
      </c>
      <c r="F470" t="n">
        <v>7</v>
      </c>
      <c r="G470" t="n">
        <v>0</v>
      </c>
      <c r="H470" t="n">
        <v>8.5</v>
      </c>
      <c r="I470" t="n">
        <v>0</v>
      </c>
      <c r="J470" t="n">
        <v>11.5</v>
      </c>
      <c r="K470" t="n">
        <v>0</v>
      </c>
      <c r="L470" t="n">
        <v>5.5</v>
      </c>
      <c r="M470" t="n">
        <v>0</v>
      </c>
      <c r="N470" t="n">
        <v>6.4</v>
      </c>
      <c r="O470" t="n">
        <v>0</v>
      </c>
      <c r="P470">
        <f>Table1[[#This Row],[TA 1 - Q1 Score]]+Table1[[#This Row],[TA 1 - Q2 Score]]+Table1[[#This Row],[TA 1 - Q3 Score]]</f>
        <v/>
      </c>
      <c r="Q470">
        <f>Table1[[#This Row],[TA 1 - Q1 Bonus]]+Table1[[#This Row],[TA 1 - Q2 Bonus]]+Table1[[#This Row],[TA 1 - Q4 Bonus]]</f>
        <v/>
      </c>
      <c r="R470">
        <f>Table1[[#This Row],[TA 2 - Q1 Score]]+Table1[[#This Row],[TA 2 - Q2 Score]]+Table1[[#This Row],[TA 2 - Q3 Score]]</f>
        <v/>
      </c>
      <c r="S470">
        <f>Table1[[#This Row],[TA 2 - Q1 Bonus]]+Table1[[#This Row],[TA 2 - Q2 Bonus]]+Table1[[#This Row],[TA 2 - Q4 Bonus]]</f>
        <v/>
      </c>
      <c r="T470">
        <f>(Table1[[#This Row],[TA 1 - Total Score (out of 35)]]+Table1[[#This Row],[TA 2 - Total Score (out of 35)]])/2</f>
        <v/>
      </c>
      <c r="U470">
        <f>(Table1[[#This Row],[TA 1 - Total Bonus (out of 13)]]+Table1[[#This Row],[TA 2 - Total Bonus (out of 13)]])/2</f>
        <v/>
      </c>
      <c r="V470">
        <f>Table1[[#This Row],[Average Questions]]/35*20+Table1[[#This Row],[Average Bonus]]/13*5</f>
        <v/>
      </c>
      <c r="W470" t="n">
        <v>8.5</v>
      </c>
      <c r="X470" t="n">
        <v>0</v>
      </c>
      <c r="Y470" t="inlineStr">
        <is>
          <t>The student completed most tasks correctly, including defining transforms, creating DataLoaders, loading and adapting the pretrained model, and implementing training and validation loops. However, there were minor issues such as incorrect label handling in the DataLoader setup, which required manual adjustment later. The student did not attempt the bonus task for Test Time Augmentation.</t>
        </is>
      </c>
      <c r="Z470" t="n">
        <v>4</v>
      </c>
      <c r="AA470" t="n">
        <v>0</v>
      </c>
      <c r="AB470" t="inlineStr">
        <is>
          <t>The student successfully implemented a custom dataset class, created train and test datasets with appropriate transformations, and displayed sample images. However, the CNN model has issues with missing batch normalization layers, and the training and validation functions contain syntax errors. The student did not complete the training process, plot losses and accuracies, or attempt the bonus task.</t>
        </is>
      </c>
      <c r="AC470" t="n">
        <v>3</v>
      </c>
      <c r="AD470" t="inlineStr">
        <is>
          <t>The student attempted all tasks but made significant errors. In Task 1, the dataset class incorrectly identifies both images and masks with the same file extensions, leading to mismatched pairs. The DataLoader creation also uses incorrect transformations for masks. In Task 2, the model is incorrectly defined for binary segmentation instead of multi-class segmentation. In Task 3, the training and validation loops use BCEWithLogitsLoss and float masks, which are inappropriate for multi-class segmentation. In Task 4, the loss and optimizer are defined correctly, but the training loop does not handle multi-class masks properly. In Task 5, the visualization code assumes binary masks, leading to incorrect displays.</t>
        </is>
      </c>
      <c r="AE470" t="n">
        <v>0</v>
      </c>
      <c r="AF470" t="n">
        <v>0</v>
      </c>
      <c r="AG470" t="inlineStr">
        <is>
          <t>The student did not complete the implementation of the `rgb_to_grayscale` method, leaving it incomplete with no return statement. As a result, the `__getitem__` method also does not return the grayscale image correctly. The visualization and DataLoader tests were not executed due to these issues.</t>
        </is>
      </c>
      <c r="AH470" t="n">
        <v>15.5</v>
      </c>
      <c r="AI470" t="n">
        <v>0</v>
      </c>
    </row>
    <row r="471">
      <c r="A471" t="n">
        <v>470</v>
      </c>
      <c r="B471" t="inlineStr">
        <is>
          <t>TA_9</t>
        </is>
      </c>
      <c r="C471" t="inlineStr">
        <is>
          <t>TA_19</t>
        </is>
      </c>
      <c r="D471" t="n">
        <v>12</v>
      </c>
      <c r="E471" t="n">
        <v>4</v>
      </c>
      <c r="F471" t="n">
        <v>11</v>
      </c>
      <c r="G471" t="n">
        <v>0</v>
      </c>
      <c r="H471" t="n">
        <v>9</v>
      </c>
      <c r="I471" t="n">
        <v>0</v>
      </c>
      <c r="J471" t="n">
        <v>10.25</v>
      </c>
      <c r="K471" t="n">
        <v>4</v>
      </c>
      <c r="L471" t="n">
        <v>10.9</v>
      </c>
      <c r="M471" t="n">
        <v>0</v>
      </c>
      <c r="N471" t="n">
        <v>8.5</v>
      </c>
      <c r="O471" t="n">
        <v>0</v>
      </c>
      <c r="P471">
        <f>Table1[[#This Row],[TA 1 - Q1 Score]]+Table1[[#This Row],[TA 1 - Q2 Score]]+Table1[[#This Row],[TA 1 - Q3 Score]]</f>
        <v/>
      </c>
      <c r="Q471">
        <f>Table1[[#This Row],[TA 1 - Q1 Bonus]]+Table1[[#This Row],[TA 1 - Q2 Bonus]]+Table1[[#This Row],[TA 1 - Q4 Bonus]]</f>
        <v/>
      </c>
      <c r="R471">
        <f>Table1[[#This Row],[TA 2 - Q1 Score]]+Table1[[#This Row],[TA 2 - Q2 Score]]+Table1[[#This Row],[TA 2 - Q3 Score]]</f>
        <v/>
      </c>
      <c r="S471">
        <f>Table1[[#This Row],[TA 2 - Q1 Bonus]]+Table1[[#This Row],[TA 2 - Q2 Bonus]]+Table1[[#This Row],[TA 2 - Q4 Bonus]]</f>
        <v/>
      </c>
      <c r="T471">
        <f>(Table1[[#This Row],[TA 1 - Total Score (out of 35)]]+Table1[[#This Row],[TA 2 - Total Score (out of 35)]])/2</f>
        <v/>
      </c>
      <c r="U471">
        <f>(Table1[[#This Row],[TA 1 - Total Bonus (out of 13)]]+Table1[[#This Row],[TA 2 - Total Bonus (out of 13)]])/2</f>
        <v/>
      </c>
      <c r="V471">
        <f>Table1[[#This Row],[Average Questions]]/35*20+Table1[[#This Row],[Average Bonus]]/13*5</f>
        <v/>
      </c>
      <c r="W471" t="n">
        <v>8.5</v>
      </c>
      <c r="X471" t="n">
        <v>3</v>
      </c>
      <c r="Y471" t="inlineStr">
        <is>
          <t>The student completed most tasks correctly. The transforms were properly defined, and the DataLoaders were set up with a slight difference in batch size. Sample images were displayed correctly. The pretrained EfficientNetV2-Small model was loaded and adapted, though the backbone freezing was partially incorrect. The training and validation loops were implemented correctly, including label fixing. The model was trained and plotted, but only for one epoch. Test Time Augmentation was implemented correctly, averaging predictions from original, horizontally flipped, and vertically flipped images.</t>
        </is>
      </c>
      <c r="Z471" t="n">
        <v>8.5</v>
      </c>
      <c r="AA471" t="n">
        <v>0</v>
      </c>
      <c r="AB471" t="inlineStr">
        <is>
          <t>The student successfully implemented a custom dataset class, created train and test datasets with appropriate transformations, and displayed sample images. The CNN model includes five convolutional layers with batch normalization, though the fifth layer has fewer filters than specified in the reference solution. The training and validation loops are correctly defined and executed, and the loss and accuracy plots are generated. However, the student used a different dataset path and trained for only two epochs instead of ten, affecting the final performance metrics.</t>
        </is>
      </c>
      <c r="AC471" t="n">
        <v>5</v>
      </c>
      <c r="AD471" t="inlineStr">
        <is>
          <t>The student attempted most tasks but made several mistakes. In Task 1, the dataset class and DataLoaders were correctly implemented, but there was an error in displaying images due to incorrect indexing. Task 2 was mostly correct except for using 'efficientnet-b1' instead of 'efficientnet-b0'. Task 3 had issues with the training and validation loops, using BCEWithLogitsLoss which is inappropriate for multi-class segmentation. Task 4 partially defined loss and optimizer but used an incorrect loss function and trained for only 2 epochs. Task 5 attempted to visualize predictions but incorrectly converted the predicted mask to binary.</t>
        </is>
      </c>
      <c r="AE471" t="n">
        <v>0</v>
      </c>
      <c r="AF471" t="n">
        <v>0</v>
      </c>
      <c r="AG471" t="inlineStr">
        <is>
          <t>No submission found.</t>
        </is>
      </c>
      <c r="AH471" t="n">
        <v>22</v>
      </c>
      <c r="AI471" t="n">
        <v>3</v>
      </c>
    </row>
    <row r="472">
      <c r="A472" t="n">
        <v>471</v>
      </c>
      <c r="B472" t="inlineStr">
        <is>
          <t>TA_9</t>
        </is>
      </c>
      <c r="C472" t="inlineStr">
        <is>
          <t>TA_19</t>
        </is>
      </c>
      <c r="D472" t="n">
        <v>12</v>
      </c>
      <c r="E472" t="n">
        <v>4</v>
      </c>
      <c r="F472" t="n">
        <v>11</v>
      </c>
      <c r="G472" t="n">
        <v>4</v>
      </c>
      <c r="H472" t="n">
        <v>12</v>
      </c>
      <c r="I472" t="n">
        <v>5</v>
      </c>
      <c r="J472" t="n">
        <v>12</v>
      </c>
      <c r="K472" t="n">
        <v>4</v>
      </c>
      <c r="L472" t="n">
        <v>11</v>
      </c>
      <c r="M472" t="n">
        <v>4</v>
      </c>
      <c r="N472" t="n">
        <v>10.75</v>
      </c>
      <c r="O472" t="n">
        <v>5</v>
      </c>
      <c r="P472">
        <f>Table1[[#This Row],[TA 1 - Q1 Score]]+Table1[[#This Row],[TA 1 - Q2 Score]]+Table1[[#This Row],[TA 1 - Q3 Score]]</f>
        <v/>
      </c>
      <c r="Q472">
        <f>Table1[[#This Row],[TA 1 - Q1 Bonus]]+Table1[[#This Row],[TA 1 - Q2 Bonus]]+Table1[[#This Row],[TA 1 - Q4 Bonus]]</f>
        <v/>
      </c>
      <c r="R472">
        <f>Table1[[#This Row],[TA 2 - Q1 Score]]+Table1[[#This Row],[TA 2 - Q2 Score]]+Table1[[#This Row],[TA 2 - Q3 Score]]</f>
        <v/>
      </c>
      <c r="S472">
        <f>Table1[[#This Row],[TA 2 - Q1 Bonus]]+Table1[[#This Row],[TA 2 - Q2 Bonus]]+Table1[[#This Row],[TA 2 - Q4 Bonus]]</f>
        <v/>
      </c>
      <c r="T472">
        <f>(Table1[[#This Row],[TA 1 - Total Score (out of 35)]]+Table1[[#This Row],[TA 2 - Total Score (out of 35)]])/2</f>
        <v/>
      </c>
      <c r="U472">
        <f>(Table1[[#This Row],[TA 1 - Total Bonus (out of 13)]]+Table1[[#This Row],[TA 2 - Total Bonus (out of 13)]])/2</f>
        <v/>
      </c>
      <c r="V472">
        <f>Table1[[#This Row],[Average Questions]]/35*20+Table1[[#This Row],[Average Bonus]]/13*5</f>
        <v/>
      </c>
      <c r="W472" t="n">
        <v>11</v>
      </c>
      <c r="X472" t="n">
        <v>4</v>
      </c>
      <c r="Y472" t="inlineStr">
        <is>
          <t>The student completed all required tasks with minor issues. The transforms were correctly defined, and the DataLoaders were set up properly. Sample images were displayed with correct labels. The pretrained EfficientNetV2-Small model was loaded and adapted correctly, with the backbone frozen and the classifier head replaced. The training and validation loops were implemented accurately, including the label fix. The model was trained, and the training and validation losses and accuracies were plotted. The bonus task for Test Time Augmentation was also correctly implemented, with predictions averaged from original, horizontally flipped, and vertically flipped images.</t>
        </is>
      </c>
      <c r="Z472" t="n">
        <v>10.5</v>
      </c>
      <c r="AA472" t="n">
        <v>3</v>
      </c>
      <c r="AB472" t="inlineStr">
        <is>
          <t>The student successfully completed all base tasks with minor issues. The dataset loading and preparation were done correctly, including the use of RandomRotation and resizing to 32x32. The CNN model was built with 5 convolutional layers and batch normalization, though the fifth layer had fewer filters than specified. The training and validation loops were implemented correctly, and the model trained and plotted losses and accuracies accurately. For the bonus task, the student correctly defined a residual connection from the second to fourth layer, though the implementation used summation instead of concatenation. The model was retrained and plotted, earning partial bonus points.</t>
        </is>
      </c>
      <c r="AC472" t="n">
        <v>6</v>
      </c>
      <c r="AD472" t="inlineStr">
        <is>
          <t>The student completed Task 1 with a custom dataset class, DataLoaders, and displayed sample images and masks. Task 2 defined a pretrained U-Net with the correct encoder. Task 3 included both training and validation loops. Task 4 defined the loss and optimizer, trained the model, printed losses, and plotted the loss curve. However, Task 5 had issues with the dataset used for visualization, which was not defined correctly, leading to errors.</t>
        </is>
      </c>
      <c r="AE472" t="n">
        <v>0</v>
      </c>
      <c r="AF472" t="n">
        <v>5</v>
      </c>
      <c r="AG472" t="inlineStr">
        <is>
          <t>The student's implementation of the `ColorizationDataset` class is correct and runs perfectly. The `__init__`, `__len__`, `rgb_to_grayscale`, and `__getitem__` methods are all implemented accurately. The visualization and DataLoader tests also work as expected, producing the correct shapes and displaying the images properly.</t>
        </is>
      </c>
      <c r="AH472" t="n">
        <v>27.5</v>
      </c>
      <c r="AI472" t="n">
        <v>12</v>
      </c>
    </row>
    <row r="473">
      <c r="A473" t="n">
        <v>472</v>
      </c>
      <c r="B473" t="inlineStr">
        <is>
          <t>TA_9</t>
        </is>
      </c>
      <c r="C473" t="inlineStr">
        <is>
          <t>TA_19</t>
        </is>
      </c>
      <c r="D473" t="n">
        <v>12</v>
      </c>
      <c r="E473" t="n">
        <v>4</v>
      </c>
      <c r="F473" t="n">
        <v>11</v>
      </c>
      <c r="G473" t="n">
        <v>4</v>
      </c>
      <c r="H473" t="n">
        <v>12</v>
      </c>
      <c r="I473" t="n">
        <v>5</v>
      </c>
      <c r="J473" t="n">
        <v>12</v>
      </c>
      <c r="K473" t="n">
        <v>4</v>
      </c>
      <c r="L473" t="n">
        <v>11</v>
      </c>
      <c r="M473" t="n">
        <v>4</v>
      </c>
      <c r="N473" t="n">
        <v>11</v>
      </c>
      <c r="O473" t="n">
        <v>5</v>
      </c>
      <c r="P473">
        <f>Table1[[#This Row],[TA 1 - Q1 Score]]+Table1[[#This Row],[TA 1 - Q2 Score]]+Table1[[#This Row],[TA 1 - Q3 Score]]</f>
        <v/>
      </c>
      <c r="Q473">
        <f>Table1[[#This Row],[TA 1 - Q1 Bonus]]+Table1[[#This Row],[TA 1 - Q2 Bonus]]+Table1[[#This Row],[TA 1 - Q4 Bonus]]</f>
        <v/>
      </c>
      <c r="R473">
        <f>Table1[[#This Row],[TA 2 - Q1 Score]]+Table1[[#This Row],[TA 2 - Q2 Score]]+Table1[[#This Row],[TA 2 - Q3 Score]]</f>
        <v/>
      </c>
      <c r="S473">
        <f>Table1[[#This Row],[TA 2 - Q1 Bonus]]+Table1[[#This Row],[TA 2 - Q2 Bonus]]+Table1[[#This Row],[TA 2 - Q4 Bonus]]</f>
        <v/>
      </c>
      <c r="T473">
        <f>(Table1[[#This Row],[TA 1 - Total Score (out of 35)]]+Table1[[#This Row],[TA 2 - Total Score (out of 35)]])/2</f>
        <v/>
      </c>
      <c r="U473">
        <f>(Table1[[#This Row],[TA 1 - Total Bonus (out of 13)]]+Table1[[#This Row],[TA 2 - Total Bonus (out of 13)]])/2</f>
        <v/>
      </c>
      <c r="V473">
        <f>Table1[[#This Row],[Average Questions]]/35*20+Table1[[#This Row],[Average Bonus]]/13*5</f>
        <v/>
      </c>
      <c r="W473" t="n">
        <v>10.5</v>
      </c>
      <c r="X473" t="n">
        <v>4</v>
      </c>
      <c r="Y473" t="inlineStr">
        <is>
          <t>The student's submission largely follows the reference solution, demonstrating a good understanding of the tasks. The data loading and preparation, including transformations and DataLoader creation, are correctly implemented. Sample images are displayed accurately. The pretrained EfficientNetV2-Small model is loaded and adapted properly, with the backbone frozen and the classifier head replaced for 26 classes. The training and validation loops are correctly defined and executed, with label fixing applied. The training process runs smoothly, and both loss and accuracy plots are generated. The bonus task for Test Time Augmentation is also correctly implemented, with predictions averaged from original, horizontally flipped, and vertically flipped images.</t>
        </is>
      </c>
      <c r="Z473" t="n">
        <v>10</v>
      </c>
      <c r="AA473" t="n">
        <v>4</v>
      </c>
      <c r="AB473" t="inlineStr">
        <is>
          <t>The student successfully completed all required tasks for Question 2, including loading and preparing the data, building the CNN model with batch normalization, defining training and validation functions, setting up the device, model, loss, and optimizer, training the model, and plotting the losses and accuracies. For the bonus task, the student correctly implemented a residual connection and retrained the model, also plotting the corresponding metrics.</t>
        </is>
      </c>
      <c r="AC473" t="n">
        <v>8</v>
      </c>
      <c r="AD473" t="inlineStr">
        <is>
          <t>The student's submission includes most of the required tasks with some minor issues. The dataset class is implemented correctly but uses OpenCV instead of PIL, which is acceptable. DataLoaders are created, and sample images and masks are displayed. The model class uses the correct U-Net architecture with the specified encoder. Training and validation loops are defined and executed, though the validation set is incorrectly set to the same as the training set. Loss and optimizer are defined, and the model is trained and evaluated, with loss curves plotted. Predictions are visualized against ground truth. The main issue is the incorrect validation set usage, which affects the evaluation.</t>
        </is>
      </c>
      <c r="AE473" t="n">
        <v>0</v>
      </c>
      <c r="AF473" t="n">
        <v>5</v>
      </c>
      <c r="AG473" t="inlineStr">
        <is>
          <t>The student's implementation of the ColorizationDataset class is correct and runs perfectly, producing the expected output. The code follows the optimal logic, including the correct formula for converting RGB to grayscale and returning the correct shapes for both grayscale and color images. The visualization also displays the images correctly. Therefore, the student receives full bonus points for this task.</t>
        </is>
      </c>
      <c r="AH473" t="n">
        <v>28.5</v>
      </c>
      <c r="AI473" t="n">
        <v>13</v>
      </c>
    </row>
    <row r="474">
      <c r="A474" t="n">
        <v>473</v>
      </c>
      <c r="B474" t="inlineStr">
        <is>
          <t>TA_9</t>
        </is>
      </c>
      <c r="C474" t="inlineStr">
        <is>
          <t>TA_19</t>
        </is>
      </c>
      <c r="D474" t="n">
        <v>12</v>
      </c>
      <c r="E474" t="n">
        <v>4</v>
      </c>
      <c r="F474" t="n">
        <v>10.75</v>
      </c>
      <c r="G474" t="n">
        <v>3</v>
      </c>
      <c r="H474" t="n">
        <v>12</v>
      </c>
      <c r="I474" t="n">
        <v>5</v>
      </c>
      <c r="J474" t="n">
        <v>12</v>
      </c>
      <c r="K474" t="n">
        <v>4</v>
      </c>
      <c r="L474" t="n">
        <v>10.25</v>
      </c>
      <c r="M474" t="n">
        <v>0</v>
      </c>
      <c r="N474" t="n">
        <v>11.5</v>
      </c>
      <c r="O474" t="n">
        <v>5</v>
      </c>
      <c r="P474">
        <f>Table1[[#This Row],[TA 1 - Q1 Score]]+Table1[[#This Row],[TA 1 - Q2 Score]]+Table1[[#This Row],[TA 1 - Q3 Score]]</f>
        <v/>
      </c>
      <c r="Q474">
        <f>Table1[[#This Row],[TA 1 - Q1 Bonus]]+Table1[[#This Row],[TA 1 - Q2 Bonus]]+Table1[[#This Row],[TA 1 - Q4 Bonus]]</f>
        <v/>
      </c>
      <c r="R474">
        <f>Table1[[#This Row],[TA 2 - Q1 Score]]+Table1[[#This Row],[TA 2 - Q2 Score]]+Table1[[#This Row],[TA 2 - Q3 Score]]</f>
        <v/>
      </c>
      <c r="S474">
        <f>Table1[[#This Row],[TA 2 - Q1 Bonus]]+Table1[[#This Row],[TA 2 - Q2 Bonus]]+Table1[[#This Row],[TA 2 - Q4 Bonus]]</f>
        <v/>
      </c>
      <c r="T474">
        <f>(Table1[[#This Row],[TA 1 - Total Score (out of 35)]]+Table1[[#This Row],[TA 2 - Total Score (out of 35)]])/2</f>
        <v/>
      </c>
      <c r="U474">
        <f>(Table1[[#This Row],[TA 1 - Total Bonus (out of 13)]]+Table1[[#This Row],[TA 2 - Total Bonus (out of 13)]])/2</f>
        <v/>
      </c>
      <c r="V474">
        <f>Table1[[#This Row],[Average Questions]]/35*20+Table1[[#This Row],[Average Bonus]]/13*5</f>
        <v/>
      </c>
      <c r="W474" t="n">
        <v>7</v>
      </c>
      <c r="X474" t="n">
        <v>0</v>
      </c>
      <c r="Y474" t="inlineStr">
        <is>
          <t>The student completed most tasks with minor issues. The data loading and preparation were mostly correct, but the image display had errors in denormalization and label indexing. The model loading and adaptation were partially correct, but the backbone was not properly frozen. The training and validation loops were implemented with some syntax errors, particularly in handling outputs and predictions. The bonus task was not correctly implemented, as the averaging of predictions and loss calculation were flawed.</t>
        </is>
      </c>
      <c r="Z474" t="n">
        <v>6</v>
      </c>
      <c r="AA474" t="n">
        <v>0</v>
      </c>
      <c r="AB474" t="inlineStr">
        <is>
          <t>The student successfully loaded and prepared the data with the correct transformations and displayed sample images. The CNN model has 5 convolutional layers with batch normalization, though the architecture differs from the reference solution. The training and validation loops are implemented correctly. However, the bonus task is not completed as the residual connection is incorrectly defined and the model does not retrain with this connection.</t>
        </is>
      </c>
      <c r="AC474" t="n">
        <v>8</v>
      </c>
      <c r="AD474" t="inlineStr">
        <is>
          <t>The student's submission contains mostly correct code with minor issues. Task 1 is partially correct with a typo in the import statement and incorrect dataset class name. Task 2 is correct except for using 'efficientnet-b1' instead of 'efficientnet-b0'. Task 3 is correct with proper training and validation loops. Task 4 is mostly correct with a minor issue in the optimizer learning rate. Task 5 is correct with proper visualization of predictions.</t>
        </is>
      </c>
      <c r="AE474" t="n">
        <v>0</v>
      </c>
      <c r="AF474" t="n">
        <v>5</v>
      </c>
      <c r="AG474" t="inlineStr">
        <is>
          <t>The student's implementation of the `ColorizationDataset` class is correct and runs perfectly, producing the expected output and following the optimal logic. The `__init__`, `__len__`, `rgb_to_grayscale`, and `__getitem__` methods are all implemented accurately. The visualization also works as intended, showing the grayscale and color images correctly. Therefore, the student receives full bonus points for this task.</t>
        </is>
      </c>
      <c r="AH474" t="n">
        <v>21</v>
      </c>
      <c r="AI474" t="n">
        <v>5</v>
      </c>
    </row>
    <row r="475">
      <c r="A475" t="n">
        <v>474</v>
      </c>
      <c r="B475" t="inlineStr">
        <is>
          <t>TA_9</t>
        </is>
      </c>
      <c r="C475" t="inlineStr">
        <is>
          <t>TA_19</t>
        </is>
      </c>
      <c r="D475" t="n">
        <v>5.75</v>
      </c>
      <c r="E475" t="n">
        <v>0</v>
      </c>
      <c r="F475" t="n">
        <v>9</v>
      </c>
      <c r="G475" t="n">
        <v>0</v>
      </c>
      <c r="H475" t="n">
        <v>12</v>
      </c>
      <c r="I475" t="n">
        <v>0</v>
      </c>
      <c r="J475" t="n">
        <v>10</v>
      </c>
      <c r="K475" t="n">
        <v>0</v>
      </c>
      <c r="L475" t="n">
        <v>8.9</v>
      </c>
      <c r="M475" t="n">
        <v>0</v>
      </c>
      <c r="N475" t="n">
        <v>11.75</v>
      </c>
      <c r="O475" t="n">
        <v>0</v>
      </c>
      <c r="P475">
        <f>Table1[[#This Row],[TA 1 - Q1 Score]]+Table1[[#This Row],[TA 1 - Q2 Score]]+Table1[[#This Row],[TA 1 - Q3 Score]]</f>
        <v/>
      </c>
      <c r="Q475">
        <f>Table1[[#This Row],[TA 1 - Q1 Bonus]]+Table1[[#This Row],[TA 1 - Q2 Bonus]]+Table1[[#This Row],[TA 1 - Q4 Bonus]]</f>
        <v/>
      </c>
      <c r="R475">
        <f>Table1[[#This Row],[TA 2 - Q1 Score]]+Table1[[#This Row],[TA 2 - Q2 Score]]+Table1[[#This Row],[TA 2 - Q3 Score]]</f>
        <v/>
      </c>
      <c r="S475">
        <f>Table1[[#This Row],[TA 2 - Q1 Bonus]]+Table1[[#This Row],[TA 2 - Q2 Bonus]]+Table1[[#This Row],[TA 2 - Q4 Bonus]]</f>
        <v/>
      </c>
      <c r="T475">
        <f>(Table1[[#This Row],[TA 1 - Total Score (out of 35)]]+Table1[[#This Row],[TA 2 - Total Score (out of 35)]])/2</f>
        <v/>
      </c>
      <c r="U475">
        <f>(Table1[[#This Row],[TA 1 - Total Bonus (out of 13)]]+Table1[[#This Row],[TA 2 - Total Bonus (out of 13)]])/2</f>
        <v/>
      </c>
      <c r="V475">
        <f>Table1[[#This Row],[Average Questions]]/35*20+Table1[[#This Row],[Average Bonus]]/13*5</f>
        <v/>
      </c>
      <c r="W475" t="n">
        <v>5.5</v>
      </c>
      <c r="X475" t="n">
        <v>0</v>
      </c>
      <c r="Y475" t="inlineStr">
        <is>
          <t>The student completed the data loading and transformation tasks correctly, including resizing, converting to tensor, and normalizing the images. However, the student did not create DataLoaders properly and incorrectly attempted to adjust labels within the DataLoader loop, which does not affect the dataset itself. The student displayed sample images but used an incorrect label mapping. In the model adaptation section, the student froze the entire model instead of just the backbone and incorrectly set the classifier's requires_grad attribute. The training and validation loops were implemented with logical errors, such as incorrect handling of model outputs and loss computation. The student did not attempt the bonus task.</t>
        </is>
      </c>
      <c r="Z475" t="n">
        <v>7</v>
      </c>
      <c r="AA475" t="n">
        <v>0</v>
      </c>
      <c r="AB475" t="inlineStr">
        <is>
          <t>The student successfully loaded and prepared the data with the correct transformations and displayed sample images. The CNN model was built with 5 convolutional layers, though the number of channels and pooling operations were different from the reference solution. The training and validation functions were implemented correctly, and the model was trained and plotted. However, the bonus task was not attempted.</t>
        </is>
      </c>
      <c r="AC475" t="n">
        <v>8.5</v>
      </c>
      <c r="AD475" t="inlineStr">
        <is>
          <t>The student's submission mostly follows the reference solution but contains some minor issues. Task 1 is partially correct with a small mistake in the dataset path. Task 2 is correct except for using 'efficientnet-b1' instead of 'efficientnet-b0'. Task 3 is fully implemented correctly. Task 4 is mostly correct with a slight issue in the optimizer choice and learning rate. Task 5 is mostly correct but uses grayscale for the predicted mask instead of a colormap.</t>
        </is>
      </c>
      <c r="AE475" t="n">
        <v>0</v>
      </c>
      <c r="AF475" t="n">
        <v>0</v>
      </c>
      <c r="AG475" t="inlineStr">
        <is>
          <t>The student's implementation contains several errors. In the `rgb_to_grayscale` method, the grayscale image is calculated correctly but not returned, resulting in a NoneType error. Additionally, in the `__getitem__` method, the grayscale and color images are returned in the wrong order, which would cause issues during training. These mistakes prevent the code from running correctly and producing the expected output.</t>
        </is>
      </c>
      <c r="AH475" t="n">
        <v>21</v>
      </c>
      <c r="AI475" t="n">
        <v>0</v>
      </c>
    </row>
    <row r="476">
      <c r="A476" t="n">
        <v>475</v>
      </c>
      <c r="B476" t="inlineStr">
        <is>
          <t>TA_9</t>
        </is>
      </c>
      <c r="C476" t="inlineStr">
        <is>
          <t>TA_19</t>
        </is>
      </c>
      <c r="D476" t="n">
        <v>4.25</v>
      </c>
      <c r="E476" t="n">
        <v>0</v>
      </c>
      <c r="F476" t="n">
        <v>8.75</v>
      </c>
      <c r="G476" t="n">
        <v>0</v>
      </c>
      <c r="H476" t="n">
        <v>6</v>
      </c>
      <c r="I476" t="n">
        <v>0</v>
      </c>
      <c r="J476" t="n">
        <v>4.25</v>
      </c>
      <c r="K476" t="n">
        <v>0</v>
      </c>
      <c r="L476" t="n">
        <v>7</v>
      </c>
      <c r="M476" t="n">
        <v>0</v>
      </c>
      <c r="N476" t="n">
        <v>8</v>
      </c>
      <c r="O476" t="n">
        <v>0</v>
      </c>
      <c r="P476">
        <f>Table1[[#This Row],[TA 1 - Q1 Score]]+Table1[[#This Row],[TA 1 - Q2 Score]]+Table1[[#This Row],[TA 1 - Q3 Score]]</f>
        <v/>
      </c>
      <c r="Q476">
        <f>Table1[[#This Row],[TA 1 - Q1 Bonus]]+Table1[[#This Row],[TA 1 - Q2 Bonus]]+Table1[[#This Row],[TA 1 - Q4 Bonus]]</f>
        <v/>
      </c>
      <c r="R476">
        <f>Table1[[#This Row],[TA 2 - Q1 Score]]+Table1[[#This Row],[TA 2 - Q2 Score]]+Table1[[#This Row],[TA 2 - Q3 Score]]</f>
        <v/>
      </c>
      <c r="S476">
        <f>Table1[[#This Row],[TA 2 - Q1 Bonus]]+Table1[[#This Row],[TA 2 - Q2 Bonus]]+Table1[[#This Row],[TA 2 - Q4 Bonus]]</f>
        <v/>
      </c>
      <c r="T476">
        <f>(Table1[[#This Row],[TA 1 - Total Score (out of 35)]]+Table1[[#This Row],[TA 2 - Total Score (out of 35)]])/2</f>
        <v/>
      </c>
      <c r="U476">
        <f>(Table1[[#This Row],[TA 1 - Total Bonus (out of 13)]]+Table1[[#This Row],[TA 2 - Total Bonus (out of 13)]])/2</f>
        <v/>
      </c>
      <c r="V476">
        <f>Table1[[#This Row],[Average Questions]]/35*20+Table1[[#This Row],[Average Bonus]]/13*5</f>
        <v/>
      </c>
      <c r="W476" t="n">
        <v>4</v>
      </c>
      <c r="X476" t="n">
        <v>0</v>
      </c>
      <c r="Y476" t="inlineStr">
        <is>
          <t>The student partially completed several tasks but made significant errors. The resize transformation was incorrectly specified without a tuple for dimensions. The DataLoader creation was mostly correct but used an incorrect model variant (EfficientNetV2-M instead of EfficientNetV2-Small). The classifier head was incorrectly set to 12 classes instead of 26. The training and validation loops contained logical errors, such as using BCEWithLogitsLoss for multi-class classification and incorrect handling of model outputs. No bonus task was attempted.</t>
        </is>
      </c>
      <c r="Z476" t="n">
        <v>7</v>
      </c>
      <c r="AA476" t="n">
        <v>0</v>
      </c>
      <c r="AB476" t="inlineStr">
        <is>
          <t>The student implemented a custom dataset class and used DataLoader correctly, earning full marks for Part 1. However, the transformations were incorrect as they resized images to 32x32 instead of 128x128 and did not include RandomRotation. The CNN model had only 5 convolutional layers but lacked Batch Normalization, earning 50% for Part 2. Training and validation functions were implemented correctly, earning full marks for Part 3. The model setup, training, and plotting were done correctly, earning full marks for Part 4. No bonus task was attempted.</t>
        </is>
      </c>
      <c r="AC476" t="n">
        <v>5</v>
      </c>
      <c r="AD476" t="inlineStr">
        <is>
          <t>The student attempted most tasks but made several mistakes. In Task 1, the dataset class and DataLoaders were partially correct but the student used a DataFrame for splitting data instead of using PyTorch's random_split. In Task 2, the student implemented a custom U-Net instead of using a pretrained U-Net with efficientnet-b1 encoder. In Task 3, the training and validation loops were mostly correct but had minor issues with mask handling. In Task 4, the student defined the loss and optimizer correctly but used an incorrect learning rate and had issues with mask dimensions. In Task 5, the student visualized predictions but used softmax incorrectly, affecting the results.</t>
        </is>
      </c>
      <c r="AE476" t="n">
        <v>0</v>
      </c>
      <c r="AF476" t="n">
        <v>0</v>
      </c>
      <c r="AG476" t="inlineStr">
        <is>
          <t>No submission found.</t>
        </is>
      </c>
      <c r="AH476" t="n">
        <v>16</v>
      </c>
      <c r="AI476" t="n">
        <v>0</v>
      </c>
    </row>
    <row r="477">
      <c r="A477" t="n">
        <v>476</v>
      </c>
      <c r="B477" t="inlineStr">
        <is>
          <t>TA_9</t>
        </is>
      </c>
      <c r="C477" t="inlineStr">
        <is>
          <t>TA_19</t>
        </is>
      </c>
      <c r="D477" t="n">
        <v>4.75</v>
      </c>
      <c r="E477" t="n">
        <v>0</v>
      </c>
      <c r="F477" t="n">
        <v>6.25</v>
      </c>
      <c r="G477" t="n">
        <v>0</v>
      </c>
      <c r="H477" t="n">
        <v>9.25</v>
      </c>
      <c r="I477" t="n">
        <v>0</v>
      </c>
      <c r="J477" t="n">
        <v>3.75</v>
      </c>
      <c r="K477" t="n">
        <v>0</v>
      </c>
      <c r="L477" t="n">
        <v>4.25</v>
      </c>
      <c r="M477" t="n">
        <v>0</v>
      </c>
      <c r="N477" t="n">
        <v>9.75</v>
      </c>
      <c r="O477" t="n">
        <v>0</v>
      </c>
      <c r="P477">
        <f>Table1[[#This Row],[TA 1 - Q1 Score]]+Table1[[#This Row],[TA 1 - Q2 Score]]+Table1[[#This Row],[TA 1 - Q3 Score]]</f>
        <v/>
      </c>
      <c r="Q477">
        <f>Table1[[#This Row],[TA 1 - Q1 Bonus]]+Table1[[#This Row],[TA 1 - Q2 Bonus]]+Table1[[#This Row],[TA 1 - Q4 Bonus]]</f>
        <v/>
      </c>
      <c r="R477">
        <f>Table1[[#This Row],[TA 2 - Q1 Score]]+Table1[[#This Row],[TA 2 - Q2 Score]]+Table1[[#This Row],[TA 2 - Q3 Score]]</f>
        <v/>
      </c>
      <c r="S477">
        <f>Table1[[#This Row],[TA 2 - Q1 Bonus]]+Table1[[#This Row],[TA 2 - Q2 Bonus]]+Table1[[#This Row],[TA 2 - Q4 Bonus]]</f>
        <v/>
      </c>
      <c r="T477">
        <f>(Table1[[#This Row],[TA 1 - Total Score (out of 35)]]+Table1[[#This Row],[TA 2 - Total Score (out of 35)]])/2</f>
        <v/>
      </c>
      <c r="U477">
        <f>(Table1[[#This Row],[TA 1 - Total Bonus (out of 13)]]+Table1[[#This Row],[TA 2 - Total Bonus (out of 13)]])/2</f>
        <v/>
      </c>
      <c r="V477">
        <f>Table1[[#This Row],[Average Questions]]/35*20+Table1[[#This Row],[Average Bonus]]/13*5</f>
        <v/>
      </c>
      <c r="W477" t="n">
        <v>2</v>
      </c>
      <c r="X477" t="n">
        <v>0</v>
      </c>
      <c r="Y477" t="inlineStr">
        <is>
          <t>The student partially completed the data loading and preparation, but made mistakes in the transformations and DataLoader setup. The model loading and adaptation were incorrect, with the entire model being frozen and the classifier head improperly modified. The training and validation loops had significant issues, including incorrect loss functions and label handling. No bonus tasks were attempted.</t>
        </is>
      </c>
      <c r="Z477" t="n">
        <v>5</v>
      </c>
      <c r="AA477" t="n">
        <v>0</v>
      </c>
      <c r="AB477" t="inlineStr">
        <is>
          <t>The student attempted most tasks but made several mistakes. The dataset paths were incorrect, using a skin cancer dataset instead of the potato disease dataset. The transformations included unnecessary ColorJitter and Normalize, which were not specified in the guidelines. The CNN model had incorrect layer configurations, such as mismatched input/output channels. The training and validation loops were mostly correct but included unnecessary softmax operations. No bonus task was attempted.</t>
        </is>
      </c>
      <c r="AC477" t="n">
        <v>8</v>
      </c>
      <c r="AD477" t="inlineStr">
        <is>
          <t>The student's submission contains mostly correct code but has some issues. Task 1 is mostly correct with a minor mistake in the directory paths for the dataset split. Task 2 has a critical error where the number of classes is incorrectly set to 5 instead of 8. Task 3 is correctly implemented. Task 4 is mostly correct with a minor issue in the optimizer choice (AdamW instead of Adam). Task 5 is mostly correct but uses grayscale colormap for predictions instead of 'tab10'.</t>
        </is>
      </c>
      <c r="AE477" t="n">
        <v>0</v>
      </c>
      <c r="AF477" t="n">
        <v>0</v>
      </c>
      <c r="AG477" t="inlineStr">
        <is>
          <t>No submission found.</t>
        </is>
      </c>
      <c r="AH477" t="n">
        <v>15</v>
      </c>
      <c r="AI477" t="n">
        <v>0</v>
      </c>
    </row>
    <row r="478">
      <c r="A478" t="n">
        <v>477</v>
      </c>
      <c r="B478" t="inlineStr">
        <is>
          <t>TA_9</t>
        </is>
      </c>
      <c r="C478" t="inlineStr">
        <is>
          <t>TA_19</t>
        </is>
      </c>
      <c r="D478" t="n">
        <v>10.8</v>
      </c>
      <c r="E478" t="n">
        <v>0</v>
      </c>
      <c r="F478" t="n">
        <v>11</v>
      </c>
      <c r="G478" t="n">
        <v>0</v>
      </c>
      <c r="H478" t="n">
        <v>11.75</v>
      </c>
      <c r="I478" t="n">
        <v>0</v>
      </c>
      <c r="J478" t="n">
        <v>11</v>
      </c>
      <c r="K478" t="n">
        <v>0</v>
      </c>
      <c r="L478" t="n">
        <v>10.9</v>
      </c>
      <c r="M478" t="n">
        <v>0</v>
      </c>
      <c r="N478" t="n">
        <v>10</v>
      </c>
      <c r="O478" t="n">
        <v>0</v>
      </c>
      <c r="P478">
        <f>Table1[[#This Row],[TA 1 - Q1 Score]]+Table1[[#This Row],[TA 1 - Q2 Score]]+Table1[[#This Row],[TA 1 - Q3 Score]]</f>
        <v/>
      </c>
      <c r="Q478">
        <f>Table1[[#This Row],[TA 1 - Q1 Bonus]]+Table1[[#This Row],[TA 1 - Q2 Bonus]]+Table1[[#This Row],[TA 1 - Q4 Bonus]]</f>
        <v/>
      </c>
      <c r="R478">
        <f>Table1[[#This Row],[TA 2 - Q1 Score]]+Table1[[#This Row],[TA 2 - Q2 Score]]+Table1[[#This Row],[TA 2 - Q3 Score]]</f>
        <v/>
      </c>
      <c r="S478">
        <f>Table1[[#This Row],[TA 2 - Q1 Bonus]]+Table1[[#This Row],[TA 2 - Q2 Bonus]]+Table1[[#This Row],[TA 2 - Q4 Bonus]]</f>
        <v/>
      </c>
      <c r="T478">
        <f>(Table1[[#This Row],[TA 1 - Total Score (out of 35)]]+Table1[[#This Row],[TA 2 - Total Score (out of 35)]])/2</f>
        <v/>
      </c>
      <c r="U478">
        <f>(Table1[[#This Row],[TA 1 - Total Bonus (out of 13)]]+Table1[[#This Row],[TA 2 - Total Bonus (out of 13)]])/2</f>
        <v/>
      </c>
      <c r="V478">
        <f>Table1[[#This Row],[Average Questions]]/35*20+Table1[[#This Row],[Average Bonus]]/13*5</f>
        <v/>
      </c>
      <c r="W478" t="n">
        <v>4</v>
      </c>
      <c r="X478" t="n">
        <v>0</v>
      </c>
      <c r="Y478" t="inlineStr">
        <is>
          <t>The student partially completed several tasks but made significant errors. The data loading and preparation section had incorrect image resizing dimensions and issues with displaying images. The model loading and adaptation section incorrectly loaded a Faster R-CNN model instead of EfficientNetV2-Small and had issues with freezing the backbone. The training and validation loops contained logical errors in calculating accuracy. The student did not attempt the bonus task.</t>
        </is>
      </c>
      <c r="Z478" t="n">
        <v>8</v>
      </c>
      <c r="AA478" t="n">
        <v>0</v>
      </c>
      <c r="AB478" t="inlineStr">
        <is>
          <t>The student successfully completed most tasks with minor issues. The data loading and preparation section had a small mistake in the test transformation resizing, which should be 32x32 instead of 64x64. The CNN model was built with 5 convolutional layers and batch normalization, but the number of output features in the first fully connected layer was incorrectly set to 16 instead of 256*4*4. The training and validation loops were implemented correctly, and the model was trained and plotted. However, the bonus task was not attempted.</t>
        </is>
      </c>
      <c r="AC478" t="n">
        <v>6</v>
      </c>
      <c r="AD478" t="inlineStr">
        <is>
          <t>The student's submission contains several issues. In Task 1, the mask file paths are incorrectly set to '*.jpg' instead of '*.png'. The dataset class is partially correct but has a misplaced remap_mask call. Task 2 defines the model with an incorrect number of classes (7 instead of 8). Task 3 is mostly correct but could benefit from better variable naming. Task 4 correctly defines the loss and optimizer but uses a different learning rate and optimizer type. Task 5 visualizes predictions but uses a grayscale colormap instead of 'tab10' for multi-class segmentation.</t>
        </is>
      </c>
      <c r="AE478" t="n">
        <v>0</v>
      </c>
      <c r="AF478" t="n">
        <v>0</v>
      </c>
      <c r="AG478" t="inlineStr">
        <is>
          <t>No submission found.</t>
        </is>
      </c>
      <c r="AH478" t="n">
        <v>18</v>
      </c>
      <c r="AI478" t="n">
        <v>0</v>
      </c>
    </row>
    <row r="479">
      <c r="A479" t="n">
        <v>478</v>
      </c>
      <c r="B479" t="inlineStr">
        <is>
          <t>TA_9</t>
        </is>
      </c>
      <c r="C479" t="inlineStr">
        <is>
          <t>TA_19</t>
        </is>
      </c>
      <c r="D479" t="n">
        <v>3.8</v>
      </c>
      <c r="E479" t="n">
        <v>0</v>
      </c>
      <c r="F479" t="n">
        <v>7.75</v>
      </c>
      <c r="G479" t="n">
        <v>0</v>
      </c>
      <c r="H479" t="n">
        <v>11.5</v>
      </c>
      <c r="I479" t="n">
        <v>0</v>
      </c>
      <c r="J479" t="n">
        <v>5.5</v>
      </c>
      <c r="K479" t="n">
        <v>0</v>
      </c>
      <c r="L479" t="n">
        <v>7.5</v>
      </c>
      <c r="M479" t="n">
        <v>0</v>
      </c>
      <c r="N479" t="n">
        <v>7.75</v>
      </c>
      <c r="O479" t="n">
        <v>0</v>
      </c>
      <c r="P479">
        <f>Table1[[#This Row],[TA 1 - Q1 Score]]+Table1[[#This Row],[TA 1 - Q2 Score]]+Table1[[#This Row],[TA 1 - Q3 Score]]</f>
        <v/>
      </c>
      <c r="Q479">
        <f>Table1[[#This Row],[TA 1 - Q1 Bonus]]+Table1[[#This Row],[TA 1 - Q2 Bonus]]+Table1[[#This Row],[TA 1 - Q4 Bonus]]</f>
        <v/>
      </c>
      <c r="R479">
        <f>Table1[[#This Row],[TA 2 - Q1 Score]]+Table1[[#This Row],[TA 2 - Q2 Score]]+Table1[[#This Row],[TA 2 - Q3 Score]]</f>
        <v/>
      </c>
      <c r="S479">
        <f>Table1[[#This Row],[TA 2 - Q1 Bonus]]+Table1[[#This Row],[TA 2 - Q2 Bonus]]+Table1[[#This Row],[TA 2 - Q4 Bonus]]</f>
        <v/>
      </c>
      <c r="T479">
        <f>(Table1[[#This Row],[TA 1 - Total Score (out of 35)]]+Table1[[#This Row],[TA 2 - Total Score (out of 35)]])/2</f>
        <v/>
      </c>
      <c r="U479">
        <f>(Table1[[#This Row],[TA 1 - Total Bonus (out of 13)]]+Table1[[#This Row],[TA 2 - Total Bonus (out of 13)]])/2</f>
        <v/>
      </c>
      <c r="V479">
        <f>Table1[[#This Row],[Average Questions]]/35*20+Table1[[#This Row],[Average Bonus]]/13*5</f>
        <v/>
      </c>
      <c r="W479" t="n">
        <v>4</v>
      </c>
      <c r="X479" t="n">
        <v>0</v>
      </c>
      <c r="Y479" t="inlineStr">
        <is>
          <t>The student attempted most tasks but made several mistakes. In Part 1, the resize transformation was incorrectly set to (28*28) instead of (28, 28). DataLoader creation had incorrect shuffling for the test set. Sample image display had an off-by-one error in indexing labels. Part 2 lacked freezing the backbone. Part 3 had issues with squeezing outputs, affecting both training and validation loops. Part 4 used a different optimizer (AdamW) and fewer epochs, but the core logic was present. No bonus task was attempted.</t>
        </is>
      </c>
      <c r="Z479" t="n">
        <v>7</v>
      </c>
      <c r="AA479" t="n">
        <v>0</v>
      </c>
      <c r="AB479" t="inlineStr">
        <is>
          <t>The student successfully loaded and prepared the data with the correct transformations and displayed sample images. The CNN model has 5 convolutional layers but with incorrect channel sizes, and it lacks batch normalization. The training and validation loops are implemented correctly, and the model is trained and plotted. However, the bonus task was not attempted.</t>
        </is>
      </c>
      <c r="AC479" t="n">
        <v>5</v>
      </c>
      <c r="AD479" t="inlineStr">
        <is>
          <t>The student partially completed the tasks with some syntax and logical errors. The dataset class and data loaders were implemented correctly, but the model class used a binary U-Net instead of a multi-class one. The training and validation loops had issues with the loss function and mask handling. Visualization of predictions was attempted but incorrectly displayed binary masks.</t>
        </is>
      </c>
      <c r="AE479" t="n">
        <v>0</v>
      </c>
      <c r="AF479" t="n">
        <v>0</v>
      </c>
      <c r="AG479" t="inlineStr">
        <is>
          <t>No submission found.</t>
        </is>
      </c>
      <c r="AH479" t="n">
        <v>16</v>
      </c>
      <c r="AI479" t="n">
        <v>0</v>
      </c>
    </row>
    <row r="480">
      <c r="A480" t="n">
        <v>479</v>
      </c>
      <c r="B480" t="inlineStr">
        <is>
          <t>TA_9</t>
        </is>
      </c>
      <c r="C480" t="inlineStr">
        <is>
          <t>TA_19</t>
        </is>
      </c>
      <c r="D480" t="n">
        <v>4.25</v>
      </c>
      <c r="E480" t="n">
        <v>0</v>
      </c>
      <c r="F480" t="n">
        <v>7.5</v>
      </c>
      <c r="G480" t="n">
        <v>0</v>
      </c>
      <c r="H480" t="n">
        <v>11.4</v>
      </c>
      <c r="I480" t="n">
        <v>0</v>
      </c>
      <c r="J480" t="n">
        <v>6.5</v>
      </c>
      <c r="K480" t="n">
        <v>0</v>
      </c>
      <c r="L480" t="n">
        <v>6.75</v>
      </c>
      <c r="M480" t="n">
        <v>0</v>
      </c>
      <c r="N480" t="n">
        <v>10.25</v>
      </c>
      <c r="O480" t="n">
        <v>0</v>
      </c>
      <c r="P480">
        <f>Table1[[#This Row],[TA 1 - Q1 Score]]+Table1[[#This Row],[TA 1 - Q2 Score]]+Table1[[#This Row],[TA 1 - Q3 Score]]</f>
        <v/>
      </c>
      <c r="Q480">
        <f>Table1[[#This Row],[TA 1 - Q1 Bonus]]+Table1[[#This Row],[TA 1 - Q2 Bonus]]+Table1[[#This Row],[TA 1 - Q4 Bonus]]</f>
        <v/>
      </c>
      <c r="R480">
        <f>Table1[[#This Row],[TA 2 - Q1 Score]]+Table1[[#This Row],[TA 2 - Q2 Score]]+Table1[[#This Row],[TA 2 - Q3 Score]]</f>
        <v/>
      </c>
      <c r="S480">
        <f>Table1[[#This Row],[TA 2 - Q1 Bonus]]+Table1[[#This Row],[TA 2 - Q2 Bonus]]+Table1[[#This Row],[TA 2 - Q4 Bonus]]</f>
        <v/>
      </c>
      <c r="T480">
        <f>(Table1[[#This Row],[TA 1 - Total Score (out of 35)]]+Table1[[#This Row],[TA 2 - Total Score (out of 35)]])/2</f>
        <v/>
      </c>
      <c r="U480">
        <f>(Table1[[#This Row],[TA 1 - Total Bonus (out of 13)]]+Table1[[#This Row],[TA 2 - Total Bonus (out of 13)]])/2</f>
        <v/>
      </c>
      <c r="V480">
        <f>Table1[[#This Row],[Average Questions]]/35*20+Table1[[#This Row],[Average Bonus]]/13*5</f>
        <v/>
      </c>
      <c r="W480" t="n">
        <v>8</v>
      </c>
      <c r="X480" t="n">
        <v>0</v>
      </c>
      <c r="Y480" t="inlineStr">
        <is>
          <t>The student completed most tasks correctly but made some minor mistakes. The data loading and preparation were mostly correct, with proper transformations and DataLoader creation, though the batch size was smaller than in the reference. The model loading and adaptation were accurate, with the backbone frozen and the classifier head replaced correctly. However, the label fix was not implemented, resulting in a penalty. The training and validation loops were correct, but the plotting of losses and accuracies had a typo in the variable names. No bonus task was attempted.</t>
        </is>
      </c>
      <c r="Z480" t="n">
        <v>6</v>
      </c>
      <c r="AA480" t="n">
        <v>0</v>
      </c>
      <c r="AB480" t="inlineStr">
        <is>
          <t>The student implemented a custom dataset class and used it correctly, achieving full marks for Part 1. However, the CNN model defined in Part 2 has several issues: it uses incorrect dimensions for fully connected layers, does not include batch normalization, and has fewer convolutional layers than required. The training and validation loops in Part 3 are mostly correct but contain unnecessary softmax operations. Part 4 is executed with some errors due to the incorrect model architecture. No bonus task was attempted.</t>
        </is>
      </c>
      <c r="AC480" t="n">
        <v>8.5</v>
      </c>
      <c r="AD480" t="inlineStr">
        <is>
          <t>The student's submission largely follows the reference solution but contains minor issues. Task 1 is mostly correct with a small typo in importing numpy. Task 2 correctly defines the U-Net model with the specified encoder. Task 3 includes both training and validation loops with minor syntax issues. Task 4 defines the loss and optimizer correctly, trains the model, and plots the loss curve. Task 5 visualizes predictions but uses grayscale for masks instead of the specified colormap.</t>
        </is>
      </c>
      <c r="AE480" t="n">
        <v>0</v>
      </c>
      <c r="AF480" t="n">
        <v>0</v>
      </c>
      <c r="AG480" t="inlineStr">
        <is>
          <t>No submission found.</t>
        </is>
      </c>
      <c r="AH480" t="n">
        <v>22.5</v>
      </c>
      <c r="AI480" t="n">
        <v>0</v>
      </c>
    </row>
    <row r="481">
      <c r="A481" t="n">
        <v>480</v>
      </c>
      <c r="B481" t="inlineStr">
        <is>
          <t>TA_9</t>
        </is>
      </c>
      <c r="C481" t="inlineStr">
        <is>
          <t>TA_19</t>
        </is>
      </c>
      <c r="D481" t="n">
        <v>12</v>
      </c>
      <c r="E481" t="n">
        <v>0</v>
      </c>
      <c r="F481" t="n">
        <v>11</v>
      </c>
      <c r="G481" t="n">
        <v>0</v>
      </c>
      <c r="H481" t="n">
        <v>11</v>
      </c>
      <c r="I481" t="n">
        <v>0</v>
      </c>
      <c r="J481" t="n">
        <v>11.25</v>
      </c>
      <c r="K481" t="n">
        <v>0</v>
      </c>
      <c r="L481" t="n">
        <v>10.9</v>
      </c>
      <c r="M481" t="n">
        <v>0</v>
      </c>
      <c r="N481" t="n">
        <v>9</v>
      </c>
      <c r="O481" t="n">
        <v>0</v>
      </c>
      <c r="P481">
        <f>Table1[[#This Row],[TA 1 - Q1 Score]]+Table1[[#This Row],[TA 1 - Q2 Score]]+Table1[[#This Row],[TA 1 - Q3 Score]]</f>
        <v/>
      </c>
      <c r="Q481">
        <f>Table1[[#This Row],[TA 1 - Q1 Bonus]]+Table1[[#This Row],[TA 1 - Q2 Bonus]]+Table1[[#This Row],[TA 1 - Q4 Bonus]]</f>
        <v/>
      </c>
      <c r="R481">
        <f>Table1[[#This Row],[TA 2 - Q1 Score]]+Table1[[#This Row],[TA 2 - Q2 Score]]+Table1[[#This Row],[TA 2 - Q3 Score]]</f>
        <v/>
      </c>
      <c r="S481">
        <f>Table1[[#This Row],[TA 2 - Q1 Bonus]]+Table1[[#This Row],[TA 2 - Q2 Bonus]]+Table1[[#This Row],[TA 2 - Q4 Bonus]]</f>
        <v/>
      </c>
      <c r="T481">
        <f>(Table1[[#This Row],[TA 1 - Total Score (out of 35)]]+Table1[[#This Row],[TA 2 - Total Score (out of 35)]])/2</f>
        <v/>
      </c>
      <c r="U481">
        <f>(Table1[[#This Row],[TA 1 - Total Bonus (out of 13)]]+Table1[[#This Row],[TA 2 - Total Bonus (out of 13)]])/2</f>
        <v/>
      </c>
      <c r="V481">
        <f>Table1[[#This Row],[Average Questions]]/35*20+Table1[[#This Row],[Average Bonus]]/13*5</f>
        <v/>
      </c>
      <c r="W481" t="n">
        <v>7</v>
      </c>
      <c r="X481" t="n">
        <v>0</v>
      </c>
      <c r="Y481" t="inlineStr">
        <is>
          <t>The student completed most tasks with minor issues. The data loading and preparation were mostly correct, but the DataLoader for the test set was incorrectly set to shuffle. The model loading and adaptation were partially correct, but the student froze more parameters than necessary. The training and validation loops were implemented with a logical mistake in the accuracy calculation due to not adjusting the labels correctly. The plotting of losses and accuracies was correct. No bonus task was attempted.</t>
        </is>
      </c>
      <c r="Z481" t="n">
        <v>8</v>
      </c>
      <c r="AA481" t="n">
        <v>0</v>
      </c>
      <c r="AB481" t="inlineStr">
        <is>
          <t>The student successfully loaded and prepared the data with the correct transformations and displayed sample images. The CNN model was built with 5 convolutional layers and batch normalization, though the number of channels in the first layer was less than specified in the rubric. The training and validation functions were implemented correctly, and the model was trained and plotted with losses and accuracies. However, the bonus task was not completed.</t>
        </is>
      </c>
      <c r="AC481" t="n">
        <v>5</v>
      </c>
      <c r="AD481" t="inlineStr">
        <is>
          <t>The student attempted most tasks but made several mistakes. In Task 1, the dataset class has issues with indexing and loading images/masks. The DataLoader setup is mostly correct but uses incorrect batch sizes. Task 2 correctly defines the U-Net model but specifies the wrong number of classes. Task 3 has incorrect implementation of the training and validation loops, using float masks with CrossEntropyLoss. Task 4 partially defines loss and optimizer but incorrectly implements the training loop. Task 5 visualizes predictions but uses incorrect thresholding and colormap.</t>
        </is>
      </c>
      <c r="AE481" t="n">
        <v>0</v>
      </c>
      <c r="AF481" t="n">
        <v>0</v>
      </c>
      <c r="AG481" t="inlineStr">
        <is>
          <t>The student's implementation contains significant errors in the `rgb_to_grayscale` method and the `__getitem__` method. The `rgb_to_grayscale` method incorrectly iterates over the entire dataset instead of processing a single image, and it does not return the grayscale image correctly. The `__getitem__` method also contains errors, attempting to access undefined attributes `grayscale_image` and `color_image`. These issues prevent the code from running correctly and producing the expected output.</t>
        </is>
      </c>
      <c r="AH481" t="n">
        <v>20</v>
      </c>
      <c r="AI481" t="n">
        <v>0</v>
      </c>
    </row>
    <row r="482">
      <c r="A482" t="n">
        <v>481</v>
      </c>
      <c r="B482" t="inlineStr">
        <is>
          <t>TA_9</t>
        </is>
      </c>
      <c r="C482" t="inlineStr">
        <is>
          <t>TA_19</t>
        </is>
      </c>
      <c r="D482" t="n">
        <v>9.75</v>
      </c>
      <c r="E482" t="n">
        <v>0</v>
      </c>
      <c r="F482" t="n">
        <v>6</v>
      </c>
      <c r="G482" t="n">
        <v>0</v>
      </c>
      <c r="H482" t="n">
        <v>11</v>
      </c>
      <c r="I482" t="n">
        <v>0</v>
      </c>
      <c r="J482" t="n">
        <v>11</v>
      </c>
      <c r="K482" t="n">
        <v>0</v>
      </c>
      <c r="L482" t="n">
        <v>7.4</v>
      </c>
      <c r="M482" t="n">
        <v>0</v>
      </c>
      <c r="N482" t="n">
        <v>8.25</v>
      </c>
      <c r="O482" t="n">
        <v>0</v>
      </c>
      <c r="P482">
        <f>Table1[[#This Row],[TA 1 - Q1 Score]]+Table1[[#This Row],[TA 1 - Q2 Score]]+Table1[[#This Row],[TA 1 - Q3 Score]]</f>
        <v/>
      </c>
      <c r="Q482">
        <f>Table1[[#This Row],[TA 1 - Q1 Bonus]]+Table1[[#This Row],[TA 1 - Q2 Bonus]]+Table1[[#This Row],[TA 1 - Q4 Bonus]]</f>
        <v/>
      </c>
      <c r="R482">
        <f>Table1[[#This Row],[TA 2 - Q1 Score]]+Table1[[#This Row],[TA 2 - Q2 Score]]+Table1[[#This Row],[TA 2 - Q3 Score]]</f>
        <v/>
      </c>
      <c r="S482">
        <f>Table1[[#This Row],[TA 2 - Q1 Bonus]]+Table1[[#This Row],[TA 2 - Q2 Bonus]]+Table1[[#This Row],[TA 2 - Q4 Bonus]]</f>
        <v/>
      </c>
      <c r="T482">
        <f>(Table1[[#This Row],[TA 1 - Total Score (out of 35)]]+Table1[[#This Row],[TA 2 - Total Score (out of 35)]])/2</f>
        <v/>
      </c>
      <c r="U482">
        <f>(Table1[[#This Row],[TA 1 - Total Bonus (out of 13)]]+Table1[[#This Row],[TA 2 - Total Bonus (out of 13)]])/2</f>
        <v/>
      </c>
      <c r="V482">
        <f>Table1[[#This Row],[Average Questions]]/35*20+Table1[[#This Row],[Average Bonus]]/13*5</f>
        <v/>
      </c>
      <c r="W482" t="n">
        <v>7</v>
      </c>
      <c r="X482" t="n">
        <v>0</v>
      </c>
      <c r="Y482" t="inlineStr">
        <is>
          <t>The student completed most tasks with minor issues. Transforms were correctly defined, and DataLoaders were set up properly. Sample images were displayed, though the code had a small mistake in ignoring labels. The pretrained model was loaded and adapted correctly, but all layers were frozen instead of just the backbone. Training and validation loops were implemented with a few syntax errors, such as unnecessary squeezing of outputs. The student did not attempt the bonus task.</t>
        </is>
      </c>
      <c r="Z482" t="n">
        <v>7</v>
      </c>
      <c r="AA482" t="n">
        <v>0</v>
      </c>
      <c r="AB482" t="inlineStr">
        <is>
          <t>The student successfully loaded and prepared the data with the correct transformations and displayed sample images. The CNN model has 5 convolutional layers but lacks batch normalization, earning partial credit. The training and validation functions are mostly correct but contain minor issues like unnecessary softmax usage. The model setup, training, and plotting of losses and accuracies were done correctly. The bonus task was not attempted.</t>
        </is>
      </c>
      <c r="AC482" t="n">
        <v>4</v>
      </c>
      <c r="AD482" t="inlineStr">
        <is>
          <t>The student attempted most tasks but made significant errors. The dataset class and data loaders were correctly implemented, but displaying samples had issues due to incorrect indexing. The model class used the wrong number of output classes. The training and validation loops contained logical errors, particularly in handling mask dimensions and loss functions. Visualization of predictions was incorrect, showing binary masks instead of multi-class predictions.</t>
        </is>
      </c>
      <c r="AE482" t="n">
        <v>0</v>
      </c>
      <c r="AF482" t="n">
        <v>0</v>
      </c>
      <c r="AG482" t="inlineStr">
        <is>
          <t>No submission found.</t>
        </is>
      </c>
      <c r="AH482" t="n">
        <v>18</v>
      </c>
      <c r="AI482" t="n">
        <v>0</v>
      </c>
    </row>
    <row r="483">
      <c r="A483" t="n">
        <v>482</v>
      </c>
      <c r="B483" t="inlineStr">
        <is>
          <t>TA_9</t>
        </is>
      </c>
      <c r="C483" t="inlineStr">
        <is>
          <t>TA_19</t>
        </is>
      </c>
      <c r="D483" t="n">
        <v>10.5</v>
      </c>
      <c r="E483" t="n">
        <v>3</v>
      </c>
      <c r="F483" t="n">
        <v>9.5</v>
      </c>
      <c r="G483" t="n">
        <v>0</v>
      </c>
      <c r="H483" t="n">
        <v>11</v>
      </c>
      <c r="I483" t="n">
        <v>0</v>
      </c>
      <c r="J483" t="n">
        <v>9.5</v>
      </c>
      <c r="K483" t="n">
        <v>2</v>
      </c>
      <c r="L483" t="n">
        <v>6.75</v>
      </c>
      <c r="M483" t="n">
        <v>0</v>
      </c>
      <c r="N483" t="n">
        <v>7.75</v>
      </c>
      <c r="O483" t="n">
        <v>0</v>
      </c>
      <c r="P483">
        <f>Table1[[#This Row],[TA 1 - Q1 Score]]+Table1[[#This Row],[TA 1 - Q2 Score]]+Table1[[#This Row],[TA 1 - Q3 Score]]</f>
        <v/>
      </c>
      <c r="Q483">
        <f>Table1[[#This Row],[TA 1 - Q1 Bonus]]+Table1[[#This Row],[TA 1 - Q2 Bonus]]+Table1[[#This Row],[TA 1 - Q4 Bonus]]</f>
        <v/>
      </c>
      <c r="R483">
        <f>Table1[[#This Row],[TA 2 - Q1 Score]]+Table1[[#This Row],[TA 2 - Q2 Score]]+Table1[[#This Row],[TA 2 - Q3 Score]]</f>
        <v/>
      </c>
      <c r="S483">
        <f>Table1[[#This Row],[TA 2 - Q1 Bonus]]+Table1[[#This Row],[TA 2 - Q2 Bonus]]+Table1[[#This Row],[TA 2 - Q4 Bonus]]</f>
        <v/>
      </c>
      <c r="T483">
        <f>(Table1[[#This Row],[TA 1 - Total Score (out of 35)]]+Table1[[#This Row],[TA 2 - Total Score (out of 35)]])/2</f>
        <v/>
      </c>
      <c r="U483">
        <f>(Table1[[#This Row],[TA 1 - Total Bonus (out of 13)]]+Table1[[#This Row],[TA 2 - Total Bonus (out of 13)]])/2</f>
        <v/>
      </c>
      <c r="V483">
        <f>Table1[[#This Row],[Average Questions]]/35*20+Table1[[#This Row],[Average Bonus]]/13*5</f>
        <v/>
      </c>
      <c r="W483" t="n">
        <v>5</v>
      </c>
      <c r="X483" t="n">
        <v>0</v>
      </c>
      <c r="Y483" t="inlineStr">
        <is>
          <t>The student completed the data loading and preparation with minor issues, such as incorrect batch sizes and incorrect class labels in the plot. The model loading and adaptation were mostly correct, but the student used EfficientNet-B0 instead of EfficientNetV2-Small. The training and validation loops had syntax errors and logical mistakes, particularly in handling the model outputs and computing accuracy. The bonus task was not implemented correctly, with incorrect handling of predictions and averaging.</t>
        </is>
      </c>
      <c r="Z483" t="n">
        <v>5</v>
      </c>
      <c r="AA483" t="n">
        <v>0</v>
      </c>
      <c r="AB483" t="inlineStr">
        <is>
          <t>The student partially completed the tasks. They correctly set up the dataset using ImageFolder and defined the necessary transformations, including RandomRotation and resizing to 224x224 (instead of 32x32 as specified). The visualization function works correctly. However, the CNN model has several issues: it does not have 5 convolutional layers, lacks BatchNormalization, and the forward method contains a syntax error. The training and validation loops are mostly correct but the model definition prevents them from running properly. No bonus tasks were attempted.</t>
        </is>
      </c>
      <c r="AC483" t="n">
        <v>4</v>
      </c>
      <c r="AD483" t="inlineStr">
        <is>
          <t>The student's submission has several issues. In Task 1, the dataset class is partially correct but uses incorrect class names and paths. The DataLoader creation is mostly correct but uses a different dataset class name. Displaying images and masks is attempted but incorrectly references MRI and tumor, which are unrelated to the task. In Task 2, the model is incorrectly defined for binary segmentation instead of multi-class. In Task 3, the training and validation loops are attempted but use BCEWithLogitsLoss, which is inappropriate for multi-class segmentation. In Task 4, the loss and optimizer are defined incorrectly, and the training loop uses the wrong loss function. In Task 5, the visualization is attempted but uses a binary threshold, which is not suitable for multi-class segmentation.</t>
        </is>
      </c>
      <c r="AE483" t="n">
        <v>0</v>
      </c>
      <c r="AF483" t="n">
        <v>0</v>
      </c>
      <c r="AG483" t="inlineStr">
        <is>
          <t>No submission found.</t>
        </is>
      </c>
      <c r="AH483" t="n">
        <v>14</v>
      </c>
      <c r="AI483" t="n">
        <v>0</v>
      </c>
    </row>
    <row r="484">
      <c r="A484" t="n">
        <v>483</v>
      </c>
      <c r="B484" t="inlineStr">
        <is>
          <t>TA_9</t>
        </is>
      </c>
      <c r="C484" t="inlineStr">
        <is>
          <t>TA_19</t>
        </is>
      </c>
      <c r="D484" t="n">
        <v>9.5</v>
      </c>
      <c r="E484" t="n">
        <v>4</v>
      </c>
      <c r="F484" t="n">
        <v>11</v>
      </c>
      <c r="G484" t="n">
        <v>3</v>
      </c>
      <c r="H484" t="n">
        <v>6.5</v>
      </c>
      <c r="I484" t="n">
        <v>5</v>
      </c>
      <c r="J484" t="n">
        <v>9.25</v>
      </c>
      <c r="K484" t="n">
        <v>4</v>
      </c>
      <c r="L484" t="n">
        <v>9.75</v>
      </c>
      <c r="M484" t="n">
        <v>1.5</v>
      </c>
      <c r="N484" t="n">
        <v>7</v>
      </c>
      <c r="O484" t="n">
        <v>5</v>
      </c>
      <c r="P484">
        <f>Table1[[#This Row],[TA 1 - Q1 Score]]+Table1[[#This Row],[TA 1 - Q2 Score]]+Table1[[#This Row],[TA 1 - Q3 Score]]</f>
        <v/>
      </c>
      <c r="Q484">
        <f>Table1[[#This Row],[TA 1 - Q1 Bonus]]+Table1[[#This Row],[TA 1 - Q2 Bonus]]+Table1[[#This Row],[TA 1 - Q4 Bonus]]</f>
        <v/>
      </c>
      <c r="R484">
        <f>Table1[[#This Row],[TA 2 - Q1 Score]]+Table1[[#This Row],[TA 2 - Q2 Score]]+Table1[[#This Row],[TA 2 - Q3 Score]]</f>
        <v/>
      </c>
      <c r="S484">
        <f>Table1[[#This Row],[TA 2 - Q1 Bonus]]+Table1[[#This Row],[TA 2 - Q2 Bonus]]+Table1[[#This Row],[TA 2 - Q4 Bonus]]</f>
        <v/>
      </c>
      <c r="T484">
        <f>(Table1[[#This Row],[TA 1 - Total Score (out of 35)]]+Table1[[#This Row],[TA 2 - Total Score (out of 35)]])/2</f>
        <v/>
      </c>
      <c r="U484">
        <f>(Table1[[#This Row],[TA 1 - Total Bonus (out of 13)]]+Table1[[#This Row],[TA 2 - Total Bonus (out of 13)]])/2</f>
        <v/>
      </c>
      <c r="V484">
        <f>Table1[[#This Row],[Average Questions]]/35*20+Table1[[#This Row],[Average Bonus]]/13*5</f>
        <v/>
      </c>
      <c r="W484" t="n">
        <v>8.5</v>
      </c>
      <c r="X484" t="n">
        <v>3</v>
      </c>
      <c r="Y484" t="inlineStr">
        <is>
          <t>The student completed most tasks correctly. The transforms were fully implemented, and DataLoaders were set up properly. Sample images were displayed with correct labels. However, the student used EfficientNetV2-M instead of EfficientNetV2-Small, which deducts points. The training and validation loops were correctly implemented, including label fixing. The learning rate was set lower than the reference, which is acceptable. The bonus task for Test Time Augmentation was correctly implemented, averaging predictions from original, horizontally flipped, and vertically flipped images.</t>
        </is>
      </c>
      <c r="Z484" t="n">
        <v>8.5</v>
      </c>
      <c r="AA484" t="n">
        <v>0</v>
      </c>
      <c r="AB484" t="inlineStr">
        <is>
          <t>The student successfully loaded and prepared the data with the correct transformations and displayed sample images. The CNN model was built with five convolutional layers and batch normalization, earning full points for these tasks. However, the student did not implement the residual connection as required in the bonus task, resulting in no bonus points. The training and validation functions were correctly defined and used, and the model was trained and plotted without issues.</t>
        </is>
      </c>
      <c r="AC484" t="n">
        <v>5</v>
      </c>
      <c r="AD484" t="inlineStr">
        <is>
          <t>The student attempted most tasks but made several mistakes. In Task 1, the dataset class has issues with mask transformation and does not properly handle mask resizing. DataLoader creation is partially correct but lacks normalization. Task 2 correctly defines the U-Net model with the specified encoder. Task 3 has syntax errors in the training and validation loops, specifically in handling mask dimensions for CrossEntropyLoss. Task 4 defines the loss and optimizer correctly but has issues in the training loop due to previous mistakes. Task 5 is incomplete with no visualization code provided.</t>
        </is>
      </c>
      <c r="AE484" t="n">
        <v>0</v>
      </c>
      <c r="AF484" t="n">
        <v>5</v>
      </c>
      <c r="AG484" t="inlineStr">
        <is>
          <t>The student's implementation of the ColorizationDataset class is correct and runs perfectly, producing the expected output. The code follows the optimal logic, including the correct grayscale conversion formula and returning the correct shapes for both grayscale and color images. The visualization also displays the images correctly. Therefore, the student receives full bonus points for this task.</t>
        </is>
      </c>
      <c r="AH484" t="n">
        <v>22</v>
      </c>
      <c r="AI484" t="n">
        <v>8</v>
      </c>
    </row>
    <row r="485">
      <c r="A485" t="n">
        <v>484</v>
      </c>
      <c r="B485" t="inlineStr">
        <is>
          <t>TA_9</t>
        </is>
      </c>
      <c r="C485" t="inlineStr">
        <is>
          <t>TA_19</t>
        </is>
      </c>
      <c r="D485" t="n">
        <v>12</v>
      </c>
      <c r="E485" t="n">
        <v>3</v>
      </c>
      <c r="F485" t="n">
        <v>11</v>
      </c>
      <c r="G485" t="n">
        <v>4</v>
      </c>
      <c r="H485" t="n">
        <v>12</v>
      </c>
      <c r="I485" t="n">
        <v>5</v>
      </c>
      <c r="J485" t="n">
        <v>11.25</v>
      </c>
      <c r="K485" t="n">
        <v>3</v>
      </c>
      <c r="L485" t="n">
        <v>10.5</v>
      </c>
      <c r="M485" t="n">
        <v>4</v>
      </c>
      <c r="N485" t="n">
        <v>12</v>
      </c>
      <c r="O485" t="n">
        <v>5</v>
      </c>
      <c r="P485">
        <f>Table1[[#This Row],[TA 1 - Q1 Score]]+Table1[[#This Row],[TA 1 - Q2 Score]]+Table1[[#This Row],[TA 1 - Q3 Score]]</f>
        <v/>
      </c>
      <c r="Q485">
        <f>Table1[[#This Row],[TA 1 - Q1 Bonus]]+Table1[[#This Row],[TA 1 - Q2 Bonus]]+Table1[[#This Row],[TA 1 - Q4 Bonus]]</f>
        <v/>
      </c>
      <c r="R485">
        <f>Table1[[#This Row],[TA 2 - Q1 Score]]+Table1[[#This Row],[TA 2 - Q2 Score]]+Table1[[#This Row],[TA 2 - Q3 Score]]</f>
        <v/>
      </c>
      <c r="S485">
        <f>Table1[[#This Row],[TA 2 - Q1 Bonus]]+Table1[[#This Row],[TA 2 - Q2 Bonus]]+Table1[[#This Row],[TA 2 - Q4 Bonus]]</f>
        <v/>
      </c>
      <c r="T485">
        <f>(Table1[[#This Row],[TA 1 - Total Score (out of 35)]]+Table1[[#This Row],[TA 2 - Total Score (out of 35)]])/2</f>
        <v/>
      </c>
      <c r="U485">
        <f>(Table1[[#This Row],[TA 1 - Total Bonus (out of 13)]]+Table1[[#This Row],[TA 2 - Total Bonus (out of 13)]])/2</f>
        <v/>
      </c>
      <c r="V485">
        <f>Table1[[#This Row],[Average Questions]]/35*20+Table1[[#This Row],[Average Bonus]]/13*5</f>
        <v/>
      </c>
      <c r="W485" t="n">
        <v>7</v>
      </c>
      <c r="X485" t="n">
        <v>0</v>
      </c>
      <c r="Y485" t="inlineStr">
        <is>
          <t>The student completed most tasks with minor issues. The data loading and preparation were mostly correct but lacked the resize transformation. The model loading and adaptation were accurate, with the backbone frozen and the classifier head replaced correctly. The training and validation loops were implemented with some unnecessary softmax operations, but they functioned. The bonus task was not completed due to incorrect averaging of predictions.</t>
        </is>
      </c>
      <c r="Z485" t="n">
        <v>6</v>
      </c>
      <c r="AA485" t="n">
        <v>0</v>
      </c>
      <c r="AB485" t="inlineStr">
        <is>
          <t>The student partially completed the tasks. They correctly set up the dataset and DataLoaders with the required transformations, including RandomRotation and resizing to 32x32. However, they used an incorrect architecture for the CNN model, deviating significantly from the specified requirements of five convolutional layers with batch normalization. The training and validation loops were implemented correctly, but the model architecture issues impacted the overall performance. No bonus task was attempted.</t>
        </is>
      </c>
      <c r="AC485" t="n">
        <v>8.5</v>
      </c>
      <c r="AD485" t="inlineStr">
        <is>
          <t>The student's submission largely follows the reference solution but contains minor issues. Task 1 is mostly correct with a small mistake in the mask transformation (incorrectly squeezing the mask tensor). Task 2 correctly defines the U-Net model with the specified encoder. Task 3 implements the training and validation loops accurately. Task 4 defines the loss and optimizer correctly, trains the model, and plots the loss curve, though with fewer epochs than the reference. Task 5 visualizes predictions but uses an incorrect colormap for the masks. Overall, the submission is functional with some minor errors.</t>
        </is>
      </c>
      <c r="AE485" t="n">
        <v>0</v>
      </c>
      <c r="AF485" t="n">
        <v>5</v>
      </c>
      <c r="AG485" t="inlineStr">
        <is>
          <t>The student's implementation of the ColorizationDataset class is mostly correct. The __init__, __len__, rgb_to_grayscale, and __getitem__ methods are properly defined and follow the reference solution. The visualization and DataLoader tests also run correctly, producing the expected shapes and displaying the images. Therefore, the bonus task is fully completed.</t>
        </is>
      </c>
      <c r="AH485" t="n">
        <v>21.5</v>
      </c>
      <c r="AI485" t="n">
        <v>5</v>
      </c>
    </row>
    <row r="486">
      <c r="A486" t="n">
        <v>485</v>
      </c>
      <c r="B486" t="inlineStr">
        <is>
          <t>TA_9</t>
        </is>
      </c>
      <c r="C486" t="inlineStr">
        <is>
          <t>TA_19</t>
        </is>
      </c>
      <c r="D486" t="n">
        <v>12</v>
      </c>
      <c r="E486" t="n">
        <v>0</v>
      </c>
      <c r="F486" t="n">
        <v>9.300000000000001</v>
      </c>
      <c r="G486" t="n">
        <v>0</v>
      </c>
      <c r="H486" t="n">
        <v>8.5</v>
      </c>
      <c r="I486" t="n">
        <v>0</v>
      </c>
      <c r="J486" t="n">
        <v>11</v>
      </c>
      <c r="K486" t="n">
        <v>0</v>
      </c>
      <c r="L486" t="n">
        <v>8.75</v>
      </c>
      <c r="M486" t="n">
        <v>0</v>
      </c>
      <c r="N486" t="n">
        <v>6.25</v>
      </c>
      <c r="O486" t="n">
        <v>0</v>
      </c>
      <c r="P486">
        <f>Table1[[#This Row],[TA 1 - Q1 Score]]+Table1[[#This Row],[TA 1 - Q2 Score]]+Table1[[#This Row],[TA 1 - Q3 Score]]</f>
        <v/>
      </c>
      <c r="Q486">
        <f>Table1[[#This Row],[TA 1 - Q1 Bonus]]+Table1[[#This Row],[TA 1 - Q2 Bonus]]+Table1[[#This Row],[TA 1 - Q4 Bonus]]</f>
        <v/>
      </c>
      <c r="R486">
        <f>Table1[[#This Row],[TA 2 - Q1 Score]]+Table1[[#This Row],[TA 2 - Q2 Score]]+Table1[[#This Row],[TA 2 - Q3 Score]]</f>
        <v/>
      </c>
      <c r="S486">
        <f>Table1[[#This Row],[TA 2 - Q1 Bonus]]+Table1[[#This Row],[TA 2 - Q2 Bonus]]+Table1[[#This Row],[TA 2 - Q4 Bonus]]</f>
        <v/>
      </c>
      <c r="T486">
        <f>(Table1[[#This Row],[TA 1 - Total Score (out of 35)]]+Table1[[#This Row],[TA 2 - Total Score (out of 35)]])/2</f>
        <v/>
      </c>
      <c r="U486">
        <f>(Table1[[#This Row],[TA 1 - Total Bonus (out of 13)]]+Table1[[#This Row],[TA 2 - Total Bonus (out of 13)]])/2</f>
        <v/>
      </c>
      <c r="V486">
        <f>Table1[[#This Row],[Average Questions]]/35*20+Table1[[#This Row],[Average Bonus]]/13*5</f>
        <v/>
      </c>
      <c r="W486" t="n">
        <v>10</v>
      </c>
      <c r="X486" t="n">
        <v>0</v>
      </c>
      <c r="Y486" t="inlineStr">
        <is>
          <t>The student completed most tasks correctly. They defined the necessary transforms, created DataLoaders, displayed sample images, loaded and adapted the EfficientNetV2-Small model, and implemented training and validation loops. However, they did not perform Test Time Augmentation as required for the bonus task. The student used a batch size of 32 instead of 64, which is a minor deviation. The code runs and produces the expected output.</t>
        </is>
      </c>
      <c r="Z486" t="n">
        <v>7</v>
      </c>
      <c r="AA486" t="n">
        <v>0</v>
      </c>
      <c r="AB486" t="inlineStr">
        <is>
          <t>The student successfully loaded and prepared the data with the correct transformations and displayed sample images. The CNN model was built with 5 convolutional layers and batch normalization, though the architecture differs slightly from the reference. Training and validation functions were implemented correctly, and the model was trained and plotted. However, the bonus task was not attempted.</t>
        </is>
      </c>
      <c r="AC486" t="n">
        <v>2</v>
      </c>
      <c r="AD486" t="inlineStr">
        <is>
          <t>The student attempted most tasks but made significant errors. In Task 1, the dataset class has issues with path handling and does not correctly load images and masks. The DataLoader creation also incorrectly assigns the same directory to both train and test datasets. Task 2 defines the model incorrectly with only one class instead of eight. Task 3 and Task 4 contain logical errors in the training and validation loops, using BCEWithLogitsLoss for multi-class segmentation. Task 5 visualizes predictions but does not handle multi-class masks correctly.</t>
        </is>
      </c>
      <c r="AE486" t="n">
        <v>0</v>
      </c>
      <c r="AF486" t="n">
        <v>0</v>
      </c>
      <c r="AG486" t="inlineStr">
        <is>
          <t>No submission found.</t>
        </is>
      </c>
      <c r="AH486" t="n">
        <v>19</v>
      </c>
      <c r="AI486" t="n">
        <v>0</v>
      </c>
    </row>
    <row r="487">
      <c r="A487" t="n">
        <v>486</v>
      </c>
      <c r="B487" t="inlineStr">
        <is>
          <t>TA_9</t>
        </is>
      </c>
      <c r="C487" t="inlineStr">
        <is>
          <t>TA_19</t>
        </is>
      </c>
      <c r="D487" t="n">
        <v>2.5</v>
      </c>
      <c r="E487" t="n">
        <v>0</v>
      </c>
      <c r="F487" t="n">
        <v>9.25</v>
      </c>
      <c r="G487" t="n">
        <v>3.8</v>
      </c>
      <c r="H487" t="n">
        <v>10.5</v>
      </c>
      <c r="I487" t="n">
        <v>0</v>
      </c>
      <c r="J487" t="n">
        <v>4.5</v>
      </c>
      <c r="K487" t="n">
        <v>0</v>
      </c>
      <c r="L487" t="n">
        <v>7.5</v>
      </c>
      <c r="M487" t="n">
        <v>0</v>
      </c>
      <c r="N487" t="n">
        <v>7.75</v>
      </c>
      <c r="O487" t="n">
        <v>0</v>
      </c>
      <c r="P487">
        <f>Table1[[#This Row],[TA 1 - Q1 Score]]+Table1[[#This Row],[TA 1 - Q2 Score]]+Table1[[#This Row],[TA 1 - Q3 Score]]</f>
        <v/>
      </c>
      <c r="Q487">
        <f>Table1[[#This Row],[TA 1 - Q1 Bonus]]+Table1[[#This Row],[TA 1 - Q2 Bonus]]+Table1[[#This Row],[TA 1 - Q4 Bonus]]</f>
        <v/>
      </c>
      <c r="R487">
        <f>Table1[[#This Row],[TA 2 - Q1 Score]]+Table1[[#This Row],[TA 2 - Q2 Score]]+Table1[[#This Row],[TA 2 - Q3 Score]]</f>
        <v/>
      </c>
      <c r="S487">
        <f>Table1[[#This Row],[TA 2 - Q1 Bonus]]+Table1[[#This Row],[TA 2 - Q2 Bonus]]+Table1[[#This Row],[TA 2 - Q4 Bonus]]</f>
        <v/>
      </c>
      <c r="T487">
        <f>(Table1[[#This Row],[TA 1 - Total Score (out of 35)]]+Table1[[#This Row],[TA 2 - Total Score (out of 35)]])/2</f>
        <v/>
      </c>
      <c r="U487">
        <f>(Table1[[#This Row],[TA 1 - Total Bonus (out of 13)]]+Table1[[#This Row],[TA 2 - Total Bonus (out of 13)]])/2</f>
        <v/>
      </c>
      <c r="V487">
        <f>Table1[[#This Row],[Average Questions]]/35*20+Table1[[#This Row],[Average Bonus]]/13*5</f>
        <v/>
      </c>
      <c r="W487" t="n">
        <v>2</v>
      </c>
      <c r="X487" t="n">
        <v>0</v>
      </c>
      <c r="Y487" t="inlineStr">
        <is>
          <t>The student partially completed the tasks with some syntax and logical errors. The data loading and preparation section had missing normalization and incorrect DataLoader batch sizes. The model loading section used the wrong model variant and incorrectly modified the classifier. The training and validation loops contained errors in handling outputs and labels, and the labels were not adjusted for 0-indexing. No bonus tasks were attempted.</t>
        </is>
      </c>
      <c r="Z487" t="n">
        <v>3</v>
      </c>
      <c r="AA487" t="n">
        <v>0</v>
      </c>
      <c r="AB487" t="inlineStr">
        <is>
          <t>The student partially completed the tasks. They used incorrect image sizes and transformations, and the model architecture did not meet the requirements. The training and validation loops were implemented but contained errors. The bonus task was not attempted.</t>
        </is>
      </c>
      <c r="AC487" t="n">
        <v>4</v>
      </c>
      <c r="AD487" t="inlineStr">
        <is>
          <t>The student attempted most tasks but made significant errors. In Task 1, the dataset paths were incorrectly assumed to contain patient folders, leading to incorrect file listings. The dataset class was partially implemented but used incorrect file paths. Task 2 correctly defined the U-Net model but specified only one class instead of eight. Task 3 had incomplete training and validation loops with incorrect handling of mask data types. Task 4 used BCEWithLogitsLoss and AdamW optimizer, which are not suitable for multi-class segmentation, and did not plot the loss curve. Task 5 attempted to visualize predictions but used incorrect methods for multi-class masks.</t>
        </is>
      </c>
      <c r="AE487" t="n">
        <v>0</v>
      </c>
      <c r="AF487" t="n">
        <v>0</v>
      </c>
      <c r="AG487" t="inlineStr">
        <is>
          <t>No submission found.</t>
        </is>
      </c>
      <c r="AH487" t="n">
        <v>9</v>
      </c>
      <c r="AI487" t="n">
        <v>0</v>
      </c>
    </row>
    <row r="488">
      <c r="A488" t="n">
        <v>487</v>
      </c>
      <c r="B488" t="inlineStr">
        <is>
          <t>TA_9</t>
        </is>
      </c>
      <c r="C488" t="inlineStr">
        <is>
          <t>TA_19</t>
        </is>
      </c>
      <c r="D488" t="n">
        <v>5.8</v>
      </c>
      <c r="E488" t="n">
        <v>0</v>
      </c>
      <c r="F488" t="n">
        <v>9.300000000000001</v>
      </c>
      <c r="G488" t="n">
        <v>0</v>
      </c>
      <c r="H488" t="n">
        <v>9.550000000000001</v>
      </c>
      <c r="I488" t="n">
        <v>0</v>
      </c>
      <c r="J488" t="n">
        <v>8</v>
      </c>
      <c r="K488" t="n">
        <v>0</v>
      </c>
      <c r="L488" t="n">
        <v>10</v>
      </c>
      <c r="M488" t="n">
        <v>0</v>
      </c>
      <c r="N488" t="n">
        <v>10</v>
      </c>
      <c r="O488" t="n">
        <v>0</v>
      </c>
      <c r="P488">
        <f>Table1[[#This Row],[TA 1 - Q1 Score]]+Table1[[#This Row],[TA 1 - Q2 Score]]+Table1[[#This Row],[TA 1 - Q3 Score]]</f>
        <v/>
      </c>
      <c r="Q488">
        <f>Table1[[#This Row],[TA 1 - Q1 Bonus]]+Table1[[#This Row],[TA 1 - Q2 Bonus]]+Table1[[#This Row],[TA 1 - Q4 Bonus]]</f>
        <v/>
      </c>
      <c r="R488">
        <f>Table1[[#This Row],[TA 2 - Q1 Score]]+Table1[[#This Row],[TA 2 - Q2 Score]]+Table1[[#This Row],[TA 2 - Q3 Score]]</f>
        <v/>
      </c>
      <c r="S488">
        <f>Table1[[#This Row],[TA 2 - Q1 Bonus]]+Table1[[#This Row],[TA 2 - Q2 Bonus]]+Table1[[#This Row],[TA 2 - Q4 Bonus]]</f>
        <v/>
      </c>
      <c r="T488">
        <f>(Table1[[#This Row],[TA 1 - Total Score (out of 35)]]+Table1[[#This Row],[TA 2 - Total Score (out of 35)]])/2</f>
        <v/>
      </c>
      <c r="U488">
        <f>(Table1[[#This Row],[TA 1 - Total Bonus (out of 13)]]+Table1[[#This Row],[TA 2 - Total Bonus (out of 13)]])/2</f>
        <v/>
      </c>
      <c r="V488">
        <f>Table1[[#This Row],[Average Questions]]/35*20+Table1[[#This Row],[Average Bonus]]/13*5</f>
        <v/>
      </c>
      <c r="W488" t="n">
        <v>7</v>
      </c>
      <c r="X488" t="n">
        <v>0</v>
      </c>
      <c r="Y488" t="inlineStr">
        <is>
          <t>The student completed most tasks with minor issues. Transforms were correctly defined, and DataLoaders were set up properly. Sample images were displayed with correct labels. The pretrained EfficientNetV2-Small model was loaded, and the backbone was frozen. However, the classifier head was incorrectly set up for binary classification instead of 26 classes. The training and validation loops were implemented with softmax and argmax, which is redundant with CrossEntropyLoss. Labels were not adjusted for 0-indexing, resulting in a penalty. The model was trained and plotted, but only for 2 epochs instead of 5. No bonus task was attempted.</t>
        </is>
      </c>
      <c r="Z488" t="n">
        <v>7</v>
      </c>
      <c r="AA488" t="n">
        <v>0</v>
      </c>
      <c r="AB488" t="inlineStr">
        <is>
          <t>The student successfully loaded and prepared the data with correct transformations and displayed sample images. The CNN model was built with 5 convolutional layers and batch normalization, though there were minor issues with channel dimensions. The training and validation loops were implemented correctly, and the model was trained and plotted. However, the bonus task was not completed.</t>
        </is>
      </c>
      <c r="AC488" t="n">
        <v>4</v>
      </c>
      <c r="AD488" t="inlineStr">
        <is>
          <t>The student attempted most tasks but made several mistakes. In Task 1, the dataset class and DataLoader creation were partially correct, but the mask transformation was applied incorrectly, and the image transformation included an unnecessary grayscale conversion. Task 2 was mostly correct except for the encoder name specified in the U-Net model definition. Task 3 had syntax errors in the training and validation loops. Task 4 included incorrect loss calculation due to float conversion of masks and an incorrect optimizer. Task 5 had issues with prediction visualization, including incorrect thresholding and colormap usage.</t>
        </is>
      </c>
      <c r="AE488" t="n">
        <v>0</v>
      </c>
      <c r="AF488" t="n">
        <v>0</v>
      </c>
      <c r="AG488" t="inlineStr">
        <is>
          <t>No submission found.</t>
        </is>
      </c>
      <c r="AH488" t="n">
        <v>18</v>
      </c>
      <c r="AI488" t="n">
        <v>0</v>
      </c>
    </row>
    <row r="489">
      <c r="A489" t="n">
        <v>488</v>
      </c>
      <c r="B489" t="inlineStr">
        <is>
          <t>TA_9</t>
        </is>
      </c>
      <c r="C489" t="inlineStr">
        <is>
          <t>TA_19</t>
        </is>
      </c>
      <c r="D489" t="n">
        <v>6.05</v>
      </c>
      <c r="E489" t="n">
        <v>0</v>
      </c>
      <c r="F489" t="n">
        <v>6.35</v>
      </c>
      <c r="G489" t="n">
        <v>0</v>
      </c>
      <c r="H489" t="n">
        <v>9.6</v>
      </c>
      <c r="I489" t="n">
        <v>0</v>
      </c>
      <c r="J489" t="n">
        <v>11</v>
      </c>
      <c r="K489" t="n">
        <v>0</v>
      </c>
      <c r="L489" t="n">
        <v>4.5</v>
      </c>
      <c r="M489" t="n">
        <v>0</v>
      </c>
      <c r="N489" t="n">
        <v>10.25</v>
      </c>
      <c r="O489" t="n">
        <v>0</v>
      </c>
      <c r="P489">
        <f>Table1[[#This Row],[TA 1 - Q1 Score]]+Table1[[#This Row],[TA 1 - Q2 Score]]+Table1[[#This Row],[TA 1 - Q3 Score]]</f>
        <v/>
      </c>
      <c r="Q489">
        <f>Table1[[#This Row],[TA 1 - Q1 Bonus]]+Table1[[#This Row],[TA 1 - Q2 Bonus]]+Table1[[#This Row],[TA 1 - Q4 Bonus]]</f>
        <v/>
      </c>
      <c r="R489">
        <f>Table1[[#This Row],[TA 2 - Q1 Score]]+Table1[[#This Row],[TA 2 - Q2 Score]]+Table1[[#This Row],[TA 2 - Q3 Score]]</f>
        <v/>
      </c>
      <c r="S489">
        <f>Table1[[#This Row],[TA 2 - Q1 Bonus]]+Table1[[#This Row],[TA 2 - Q2 Bonus]]+Table1[[#This Row],[TA 2 - Q4 Bonus]]</f>
        <v/>
      </c>
      <c r="T489">
        <f>(Table1[[#This Row],[TA 1 - Total Score (out of 35)]]+Table1[[#This Row],[TA 2 - Total Score (out of 35)]])/2</f>
        <v/>
      </c>
      <c r="U489">
        <f>(Table1[[#This Row],[TA 1 - Total Bonus (out of 13)]]+Table1[[#This Row],[TA 2 - Total Bonus (out of 13)]])/2</f>
        <v/>
      </c>
      <c r="V489">
        <f>Table1[[#This Row],[Average Questions]]/35*20+Table1[[#This Row],[Average Bonus]]/13*5</f>
        <v/>
      </c>
      <c r="W489" t="n">
        <v>5</v>
      </c>
      <c r="X489" t="n">
        <v>0</v>
      </c>
      <c r="Y489" t="inlineStr">
        <is>
          <t>The student completed the data loading and transformation tasks correctly, including resizing, converting to tensor, and normalizing the images. However, there were issues in creating and displaying the DataLoaders, where the test loader was shuffled incorrectly and specific image indices were hard-coded. The model loading and adaptation were partially correct, but the backbone was not frozen properly. The training and validation loops had syntax errors, particularly in the output squeezing and loss calculation. The training process used an undefined DataLoader (valid_loader instead of test_loader) and had an incorrect learning rate. The plotting section was mostly correct but used an incorrect number of epochs. The bonus task was not attempted.</t>
        </is>
      </c>
      <c r="Z489" t="n">
        <v>3</v>
      </c>
      <c r="AA489" t="n">
        <v>0</v>
      </c>
      <c r="AB489" t="inlineStr">
        <is>
          <t>The student attempted most tasks but made several mistakes. In Part 1, the dataset class incorrectly assumes all images are in the root directory without considering subfolders for each class. The transform is applied only to the training dataset, and the test dataset lacks transformation. Sample images are displayed incorrectly due to improper indexing. In Part 2, the CNN model has fewer convolutional layers and incorrect fully connected layer input size. Part 3 and Part 4 have syntax errors and logical issues, such as incorrect DataLoader usage and missing definition of train_loader and test_loader. The bonus part is not attempted.</t>
        </is>
      </c>
      <c r="AC489" t="n">
        <v>6</v>
      </c>
      <c r="AD489" t="inlineStr">
        <is>
          <t>The student's submission contains several issues. In Task 1, the dataset class has a mistake where both image_paths and mask_paths are incorrectly assigned to the same glob pattern. Additionally, the test_dataset is not defined, causing an error when checking dataset sizes. Task 2 correctly defines the U-Net model with the specified encoder. Task 3 implements the training and validation loops correctly. Task 4 defines the loss and optimizer but uses a different learning rate and optimizer type than the reference solution. The training loop runs but does not print the losses correctly due to the undefined test_loader. Task 5 visualizes predictions but uses a different colormap and does not follow the reference solution's structure.</t>
        </is>
      </c>
      <c r="AE489" t="n">
        <v>0</v>
      </c>
      <c r="AF489" t="n">
        <v>0</v>
      </c>
      <c r="AG489" t="inlineStr">
        <is>
          <t>No submission found.</t>
        </is>
      </c>
      <c r="AH489" t="n">
        <v>14</v>
      </c>
      <c r="AI489" t="n">
        <v>0</v>
      </c>
    </row>
    <row r="490">
      <c r="A490" t="n">
        <v>489</v>
      </c>
      <c r="B490" t="inlineStr">
        <is>
          <t>TA_9</t>
        </is>
      </c>
      <c r="C490" t="inlineStr">
        <is>
          <t>TA_19</t>
        </is>
      </c>
      <c r="D490" t="n">
        <v>12</v>
      </c>
      <c r="E490" t="n">
        <v>3</v>
      </c>
      <c r="F490" t="n">
        <v>9.699999999999999</v>
      </c>
      <c r="G490" t="n">
        <v>0.3</v>
      </c>
      <c r="H490" t="n">
        <v>10.4</v>
      </c>
      <c r="I490" t="n">
        <v>0</v>
      </c>
      <c r="J490" t="n">
        <v>12</v>
      </c>
      <c r="K490" t="n">
        <v>3.5</v>
      </c>
      <c r="L490" t="n">
        <v>6.75</v>
      </c>
      <c r="M490" t="n">
        <v>0</v>
      </c>
      <c r="N490" t="n">
        <v>11.75</v>
      </c>
      <c r="O490" t="n">
        <v>0</v>
      </c>
      <c r="P490">
        <f>Table1[[#This Row],[TA 1 - Q1 Score]]+Table1[[#This Row],[TA 1 - Q2 Score]]+Table1[[#This Row],[TA 1 - Q3 Score]]</f>
        <v/>
      </c>
      <c r="Q490">
        <f>Table1[[#This Row],[TA 1 - Q1 Bonus]]+Table1[[#This Row],[TA 1 - Q2 Bonus]]+Table1[[#This Row],[TA 1 - Q4 Bonus]]</f>
        <v/>
      </c>
      <c r="R490">
        <f>Table1[[#This Row],[TA 2 - Q1 Score]]+Table1[[#This Row],[TA 2 - Q2 Score]]+Table1[[#This Row],[TA 2 - Q3 Score]]</f>
        <v/>
      </c>
      <c r="S490">
        <f>Table1[[#This Row],[TA 2 - Q1 Bonus]]+Table1[[#This Row],[TA 2 - Q2 Bonus]]+Table1[[#This Row],[TA 2 - Q4 Bonus]]</f>
        <v/>
      </c>
      <c r="T490">
        <f>(Table1[[#This Row],[TA 1 - Total Score (out of 35)]]+Table1[[#This Row],[TA 2 - Total Score (out of 35)]])/2</f>
        <v/>
      </c>
      <c r="U490">
        <f>(Table1[[#This Row],[TA 1 - Total Bonus (out of 13)]]+Table1[[#This Row],[TA 2 - Total Bonus (out of 13)]])/2</f>
        <v/>
      </c>
      <c r="V490">
        <f>Table1[[#This Row],[Average Questions]]/35*20+Table1[[#This Row],[Average Bonus]]/13*5</f>
        <v/>
      </c>
      <c r="W490" t="n">
        <v>7</v>
      </c>
      <c r="X490" t="n">
        <v>0</v>
      </c>
      <c r="Y490" t="inlineStr">
        <is>
          <t>The student completed most tasks with minor issues. Transforms were correctly defined, but the DataLoader batch size was smaller than the reference. Sample images were displayed correctly. The model was loaded and adapted properly, but the backbone was not explicitly frozen. Training and validation loops were implemented with label fixing, but the training loop had a mistake in calculating accuracy. The plotting of losses and accuracies was correct. The bonus task was attempted but incorrectly implemented, averaging predictions without adjusting the flipped images.</t>
        </is>
      </c>
      <c r="Z490" t="n">
        <v>4</v>
      </c>
      <c r="AA490" t="n">
        <v>0</v>
      </c>
      <c r="AB490" t="inlineStr">
        <is>
          <t>The student attempted all base tasks but made several mistakes. In Part 1, the student used the correct dataset class and transformations but incorrectly defined two separate transform pipelines instead of one for training and one for testing. In Part 2, the student created a CNN model with 5 convolutional layers and batch normalization but incorrectly set the input channels to 1 instead of 3. In Part 3, the student defined training and validation loops but incorrectly handled the labels by squeezing dimensions and converting them to float, which caused errors. In Part 4, the student set up the device, model, loss, and optimizer but did not plot the losses and accuracies correctly. The bonus part was not attempted.</t>
        </is>
      </c>
      <c r="AC490" t="n">
        <v>8</v>
      </c>
      <c r="AD490" t="inlineStr">
        <is>
          <t>The student's submission contains mostly correct code with minor issues. Task 1 is partially correct with a few mistakes in the dataset paths and normalization parameters. Task 2 is fully correct with the correct model definition. Task 3 is fully correct with proper training and validation loops. Task 4 is mostly correct with a slight issue in the learning rate. Task 5 is mostly correct but uses grayscale for predictions instead of a colormap.</t>
        </is>
      </c>
      <c r="AE490" t="n">
        <v>0</v>
      </c>
      <c r="AF490" t="n">
        <v>0</v>
      </c>
      <c r="AG490" t="inlineStr">
        <is>
          <t>No submission found.</t>
        </is>
      </c>
      <c r="AH490" t="n">
        <v>19</v>
      </c>
      <c r="AI490" t="n">
        <v>0</v>
      </c>
    </row>
    <row r="491">
      <c r="A491" t="n">
        <v>490</v>
      </c>
      <c r="B491" t="inlineStr">
        <is>
          <t>TA_9</t>
        </is>
      </c>
      <c r="C491" t="inlineStr">
        <is>
          <t>TA_19</t>
        </is>
      </c>
      <c r="D491" t="n">
        <v>4.3</v>
      </c>
      <c r="E491" t="n">
        <v>0</v>
      </c>
      <c r="F491" t="n">
        <v>8.300000000000001</v>
      </c>
      <c r="G491" t="n">
        <v>0</v>
      </c>
      <c r="H491" t="n">
        <v>7.85</v>
      </c>
      <c r="I491" t="n">
        <v>0</v>
      </c>
      <c r="J491" t="n">
        <v>4.5</v>
      </c>
      <c r="K491" t="n">
        <v>0</v>
      </c>
      <c r="L491" t="n">
        <v>6</v>
      </c>
      <c r="M491" t="n">
        <v>0</v>
      </c>
      <c r="N491" t="n">
        <v>8.5</v>
      </c>
      <c r="O491" t="n">
        <v>0</v>
      </c>
      <c r="P491">
        <f>Table1[[#This Row],[TA 1 - Q1 Score]]+Table1[[#This Row],[TA 1 - Q2 Score]]+Table1[[#This Row],[TA 1 - Q3 Score]]</f>
        <v/>
      </c>
      <c r="Q491">
        <f>Table1[[#This Row],[TA 1 - Q1 Bonus]]+Table1[[#This Row],[TA 1 - Q2 Bonus]]+Table1[[#This Row],[TA 1 - Q4 Bonus]]</f>
        <v/>
      </c>
      <c r="R491">
        <f>Table1[[#This Row],[TA 2 - Q1 Score]]+Table1[[#This Row],[TA 2 - Q2 Score]]+Table1[[#This Row],[TA 2 - Q3 Score]]</f>
        <v/>
      </c>
      <c r="S491">
        <f>Table1[[#This Row],[TA 2 - Q1 Bonus]]+Table1[[#This Row],[TA 2 - Q2 Bonus]]+Table1[[#This Row],[TA 2 - Q4 Bonus]]</f>
        <v/>
      </c>
      <c r="T491">
        <f>(Table1[[#This Row],[TA 1 - Total Score (out of 35)]]+Table1[[#This Row],[TA 2 - Total Score (out of 35)]])/2</f>
        <v/>
      </c>
      <c r="U491">
        <f>(Table1[[#This Row],[TA 1 - Total Bonus (out of 13)]]+Table1[[#This Row],[TA 2 - Total Bonus (out of 13)]])/2</f>
        <v/>
      </c>
      <c r="V491">
        <f>Table1[[#This Row],[Average Questions]]/35*20+Table1[[#This Row],[Average Bonus]]/13*5</f>
        <v/>
      </c>
      <c r="W491" t="n">
        <v>4</v>
      </c>
      <c r="X491" t="n">
        <v>0</v>
      </c>
      <c r="Y491" t="inlineStr">
        <is>
          <t>The student completed the data loading and transformation correctly, including resizing, converting to tensor, and normalizing. However, there were issues in creating the DataLoaders, where the batch size variable was undefined. The sample image display had incorrect indexing and label handling. The model loading and adaptation were mostly correct, but the student mistakenly used EfficientNetV2-Small for binary classification and did not adjust the classifier head properly. The training and validation loops contained significant errors, such as incorrect loss computation and label handling. The plotting of losses and accuracies was correct, but the overall implementation was flawed due to the aforementioned issues.</t>
        </is>
      </c>
      <c r="Z491" t="n">
        <v>3</v>
      </c>
      <c r="AA491" t="n">
        <v>0</v>
      </c>
      <c r="AB491" t="inlineStr">
        <is>
          <t>The student partially completed several tasks but made significant errors. The dataset loading and preparation section had issues with incorrect directory paths and transformations. The CNN model definition contained logical errors, such as incorrect input channels and missing batch normalization layers. The training and validation functions were not fully implemented, with incorrect handling of data batches and loss calculation. The training loop used an inappropriate loss function and optimizer, and no plots were generated. The bonus task was not attempted.</t>
        </is>
      </c>
      <c r="AC491" t="n">
        <v>4</v>
      </c>
      <c r="AD491" t="inlineStr">
        <is>
          <t>The student attempted most tasks but made significant errors. The dataset class has issues with incorrect paths and missing metadata handling. The model class incorrectly implements a custom U-Net instead of using a pretrained U-Net with efficientnet-b1 encoder. Training and validation loops are mostly correct but the model definition is flawed. Loss plotting and visualization of predictions are attempted but the model used is incorrect.</t>
        </is>
      </c>
      <c r="AE491" t="n">
        <v>0</v>
      </c>
      <c r="AF491" t="n">
        <v>0</v>
      </c>
      <c r="AG491" t="inlineStr">
        <is>
          <t>No submission found.</t>
        </is>
      </c>
      <c r="AH491" t="n">
        <v>11</v>
      </c>
      <c r="AI491" t="n">
        <v>0</v>
      </c>
    </row>
    <row r="492">
      <c r="A492" t="n">
        <v>491</v>
      </c>
      <c r="B492" t="inlineStr">
        <is>
          <t>TA_9</t>
        </is>
      </c>
      <c r="C492" t="inlineStr">
        <is>
          <t>TA_19</t>
        </is>
      </c>
      <c r="D492" t="n">
        <v>12</v>
      </c>
      <c r="E492" t="n">
        <v>0</v>
      </c>
      <c r="F492" t="n">
        <v>11</v>
      </c>
      <c r="G492" t="n">
        <v>0</v>
      </c>
      <c r="H492" t="n">
        <v>12</v>
      </c>
      <c r="I492" t="n">
        <v>0</v>
      </c>
      <c r="J492" t="n">
        <v>12</v>
      </c>
      <c r="K492" t="n">
        <v>0</v>
      </c>
      <c r="L492" t="n">
        <v>10.9</v>
      </c>
      <c r="M492" t="n">
        <v>0</v>
      </c>
      <c r="N492" t="n">
        <v>11.5</v>
      </c>
      <c r="O492" t="n">
        <v>0</v>
      </c>
      <c r="P492">
        <f>Table1[[#This Row],[TA 1 - Q1 Score]]+Table1[[#This Row],[TA 1 - Q2 Score]]+Table1[[#This Row],[TA 1 - Q3 Score]]</f>
        <v/>
      </c>
      <c r="Q492">
        <f>Table1[[#This Row],[TA 1 - Q1 Bonus]]+Table1[[#This Row],[TA 1 - Q2 Bonus]]+Table1[[#This Row],[TA 1 - Q4 Bonus]]</f>
        <v/>
      </c>
      <c r="R492">
        <f>Table1[[#This Row],[TA 2 - Q1 Score]]+Table1[[#This Row],[TA 2 - Q2 Score]]+Table1[[#This Row],[TA 2 - Q3 Score]]</f>
        <v/>
      </c>
      <c r="S492">
        <f>Table1[[#This Row],[TA 2 - Q1 Bonus]]+Table1[[#This Row],[TA 2 - Q2 Bonus]]+Table1[[#This Row],[TA 2 - Q4 Bonus]]</f>
        <v/>
      </c>
      <c r="T492">
        <f>(Table1[[#This Row],[TA 1 - Total Score (out of 35)]]+Table1[[#This Row],[TA 2 - Total Score (out of 35)]])/2</f>
        <v/>
      </c>
      <c r="U492">
        <f>(Table1[[#This Row],[TA 1 - Total Bonus (out of 13)]]+Table1[[#This Row],[TA 2 - Total Bonus (out of 13)]])/2</f>
        <v/>
      </c>
      <c r="V492">
        <f>Table1[[#This Row],[Average Questions]]/35*20+Table1[[#This Row],[Average Bonus]]/13*5</f>
        <v/>
      </c>
      <c r="W492" t="n">
        <v>8.5</v>
      </c>
      <c r="X492" t="n">
        <v>0</v>
      </c>
      <c r="Y492" t="inlineStr">
        <is>
          <t>The student completed most tasks correctly but made some minor mistakes. The data loading and preparation were mostly accurate, with the correct transformations applied. However, the student used a batch size of 32 instead of 64. In part 2, the student froze all parameters instead of just the backbone, which is a mistake. The training and validation loops were implemented correctly, with label fixing applied. The plotting of losses and accuracies was also done accurately. No bonus task was attempted.</t>
        </is>
      </c>
      <c r="Z492" t="n">
        <v>8</v>
      </c>
      <c r="AA492" t="n">
        <v>0</v>
      </c>
      <c r="AB492" t="inlineStr">
        <is>
          <t>The student successfully loaded and prepared the data with the correct transformations and displayed sample images. The CNN model has 5 convolutional layers with batch normalization, though the number of channels differs from the reference solution. The training and validation loops are implemented correctly, and the model is trained and plotted. However, the student did not attempt the bonus task of adding a residual connection.</t>
        </is>
      </c>
      <c r="AC492" t="n">
        <v>8</v>
      </c>
      <c r="AD492" t="inlineStr">
        <is>
          <t>The student's submission includes most of the required tasks with minor issues. The dataset class and data loaders are correctly implemented, and sample images and masks are displayed. The U-Net model with the specified encoder is defined. However, the training and validation loops contain a few syntax errors, such as incorrect device handling and missing normalization in the training loop. The training process is attempted with some syntax errors, and the visualization of predictions is mostly correct but uses grayscale instead of a colormap for predicted masks.</t>
        </is>
      </c>
      <c r="AE492" t="n">
        <v>0</v>
      </c>
      <c r="AF492" t="n">
        <v>0</v>
      </c>
      <c r="AG492" t="inlineStr">
        <is>
          <t>No submission found.</t>
        </is>
      </c>
      <c r="AH492" t="n">
        <v>24.5</v>
      </c>
      <c r="AI492" t="n">
        <v>0</v>
      </c>
    </row>
    <row r="493">
      <c r="A493" t="n">
        <v>492</v>
      </c>
      <c r="B493" t="inlineStr">
        <is>
          <t>TA_9</t>
        </is>
      </c>
      <c r="C493" t="inlineStr">
        <is>
          <t>TA_19</t>
        </is>
      </c>
      <c r="D493" t="n">
        <v>6.75</v>
      </c>
      <c r="E493" t="n">
        <v>0</v>
      </c>
      <c r="F493" t="n">
        <v>5.3</v>
      </c>
      <c r="G493" t="n">
        <v>0</v>
      </c>
      <c r="H493" t="n">
        <v>8.5</v>
      </c>
      <c r="I493" t="n">
        <v>0</v>
      </c>
      <c r="J493" t="n">
        <v>6.5</v>
      </c>
      <c r="K493" t="n">
        <v>0</v>
      </c>
      <c r="L493" t="n">
        <v>5.65</v>
      </c>
      <c r="M493" t="n">
        <v>0</v>
      </c>
      <c r="N493" t="n">
        <v>6.25</v>
      </c>
      <c r="O493" t="n">
        <v>0</v>
      </c>
      <c r="P493">
        <f>Table1[[#This Row],[TA 1 - Q1 Score]]+Table1[[#This Row],[TA 1 - Q2 Score]]+Table1[[#This Row],[TA 1 - Q3 Score]]</f>
        <v/>
      </c>
      <c r="Q493">
        <f>Table1[[#This Row],[TA 1 - Q1 Bonus]]+Table1[[#This Row],[TA 1 - Q2 Bonus]]+Table1[[#This Row],[TA 1 - Q4 Bonus]]</f>
        <v/>
      </c>
      <c r="R493">
        <f>Table1[[#This Row],[TA 2 - Q1 Score]]+Table1[[#This Row],[TA 2 - Q2 Score]]+Table1[[#This Row],[TA 2 - Q3 Score]]</f>
        <v/>
      </c>
      <c r="S493">
        <f>Table1[[#This Row],[TA 2 - Q1 Bonus]]+Table1[[#This Row],[TA 2 - Q2 Bonus]]+Table1[[#This Row],[TA 2 - Q4 Bonus]]</f>
        <v/>
      </c>
      <c r="T493">
        <f>(Table1[[#This Row],[TA 1 - Total Score (out of 35)]]+Table1[[#This Row],[TA 2 - Total Score (out of 35)]])/2</f>
        <v/>
      </c>
      <c r="U493">
        <f>(Table1[[#This Row],[TA 1 - Total Bonus (out of 13)]]+Table1[[#This Row],[TA 2 - Total Bonus (out of 13)]])/2</f>
        <v/>
      </c>
      <c r="V493">
        <f>Table1[[#This Row],[Average Questions]]/35*20+Table1[[#This Row],[Average Bonus]]/13*5</f>
        <v/>
      </c>
      <c r="W493" t="n">
        <v>3</v>
      </c>
      <c r="X493" t="n">
        <v>0</v>
      </c>
      <c r="Y493" t="inlineStr">
        <is>
          <t>The student completed the data loading and transformation tasks correctly, including resizing, converting to tensor, and normalizing the images. However, there were issues in the model setup, where the model was incorrectly loaded and the classifier head was not properly modified. The training and validation loops had logical errors, such as incorrect handling of model outputs and loss computation. No bonus tasks were attempted.</t>
        </is>
      </c>
      <c r="Z493" t="n">
        <v>4</v>
      </c>
      <c r="AA493" t="n">
        <v>0</v>
      </c>
      <c r="AB493" t="inlineStr">
        <is>
          <t>The student attempted all base tasks but made several mistakes. In Part 1, the custom dataset class has issues with path handling and image loading. Part 2 defines too many convolutional layers and incorrectly implements them. Part 3 has incomplete training and validation functions. Part 4 lacks proper setup and plotting. No bonus tasks were attempted.</t>
        </is>
      </c>
      <c r="AC493" t="n">
        <v>2</v>
      </c>
      <c r="AD493" t="inlineStr">
        <is>
          <t>The student attempted most tasks but made significant errors. The dataset class has issues with path handling and does not correctly initialize image and mask paths. The model class incorrectly sets the number of classes to 1 instead of 8. The training and validation loops use BCEWithLogitsLoss, which is inappropriate for multi-class segmentation. The visualization section also uses a binary threshold for predictions, which is incorrect for multi-class segmentation.</t>
        </is>
      </c>
      <c r="AE493" t="n">
        <v>0</v>
      </c>
      <c r="AF493" t="n">
        <v>0</v>
      </c>
      <c r="AG493" t="inlineStr">
        <is>
          <t>No submission found.</t>
        </is>
      </c>
      <c r="AH493" t="n">
        <v>9</v>
      </c>
      <c r="AI493" t="n">
        <v>0</v>
      </c>
    </row>
    <row r="494">
      <c r="A494" t="n">
        <v>493</v>
      </c>
      <c r="B494" t="inlineStr">
        <is>
          <t>TA_9</t>
        </is>
      </c>
      <c r="C494" t="inlineStr">
        <is>
          <t>TA_19</t>
        </is>
      </c>
      <c r="D494" t="n">
        <v>3.4</v>
      </c>
      <c r="E494" t="n">
        <v>0</v>
      </c>
      <c r="F494" t="n">
        <v>8.5</v>
      </c>
      <c r="G494" t="n">
        <v>0</v>
      </c>
      <c r="H494" t="n">
        <v>7.8</v>
      </c>
      <c r="I494" t="n">
        <v>0</v>
      </c>
      <c r="J494" t="n">
        <v>4.5</v>
      </c>
      <c r="K494" t="n">
        <v>0</v>
      </c>
      <c r="L494" t="n">
        <v>7.5</v>
      </c>
      <c r="M494" t="n">
        <v>0</v>
      </c>
      <c r="N494" t="n">
        <v>6.5</v>
      </c>
      <c r="O494" t="n">
        <v>0</v>
      </c>
      <c r="P494">
        <f>Table1[[#This Row],[TA 1 - Q1 Score]]+Table1[[#This Row],[TA 1 - Q2 Score]]+Table1[[#This Row],[TA 1 - Q3 Score]]</f>
        <v/>
      </c>
      <c r="Q494">
        <f>Table1[[#This Row],[TA 1 - Q1 Bonus]]+Table1[[#This Row],[TA 1 - Q2 Bonus]]+Table1[[#This Row],[TA 1 - Q4 Bonus]]</f>
        <v/>
      </c>
      <c r="R494">
        <f>Table1[[#This Row],[TA 2 - Q1 Score]]+Table1[[#This Row],[TA 2 - Q2 Score]]+Table1[[#This Row],[TA 2 - Q3 Score]]</f>
        <v/>
      </c>
      <c r="S494">
        <f>Table1[[#This Row],[TA 2 - Q1 Bonus]]+Table1[[#This Row],[TA 2 - Q2 Bonus]]+Table1[[#This Row],[TA 2 - Q4 Bonus]]</f>
        <v/>
      </c>
      <c r="T494">
        <f>(Table1[[#This Row],[TA 1 - Total Score (out of 35)]]+Table1[[#This Row],[TA 2 - Total Score (out of 35)]])/2</f>
        <v/>
      </c>
      <c r="U494">
        <f>(Table1[[#This Row],[TA 1 - Total Bonus (out of 13)]]+Table1[[#This Row],[TA 2 - Total Bonus (out of 13)]])/2</f>
        <v/>
      </c>
      <c r="V494">
        <f>Table1[[#This Row],[Average Questions]]/35*20+Table1[[#This Row],[Average Bonus]]/13*5</f>
        <v/>
      </c>
      <c r="W494" t="n">
        <v>4</v>
      </c>
      <c r="X494" t="n">
        <v>0</v>
      </c>
      <c r="Y494" t="inlineStr">
        <is>
          <t>The student attempted most tasks but made several mistakes. In Part 1, the test transform incorrectly resizes images to 224x224 instead of 28x28. DataLoader batch sizes were set to 26, which is inefficient. Sample images were displayed but with incorrect indices. In Part 2, the model was incorrectly loaded as EfficientNet-B0 instead of EfficientNetV2-Small, and the classifier was modified to output 28 classes instead of 26. In Part 3, the training and validation loops contained errors, such as squeezing outputs and using softmax unnecessarily. No bonus tasks were attempted.</t>
        </is>
      </c>
      <c r="Z494" t="n">
        <v>7</v>
      </c>
      <c r="AA494" t="n">
        <v>0</v>
      </c>
      <c r="AB494" t="inlineStr">
        <is>
          <t>The student successfully loaded and prepared the data with the correct transformations and displayed sample images. The CNN model has 5 convolutional layers but does not include batch normalization, earning partial credit. The training and validation functions are implemented correctly. The model setup, training, and plotting of losses and accuracies are also correct. However, the bonus task for adding a residual connection was not attempted.</t>
        </is>
      </c>
      <c r="AC494" t="n">
        <v>7</v>
      </c>
      <c r="AD494" t="inlineStr">
        <is>
          <t>The student's submission contains mostly correct code with some minor issues. Task 1 is partially correct with a small mistake in the dataset paths. Task 2 has an error in the number of classes specified for the model. Task 3 is correctly implemented. Task 4 is mostly correct but uses a different learning rate and optimizer. Task 5 is missing, resulting in no visualization of predictions.</t>
        </is>
      </c>
      <c r="AE494" t="n">
        <v>0</v>
      </c>
      <c r="AF494" t="n">
        <v>0</v>
      </c>
      <c r="AG494" t="inlineStr">
        <is>
          <t>No submission found.</t>
        </is>
      </c>
      <c r="AH494" t="n">
        <v>18</v>
      </c>
      <c r="AI494" t="n">
        <v>0</v>
      </c>
    </row>
    <row r="495">
      <c r="A495" t="n">
        <v>494</v>
      </c>
      <c r="B495" t="inlineStr">
        <is>
          <t>TA_9</t>
        </is>
      </c>
      <c r="C495" t="inlineStr">
        <is>
          <t>TA_19</t>
        </is>
      </c>
      <c r="D495" t="n">
        <v>12</v>
      </c>
      <c r="E495" t="n">
        <v>3</v>
      </c>
      <c r="F495" t="n">
        <v>11</v>
      </c>
      <c r="G495" t="n">
        <v>4</v>
      </c>
      <c r="H495" t="n">
        <v>12</v>
      </c>
      <c r="I495" t="n">
        <v>5</v>
      </c>
      <c r="J495" t="n">
        <v>12</v>
      </c>
      <c r="K495" t="n">
        <v>3</v>
      </c>
      <c r="L495" t="n">
        <v>11</v>
      </c>
      <c r="M495" t="n">
        <v>4</v>
      </c>
      <c r="N495" t="n">
        <v>12</v>
      </c>
      <c r="O495" t="n">
        <v>5</v>
      </c>
      <c r="P495">
        <f>Table1[[#This Row],[TA 1 - Q1 Score]]+Table1[[#This Row],[TA 1 - Q2 Score]]+Table1[[#This Row],[TA 1 - Q3 Score]]</f>
        <v/>
      </c>
      <c r="Q495">
        <f>Table1[[#This Row],[TA 1 - Q1 Bonus]]+Table1[[#This Row],[TA 1 - Q2 Bonus]]+Table1[[#This Row],[TA 1 - Q4 Bonus]]</f>
        <v/>
      </c>
      <c r="R495">
        <f>Table1[[#This Row],[TA 2 - Q1 Score]]+Table1[[#This Row],[TA 2 - Q2 Score]]+Table1[[#This Row],[TA 2 - Q3 Score]]</f>
        <v/>
      </c>
      <c r="S495">
        <f>Table1[[#This Row],[TA 2 - Q1 Bonus]]+Table1[[#This Row],[TA 2 - Q2 Bonus]]+Table1[[#This Row],[TA 2 - Q4 Bonus]]</f>
        <v/>
      </c>
      <c r="T495">
        <f>(Table1[[#This Row],[TA 1 - Total Score (out of 35)]]+Table1[[#This Row],[TA 2 - Total Score (out of 35)]])/2</f>
        <v/>
      </c>
      <c r="U495">
        <f>(Table1[[#This Row],[TA 1 - Total Bonus (out of 13)]]+Table1[[#This Row],[TA 2 - Total Bonus (out of 13)]])/2</f>
        <v/>
      </c>
      <c r="V495">
        <f>Table1[[#This Row],[Average Questions]]/35*20+Table1[[#This Row],[Average Bonus]]/13*5</f>
        <v/>
      </c>
      <c r="W495" t="n">
        <v>10.5</v>
      </c>
      <c r="X495" t="n">
        <v>1</v>
      </c>
      <c r="Y495" t="inlineStr">
        <is>
          <t>The student successfully completed most tasks with minor issues. The data loading and preparation were correct, including the transforms and DataLoader creation. Sample images were displayed accurately. The pretrained EfficientNetV2-Small model was loaded and adapted properly, with the backbone frozen and the classifier head replaced. The training and validation loops were implemented correctly, with label adjustments made. The training process ran smoothly, and the loss and accuracy plots were generated. However, the bonus task only included horizontal flips for TTA, missing vertical flips, resulting in partial bonus points.</t>
        </is>
      </c>
      <c r="Z495" t="n">
        <v>10.5</v>
      </c>
      <c r="AA495" t="n">
        <v>3</v>
      </c>
      <c r="AB495" t="inlineStr">
        <is>
          <t>The student successfully completed all base tasks with minor issues. The data loading and preparation were correct, including the use of RandomRotation and resizing to 32x32. The CNN model had 5 convolutional layers with Batch Normalization, though it included additional dropout layers not required. The training and validation functions were implemented correctly. The model trained and plotted losses and accuracies accurately. For the bonus task, the student correctly added a residual connection between the second and fourth convolutional layers, retrained the model, and plotted the results, earning full bonus points.</t>
        </is>
      </c>
      <c r="AC495" t="n">
        <v>8.5</v>
      </c>
      <c r="AD495" t="inlineStr">
        <is>
          <t>The student's submission includes most required components but has some issues. The dataset class is implemented with minor discrepancies in file handling and transformations. DataLoaders are correctly defined, and sample images and masks are displayed. The model class uses the correct architecture but with a different encoder (efficientnet-b1 instead of efficientnet-b0). Training and validation loops are implemented with additional IoU calculations, which is not required but does not detract. The training process includes a learning rate scheduler and plots both loss and IoU curves. Predictions are visualized with ground truth masks, though the IoU calculation is included unnecessarily. Overall, the submission is mostly correct with some extra features.</t>
        </is>
      </c>
      <c r="AE495" t="n">
        <v>0</v>
      </c>
      <c r="AF495" t="n">
        <v>5</v>
      </c>
      <c r="AG495" t="inlineStr">
        <is>
          <t>The student's implementation of the ColorizationDataset class is correct and runs perfectly, producing the expected output and following the optimal logic. The code includes all required methods (__init__, __len__, rgb_to_grayscale, __getitem__) and provides correct visualizations. No mistakes were found in the implementation.</t>
        </is>
      </c>
      <c r="AH495" t="n">
        <v>29.5</v>
      </c>
      <c r="AI495" t="n">
        <v>9</v>
      </c>
    </row>
    <row r="496">
      <c r="A496" t="n">
        <v>495</v>
      </c>
      <c r="B496" t="inlineStr">
        <is>
          <t>TA_9</t>
        </is>
      </c>
      <c r="C496" t="inlineStr">
        <is>
          <t>TA_19</t>
        </is>
      </c>
      <c r="D496" t="n">
        <v>5.1</v>
      </c>
      <c r="E496" t="n">
        <v>0</v>
      </c>
      <c r="F496" t="n">
        <v>9</v>
      </c>
      <c r="G496" t="n">
        <v>0</v>
      </c>
      <c r="H496" t="n">
        <v>12</v>
      </c>
      <c r="I496" t="n">
        <v>0</v>
      </c>
      <c r="J496" t="n">
        <v>9</v>
      </c>
      <c r="K496" t="n">
        <v>0</v>
      </c>
      <c r="L496" t="n">
        <v>8.25</v>
      </c>
      <c r="M496" t="n">
        <v>0</v>
      </c>
      <c r="N496" t="n">
        <v>12</v>
      </c>
      <c r="O496" t="n">
        <v>0</v>
      </c>
      <c r="P496">
        <f>Table1[[#This Row],[TA 1 - Q1 Score]]+Table1[[#This Row],[TA 1 - Q2 Score]]+Table1[[#This Row],[TA 1 - Q3 Score]]</f>
        <v/>
      </c>
      <c r="Q496">
        <f>Table1[[#This Row],[TA 1 - Q1 Bonus]]+Table1[[#This Row],[TA 1 - Q2 Bonus]]+Table1[[#This Row],[TA 1 - Q4 Bonus]]</f>
        <v/>
      </c>
      <c r="R496">
        <f>Table1[[#This Row],[TA 2 - Q1 Score]]+Table1[[#This Row],[TA 2 - Q2 Score]]+Table1[[#This Row],[TA 2 - Q3 Score]]</f>
        <v/>
      </c>
      <c r="S496">
        <f>Table1[[#This Row],[TA 2 - Q1 Bonus]]+Table1[[#This Row],[TA 2 - Q2 Bonus]]+Table1[[#This Row],[TA 2 - Q4 Bonus]]</f>
        <v/>
      </c>
      <c r="T496">
        <f>(Table1[[#This Row],[TA 1 - Total Score (out of 35)]]+Table1[[#This Row],[TA 2 - Total Score (out of 35)]])/2</f>
        <v/>
      </c>
      <c r="U496">
        <f>(Table1[[#This Row],[TA 1 - Total Bonus (out of 13)]]+Table1[[#This Row],[TA 2 - Total Bonus (out of 13)]])/2</f>
        <v/>
      </c>
      <c r="V496">
        <f>Table1[[#This Row],[Average Questions]]/35*20+Table1[[#This Row],[Average Bonus]]/13*5</f>
        <v/>
      </c>
      <c r="W496" t="n">
        <v>5.5</v>
      </c>
      <c r="X496" t="n">
        <v>0</v>
      </c>
      <c r="Y496" t="inlineStr">
        <is>
          <t>The student completed the data loading and preparation with minor issues, such as incorrect label display and batch size choice. The model loading and adaptation were mostly correct, but the classifier modification did not freeze the backbone. The training and validation loops had syntax errors and logical mistakes, particularly in handling the model outputs and labels. The plotting of losses and accuracies was correct, but the training loop did not adjust labels correctly. No bonus task was attempted.</t>
        </is>
      </c>
      <c r="Z496" t="n">
        <v>6</v>
      </c>
      <c r="AA496" t="n">
        <v>0</v>
      </c>
      <c r="AB496" t="inlineStr">
        <is>
          <t>The student successfully loaded and prepared the data with correct transformations and displayed sample images. However, the CNN model does not meet the requirement of having exactly 5 convolutional layers and lacks batch normalization. The training and validation functions are implemented correctly, and the model is trained and plotted. No bonus task was attempted.</t>
        </is>
      </c>
      <c r="AC496" t="n">
        <v>8.5</v>
      </c>
      <c r="AD496" t="inlineStr">
        <is>
          <t>The student's submission demonstrates a good understanding of the tasks but contains some minor issues. The dataset class is correctly implemented, and the data loaders are set up properly. Sample images and masks are displayed correctly. The model class uses the correct U-Net architecture with the specified encoder. Training and validation loops are implemented with minor syntax issues. The loss and optimizer are defined, and the model trains for a reduced number of epochs. The loss curve is plotted correctly. Predictions are visualized against ground truth, though the colormap could be improved for better visualization.</t>
        </is>
      </c>
      <c r="AE496" t="n">
        <v>0</v>
      </c>
      <c r="AF496" t="n">
        <v>0</v>
      </c>
      <c r="AG496" t="inlineStr">
        <is>
          <t>No submission found.</t>
        </is>
      </c>
      <c r="AH496" t="n">
        <v>20</v>
      </c>
      <c r="AI496" t="n">
        <v>0</v>
      </c>
    </row>
    <row r="497">
      <c r="A497" t="n">
        <v>496</v>
      </c>
      <c r="B497" t="inlineStr">
        <is>
          <t>TA_9</t>
        </is>
      </c>
      <c r="C497" t="inlineStr">
        <is>
          <t>TA_19</t>
        </is>
      </c>
      <c r="D497" t="n">
        <v>10.8</v>
      </c>
      <c r="E497" t="n">
        <v>0</v>
      </c>
      <c r="F497" t="n">
        <v>8.75</v>
      </c>
      <c r="G497" t="n">
        <v>0</v>
      </c>
      <c r="H497" t="n">
        <v>10.1</v>
      </c>
      <c r="I497" t="n">
        <v>0</v>
      </c>
      <c r="J497" t="n">
        <v>12</v>
      </c>
      <c r="K497" t="n">
        <v>0</v>
      </c>
      <c r="L497" t="n">
        <v>8.25</v>
      </c>
      <c r="M497" t="n">
        <v>0</v>
      </c>
      <c r="N497" t="n">
        <v>11.5</v>
      </c>
      <c r="O497" t="n">
        <v>0</v>
      </c>
      <c r="P497">
        <f>Table1[[#This Row],[TA 1 - Q1 Score]]+Table1[[#This Row],[TA 1 - Q2 Score]]+Table1[[#This Row],[TA 1 - Q3 Score]]</f>
        <v/>
      </c>
      <c r="Q497">
        <f>Table1[[#This Row],[TA 1 - Q1 Bonus]]+Table1[[#This Row],[TA 1 - Q2 Bonus]]+Table1[[#This Row],[TA 1 - Q4 Bonus]]</f>
        <v/>
      </c>
      <c r="R497">
        <f>Table1[[#This Row],[TA 2 - Q1 Score]]+Table1[[#This Row],[TA 2 - Q2 Score]]+Table1[[#This Row],[TA 2 - Q3 Score]]</f>
        <v/>
      </c>
      <c r="S497">
        <f>Table1[[#This Row],[TA 2 - Q1 Bonus]]+Table1[[#This Row],[TA 2 - Q2 Bonus]]+Table1[[#This Row],[TA 2 - Q4 Bonus]]</f>
        <v/>
      </c>
      <c r="T497">
        <f>(Table1[[#This Row],[TA 1 - Total Score (out of 35)]]+Table1[[#This Row],[TA 2 - Total Score (out of 35)]])/2</f>
        <v/>
      </c>
      <c r="U497">
        <f>(Table1[[#This Row],[TA 1 - Total Bonus (out of 13)]]+Table1[[#This Row],[TA 2 - Total Bonus (out of 13)]])/2</f>
        <v/>
      </c>
      <c r="V497">
        <f>Table1[[#This Row],[Average Questions]]/35*20+Table1[[#This Row],[Average Bonus]]/13*5</f>
        <v/>
      </c>
      <c r="W497" t="n">
        <v>5</v>
      </c>
      <c r="X497" t="n">
        <v>0</v>
      </c>
      <c r="Y497" t="inlineStr">
        <is>
          <t>The student completed the data loading and preparation with minor issues, such as incorrect batch size and missing label adjustment. The model loading and adaptation were partially correct but the student froze the entire model instead of just the backbone. The training and validation loops were mostly correct but contained syntax errors and logical mistakes, particularly in the label handling and prediction computation. The student did not attempt the bonus task.</t>
        </is>
      </c>
      <c r="Z497" t="n">
        <v>8</v>
      </c>
      <c r="AA497" t="n">
        <v>0</v>
      </c>
      <c r="AB497" t="inlineStr">
        <is>
          <t>The student successfully completed most tasks with minor issues. The dataset loading and preparation were done correctly with the specified transformations. The CNN model was built with 5 convolutional layers, though the number of channels was different from the reference solution. Batch normalization was not added, resulting in a deduction. The training and validation loops were implemented correctly, and the model was trained and plotted. However, the bonus task was not attempted.</t>
        </is>
      </c>
      <c r="AC497" t="n">
        <v>8</v>
      </c>
      <c r="AD497" t="inlineStr">
        <is>
          <t>The student's submission contains mostly correct code with minor issues. Task 1 is partially correct with a small mistake in the dataset splitting logic. Task 2 is correct with the specified encoder. Task 3 is mostly correct with a minor issue in the mask conversion. Task 4 is mostly correct with a different optimizer and learning rate. Task 5 is mostly correct with a minor issue in the mask visualization.</t>
        </is>
      </c>
      <c r="AE497" t="n">
        <v>0</v>
      </c>
      <c r="AF497" t="n">
        <v>0</v>
      </c>
      <c r="AG497" t="inlineStr">
        <is>
          <t>No submission found.</t>
        </is>
      </c>
      <c r="AH497" t="n">
        <v>21</v>
      </c>
      <c r="AI497" t="n">
        <v>0</v>
      </c>
    </row>
    <row r="498">
      <c r="A498" t="n">
        <v>497</v>
      </c>
      <c r="B498" t="inlineStr">
        <is>
          <t>TA_9</t>
        </is>
      </c>
      <c r="C498" t="inlineStr">
        <is>
          <t>TA_19</t>
        </is>
      </c>
      <c r="D498" t="n">
        <v>5.8</v>
      </c>
      <c r="E498" t="n">
        <v>0</v>
      </c>
      <c r="F498" t="n">
        <v>9</v>
      </c>
      <c r="G498" t="n">
        <v>0</v>
      </c>
      <c r="H498" t="n">
        <v>8.65</v>
      </c>
      <c r="I498" t="n">
        <v>0</v>
      </c>
      <c r="J498" t="n">
        <v>8</v>
      </c>
      <c r="K498" t="n">
        <v>0</v>
      </c>
      <c r="L498" t="n">
        <v>8.75</v>
      </c>
      <c r="M498" t="n">
        <v>0</v>
      </c>
      <c r="N498" t="n">
        <v>10.5</v>
      </c>
      <c r="O498" t="n">
        <v>0</v>
      </c>
      <c r="P498">
        <f>Table1[[#This Row],[TA 1 - Q1 Score]]+Table1[[#This Row],[TA 1 - Q2 Score]]+Table1[[#This Row],[TA 1 - Q3 Score]]</f>
        <v/>
      </c>
      <c r="Q498">
        <f>Table1[[#This Row],[TA 1 - Q1 Bonus]]+Table1[[#This Row],[TA 1 - Q2 Bonus]]+Table1[[#This Row],[TA 1 - Q4 Bonus]]</f>
        <v/>
      </c>
      <c r="R498">
        <f>Table1[[#This Row],[TA 2 - Q1 Score]]+Table1[[#This Row],[TA 2 - Q2 Score]]+Table1[[#This Row],[TA 2 - Q3 Score]]</f>
        <v/>
      </c>
      <c r="S498">
        <f>Table1[[#This Row],[TA 2 - Q1 Bonus]]+Table1[[#This Row],[TA 2 - Q2 Bonus]]+Table1[[#This Row],[TA 2 - Q4 Bonus]]</f>
        <v/>
      </c>
      <c r="T498">
        <f>(Table1[[#This Row],[TA 1 - Total Score (out of 35)]]+Table1[[#This Row],[TA 2 - Total Score (out of 35)]])/2</f>
        <v/>
      </c>
      <c r="U498">
        <f>(Table1[[#This Row],[TA 1 - Total Bonus (out of 13)]]+Table1[[#This Row],[TA 2 - Total Bonus (out of 13)]])/2</f>
        <v/>
      </c>
      <c r="V498">
        <f>Table1[[#This Row],[Average Questions]]/35*20+Table1[[#This Row],[Average Bonus]]/13*5</f>
        <v/>
      </c>
      <c r="W498" t="n">
        <v>7</v>
      </c>
      <c r="X498" t="n">
        <v>0</v>
      </c>
      <c r="Y498" t="inlineStr">
        <is>
          <t>The student completed most tasks with minor issues. The transforms were mostly correct but lacked comments indicating completion. DataLoaders were created with a different batch size and included num_workers, which is acceptable. Sample images were displayed, though the indices were hardcoded. The model was loaded and adapted correctly, with the backbone frozen and classifier replaced. However, the optimizer used SGD instead of Adam. Training and validation loops were implemented but did not adjust labels to be 0-indexed, resulting in a penalty. Training and validation plots were generated. No bonus task was attempted.</t>
        </is>
      </c>
      <c r="Z498" t="n">
        <v>8.5</v>
      </c>
      <c r="AA498" t="n">
        <v>0</v>
      </c>
      <c r="AB498" t="inlineStr">
        <is>
          <t>The student successfully completed most tasks with minor issues. The data loading and preparation section had a small mistake in printing the number of training samples, where the length of the DataLoader was printed instead of the dataset. The CNN model was built with 5 convolutional layers but used incorrect output channels in the first layer and incorrect input size calculations in the fully connected layer. The training and validation loops were implemented correctly, and the model was trained and plotted accurately. The bonus task was not attempted.</t>
        </is>
      </c>
      <c r="AC498" t="n">
        <v>8</v>
      </c>
      <c r="AD498" t="inlineStr">
        <is>
          <t>The student's submission includes most of the required tasks with some minor issues. The dataset class is implemented correctly, but the mask file naming convention does not match the reference solution. The model class uses the correct architecture but with a different encoder (efficientnet-b1 instead of efficientnet-b0). The training and validation loops are implemented correctly, and the training process runs without errors. The loss curve is plotted accurately, and predictions are visualized against ground truth. However, the dataset splitting and DataLoader creation could be improved for better organization.</t>
        </is>
      </c>
      <c r="AE498" t="n">
        <v>0</v>
      </c>
      <c r="AF498" t="n">
        <v>0</v>
      </c>
      <c r="AG498" t="inlineStr">
        <is>
          <t>No submission found.</t>
        </is>
      </c>
      <c r="AH498" t="n">
        <v>23.5</v>
      </c>
      <c r="AI498" t="n">
        <v>0</v>
      </c>
    </row>
    <row r="499">
      <c r="A499" t="n">
        <v>498</v>
      </c>
      <c r="B499" t="inlineStr">
        <is>
          <t>TA_9</t>
        </is>
      </c>
      <c r="C499" t="inlineStr">
        <is>
          <t>TA_19</t>
        </is>
      </c>
      <c r="D499" t="n">
        <v>12</v>
      </c>
      <c r="E499" t="n">
        <v>3.5</v>
      </c>
      <c r="F499" t="n">
        <v>11</v>
      </c>
      <c r="G499" t="n">
        <v>4</v>
      </c>
      <c r="H499" t="n">
        <v>12</v>
      </c>
      <c r="I499" t="n">
        <v>5</v>
      </c>
      <c r="J499" t="n">
        <v>12</v>
      </c>
      <c r="K499" t="n">
        <v>3</v>
      </c>
      <c r="L499" t="n">
        <v>11</v>
      </c>
      <c r="M499" t="n">
        <v>4</v>
      </c>
      <c r="N499" t="n">
        <v>12</v>
      </c>
      <c r="O499" t="n">
        <v>0</v>
      </c>
      <c r="P499">
        <f>Table1[[#This Row],[TA 1 - Q1 Score]]+Table1[[#This Row],[TA 1 - Q2 Score]]+Table1[[#This Row],[TA 1 - Q3 Score]]</f>
        <v/>
      </c>
      <c r="Q499">
        <f>Table1[[#This Row],[TA 1 - Q1 Bonus]]+Table1[[#This Row],[TA 1 - Q2 Bonus]]+Table1[[#This Row],[TA 1 - Q4 Bonus]]</f>
        <v/>
      </c>
      <c r="R499">
        <f>Table1[[#This Row],[TA 2 - Q1 Score]]+Table1[[#This Row],[TA 2 - Q2 Score]]+Table1[[#This Row],[TA 2 - Q3 Score]]</f>
        <v/>
      </c>
      <c r="S499">
        <f>Table1[[#This Row],[TA 2 - Q1 Bonus]]+Table1[[#This Row],[TA 2 - Q2 Bonus]]+Table1[[#This Row],[TA 2 - Q4 Bonus]]</f>
        <v/>
      </c>
      <c r="T499">
        <f>(Table1[[#This Row],[TA 1 - Total Score (out of 35)]]+Table1[[#This Row],[TA 2 - Total Score (out of 35)]])/2</f>
        <v/>
      </c>
      <c r="U499">
        <f>(Table1[[#This Row],[TA 1 - Total Bonus (out of 13)]]+Table1[[#This Row],[TA 2 - Total Bonus (out of 13)]])/2</f>
        <v/>
      </c>
      <c r="V499">
        <f>Table1[[#This Row],[Average Questions]]/35*20+Table1[[#This Row],[Average Bonus]]/13*5</f>
        <v/>
      </c>
      <c r="W499" t="n">
        <v>8</v>
      </c>
      <c r="X499" t="n">
        <v>0</v>
      </c>
      <c r="Y499" t="inlineStr">
        <is>
          <t>The student completed most tasks correctly but made some minor mistakes. The data loading and preparation were mostly correct, though the batch size was smaller than the reference. The model loading and adaptation were accurate, and the training and validation loops were implemented correctly with label fixing. However, the bonus task for test time augmentation was not fully correct, as the average predictions were not properly passed through the softmax layer before computing the loss and accuracy.</t>
        </is>
      </c>
      <c r="Z499" t="n">
        <v>8.5</v>
      </c>
      <c r="AA499" t="n">
        <v>1</v>
      </c>
      <c r="AB499" t="inlineStr">
        <is>
          <t>The student successfully loaded and prepared the data with correct transformations and displayed sample images. The CNN model has 5 convolutional layers with batch normalization, earning full marks for Part 2. The training and validation functions were implemented correctly, though there was an unnecessary .squeeze() call in the forward pass. The model was trained and plotted correctly. In the bonus part, the student added a residual connection but used an incorrect input channel size for the final convolutional layer, leading to a partial implementation.</t>
        </is>
      </c>
      <c r="AC499" t="n">
        <v>8.5</v>
      </c>
      <c r="AD499" t="inlineStr">
        <is>
          <t>The student's submission largely follows the reference solution but contains minor issues. Task 1 is mostly correct with a small mistake in the dataset path definition. Task 2 correctly defines the U-Net model with the specified encoder. Task 3 implements the training and validation loops accurately. Task 4 defines the loss and optimizer correctly, trains the model, and plots the loss curve. Task 5 visualizes predictions but uses a grayscale colormap instead of 'tab10'. Overall, the submission is well-structured and functional, earning partial credit for minor discrepancies.</t>
        </is>
      </c>
      <c r="AE499" t="n">
        <v>0</v>
      </c>
      <c r="AF499" t="n">
        <v>0</v>
      </c>
      <c r="AG499" t="inlineStr">
        <is>
          <t>No submission found.</t>
        </is>
      </c>
      <c r="AH499" t="n">
        <v>25</v>
      </c>
      <c r="AI499" t="n">
        <v>1</v>
      </c>
    </row>
    <row r="500">
      <c r="A500" t="n">
        <v>499</v>
      </c>
      <c r="B500" t="inlineStr">
        <is>
          <t>TA_9</t>
        </is>
      </c>
      <c r="C500" t="inlineStr">
        <is>
          <t>TA_19</t>
        </is>
      </c>
      <c r="D500" t="n">
        <v>12</v>
      </c>
      <c r="E500" t="n">
        <v>0</v>
      </c>
      <c r="F500" t="n">
        <v>11</v>
      </c>
      <c r="G500" t="n">
        <v>3.3</v>
      </c>
      <c r="H500" t="n">
        <v>12</v>
      </c>
      <c r="I500" t="n">
        <v>5</v>
      </c>
      <c r="J500" t="n">
        <v>12</v>
      </c>
      <c r="K500" t="n">
        <v>0</v>
      </c>
      <c r="L500" t="n">
        <v>10.9</v>
      </c>
      <c r="M500" t="n">
        <v>0</v>
      </c>
      <c r="N500" t="n">
        <v>11.5</v>
      </c>
      <c r="O500" t="n">
        <v>5</v>
      </c>
      <c r="P500">
        <f>Table1[[#This Row],[TA 1 - Q1 Score]]+Table1[[#This Row],[TA 1 - Q2 Score]]+Table1[[#This Row],[TA 1 - Q3 Score]]</f>
        <v/>
      </c>
      <c r="Q500">
        <f>Table1[[#This Row],[TA 1 - Q1 Bonus]]+Table1[[#This Row],[TA 1 - Q2 Bonus]]+Table1[[#This Row],[TA 1 - Q4 Bonus]]</f>
        <v/>
      </c>
      <c r="R500">
        <f>Table1[[#This Row],[TA 2 - Q1 Score]]+Table1[[#This Row],[TA 2 - Q2 Score]]+Table1[[#This Row],[TA 2 - Q3 Score]]</f>
        <v/>
      </c>
      <c r="S500">
        <f>Table1[[#This Row],[TA 2 - Q1 Bonus]]+Table1[[#This Row],[TA 2 - Q2 Bonus]]+Table1[[#This Row],[TA 2 - Q4 Bonus]]</f>
        <v/>
      </c>
      <c r="T500">
        <f>(Table1[[#This Row],[TA 1 - Total Score (out of 35)]]+Table1[[#This Row],[TA 2 - Total Score (out of 35)]])/2</f>
        <v/>
      </c>
      <c r="U500">
        <f>(Table1[[#This Row],[TA 1 - Total Bonus (out of 13)]]+Table1[[#This Row],[TA 2 - Total Bonus (out of 13)]])/2</f>
        <v/>
      </c>
      <c r="V500">
        <f>Table1[[#This Row],[Average Questions]]/35*20+Table1[[#This Row],[Average Bonus]]/13*5</f>
        <v/>
      </c>
      <c r="W500" t="n">
        <v>7.5</v>
      </c>
      <c r="X500" t="n">
        <v>0</v>
      </c>
      <c r="Y500" t="inlineStr">
        <is>
          <t>The student completed most tasks with minor issues. Transforms were correctly defined, and DataLoaders were set up properly. Sample images were displayed with correct labels. The pretrained EfficientNetV2-Small model was loaded and adapted, with the backbone frozen and the classifier head replaced. Training and validation loops were implemented with label fixing. However, the custom model class introduced unnecessary complexity and did not follow the reference solution. The plots for training and validation losses and accuracies were correctly generated. No bonus task was attempted.</t>
        </is>
      </c>
      <c r="Z500" t="n">
        <v>5</v>
      </c>
      <c r="AA500" t="n">
        <v>0</v>
      </c>
      <c r="AB500" t="inlineStr">
        <is>
          <t>The student partially completed the tasks. They correctly set up the dataset and DataLoaders with the required transformations, including RandomRotation and resizing to 32x32. However, they used an incorrect number of output classes (10 instead of 3) and had a mismatch in the fully connected layer dimensions. The training and validation loops were implemented correctly, but the model definition had issues with the number of output classes and incorrect fully connected layer sizes. The bonus task was not attempted as the student implemented a U-Net architecture instead of adding a residual connection to the CNN.</t>
        </is>
      </c>
      <c r="AC500" t="n">
        <v>7</v>
      </c>
      <c r="AD500" t="inlineStr">
        <is>
          <t>The student's submission contains mostly correct code with minor issues. Task 1 is partially correct with syntax errors in the dataset loading and display sections. Task 2 is correct with the correct model definition. Task 3 is mostly correct with a small mistake in the validation loop. Task 4 is partially correct with a few syntax errors and incorrect learning rate. Task 5 is partially correct with a minor mistake in the prediction visualization.</t>
        </is>
      </c>
      <c r="AE500" t="n">
        <v>0</v>
      </c>
      <c r="AF500" t="n">
        <v>5</v>
      </c>
      <c r="AG500" t="inlineStr">
        <is>
          <t>The student's implementation of the `ColorizationDataset` class is mostly correct, with proper methods for initialization, length retrieval, grayscale conversion, and item fetching. The code runs without errors and produces the expected output shapes. Visualization also works as intended. Therefore, the bonus task is fully completed.</t>
        </is>
      </c>
      <c r="AH500" t="n">
        <v>19.5</v>
      </c>
      <c r="AI500" t="n">
        <v>5</v>
      </c>
    </row>
    <row r="501">
      <c r="A501" t="n">
        <v>500</v>
      </c>
      <c r="B501" t="inlineStr">
        <is>
          <t>TA_9</t>
        </is>
      </c>
      <c r="C501" t="inlineStr">
        <is>
          <t>TA_19</t>
        </is>
      </c>
      <c r="D501" t="n">
        <v>10.5</v>
      </c>
      <c r="E501" t="n">
        <v>0</v>
      </c>
      <c r="F501" t="n">
        <v>11</v>
      </c>
      <c r="G501" t="n">
        <v>0</v>
      </c>
      <c r="H501" t="n">
        <v>12</v>
      </c>
      <c r="I501" t="n">
        <v>0</v>
      </c>
      <c r="J501" t="n">
        <v>10.5</v>
      </c>
      <c r="K501" t="n">
        <v>0</v>
      </c>
      <c r="L501" t="n">
        <v>11</v>
      </c>
      <c r="M501" t="n">
        <v>0</v>
      </c>
      <c r="N501" t="n">
        <v>12</v>
      </c>
      <c r="O501" t="n">
        <v>0</v>
      </c>
      <c r="P501">
        <f>Table1[[#This Row],[TA 1 - Q1 Score]]+Table1[[#This Row],[TA 1 - Q2 Score]]+Table1[[#This Row],[TA 1 - Q3 Score]]</f>
        <v/>
      </c>
      <c r="Q501">
        <f>Table1[[#This Row],[TA 1 - Q1 Bonus]]+Table1[[#This Row],[TA 1 - Q2 Bonus]]+Table1[[#This Row],[TA 1 - Q4 Bonus]]</f>
        <v/>
      </c>
      <c r="R501">
        <f>Table1[[#This Row],[TA 2 - Q1 Score]]+Table1[[#This Row],[TA 2 - Q2 Score]]+Table1[[#This Row],[TA 2 - Q3 Score]]</f>
        <v/>
      </c>
      <c r="S501">
        <f>Table1[[#This Row],[TA 2 - Q1 Bonus]]+Table1[[#This Row],[TA 2 - Q2 Bonus]]+Table1[[#This Row],[TA 2 - Q4 Bonus]]</f>
        <v/>
      </c>
      <c r="T501">
        <f>(Table1[[#This Row],[TA 1 - Total Score (out of 35)]]+Table1[[#This Row],[TA 2 - Total Score (out of 35)]])/2</f>
        <v/>
      </c>
      <c r="U501">
        <f>(Table1[[#This Row],[TA 1 - Total Bonus (out of 13)]]+Table1[[#This Row],[TA 2 - Total Bonus (out of 13)]])/2</f>
        <v/>
      </c>
      <c r="V501">
        <f>Table1[[#This Row],[Average Questions]]/35*20+Table1[[#This Row],[Average Bonus]]/13*5</f>
        <v/>
      </c>
      <c r="W501" t="n">
        <v>8.5</v>
      </c>
      <c r="X501" t="n">
        <v>0</v>
      </c>
      <c r="Y501" t="inlineStr">
        <is>
          <t>The student completed most tasks correctly, including defining transforms, creating DataLoaders, displaying sample images, loading and adapting the pretrained model, and setting up training and validation loops. However, there were minor issues such as incorrect handling of model outputs in the training and validation loops, which caused syntax errors. The student did not attempt the bonus task for Test Time Augmentation.</t>
        </is>
      </c>
      <c r="Z501" t="n">
        <v>8.5</v>
      </c>
      <c r="AA501" t="n">
        <v>0</v>
      </c>
      <c r="AB501" t="inlineStr">
        <is>
          <t>The student successfully completed most tasks with minor issues. The dataset loading and preparation were mostly correct, though the dataset split method could be improved. The CNN model had 5 convolutional layers with batch normalization, earning full points. The training and validation loops were implemented correctly. However, the bonus task was not attempted.</t>
        </is>
      </c>
      <c r="AC501" t="n">
        <v>10</v>
      </c>
      <c r="AD501" t="inlineStr">
        <is>
          <t>The student's submission is mostly correct and runs end-to-end. The dataset class is implemented correctly with proper data loading and transformations. DataLoaders are created and used appropriately. Sample images and masks are displayed correctly. The U-Net model with efficientnet-b0 encoder is defined and initialized properly. Training and validation loops are implemented with minor issues, such as using AdamW instead of Adam for optimization. Losses are printed and plotted correctly. Predictions are visualized against ground truth masks. The only notable issue is the use of AdamW optimizer instead of Adam, which slightly deviates from the reference solution.</t>
        </is>
      </c>
      <c r="AE501" t="n">
        <v>0</v>
      </c>
      <c r="AF501" t="n">
        <v>0</v>
      </c>
      <c r="AG501" t="inlineStr">
        <is>
          <t>No submission found.</t>
        </is>
      </c>
      <c r="AH501" t="n">
        <v>27</v>
      </c>
      <c r="AI501" t="n">
        <v>0</v>
      </c>
    </row>
    <row r="502">
      <c r="A502" t="n">
        <v>501</v>
      </c>
      <c r="B502" t="inlineStr">
        <is>
          <t>TA_9</t>
        </is>
      </c>
      <c r="C502" t="inlineStr">
        <is>
          <t>TA_19</t>
        </is>
      </c>
      <c r="D502" t="n">
        <v>10</v>
      </c>
      <c r="E502" t="n">
        <v>0</v>
      </c>
      <c r="F502" t="n">
        <v>9.75</v>
      </c>
      <c r="G502" t="n">
        <v>0</v>
      </c>
      <c r="H502" t="n">
        <v>8.300000000000001</v>
      </c>
      <c r="I502" t="n">
        <v>0</v>
      </c>
      <c r="J502" t="n">
        <v>10</v>
      </c>
      <c r="K502" t="n">
        <v>0</v>
      </c>
      <c r="L502" t="n">
        <v>9.5</v>
      </c>
      <c r="M502" t="n">
        <v>0</v>
      </c>
      <c r="N502" t="n">
        <v>7.25</v>
      </c>
      <c r="O502" t="n">
        <v>0</v>
      </c>
      <c r="P502">
        <f>Table1[[#This Row],[TA 1 - Q1 Score]]+Table1[[#This Row],[TA 1 - Q2 Score]]+Table1[[#This Row],[TA 1 - Q3 Score]]</f>
        <v/>
      </c>
      <c r="Q502">
        <f>Table1[[#This Row],[TA 1 - Q1 Bonus]]+Table1[[#This Row],[TA 1 - Q2 Bonus]]+Table1[[#This Row],[TA 1 - Q4 Bonus]]</f>
        <v/>
      </c>
      <c r="R502">
        <f>Table1[[#This Row],[TA 2 - Q1 Score]]+Table1[[#This Row],[TA 2 - Q2 Score]]+Table1[[#This Row],[TA 2 - Q3 Score]]</f>
        <v/>
      </c>
      <c r="S502">
        <f>Table1[[#This Row],[TA 2 - Q1 Bonus]]+Table1[[#This Row],[TA 2 - Q2 Bonus]]+Table1[[#This Row],[TA 2 - Q4 Bonus]]</f>
        <v/>
      </c>
      <c r="T502">
        <f>(Table1[[#This Row],[TA 1 - Total Score (out of 35)]]+Table1[[#This Row],[TA 2 - Total Score (out of 35)]])/2</f>
        <v/>
      </c>
      <c r="U502">
        <f>(Table1[[#This Row],[TA 1 - Total Bonus (out of 13)]]+Table1[[#This Row],[TA 2 - Total Bonus (out of 13)]])/2</f>
        <v/>
      </c>
      <c r="V502">
        <f>Table1[[#This Row],[Average Questions]]/35*20+Table1[[#This Row],[Average Bonus]]/13*5</f>
        <v/>
      </c>
      <c r="W502" t="n">
        <v>4</v>
      </c>
      <c r="X502" t="n">
        <v>0</v>
      </c>
      <c r="Y502" t="inlineStr">
        <is>
          <t>The student completed the data loading and preparation with minor issues, such as incorrect batch size and missing normalization steps. The model setup and adaptation were incorrect, as the student used a custom class definition instead of modifying the EfficientNetV2-Small model directly. The training and validation loops were implemented but contained logical errors, particularly in the label adjustment and accuracy calculation. The plotting of losses and accuracies was attempted but did not produce meaningful results due to the incorrect model and training process. No bonus task was attempted.</t>
        </is>
      </c>
      <c r="Z502" t="n">
        <v>5</v>
      </c>
      <c r="AA502" t="n">
        <v>0</v>
      </c>
      <c r="AB502" t="inlineStr">
        <is>
          <t>The student partially completed the tasks. They correctly set up the dataset and transformations, including RandomRotation and resizing to 32x32, and displayed sample images. However, the CNN model has several issues: it incorrectly sets the input channels to 1 instead of 3, and the fully connected layer dimensions are incorrect due to improper shape calculations. The training and validation loops are mostly correct but use the wrong data loaders (training data used for validation and vice versa). No bonus task was attempted.</t>
        </is>
      </c>
      <c r="AC502" t="n">
        <v>4</v>
      </c>
      <c r="AD502" t="inlineStr">
        <is>
          <t>The student partially completed Task 1 by creating a custom dataset class and defining data loaders, but failed to display sample images and masks. Task 2 was partially completed with the correct model definition, but the encoder name was incorrect. Task 3 was not fully implemented due to incomplete training and validation loops. Task 4 had issues with the loss function and optimizer setup, and the training loop contained errors. Task 5 was not attempted.</t>
        </is>
      </c>
      <c r="AE502" t="n">
        <v>0</v>
      </c>
      <c r="AF502" t="n">
        <v>0</v>
      </c>
      <c r="AG502" t="inlineStr">
        <is>
          <t>No submission found.</t>
        </is>
      </c>
      <c r="AH502" t="n">
        <v>13</v>
      </c>
      <c r="AI502" t="n">
        <v>0</v>
      </c>
    </row>
    <row r="503">
      <c r="A503" t="n">
        <v>502</v>
      </c>
      <c r="B503" t="inlineStr">
        <is>
          <t>TA_9</t>
        </is>
      </c>
      <c r="C503" t="inlineStr">
        <is>
          <t>TA_19</t>
        </is>
      </c>
      <c r="D503" t="n">
        <v>9.15</v>
      </c>
      <c r="E503" t="n">
        <v>0</v>
      </c>
      <c r="F503" t="n">
        <v>7.75</v>
      </c>
      <c r="G503" t="n">
        <v>0</v>
      </c>
      <c r="H503" t="n">
        <v>9.300000000000001</v>
      </c>
      <c r="I503" t="n">
        <v>0</v>
      </c>
      <c r="J503" t="n">
        <v>8</v>
      </c>
      <c r="K503" t="n">
        <v>2</v>
      </c>
      <c r="L503" t="n">
        <v>5.9</v>
      </c>
      <c r="M503" t="n">
        <v>0</v>
      </c>
      <c r="N503" t="n">
        <v>9.25</v>
      </c>
      <c r="O503" t="n">
        <v>0</v>
      </c>
      <c r="P503">
        <f>Table1[[#This Row],[TA 1 - Q1 Score]]+Table1[[#This Row],[TA 1 - Q2 Score]]+Table1[[#This Row],[TA 1 - Q3 Score]]</f>
        <v/>
      </c>
      <c r="Q503">
        <f>Table1[[#This Row],[TA 1 - Q1 Bonus]]+Table1[[#This Row],[TA 1 - Q2 Bonus]]+Table1[[#This Row],[TA 1 - Q4 Bonus]]</f>
        <v/>
      </c>
      <c r="R503">
        <f>Table1[[#This Row],[TA 2 - Q1 Score]]+Table1[[#This Row],[TA 2 - Q2 Score]]+Table1[[#This Row],[TA 2 - Q3 Score]]</f>
        <v/>
      </c>
      <c r="S503">
        <f>Table1[[#This Row],[TA 2 - Q1 Bonus]]+Table1[[#This Row],[TA 2 - Q2 Bonus]]+Table1[[#This Row],[TA 2 - Q4 Bonus]]</f>
        <v/>
      </c>
      <c r="T503">
        <f>(Table1[[#This Row],[TA 1 - Total Score (out of 35)]]+Table1[[#This Row],[TA 2 - Total Score (out of 35)]])/2</f>
        <v/>
      </c>
      <c r="U503">
        <f>(Table1[[#This Row],[TA 1 - Total Bonus (out of 13)]]+Table1[[#This Row],[TA 2 - Total Bonus (out of 13)]])/2</f>
        <v/>
      </c>
      <c r="V503">
        <f>Table1[[#This Row],[Average Questions]]/35*20+Table1[[#This Row],[Average Bonus]]/13*5</f>
        <v/>
      </c>
      <c r="W503" t="n">
        <v>4</v>
      </c>
      <c r="X503" t="n">
        <v>0</v>
      </c>
      <c r="Y503" t="inlineStr">
        <is>
          <t>The student made several mistakes in the data preparation, model adaptation, and training/validation loops. The resize transformation was incorrect, using 64x64 instead of 28x28. The DataLoader creation was partially correct but used an incorrect variable name for the validation loader. The model loading and adaptation had issues, including incorrect usage of the model's classifier and unnecessary feature extraction code. The training and validation loops contained errors, such as squeezing the model outputs and using an incorrect learning rate. The bonus task was not completed correctly, with flawed logic for test-time augmentation.</t>
        </is>
      </c>
      <c r="Z503" t="n">
        <v>7</v>
      </c>
      <c r="AA503" t="n">
        <v>0</v>
      </c>
      <c r="AB503" t="inlineStr">
        <is>
          <t>The student successfully loaded and prepared the data with the correct transformations and displayed sample images. The CNN model has 5 convolutional layers but does not include batch normalization, resulting in partial credit. The training and validation loops are implemented correctly. The model is trained and the losses and accuracies are plotted. However, the bonus task for adding a residual connection was not attempted.</t>
        </is>
      </c>
      <c r="AC503" t="n">
        <v>7</v>
      </c>
      <c r="AD503" t="inlineStr">
        <is>
          <t>The student attempted all tasks but made several mistakes. In Task 1, the dataset class was partially correct but used an unnecessary binary remapping function and had issues with file paths. Task 2 correctly defined the U-Net model. Task 3 had correct training and validation loops but with minor syntax issues. Task 4 defined the loss and optimizer correctly, trained the model, and plotted the loss curve. Task 5 had issues with predicting and displaying masks, using incorrect methods for multi-class segmentation.</t>
        </is>
      </c>
      <c r="AE503" t="n">
        <v>0</v>
      </c>
      <c r="AF503" t="n">
        <v>0</v>
      </c>
      <c r="AG503" t="inlineStr">
        <is>
          <t>No submission found.</t>
        </is>
      </c>
      <c r="AH503" t="n">
        <v>18</v>
      </c>
      <c r="AI503" t="n">
        <v>0</v>
      </c>
    </row>
    <row r="504">
      <c r="A504" t="n">
        <v>503</v>
      </c>
      <c r="B504" t="inlineStr">
        <is>
          <t>TA_9</t>
        </is>
      </c>
      <c r="C504" t="inlineStr">
        <is>
          <t>TA_19</t>
        </is>
      </c>
      <c r="D504" t="n">
        <v>10</v>
      </c>
      <c r="E504" t="n">
        <v>0</v>
      </c>
      <c r="F504" t="n">
        <v>5.6</v>
      </c>
      <c r="G504" t="n">
        <v>0</v>
      </c>
      <c r="H504" t="n">
        <v>6.3</v>
      </c>
      <c r="I504" t="n">
        <v>0</v>
      </c>
      <c r="J504" t="n">
        <v>10.25</v>
      </c>
      <c r="K504" t="n">
        <v>0</v>
      </c>
      <c r="L504" t="n">
        <v>6.5</v>
      </c>
      <c r="M504" t="n">
        <v>0</v>
      </c>
      <c r="N504" t="n">
        <v>7.75</v>
      </c>
      <c r="O504" t="n">
        <v>0</v>
      </c>
      <c r="P504">
        <f>Table1[[#This Row],[TA 1 - Q1 Score]]+Table1[[#This Row],[TA 1 - Q2 Score]]+Table1[[#This Row],[TA 1 - Q3 Score]]</f>
        <v/>
      </c>
      <c r="Q504">
        <f>Table1[[#This Row],[TA 1 - Q1 Bonus]]+Table1[[#This Row],[TA 1 - Q2 Bonus]]+Table1[[#This Row],[TA 1 - Q4 Bonus]]</f>
        <v/>
      </c>
      <c r="R504">
        <f>Table1[[#This Row],[TA 2 - Q1 Score]]+Table1[[#This Row],[TA 2 - Q2 Score]]+Table1[[#This Row],[TA 2 - Q3 Score]]</f>
        <v/>
      </c>
      <c r="S504">
        <f>Table1[[#This Row],[TA 2 - Q1 Bonus]]+Table1[[#This Row],[TA 2 - Q2 Bonus]]+Table1[[#This Row],[TA 2 - Q4 Bonus]]</f>
        <v/>
      </c>
      <c r="T504">
        <f>(Table1[[#This Row],[TA 1 - Total Score (out of 35)]]+Table1[[#This Row],[TA 2 - Total Score (out of 35)]])/2</f>
        <v/>
      </c>
      <c r="U504">
        <f>(Table1[[#This Row],[TA 1 - Total Bonus (out of 13)]]+Table1[[#This Row],[TA 2 - Total Bonus (out of 13)]])/2</f>
        <v/>
      </c>
      <c r="V504">
        <f>Table1[[#This Row],[Average Questions]]/35*20+Table1[[#This Row],[Average Bonus]]/13*5</f>
        <v/>
      </c>
      <c r="W504" t="n">
        <v>3</v>
      </c>
      <c r="X504" t="n">
        <v>0</v>
      </c>
      <c r="Y504" t="inlineStr">
        <is>
          <t>The student completed the data loading and preparation tasks correctly, including defining the necessary transforms and creating DataLoaders. However, there were issues in displaying sample images, where the labels were incorrectly mapped to 'Cat' and 'Dog' instead of the actual EMNIST letter labels. In Part 2, the student loaded the wrong model (EfficientNetV2-M instead of EfficientNetV2-Small) and incorrectly froze the entire model instead of just the backbone. Parts 3 and 4 had significant issues, including incorrect implementation of the training and validation loops, misuse of the sigmoid function, and errors in handling the data loaders. The bonus task was not attempted.</t>
        </is>
      </c>
      <c r="Z504" t="n">
        <v>6</v>
      </c>
      <c r="AA504" t="n">
        <v>0</v>
      </c>
      <c r="AB504" t="inlineStr">
        <is>
          <t>The student implemented a custom dataset class and used the correct transformations, earning full points for Part 1. The CNN model has 5 convolutional layers but does not include batch normalization, earning 1 point out of 2 for Part 2. The training and validation loops are correctly defined, earning full points for Part 3. The model setup, training, and plotting of losses and accuracies are mostly correct, earning 0.5 points out of 1 for Part 4 due to a typo in importing torch.optim. No bonus tasks were attempted.</t>
        </is>
      </c>
      <c r="AC504" t="n">
        <v>7</v>
      </c>
      <c r="AD504" t="inlineStr">
        <is>
          <t>The student's submission contains several issues. In Task 1, the dataset paths are incorrectly assigned, leading to mismatched image and mask pairs. The dataset class has indentation errors and uses an undefined function `remap_mask_binary`. Task 2 correctly defines the U-Net model but uses `efficientnet-b1` instead of `efficientnet-b0`. Task 3 and Task 4 are mostly correct but contain minor issues like incorrect mask transformation and learning rate. Task 5 is missing visualization code for predictions.</t>
        </is>
      </c>
      <c r="AE504" t="n">
        <v>0</v>
      </c>
      <c r="AF504" t="n">
        <v>0</v>
      </c>
      <c r="AG504" t="inlineStr">
        <is>
          <t>No submission found.</t>
        </is>
      </c>
      <c r="AH504" t="n">
        <v>16</v>
      </c>
      <c r="AI504" t="n">
        <v>0</v>
      </c>
    </row>
    <row r="505">
      <c r="A505" t="n">
        <v>504</v>
      </c>
      <c r="B505" t="inlineStr">
        <is>
          <t>TA_9</t>
        </is>
      </c>
      <c r="C505" t="inlineStr">
        <is>
          <t>TA_19</t>
        </is>
      </c>
      <c r="D505" t="n">
        <v>1</v>
      </c>
      <c r="E505" t="n">
        <v>0</v>
      </c>
      <c r="F505" t="n">
        <v>11</v>
      </c>
      <c r="G505" t="n">
        <v>4</v>
      </c>
      <c r="H505" t="n">
        <v>8.050000000000001</v>
      </c>
      <c r="I505" t="n">
        <v>5</v>
      </c>
      <c r="J505" t="n">
        <v>3.25</v>
      </c>
      <c r="K505" t="n">
        <v>0</v>
      </c>
      <c r="L505" t="n">
        <v>10.75</v>
      </c>
      <c r="M505" t="n">
        <v>4</v>
      </c>
      <c r="N505" t="n">
        <v>9.15</v>
      </c>
      <c r="O505" t="n">
        <v>5</v>
      </c>
      <c r="P505">
        <f>Table1[[#This Row],[TA 1 - Q1 Score]]+Table1[[#This Row],[TA 1 - Q2 Score]]+Table1[[#This Row],[TA 1 - Q3 Score]]</f>
        <v/>
      </c>
      <c r="Q505">
        <f>Table1[[#This Row],[TA 1 - Q1 Bonus]]+Table1[[#This Row],[TA 1 - Q2 Bonus]]+Table1[[#This Row],[TA 1 - Q4 Bonus]]</f>
        <v/>
      </c>
      <c r="R505">
        <f>Table1[[#This Row],[TA 2 - Q1 Score]]+Table1[[#This Row],[TA 2 - Q2 Score]]+Table1[[#This Row],[TA 2 - Q3 Score]]</f>
        <v/>
      </c>
      <c r="S505">
        <f>Table1[[#This Row],[TA 2 - Q1 Bonus]]+Table1[[#This Row],[TA 2 - Q2 Bonus]]+Table1[[#This Row],[TA 2 - Q4 Bonus]]</f>
        <v/>
      </c>
      <c r="T505">
        <f>(Table1[[#This Row],[TA 1 - Total Score (out of 35)]]+Table1[[#This Row],[TA 2 - Total Score (out of 35)]])/2</f>
        <v/>
      </c>
      <c r="U505">
        <f>(Table1[[#This Row],[TA 1 - Total Bonus (out of 13)]]+Table1[[#This Row],[TA 2 - Total Bonus (out of 13)]])/2</f>
        <v/>
      </c>
      <c r="V505">
        <f>Table1[[#This Row],[Average Questions]]/35*20+Table1[[#This Row],[Average Bonus]]/13*5</f>
        <v/>
      </c>
      <c r="W505" t="n">
        <v>4</v>
      </c>
      <c r="X505" t="n">
        <v>0</v>
      </c>
      <c r="Y505" t="inlineStr">
        <is>
          <t>The student partially completed several tasks but made significant errors. They correctly set up the data transformations and displayed sample images, earning full points for these tasks. However, they incorrectly froze the model parameters and failed to replace the classifier head, resulting in no points for these tasks. The training and validation loops were implemented with logical errors, such as incorrect function calls and missing label adjustments, leading to partial credit. The bonus task was not attempted.</t>
        </is>
      </c>
      <c r="Z505" t="n">
        <v>10</v>
      </c>
      <c r="AA505" t="n">
        <v>4</v>
      </c>
      <c r="AB505" t="inlineStr">
        <is>
          <t>The student successfully completed all tasks in the base section, including loading and preparing the data, building the CNN model with batch normalization, defining training and validation functions, setting up the device, model, loss, and optimizer, and plotting the losses and accuracies. For the bonus task, the student correctly implemented a residual connection and retrained the model, also plotting the comparison of losses and accuracies.</t>
        </is>
      </c>
      <c r="AC505" t="n">
        <v>5</v>
      </c>
      <c r="AD505" t="inlineStr">
        <is>
          <t>The student's submission partially completes several tasks but contains significant errors. Task 1 has issues with dataset loading and transformation, leading to incorrect image and mask handling. Task 2 incorrectly sets the number of classes to 3 instead of 8. Task 3 has syntax errors in the training and validation loops. Task 4 correctly defines the loss and optimizer but uses incorrect loaders. Task 5 visualizes predictions but does not handle the masks correctly, leading to incorrect visualizations.</t>
        </is>
      </c>
      <c r="AE505" t="n">
        <v>0</v>
      </c>
      <c r="AF505" t="n">
        <v>0</v>
      </c>
      <c r="AG505" t="inlineStr">
        <is>
          <t>The student's implementation of the `ColorizationDataset` class contains a mistake in the `rgb_to_grayscale` method. Instead of correctly extracting the red, green, and blue channels and computing the grayscale value, the student used slicing that results in tensors of shape (1, 32, 32) instead of (32, 32). This error affects the grayscale image shape, leading to incorrect outputs. Despite this mistake, the student attempted to implement all required methods and followed the overall structure of the reference solution.</t>
        </is>
      </c>
      <c r="AH505" t="n">
        <v>19</v>
      </c>
      <c r="AI505" t="n">
        <v>4</v>
      </c>
    </row>
    <row r="506">
      <c r="A506" t="n">
        <v>505</v>
      </c>
      <c r="B506" t="inlineStr">
        <is>
          <t>TA_9</t>
        </is>
      </c>
      <c r="C506" t="inlineStr">
        <is>
          <t>TA_19</t>
        </is>
      </c>
      <c r="D506" t="n">
        <v>4.3</v>
      </c>
      <c r="E506" t="n">
        <v>3.8</v>
      </c>
      <c r="F506" t="n">
        <v>4.85</v>
      </c>
      <c r="G506" t="n">
        <v>3.3</v>
      </c>
      <c r="H506" t="n">
        <v>8.9</v>
      </c>
      <c r="I506" t="n">
        <v>5</v>
      </c>
      <c r="J506" t="n">
        <v>4.75</v>
      </c>
      <c r="K506" t="n">
        <v>3</v>
      </c>
      <c r="L506" t="n">
        <v>4.25</v>
      </c>
      <c r="M506" t="n">
        <v>0</v>
      </c>
      <c r="N506" t="n">
        <v>9.5</v>
      </c>
      <c r="O506" t="n">
        <v>5</v>
      </c>
      <c r="P506">
        <f>Table1[[#This Row],[TA 1 - Q1 Score]]+Table1[[#This Row],[TA 1 - Q2 Score]]+Table1[[#This Row],[TA 1 - Q3 Score]]</f>
        <v/>
      </c>
      <c r="Q506">
        <f>Table1[[#This Row],[TA 1 - Q1 Bonus]]+Table1[[#This Row],[TA 1 - Q2 Bonus]]+Table1[[#This Row],[TA 1 - Q4 Bonus]]</f>
        <v/>
      </c>
      <c r="R506">
        <f>Table1[[#This Row],[TA 2 - Q1 Score]]+Table1[[#This Row],[TA 2 - Q2 Score]]+Table1[[#This Row],[TA 2 - Q3 Score]]</f>
        <v/>
      </c>
      <c r="S506">
        <f>Table1[[#This Row],[TA 2 - Q1 Bonus]]+Table1[[#This Row],[TA 2 - Q2 Bonus]]+Table1[[#This Row],[TA 2 - Q4 Bonus]]</f>
        <v/>
      </c>
      <c r="T506">
        <f>(Table1[[#This Row],[TA 1 - Total Score (out of 35)]]+Table1[[#This Row],[TA 2 - Total Score (out of 35)]])/2</f>
        <v/>
      </c>
      <c r="U506">
        <f>(Table1[[#This Row],[TA 1 - Total Bonus (out of 13)]]+Table1[[#This Row],[TA 2 - Total Bonus (out of 13)]])/2</f>
        <v/>
      </c>
      <c r="V506">
        <f>Table1[[#This Row],[Average Questions]]/35*20+Table1[[#This Row],[Average Bonus]]/13*5</f>
        <v/>
      </c>
      <c r="W506" t="n">
        <v>4</v>
      </c>
      <c r="X506" t="n">
        <v>0</v>
      </c>
      <c r="Y506" t="inlineStr">
        <is>
          <t>The student partially completed the tasks but made several mistakes. The data loading and preparation section had incomplete transformations and incorrect DataLoader setup. The model loading and adaptation were mostly correct but the training and validation loops contained significant errors, including incorrect handling of outputs and labels. The plotting of losses and accuracies was attempted but failed due to incorrect variable names. No bonus task was attempted.</t>
        </is>
      </c>
      <c r="Z506" t="n">
        <v>4</v>
      </c>
      <c r="AA506" t="n">
        <v>0</v>
      </c>
      <c r="AB506" t="inlineStr">
        <is>
          <t>The student attempted all base tasks but made several mistakes. In Part 1, the dataset class was implemented instead of using ImageFolder, and the transformations were incorrect (Resize to 224x224 instead of 32x32, no RandomRotation). In Part 2, the CNN model had only 3 convolutional layers instead of 5, and no Batch Normalization was added. In Part 3, the training and validation loops were mostly correct but used softmax and argmax unnecessarily. In Part 4, the model was not trained due to incorrect DataLoader references, and no plots were generated. The bonus task was not attempted.</t>
        </is>
      </c>
      <c r="AC506" t="n">
        <v>6</v>
      </c>
      <c r="AD506" t="inlineStr">
        <is>
          <t>The student partially completed the tasks with some syntax and logical errors. The dataset class and DataLoaders were incorrectly implemented using ImageFolder, which does not separate images and masks correctly. The model class used the wrong number of classes (5 instead of 8). The training and validation loops were mostly correct but contained a mistake in the training loop where the number of epochs was incorrectly set to the length of train_losses. Visualization of predictions was attempted but had issues with the colormap and did not display the predicted masks correctly.</t>
        </is>
      </c>
      <c r="AE506" t="n">
        <v>0</v>
      </c>
      <c r="AF506" t="n">
        <v>5</v>
      </c>
      <c r="AG506" t="inlineStr">
        <is>
          <t>The student's implementation of the ColorizationDataset class is correct and runs perfectly, producing the expected output and following the optimal logic. The code includes all required methods (__init__, __len__, rgb_to_grayscale, __getitem__) and provides correct visualizations. No mistakes were found in the implementation.</t>
        </is>
      </c>
      <c r="AH506" t="n">
        <v>14</v>
      </c>
      <c r="AI506" t="n">
        <v>5</v>
      </c>
    </row>
    <row r="507">
      <c r="A507" t="n">
        <v>506</v>
      </c>
      <c r="B507" t="inlineStr">
        <is>
          <t>TA_9</t>
        </is>
      </c>
      <c r="C507" t="inlineStr">
        <is>
          <t>TA_19</t>
        </is>
      </c>
      <c r="D507" t="n">
        <v>5</v>
      </c>
      <c r="E507" t="n">
        <v>0</v>
      </c>
      <c r="F507" t="n">
        <v>10.1</v>
      </c>
      <c r="G507" t="n">
        <v>0</v>
      </c>
      <c r="H507" t="n">
        <v>7.5</v>
      </c>
      <c r="I507" t="n">
        <v>0</v>
      </c>
      <c r="J507" t="n">
        <v>5.5</v>
      </c>
      <c r="K507" t="n">
        <v>0</v>
      </c>
      <c r="L507" t="n">
        <v>10.75</v>
      </c>
      <c r="M507" t="n">
        <v>0</v>
      </c>
      <c r="N507" t="n">
        <v>7.75</v>
      </c>
      <c r="O507" t="n">
        <v>0</v>
      </c>
      <c r="P507">
        <f>Table1[[#This Row],[TA 1 - Q1 Score]]+Table1[[#This Row],[TA 1 - Q2 Score]]+Table1[[#This Row],[TA 1 - Q3 Score]]</f>
        <v/>
      </c>
      <c r="Q507">
        <f>Table1[[#This Row],[TA 1 - Q1 Bonus]]+Table1[[#This Row],[TA 1 - Q2 Bonus]]+Table1[[#This Row],[TA 1 - Q4 Bonus]]</f>
        <v/>
      </c>
      <c r="R507">
        <f>Table1[[#This Row],[TA 2 - Q1 Score]]+Table1[[#This Row],[TA 2 - Q2 Score]]+Table1[[#This Row],[TA 2 - Q3 Score]]</f>
        <v/>
      </c>
      <c r="S507">
        <f>Table1[[#This Row],[TA 2 - Q1 Bonus]]+Table1[[#This Row],[TA 2 - Q2 Bonus]]+Table1[[#This Row],[TA 2 - Q4 Bonus]]</f>
        <v/>
      </c>
      <c r="T507">
        <f>(Table1[[#This Row],[TA 1 - Total Score (out of 35)]]+Table1[[#This Row],[TA 2 - Total Score (out of 35)]])/2</f>
        <v/>
      </c>
      <c r="U507">
        <f>(Table1[[#This Row],[TA 1 - Total Bonus (out of 13)]]+Table1[[#This Row],[TA 2 - Total Bonus (out of 13)]])/2</f>
        <v/>
      </c>
      <c r="V507">
        <f>Table1[[#This Row],[Average Questions]]/35*20+Table1[[#This Row],[Average Bonus]]/13*5</f>
        <v/>
      </c>
      <c r="W507" t="n">
        <v>5</v>
      </c>
      <c r="X507" t="n">
        <v>0</v>
      </c>
      <c r="Y507" t="inlineStr">
        <is>
          <t>The student completed the data loading and transformation tasks correctly, including resizing, converting to tensor, and normalizing the images. However, the student did not freeze the backbone of the EfficientNetV2-Small model, which is a critical step. The training and validation loops were implemented but did not adjust the labels to be 0-indexed, resulting in a penalty. The student did not attempt the bonus task for test time augmentation.</t>
        </is>
      </c>
      <c r="Z507" t="n">
        <v>8.5</v>
      </c>
      <c r="AA507" t="n">
        <v>0</v>
      </c>
      <c r="AB507" t="inlineStr">
        <is>
          <t>The student successfully implemented a custom dataset class, created train/test datasets and DataLoaders, applied the required transformations, and displayed sample images. The CNN model includes five convolutional layers with batch normalization. However, there is a mistake in the forward method where 'F.relu' is used without importing 'F' from 'torch.nn'. The training and validation loops are mostly correct but contain minor issues like incorrect calculation of average loss and accuracy. No bonus task was attempted.</t>
        </is>
      </c>
      <c r="AC507" t="n">
        <v>6</v>
      </c>
      <c r="AD507" t="inlineStr">
        <is>
          <t>The student's submission partially completes several tasks but contains errors and omissions. Task 1 is partially completed with a dataset class and DataLoader, but the mask remapping function is incorrectly called within the dataset class. Task 2 correctly defines a pretrained U-Net model with the specified encoder. Task 3 has two nearly identical training and validation loop functions, both of which contain syntax errors and logical issues. Task 4 defines the loss and optimizer but does not train the model or plot the loss curve. Task 5 attempts to visualize predictions but uses an undefined test dataset and contains syntax errors.</t>
        </is>
      </c>
      <c r="AE507" t="n">
        <v>0</v>
      </c>
      <c r="AF507" t="n">
        <v>0</v>
      </c>
      <c r="AG507" t="inlineStr">
        <is>
          <t>No submission found.</t>
        </is>
      </c>
      <c r="AH507" t="n">
        <v>19.5</v>
      </c>
      <c r="AI507" t="n">
        <v>0</v>
      </c>
    </row>
    <row r="508">
      <c r="A508" t="n">
        <v>507</v>
      </c>
      <c r="B508" t="inlineStr">
        <is>
          <t>TA_9</t>
        </is>
      </c>
      <c r="C508" t="inlineStr">
        <is>
          <t>TA_19</t>
        </is>
      </c>
      <c r="D508" t="n">
        <v>4.3</v>
      </c>
      <c r="E508" t="n">
        <v>0</v>
      </c>
      <c r="F508" t="n">
        <v>6.8</v>
      </c>
      <c r="G508" t="n">
        <v>0</v>
      </c>
      <c r="H508" t="n">
        <v>8.1</v>
      </c>
      <c r="I508" t="n">
        <v>0</v>
      </c>
      <c r="J508" t="n">
        <v>4.75</v>
      </c>
      <c r="K508" t="n">
        <v>0</v>
      </c>
      <c r="L508" t="n">
        <v>6.9</v>
      </c>
      <c r="M508" t="n">
        <v>0</v>
      </c>
      <c r="N508" t="n">
        <v>6.25</v>
      </c>
      <c r="O508" t="n">
        <v>0</v>
      </c>
      <c r="P508">
        <f>Table1[[#This Row],[TA 1 - Q1 Score]]+Table1[[#This Row],[TA 1 - Q2 Score]]+Table1[[#This Row],[TA 1 - Q3 Score]]</f>
        <v/>
      </c>
      <c r="Q508">
        <f>Table1[[#This Row],[TA 1 - Q1 Bonus]]+Table1[[#This Row],[TA 1 - Q2 Bonus]]+Table1[[#This Row],[TA 1 - Q4 Bonus]]</f>
        <v/>
      </c>
      <c r="R508">
        <f>Table1[[#This Row],[TA 2 - Q1 Score]]+Table1[[#This Row],[TA 2 - Q2 Score]]+Table1[[#This Row],[TA 2 - Q3 Score]]</f>
        <v/>
      </c>
      <c r="S508">
        <f>Table1[[#This Row],[TA 2 - Q1 Bonus]]+Table1[[#This Row],[TA 2 - Q2 Bonus]]+Table1[[#This Row],[TA 2 - Q4 Bonus]]</f>
        <v/>
      </c>
      <c r="T508">
        <f>(Table1[[#This Row],[TA 1 - Total Score (out of 35)]]+Table1[[#This Row],[TA 2 - Total Score (out of 35)]])/2</f>
        <v/>
      </c>
      <c r="U508">
        <f>(Table1[[#This Row],[TA 1 - Total Bonus (out of 13)]]+Table1[[#This Row],[TA 2 - Total Bonus (out of 13)]])/2</f>
        <v/>
      </c>
      <c r="V508">
        <f>Table1[[#This Row],[Average Questions]]/35*20+Table1[[#This Row],[Average Bonus]]/13*5</f>
        <v/>
      </c>
      <c r="W508" t="n">
        <v>5</v>
      </c>
      <c r="X508" t="n">
        <v>0</v>
      </c>
      <c r="Y508" t="inlineStr">
        <is>
          <t>The student completed the data loading and preparation with minor issues, such as using a batch size of 32 instead of 64. The model loading and adaptation section had significant errors, including loading the wrong model (EfficientNet-B0 instead of EfficientNetV2-Small) and incorrectly setting the number of output classes to 25. The training and validation loops contained logical mistakes, such as using binary classification logic with CrossEntropyLoss and incorrect handling of model outputs. The plotting of losses and accuracies was mostly correct, but the bonus task was not attempted.</t>
        </is>
      </c>
      <c r="Z508" t="n">
        <v>7</v>
      </c>
      <c r="AA508" t="n">
        <v>0</v>
      </c>
      <c r="AB508" t="inlineStr">
        <is>
          <t>The student successfully loaded and prepared the data with the correct transformations and displayed sample images. The CNN model was built with 5 convolutional layers, but the number of output classes and fully connected layer sizes were incorrect. The training and validation functions were mostly correct but had minor issues with accessing batch elements. The model was trained and plotted, but the residual connection bonus was not attempted.</t>
        </is>
      </c>
      <c r="AC508" t="n">
        <v>3</v>
      </c>
      <c r="AD508" t="inlineStr">
        <is>
          <t>The student's submission contains significant issues across multiple tasks. In Task 1, the dataset class is incorrectly implemented, using a CSV file for metadata which is not provided in the reference solution, and the mask transformation is incorrectly set up for binary segmentation instead of multi-class. Task 2 defines a U-Net model with an incorrect number of output classes (1 instead of 8). Task 3 has incorrect training and validation loops, using BCEWithLogitsLoss and float masks, which are inappropriate for multi-class segmentation. Task 4 also uses incorrect loss and optimizer settings, and Task 5 visualizes predictions incorrectly, treating the problem as binary segmentation. Despite these issues, the student attempted each task, warranting partial credit.</t>
        </is>
      </c>
      <c r="AE508" t="n">
        <v>0</v>
      </c>
      <c r="AF508" t="n">
        <v>0</v>
      </c>
      <c r="AG508" t="inlineStr">
        <is>
          <t>No submission found.</t>
        </is>
      </c>
      <c r="AH508" t="n">
        <v>15</v>
      </c>
      <c r="AI508" t="n">
        <v>0</v>
      </c>
    </row>
    <row r="509">
      <c r="A509" t="n">
        <v>508</v>
      </c>
      <c r="B509" t="inlineStr">
        <is>
          <t>TA_9</t>
        </is>
      </c>
      <c r="C509" t="inlineStr">
        <is>
          <t>TA_19</t>
        </is>
      </c>
      <c r="D509" t="n">
        <v>4</v>
      </c>
      <c r="E509" t="n">
        <v>0</v>
      </c>
      <c r="F509" t="n">
        <v>9.5</v>
      </c>
      <c r="G509" t="n">
        <v>0</v>
      </c>
      <c r="H509" t="n">
        <v>10.6</v>
      </c>
      <c r="I509" t="n">
        <v>0</v>
      </c>
      <c r="J509" t="n">
        <v>5.25</v>
      </c>
      <c r="K509" t="n">
        <v>0</v>
      </c>
      <c r="L509" t="n">
        <v>8.75</v>
      </c>
      <c r="M509" t="n">
        <v>0</v>
      </c>
      <c r="N509" t="n">
        <v>9</v>
      </c>
      <c r="O509" t="n">
        <v>0</v>
      </c>
      <c r="P509">
        <f>Table1[[#This Row],[TA 1 - Q1 Score]]+Table1[[#This Row],[TA 1 - Q2 Score]]+Table1[[#This Row],[TA 1 - Q3 Score]]</f>
        <v/>
      </c>
      <c r="Q509">
        <f>Table1[[#This Row],[TA 1 - Q1 Bonus]]+Table1[[#This Row],[TA 1 - Q2 Bonus]]+Table1[[#This Row],[TA 1 - Q4 Bonus]]</f>
        <v/>
      </c>
      <c r="R509">
        <f>Table1[[#This Row],[TA 2 - Q1 Score]]+Table1[[#This Row],[TA 2 - Q2 Score]]+Table1[[#This Row],[TA 2 - Q3 Score]]</f>
        <v/>
      </c>
      <c r="S509">
        <f>Table1[[#This Row],[TA 2 - Q1 Bonus]]+Table1[[#This Row],[TA 2 - Q2 Bonus]]+Table1[[#This Row],[TA 2 - Q4 Bonus]]</f>
        <v/>
      </c>
      <c r="T509">
        <f>(Table1[[#This Row],[TA 1 - Total Score (out of 35)]]+Table1[[#This Row],[TA 2 - Total Score (out of 35)]])/2</f>
        <v/>
      </c>
      <c r="U509">
        <f>(Table1[[#This Row],[TA 1 - Total Bonus (out of 13)]]+Table1[[#This Row],[TA 2 - Total Bonus (out of 13)]])/2</f>
        <v/>
      </c>
      <c r="V509">
        <f>Table1[[#This Row],[Average Questions]]/35*20+Table1[[#This Row],[Average Bonus]]/13*5</f>
        <v/>
      </c>
      <c r="W509" t="n">
        <v>5</v>
      </c>
      <c r="X509" t="n">
        <v>0</v>
      </c>
      <c r="Y509" t="inlineStr">
        <is>
          <t>The student completed the data loading and transformation tasks correctly, including resizing, converting to tensor, and normalizing the images. However, there were issues in freezing only the backbone of the model and replacing the classifier head correctly. The training and validation loops had logical errors in calculating accuracy. No bonus tasks were attempted.</t>
        </is>
      </c>
      <c r="Z509" t="n">
        <v>7</v>
      </c>
      <c r="AA509" t="n">
        <v>0</v>
      </c>
      <c r="AB509" t="inlineStr">
        <is>
          <t>The student successfully loaded and prepared the data with the correct transformations and displayed sample images. The CNN model has 5 convolutional layers with batch normalization, though the number of channels is different from the reference solution. The training and validation loops are implemented correctly, and the model is trained and evaluated. However, the final fully connected layer in the CNN model has an incorrect input size, leading to potential runtime errors. No bonus task was attempted.</t>
        </is>
      </c>
      <c r="AC509" t="n">
        <v>6</v>
      </c>
      <c r="AD509" t="inlineStr">
        <is>
          <t>The student's submission partially completes several tasks but contains significant errors. The dataset class is mostly correct but has issues with how image and mask paths are handled. DataLoaders are incorrectly defined, with the test DataLoader using mask paths instead of the test dataset. Training and validation loops are implemented correctly, but the model uses the wrong encoder ('efficientnet-b1' instead of 'efficientnet-b0'). The visualization section has errors in displaying predictions, attempting to show single-channel outputs directly without processing. Despite these issues, the student demonstrates understanding of the overall process.</t>
        </is>
      </c>
      <c r="AE509" t="n">
        <v>0</v>
      </c>
      <c r="AF509" t="n">
        <v>0</v>
      </c>
      <c r="AG509" t="inlineStr">
        <is>
          <t>No submission found.</t>
        </is>
      </c>
      <c r="AH509" t="n">
        <v>18</v>
      </c>
      <c r="AI509" t="n">
        <v>0</v>
      </c>
    </row>
    <row r="510">
      <c r="A510" t="n">
        <v>509</v>
      </c>
      <c r="B510" t="inlineStr">
        <is>
          <t>TA_9</t>
        </is>
      </c>
      <c r="C510" t="inlineStr">
        <is>
          <t>TA_19</t>
        </is>
      </c>
      <c r="D510" t="n">
        <v>11.7</v>
      </c>
      <c r="E510" t="n">
        <v>0</v>
      </c>
      <c r="F510" t="n">
        <v>8.5</v>
      </c>
      <c r="G510" t="n">
        <v>0</v>
      </c>
      <c r="H510" t="n">
        <v>10.6</v>
      </c>
      <c r="I510" t="n">
        <v>0</v>
      </c>
      <c r="J510" t="n">
        <v>9.75</v>
      </c>
      <c r="K510" t="n">
        <v>0</v>
      </c>
      <c r="L510" t="n">
        <v>8.25</v>
      </c>
      <c r="M510" t="n">
        <v>0</v>
      </c>
      <c r="N510" t="n">
        <v>7.75</v>
      </c>
      <c r="O510" t="n">
        <v>0</v>
      </c>
      <c r="P510">
        <f>Table1[[#This Row],[TA 1 - Q1 Score]]+Table1[[#This Row],[TA 1 - Q2 Score]]+Table1[[#This Row],[TA 1 - Q3 Score]]</f>
        <v/>
      </c>
      <c r="Q510">
        <f>Table1[[#This Row],[TA 1 - Q1 Bonus]]+Table1[[#This Row],[TA 1 - Q2 Bonus]]+Table1[[#This Row],[TA 1 - Q4 Bonus]]</f>
        <v/>
      </c>
      <c r="R510">
        <f>Table1[[#This Row],[TA 2 - Q1 Score]]+Table1[[#This Row],[TA 2 - Q2 Score]]+Table1[[#This Row],[TA 2 - Q3 Score]]</f>
        <v/>
      </c>
      <c r="S510">
        <f>Table1[[#This Row],[TA 2 - Q1 Bonus]]+Table1[[#This Row],[TA 2 - Q2 Bonus]]+Table1[[#This Row],[TA 2 - Q4 Bonus]]</f>
        <v/>
      </c>
      <c r="T510">
        <f>(Table1[[#This Row],[TA 1 - Total Score (out of 35)]]+Table1[[#This Row],[TA 2 - Total Score (out of 35)]])/2</f>
        <v/>
      </c>
      <c r="U510">
        <f>(Table1[[#This Row],[TA 1 - Total Bonus (out of 13)]]+Table1[[#This Row],[TA 2 - Total Bonus (out of 13)]])/2</f>
        <v/>
      </c>
      <c r="V510">
        <f>Table1[[#This Row],[Average Questions]]/35*20+Table1[[#This Row],[Average Bonus]]/13*5</f>
        <v/>
      </c>
      <c r="W510" t="n">
        <v>4</v>
      </c>
      <c r="X510" t="n">
        <v>0</v>
      </c>
      <c r="Y510" t="inlineStr">
        <is>
          <t>The student partially completed several tasks but made significant errors. The data loading and preparation section had issues with DataLoader creation, using the wrong dataset split for the test loader. The model loading section incorrectly used EfficientNetB0 instead of EfficientNetV2-Small. The training and validation loops contained mistakes, such as squeezing outputs and incorrect label adjustments. The plotting section was mostly correct, but the overall implementation did not run end-to-end due to these errors.</t>
        </is>
      </c>
      <c r="Z510" t="n">
        <v>7</v>
      </c>
      <c r="AA510" t="n">
        <v>0</v>
      </c>
      <c r="AB510" t="inlineStr">
        <is>
          <t>The student successfully loaded and prepared the data with the correct transformations and displayed sample images. However, the CNN model has fewer than 5 convolutional layers and does not include batch normalization. The training and validation functions are mostly correct but could be improved for efficiency. The model was trained and plotted, but the number of epochs was lower than specified. No bonus task was attempted.</t>
        </is>
      </c>
      <c r="AC510" t="n">
        <v>5</v>
      </c>
      <c r="AD510" t="inlineStr">
        <is>
          <t>The student's submission partially completes several tasks but contains significant errors. Task 1 is mostly correct with a minor issue in the mask transformation. Task 2 incorrectly sets the number of classes to 1 instead of 8. Task 3 has syntax errors in the training and validation loops. Task 4 uses BCEWithLogitsLoss instead of CrossEntropyLoss and trains for fewer epochs. Task 5 visualizes predictions but does not correctly handle multi-class masks.</t>
        </is>
      </c>
      <c r="AE510" t="n">
        <v>0</v>
      </c>
      <c r="AF510" t="n">
        <v>0</v>
      </c>
      <c r="AG510" t="inlineStr">
        <is>
          <t>The student's implementation contains multiple errors and does not follow the required structure. The `__init__` method incorrectly initializes `gray_img` and `color_img` as empty lists and includes unused parameters. The `__len__` method has a typo (`cifar_datase` instead of `cifar_dataset`). The `rgb_to_grayscale` method incorrectly attempts to open images and uses incorrect syntax for accessing tensor dimensions. The `__getitem__` method also contains errors in image handling and does not correctly convert images to grayscale. The visualization and DataLoader tests fail due to these issues.</t>
        </is>
      </c>
      <c r="AH510" t="n">
        <v>16</v>
      </c>
      <c r="AI510" t="n">
        <v>0</v>
      </c>
    </row>
    <row r="511">
      <c r="A511" t="n">
        <v>510</v>
      </c>
      <c r="B511" t="inlineStr">
        <is>
          <t>TA_9</t>
        </is>
      </c>
      <c r="C511" t="inlineStr">
        <is>
          <t>TA_19</t>
        </is>
      </c>
      <c r="D511" t="n">
        <v>11</v>
      </c>
      <c r="E511" t="n">
        <v>3</v>
      </c>
      <c r="F511" t="n">
        <v>11</v>
      </c>
      <c r="G511" t="n">
        <v>3.5</v>
      </c>
      <c r="H511" t="n">
        <v>8.5</v>
      </c>
      <c r="I511" t="n">
        <v>5</v>
      </c>
      <c r="J511" t="n">
        <v>11</v>
      </c>
      <c r="K511" t="n">
        <v>0</v>
      </c>
      <c r="L511" t="n">
        <v>11</v>
      </c>
      <c r="M511" t="n">
        <v>3</v>
      </c>
      <c r="N511" t="n">
        <v>7.5</v>
      </c>
      <c r="O511" t="n">
        <v>5</v>
      </c>
      <c r="P511">
        <f>Table1[[#This Row],[TA 1 - Q1 Score]]+Table1[[#This Row],[TA 1 - Q2 Score]]+Table1[[#This Row],[TA 1 - Q3 Score]]</f>
        <v/>
      </c>
      <c r="Q511">
        <f>Table1[[#This Row],[TA 1 - Q1 Bonus]]+Table1[[#This Row],[TA 1 - Q2 Bonus]]+Table1[[#This Row],[TA 1 - Q4 Bonus]]</f>
        <v/>
      </c>
      <c r="R511">
        <f>Table1[[#This Row],[TA 2 - Q1 Score]]+Table1[[#This Row],[TA 2 - Q2 Score]]+Table1[[#This Row],[TA 2 - Q3 Score]]</f>
        <v/>
      </c>
      <c r="S511">
        <f>Table1[[#This Row],[TA 2 - Q1 Bonus]]+Table1[[#This Row],[TA 2 - Q2 Bonus]]+Table1[[#This Row],[TA 2 - Q4 Bonus]]</f>
        <v/>
      </c>
      <c r="T511">
        <f>(Table1[[#This Row],[TA 1 - Total Score (out of 35)]]+Table1[[#This Row],[TA 2 - Total Score (out of 35)]])/2</f>
        <v/>
      </c>
      <c r="U511">
        <f>(Table1[[#This Row],[TA 1 - Total Bonus (out of 13)]]+Table1[[#This Row],[TA 2 - Total Bonus (out of 13)]])/2</f>
        <v/>
      </c>
      <c r="V511">
        <f>Table1[[#This Row],[Average Questions]]/35*20+Table1[[#This Row],[Average Bonus]]/13*5</f>
        <v/>
      </c>
      <c r="W511" t="n">
        <v>10.5</v>
      </c>
      <c r="X511" t="n">
        <v>1</v>
      </c>
      <c r="Y511" t="inlineStr">
        <is>
          <t>The student completed most tasks correctly. The data loading and preparation were accurate, including the necessary transformations and DataLoader creation. Sample images were displayed correctly. The pretrained EfficientNetV2-Small model was loaded and adapted properly, with the backbone frozen and the classifier head replaced. The training and validation loops were implemented correctly, with label adjustments made. Training and validation losses and accuracies were plotted. For the bonus task, the student attempted TTA but only used horizontal flipping, missing vertical flipping. The averaging of predictions was done correctly.</t>
        </is>
      </c>
      <c r="Z511" t="n">
        <v>8.5</v>
      </c>
      <c r="AA511" t="n">
        <v>1</v>
      </c>
      <c r="AB511" t="inlineStr">
        <is>
          <t>The student successfully loaded and prepared the data with correct transformations and displayed sample images. The CNN model was built with 5 convolutional layers and batch normalization, earning full marks for these tasks. However, the training and validation functions had minor issues with calculating average loss and accuracy. The model was trained and plotted correctly, but only for 2 epochs instead of 10. In the bonus part, the student correctly implemented a residual connection and retrained the model, plotting the losses and accuracies.</t>
        </is>
      </c>
      <c r="AC511" t="n">
        <v>6</v>
      </c>
      <c r="AD511" t="inlineStr">
        <is>
          <t>The student partially completed the tasks. The dataset class was implemented with minor issues, and the DataLoader creation was correct. However, the display of sample images and masks was incomplete. The model class used the correct encoder but had some incomplete code. The training and validation loops were mostly correct but lacked proper handling of mask dimensions. The training process defined the loss and optimizer correctly but did not plot the loss curve. Visualization of predictions was attempted but had issues with mask visualization.</t>
        </is>
      </c>
      <c r="AE511" t="n">
        <v>0</v>
      </c>
      <c r="AF511" t="n">
        <v>5</v>
      </c>
      <c r="AG511" t="inlineStr">
        <is>
          <t>The student's implementation of the ColorizationDataset class is correct and runs perfectly. The __init__, __len__, rgb_to_grayscale, and __getitem__ methods are all implemented accurately, and the visualization step correctly displays the grayscale and color images. The code adheres to the guidelines and does not contain any syntax or logical errors.</t>
        </is>
      </c>
      <c r="AH511" t="n">
        <v>25</v>
      </c>
      <c r="AI511" t="n">
        <v>7</v>
      </c>
    </row>
    <row r="512">
      <c r="A512" t="n">
        <v>511</v>
      </c>
      <c r="B512" t="inlineStr">
        <is>
          <t>TA_10</t>
        </is>
      </c>
      <c r="C512" t="inlineStr">
        <is>
          <t>TA_20</t>
        </is>
      </c>
      <c r="D512" t="n">
        <v>5.75</v>
      </c>
      <c r="E512" t="n">
        <v>0</v>
      </c>
      <c r="F512" t="n">
        <v>8</v>
      </c>
      <c r="G512" t="n">
        <v>0</v>
      </c>
      <c r="H512" t="n">
        <v>10</v>
      </c>
      <c r="I512" t="n">
        <v>0</v>
      </c>
      <c r="J512" t="n">
        <v>6</v>
      </c>
      <c r="K512" t="n">
        <v>0</v>
      </c>
      <c r="L512" t="n">
        <v>8</v>
      </c>
      <c r="M512" t="n">
        <v>0</v>
      </c>
      <c r="N512" t="n">
        <v>10.75</v>
      </c>
      <c r="O512" t="n">
        <v>0</v>
      </c>
      <c r="P512">
        <f>Table1[[#This Row],[TA 1 - Q1 Score]]+Table1[[#This Row],[TA 1 - Q2 Score]]+Table1[[#This Row],[TA 1 - Q3 Score]]</f>
        <v/>
      </c>
      <c r="Q512">
        <f>Table1[[#This Row],[TA 1 - Q1 Bonus]]+Table1[[#This Row],[TA 1 - Q2 Bonus]]+Table1[[#This Row],[TA 1 - Q4 Bonus]]</f>
        <v/>
      </c>
      <c r="R512">
        <f>Table1[[#This Row],[TA 2 - Q1 Score]]+Table1[[#This Row],[TA 2 - Q2 Score]]+Table1[[#This Row],[TA 2 - Q3 Score]]</f>
        <v/>
      </c>
      <c r="S512">
        <f>Table1[[#This Row],[TA 2 - Q1 Bonus]]+Table1[[#This Row],[TA 2 - Q2 Bonus]]+Table1[[#This Row],[TA 2 - Q4 Bonus]]</f>
        <v/>
      </c>
      <c r="T512">
        <f>(Table1[[#This Row],[TA 1 - Total Score (out of 35)]]+Table1[[#This Row],[TA 2 - Total Score (out of 35)]])/2</f>
        <v/>
      </c>
      <c r="U512">
        <f>(Table1[[#This Row],[TA 1 - Total Bonus (out of 13)]]+Table1[[#This Row],[TA 2 - Total Bonus (out of 13)]])/2</f>
        <v/>
      </c>
      <c r="V512">
        <f>Table1[[#This Row],[Average Questions]]/35*20+Table1[[#This Row],[Average Bonus]]/13*5</f>
        <v/>
      </c>
      <c r="W512" t="n">
        <v>7</v>
      </c>
      <c r="X512" t="n">
        <v>0</v>
      </c>
      <c r="Y512" t="inlineStr">
        <is>
          <t>The student completed most tasks with minor issues. Transforms were correctly defined, but the number of classes was incorrectly set to 25 instead of 26. DataLoaders were created with different batch sizes, and sample images were displayed correctly. The model was loaded and adapted properly, but all parameters were unfrozen instead of just the backbone. Training and validation loops were implemented with a minor mistake in not adjusting labels. The bonus task was not attempted.</t>
        </is>
      </c>
      <c r="Z512" t="n">
        <v>7</v>
      </c>
      <c r="AA512" t="n">
        <v>0</v>
      </c>
      <c r="AB512" t="inlineStr">
        <is>
          <t>The student successfully loaded and prepared the data with the correct transformations, including resizing to 32x32 and random rotation. However, the CNN model has fewer convolutional layers than required (only 5 instead of 5 as specified, but with different channel sizes). The training and validation functions are mostly correct but include unnecessary softmax calls. The model training and plotting sections are complete and functional.</t>
        </is>
      </c>
      <c r="AC512" t="n">
        <v>4</v>
      </c>
      <c r="AD512" t="inlineStr">
        <is>
          <t>The student partially completed the tasks with some syntax and logical errors. The dataset class is mostly correct but has issues with mask transformation. DataLoaders are correctly implemented, and sample images and masks are displayed. The model class uses the wrong number of classes (1 instead of 8). Training and validation loops are attempted but contain errors in handling masks and loss computation. The loss and optimizer are defined incorrectly, and the training loop does not run as intended. Visualization of predictions is attempted but fails due to incorrect handling of model outputs.</t>
        </is>
      </c>
      <c r="AE512" t="n">
        <v>0</v>
      </c>
      <c r="AF512" t="n">
        <v>0</v>
      </c>
      <c r="AG512" t="inlineStr">
        <is>
          <t>No submission found.</t>
        </is>
      </c>
      <c r="AH512" t="n">
        <v>18</v>
      </c>
      <c r="AI512" t="n">
        <v>0</v>
      </c>
    </row>
    <row r="513">
      <c r="A513" t="n">
        <v>512</v>
      </c>
      <c r="B513" t="inlineStr">
        <is>
          <t>TA_10</t>
        </is>
      </c>
      <c r="C513" t="inlineStr">
        <is>
          <t>TA_20</t>
        </is>
      </c>
      <c r="D513" t="n">
        <v>10.5</v>
      </c>
      <c r="E513" t="n">
        <v>0</v>
      </c>
      <c r="F513" t="n">
        <v>11</v>
      </c>
      <c r="G513" t="n">
        <v>0</v>
      </c>
      <c r="H513" t="n">
        <v>12</v>
      </c>
      <c r="I513" t="n">
        <v>0</v>
      </c>
      <c r="J513" t="n">
        <v>11</v>
      </c>
      <c r="K513" t="n">
        <v>4</v>
      </c>
      <c r="L513" t="n">
        <v>11</v>
      </c>
      <c r="M513" t="n">
        <v>0</v>
      </c>
      <c r="N513" t="n">
        <v>12</v>
      </c>
      <c r="O513" t="n">
        <v>0</v>
      </c>
      <c r="P513">
        <f>Table1[[#This Row],[TA 1 - Q1 Score]]+Table1[[#This Row],[TA 1 - Q2 Score]]+Table1[[#This Row],[TA 1 - Q3 Score]]</f>
        <v/>
      </c>
      <c r="Q513">
        <f>Table1[[#This Row],[TA 1 - Q1 Bonus]]+Table1[[#This Row],[TA 1 - Q2 Bonus]]+Table1[[#This Row],[TA 1 - Q4 Bonus]]</f>
        <v/>
      </c>
      <c r="R513">
        <f>Table1[[#This Row],[TA 2 - Q1 Score]]+Table1[[#This Row],[TA 2 - Q2 Score]]+Table1[[#This Row],[TA 2 - Q3 Score]]</f>
        <v/>
      </c>
      <c r="S513">
        <f>Table1[[#This Row],[TA 2 - Q1 Bonus]]+Table1[[#This Row],[TA 2 - Q2 Bonus]]+Table1[[#This Row],[TA 2 - Q4 Bonus]]</f>
        <v/>
      </c>
      <c r="T513">
        <f>(Table1[[#This Row],[TA 1 - Total Score (out of 35)]]+Table1[[#This Row],[TA 2 - Total Score (out of 35)]])/2</f>
        <v/>
      </c>
      <c r="U513">
        <f>(Table1[[#This Row],[TA 1 - Total Bonus (out of 13)]]+Table1[[#This Row],[TA 2 - Total Bonus (out of 13)]])/2</f>
        <v/>
      </c>
      <c r="V513">
        <f>Table1[[#This Row],[Average Questions]]/35*20+Table1[[#This Row],[Average Bonus]]/13*5</f>
        <v/>
      </c>
      <c r="W513" t="n">
        <v>7</v>
      </c>
      <c r="X513" t="n">
        <v>0</v>
      </c>
      <c r="Y513" t="inlineStr">
        <is>
          <t>The student completed most tasks with minor issues. The data loading and preparation were mostly correct, though the validation DataLoader was incorrectly set to shuffle. The model loading and adaptation were accurate, but the training and validation loops had logical errors in accuracy calculation. The TTA implementation was incorrect and did not follow the required steps.</t>
        </is>
      </c>
      <c r="Z513" t="n">
        <v>5</v>
      </c>
      <c r="AA513" t="n">
        <v>0</v>
      </c>
      <c r="AB513" t="inlineStr">
        <is>
          <t>The student partially completed the tasks. They correctly set up the dataset with transformations and displayed sample images, earning full marks for Part 1. However, the CNN model had incorrect architecture and parameters, particularly in the number of output classes and fully connected layer dimensions, resulting in partial credit. The training and validation loops were mostly correct but included unnecessary softmax operations, leading to partial credit. The bonus task was not attempted.</t>
        </is>
      </c>
      <c r="AC513" t="n">
        <v>8.5</v>
      </c>
      <c r="AD513" t="inlineStr">
        <is>
          <t>The student's submission includes most of the required tasks with minor issues. The dataset class is correctly implemented, and the DataLoaders are set up properly. However, the image and mask resizing dimensions are smaller than specified in the reference solution, which may affect performance. The model class uses the correct architecture but with a different encoder size (efficientnet-b1 instead of efficientnet-b0). The training and validation loops are implemented correctly, and the loss and optimizer are defined appropriately. The training process runs for fewer epochs than specified, but the code is functional. The visualization of predictions is mostly correct, though the masks are displayed in grayscale instead of using a colormap that distinguishes between classes.</t>
        </is>
      </c>
      <c r="AE513" t="n">
        <v>0</v>
      </c>
      <c r="AF513" t="n">
        <v>0</v>
      </c>
      <c r="AG513" t="inlineStr">
        <is>
          <t>The student's implementation contains multiple errors and does not follow the required structure. The `ColorizationDataset` class is incorrectly defined, with missing return statements and incorrect method calls. The `__len__` method does not return the length of the dataset, and the `rgb_to_grayscale` method incorrectly uses a custom transform class instead of implementing the conversion formula directly. Additionally, the `__getitem__` method has incorrect logic for retrieving and converting images. The visualization and DataLoader tests also fail due to these issues.</t>
        </is>
      </c>
      <c r="AH513" t="n">
        <v>20.5</v>
      </c>
      <c r="AI513" t="n">
        <v>0</v>
      </c>
    </row>
    <row r="514">
      <c r="A514" t="n">
        <v>513</v>
      </c>
      <c r="B514" t="inlineStr">
        <is>
          <t>TA_10</t>
        </is>
      </c>
      <c r="C514" t="inlineStr">
        <is>
          <t>TA_20</t>
        </is>
      </c>
      <c r="D514" t="n">
        <v>11.25</v>
      </c>
      <c r="E514" t="n">
        <v>0</v>
      </c>
      <c r="F514" t="n">
        <v>7</v>
      </c>
      <c r="G514" t="n">
        <v>0</v>
      </c>
      <c r="H514" t="n">
        <v>12</v>
      </c>
      <c r="I514" t="n">
        <v>0</v>
      </c>
      <c r="J514" t="n">
        <v>12</v>
      </c>
      <c r="K514" t="n">
        <v>0</v>
      </c>
      <c r="L514" t="n">
        <v>7.25</v>
      </c>
      <c r="M514" t="n">
        <v>0</v>
      </c>
      <c r="N514" t="n">
        <v>11</v>
      </c>
      <c r="O514" t="n">
        <v>0</v>
      </c>
      <c r="P514">
        <f>Table1[[#This Row],[TA 1 - Q1 Score]]+Table1[[#This Row],[TA 1 - Q2 Score]]+Table1[[#This Row],[TA 1 - Q3 Score]]</f>
        <v/>
      </c>
      <c r="Q514">
        <f>Table1[[#This Row],[TA 1 - Q1 Bonus]]+Table1[[#This Row],[TA 1 - Q2 Bonus]]+Table1[[#This Row],[TA 1 - Q4 Bonus]]</f>
        <v/>
      </c>
      <c r="R514">
        <f>Table1[[#This Row],[TA 2 - Q1 Score]]+Table1[[#This Row],[TA 2 - Q2 Score]]+Table1[[#This Row],[TA 2 - Q3 Score]]</f>
        <v/>
      </c>
      <c r="S514">
        <f>Table1[[#This Row],[TA 2 - Q1 Bonus]]+Table1[[#This Row],[TA 2 - Q2 Bonus]]+Table1[[#This Row],[TA 2 - Q4 Bonus]]</f>
        <v/>
      </c>
      <c r="T514">
        <f>(Table1[[#This Row],[TA 1 - Total Score (out of 35)]]+Table1[[#This Row],[TA 2 - Total Score (out of 35)]])/2</f>
        <v/>
      </c>
      <c r="U514">
        <f>(Table1[[#This Row],[TA 1 - Total Bonus (out of 13)]]+Table1[[#This Row],[TA 2 - Total Bonus (out of 13)]])/2</f>
        <v/>
      </c>
      <c r="V514">
        <f>Table1[[#This Row],[Average Questions]]/35*20+Table1[[#This Row],[Average Bonus]]/13*5</f>
        <v/>
      </c>
      <c r="W514" t="n">
        <v>8.5</v>
      </c>
      <c r="X514" t="n">
        <v>0</v>
      </c>
      <c r="Y514" t="inlineStr">
        <is>
          <t>The student completed most tasks correctly, including defining transforms, creating DataLoaders, displaying sample images, loading and adapting the pretrained model, and implementing training and validation loops. However, there were minor issues such as using a batch size of 32 instead of 64 for DataLoaders, and the test DataLoader was incorrectly set to shuffle. The student also did not attempt the bonus task for Test Time Augmentation.</t>
        </is>
      </c>
      <c r="Z514" t="n">
        <v>5</v>
      </c>
      <c r="AA514" t="n">
        <v>0</v>
      </c>
      <c r="AB514" t="inlineStr">
        <is>
          <t>The student partially completed the tasks. They correctly set up the dataset paths and transformations, but used the same directory for both training and testing datasets, which is incorrect. The model architecture deviated significantly from the required 5 convolutional layers with batch normalization, instead implementing a more complex AlexNet-like model. The training and validation loops were implemented correctly, but the model was not trained for the required number of epochs. No bonus tasks were attempted.</t>
        </is>
      </c>
      <c r="AC514" t="n">
        <v>8</v>
      </c>
      <c r="AD514" t="inlineStr">
        <is>
          <t>The student's submission contains mostly correct code with minor issues. Task 1 is mostly complete with a small mistake in the DataLoader creation where both loaders use the train dataset instead of the test dataset for the test loader. Task 2 correctly defines the U-Net model with the specified encoder. Task 3 includes correct training and validation loops. Task 4 defines the loss and optimizer correctly but trains for only 5 epochs instead of 10. Task 5 visualizes predictions correctly. Overall, the code runs and attempts all tasks with some minor errors.</t>
        </is>
      </c>
      <c r="AE514" t="n">
        <v>0</v>
      </c>
      <c r="AF514" t="n">
        <v>0</v>
      </c>
      <c r="AG514" t="inlineStr">
        <is>
          <t>No submission found.</t>
        </is>
      </c>
      <c r="AH514" t="n">
        <v>21.5</v>
      </c>
      <c r="AI514" t="n">
        <v>0</v>
      </c>
    </row>
    <row r="515">
      <c r="A515" t="n">
        <v>514</v>
      </c>
      <c r="B515" t="inlineStr">
        <is>
          <t>TA_10</t>
        </is>
      </c>
      <c r="C515" t="inlineStr">
        <is>
          <t>TA_20</t>
        </is>
      </c>
      <c r="D515" t="n">
        <v>12</v>
      </c>
      <c r="E515" t="n">
        <v>3.5</v>
      </c>
      <c r="F515" t="n">
        <v>10.25</v>
      </c>
      <c r="G515" t="n">
        <v>2.5</v>
      </c>
      <c r="H515" t="n">
        <v>12</v>
      </c>
      <c r="I515" t="n">
        <v>5</v>
      </c>
      <c r="J515" t="n">
        <v>12</v>
      </c>
      <c r="K515" t="n">
        <v>4</v>
      </c>
      <c r="L515" t="n">
        <v>11</v>
      </c>
      <c r="M515" t="n">
        <v>4</v>
      </c>
      <c r="N515" t="n">
        <v>12</v>
      </c>
      <c r="O515" t="n">
        <v>5</v>
      </c>
      <c r="P515">
        <f>Table1[[#This Row],[TA 1 - Q1 Score]]+Table1[[#This Row],[TA 1 - Q2 Score]]+Table1[[#This Row],[TA 1 - Q3 Score]]</f>
        <v/>
      </c>
      <c r="Q515">
        <f>Table1[[#This Row],[TA 1 - Q1 Bonus]]+Table1[[#This Row],[TA 1 - Q2 Bonus]]+Table1[[#This Row],[TA 1 - Q4 Bonus]]</f>
        <v/>
      </c>
      <c r="R515">
        <f>Table1[[#This Row],[TA 2 - Q1 Score]]+Table1[[#This Row],[TA 2 - Q2 Score]]+Table1[[#This Row],[TA 2 - Q3 Score]]</f>
        <v/>
      </c>
      <c r="S515">
        <f>Table1[[#This Row],[TA 2 - Q1 Bonus]]+Table1[[#This Row],[TA 2 - Q2 Bonus]]+Table1[[#This Row],[TA 2 - Q4 Bonus]]</f>
        <v/>
      </c>
      <c r="T515">
        <f>(Table1[[#This Row],[TA 1 - Total Score (out of 35)]]+Table1[[#This Row],[TA 2 - Total Score (out of 35)]])/2</f>
        <v/>
      </c>
      <c r="U515">
        <f>(Table1[[#This Row],[TA 1 - Total Bonus (out of 13)]]+Table1[[#This Row],[TA 2 - Total Bonus (out of 13)]])/2</f>
        <v/>
      </c>
      <c r="V515">
        <f>Table1[[#This Row],[Average Questions]]/35*20+Table1[[#This Row],[Average Bonus]]/13*5</f>
        <v/>
      </c>
      <c r="W515" t="n">
        <v>8.5</v>
      </c>
      <c r="X515" t="n">
        <v>0</v>
      </c>
      <c r="Y515" t="inlineStr">
        <is>
          <t>The student completed most tasks correctly but made several minor mistakes. In Part 1, the DataLoader batch size was set to 512, which might cause issues if the GPU memory is insufficient. In Part 2, the student froze all model parameters instead of just the backbone. In Part 5, the student incorrectly averaged the vertical flip predictions twice instead of averaging all three predictions. These mistakes resulted in partial credit for each affected task.</t>
        </is>
      </c>
      <c r="Z515" t="n">
        <v>8.5</v>
      </c>
      <c r="AA515" t="n">
        <v>1</v>
      </c>
      <c r="AB515" t="inlineStr">
        <is>
          <t>The student successfully loaded and prepared the data with correct transformations and displayed sample images. The CNN model was built with five convolutional layers and batch normalization, though the fully connected layer dimensions were slightly off. Training and validation functions were implemented correctly, and the model trained and plotted losses and accuracies. For the bonus task, the student added a residual connection but used an incorrect number of epochs and had minor issues with the final plotting.</t>
        </is>
      </c>
      <c r="AC515" t="n">
        <v>8</v>
      </c>
      <c r="AD515" t="inlineStr">
        <is>
          <t>The student's submission includes most of the required tasks with some minor issues. Task 1 is partially completed with a functional dataset class and dataloaders, but the initial exploration cells are incomplete. Task 2 correctly defines the U-Net model with the specified encoder. Task 3 includes training and validation loops with minor syntax issues. Task 4 defines the loss and optimizer, trains the model, prints losses, and plots the loss curve. Task 5 visualizes predictions but uses a different number of samples and has a minor issue with the mask display.</t>
        </is>
      </c>
      <c r="AE515" t="n">
        <v>0</v>
      </c>
      <c r="AF515" t="n">
        <v>5</v>
      </c>
      <c r="AG515" t="inlineStr">
        <is>
          <t>The student's implementation of the ColorizationDataset class is correct and runs perfectly, producing the expected output and following the optimal logic. The code includes all required methods (__init__, __len__, rgb_to_grayscale, __getitem__) and provides correct visualizations. No mistakes were found in the implementation.</t>
        </is>
      </c>
      <c r="AH515" t="n">
        <v>25</v>
      </c>
      <c r="AI515" t="n">
        <v>6</v>
      </c>
    </row>
    <row r="516">
      <c r="A516" t="n">
        <v>515</v>
      </c>
      <c r="B516" t="inlineStr">
        <is>
          <t>TA_10</t>
        </is>
      </c>
      <c r="C516" t="inlineStr">
        <is>
          <t>TA_20</t>
        </is>
      </c>
      <c r="D516" t="n">
        <v>2.5</v>
      </c>
      <c r="E516" t="n">
        <v>0</v>
      </c>
      <c r="F516" t="n">
        <v>7.5</v>
      </c>
      <c r="G516" t="n">
        <v>1.5</v>
      </c>
      <c r="H516" t="n">
        <v>5.75</v>
      </c>
      <c r="I516" t="n">
        <v>0</v>
      </c>
      <c r="J516" t="n">
        <v>2.25</v>
      </c>
      <c r="K516" t="n">
        <v>0</v>
      </c>
      <c r="L516" t="n">
        <v>8</v>
      </c>
      <c r="M516" t="n">
        <v>0</v>
      </c>
      <c r="N516" t="n">
        <v>5.75</v>
      </c>
      <c r="O516" t="n">
        <v>0</v>
      </c>
      <c r="P516">
        <f>Table1[[#This Row],[TA 1 - Q1 Score]]+Table1[[#This Row],[TA 1 - Q2 Score]]+Table1[[#This Row],[TA 1 - Q3 Score]]</f>
        <v/>
      </c>
      <c r="Q516">
        <f>Table1[[#This Row],[TA 1 - Q1 Bonus]]+Table1[[#This Row],[TA 1 - Q2 Bonus]]+Table1[[#This Row],[TA 1 - Q4 Bonus]]</f>
        <v/>
      </c>
      <c r="R516">
        <f>Table1[[#This Row],[TA 2 - Q1 Score]]+Table1[[#This Row],[TA 2 - Q2 Score]]+Table1[[#This Row],[TA 2 - Q3 Score]]</f>
        <v/>
      </c>
      <c r="S516">
        <f>Table1[[#This Row],[TA 2 - Q1 Bonus]]+Table1[[#This Row],[TA 2 - Q2 Bonus]]+Table1[[#This Row],[TA 2 - Q4 Bonus]]</f>
        <v/>
      </c>
      <c r="T516">
        <f>(Table1[[#This Row],[TA 1 - Total Score (out of 35)]]+Table1[[#This Row],[TA 2 - Total Score (out of 35)]])/2</f>
        <v/>
      </c>
      <c r="U516">
        <f>(Table1[[#This Row],[TA 1 - Total Bonus (out of 13)]]+Table1[[#This Row],[TA 2 - Total Bonus (out of 13)]])/2</f>
        <v/>
      </c>
      <c r="V516">
        <f>Table1[[#This Row],[Average Questions]]/35*20+Table1[[#This Row],[Average Bonus]]/13*5</f>
        <v/>
      </c>
      <c r="W516" t="n">
        <v>4</v>
      </c>
      <c r="X516" t="n">
        <v>0</v>
      </c>
      <c r="Y516" t="inlineStr">
        <is>
          <t>The student partially completed several tasks but made significant errors. The data loading and preparation section had issues with the target transformations and incorrect dataset splits. The model loading and adaptation were mostly correct but used the wrong model name. The training and validation loops contained errors in handling outputs and labels. No bonus task was attempted.</t>
        </is>
      </c>
      <c r="Z516" t="n">
        <v>7</v>
      </c>
      <c r="AA516" t="n">
        <v>0</v>
      </c>
      <c r="AB516" t="inlineStr">
        <is>
          <t>The student successfully loaded and prepared the data with the correct transformations and displayed sample images. However, the CNN model had incorrect layer definitions and lacked batch normalization. The training and validation functions were mostly correct but included unnecessary softmax operations. The bonus task was not completed as the residual connection was incorrectly implemented and the model was not retrained.</t>
        </is>
      </c>
      <c r="AC516" t="n">
        <v>5</v>
      </c>
      <c r="AD516" t="inlineStr">
        <is>
          <t>The student's submission contains several issues. In Task 1, the dataset class is partially correct but has a typo in the mask transformation method name. The DataLoader creation is mostly correct but uses a batch size of 16, which is not specified in the guidelines. Task 2 defines the model correctly but uses 'efficientnet-b1' instead of 'efficientnet-b0'. Task 3 has incorrect training and validation loops, using BCEWithLogitsLoss and float masks, which are inappropriate for multi-class segmentation. Task 4 defines the loss and optimizer incorrectly and does not plot the loss curve. Task 5 visualizes predictions but uses a binary threshold, which is not suitable for multi-class segmentation.</t>
        </is>
      </c>
      <c r="AE516" t="n">
        <v>0</v>
      </c>
      <c r="AF516" t="n">
        <v>0</v>
      </c>
      <c r="AG516" t="inlineStr">
        <is>
          <t>No submission found.</t>
        </is>
      </c>
      <c r="AH516" t="n">
        <v>16</v>
      </c>
      <c r="AI516" t="n">
        <v>0</v>
      </c>
    </row>
    <row r="517">
      <c r="A517" t="n">
        <v>516</v>
      </c>
      <c r="B517" t="inlineStr">
        <is>
          <t>TA_10</t>
        </is>
      </c>
      <c r="C517" t="inlineStr">
        <is>
          <t>TA_20</t>
        </is>
      </c>
      <c r="D517" t="n">
        <v>6.25</v>
      </c>
      <c r="E517" t="n">
        <v>0</v>
      </c>
      <c r="F517" t="n">
        <v>8</v>
      </c>
      <c r="G517" t="n">
        <v>0</v>
      </c>
      <c r="H517" t="n">
        <v>11.75</v>
      </c>
      <c r="I517" t="n">
        <v>0</v>
      </c>
      <c r="J517" t="n">
        <v>7.5</v>
      </c>
      <c r="K517" t="n">
        <v>0</v>
      </c>
      <c r="L517" t="n">
        <v>8.5</v>
      </c>
      <c r="M517" t="n">
        <v>0</v>
      </c>
      <c r="N517" t="n">
        <v>12</v>
      </c>
      <c r="O517" t="n">
        <v>0</v>
      </c>
      <c r="P517">
        <f>Table1[[#This Row],[TA 1 - Q1 Score]]+Table1[[#This Row],[TA 1 - Q2 Score]]+Table1[[#This Row],[TA 1 - Q3 Score]]</f>
        <v/>
      </c>
      <c r="Q517">
        <f>Table1[[#This Row],[TA 1 - Q1 Bonus]]+Table1[[#This Row],[TA 1 - Q2 Bonus]]+Table1[[#This Row],[TA 1 - Q4 Bonus]]</f>
        <v/>
      </c>
      <c r="R517">
        <f>Table1[[#This Row],[TA 2 - Q1 Score]]+Table1[[#This Row],[TA 2 - Q2 Score]]+Table1[[#This Row],[TA 2 - Q3 Score]]</f>
        <v/>
      </c>
      <c r="S517">
        <f>Table1[[#This Row],[TA 2 - Q1 Bonus]]+Table1[[#This Row],[TA 2 - Q2 Bonus]]+Table1[[#This Row],[TA 2 - Q4 Bonus]]</f>
        <v/>
      </c>
      <c r="T517">
        <f>(Table1[[#This Row],[TA 1 - Total Score (out of 35)]]+Table1[[#This Row],[TA 2 - Total Score (out of 35)]])/2</f>
        <v/>
      </c>
      <c r="U517">
        <f>(Table1[[#This Row],[TA 1 - Total Bonus (out of 13)]]+Table1[[#This Row],[TA 2 - Total Bonus (out of 13)]])/2</f>
        <v/>
      </c>
      <c r="V517">
        <f>Table1[[#This Row],[Average Questions]]/35*20+Table1[[#This Row],[Average Bonus]]/13*5</f>
        <v/>
      </c>
      <c r="W517" t="n">
        <v>5</v>
      </c>
      <c r="X517" t="n">
        <v>0</v>
      </c>
      <c r="Y517" t="inlineStr">
        <is>
          <t>The student partially completed the tasks with some syntax and logical errors. The data loading and preparation section had incorrect resizing dimensions and missing label adjustments. The model setup used the correct model but incorrectly froze all layers instead of just the backbone. The training and validation loops were implemented but did not adjust labels correctly. The bonus task was not completed correctly, with improper handling of test-time augmentation.</t>
        </is>
      </c>
      <c r="Z517" t="n">
        <v>8</v>
      </c>
      <c r="AA517" t="n">
        <v>0</v>
      </c>
      <c r="AB517" t="inlineStr">
        <is>
          <t>The student implemented a custom dataset class and used the correct transformations, including RandomRotation and resizing to 32x32. Sample images were displayed with labels. The CNN model has 5 convolutional layers, but the number of channels and fully connected layer sizes differ from the reference solution. Batch normalization was not added. Training and validation loops were implemented correctly, and the model was trained and plotted. The bonus task was not completed.</t>
        </is>
      </c>
      <c r="AC517" t="n">
        <v>8</v>
      </c>
      <c r="AD517" t="inlineStr">
        <is>
          <t>The student's submission contains mostly correct code with minor issues. Task 1 is partially correct due to resizing images to 32x32 instead of 256x256, which may affect model performance. Task 2 is fully correct with the correct model definition. Task 3 is mostly correct with minor syntax issues. Task 4 is mostly correct with the correct loss and optimizer setup, but the learning rate is set to 1e-4 instead of 0.001. Task 5 is mostly correct with minor issues in visualization setup.</t>
        </is>
      </c>
      <c r="AE517" t="n">
        <v>0</v>
      </c>
      <c r="AF517" t="n">
        <v>0</v>
      </c>
      <c r="AG517" t="inlineStr">
        <is>
          <t>The student's implementation contains multiple errors and incomplete code. The `__init__` method incorrectly initializes the dataset using `datasets.ColorizationDataset()`, which does not exist. The `__len__` method also references `self.base` instead of the correct `self.dataset`. The `rgb_to_grayscale` method is not implemented and contains a `pass` statement. The `__getitem__` method incorrectly references `R`, `G`, and `B` without defining them and returns a dictionary instead of a tuple. These issues prevent the code from running correctly.</t>
        </is>
      </c>
      <c r="AH517" t="n">
        <v>21</v>
      </c>
      <c r="AI517" t="n">
        <v>0</v>
      </c>
    </row>
    <row r="518">
      <c r="A518" t="n">
        <v>517</v>
      </c>
      <c r="B518" t="inlineStr">
        <is>
          <t>TA_10</t>
        </is>
      </c>
      <c r="C518" t="inlineStr">
        <is>
          <t>TA_20</t>
        </is>
      </c>
      <c r="D518" t="n">
        <v>4.75</v>
      </c>
      <c r="E518" t="n">
        <v>0</v>
      </c>
      <c r="F518" t="n">
        <v>7.45</v>
      </c>
      <c r="G518" t="n">
        <v>0</v>
      </c>
      <c r="H518" t="n">
        <v>10.5</v>
      </c>
      <c r="I518" t="n">
        <v>0</v>
      </c>
      <c r="J518" t="n">
        <v>5.5</v>
      </c>
      <c r="K518" t="n">
        <v>0</v>
      </c>
      <c r="L518" t="n">
        <v>6.25</v>
      </c>
      <c r="M518" t="n">
        <v>0</v>
      </c>
      <c r="N518" t="n">
        <v>11.25</v>
      </c>
      <c r="O518" t="n">
        <v>0</v>
      </c>
      <c r="P518">
        <f>Table1[[#This Row],[TA 1 - Q1 Score]]+Table1[[#This Row],[TA 1 - Q2 Score]]+Table1[[#This Row],[TA 1 - Q3 Score]]</f>
        <v/>
      </c>
      <c r="Q518">
        <f>Table1[[#This Row],[TA 1 - Q1 Bonus]]+Table1[[#This Row],[TA 1 - Q2 Bonus]]+Table1[[#This Row],[TA 1 - Q4 Bonus]]</f>
        <v/>
      </c>
      <c r="R518">
        <f>Table1[[#This Row],[TA 2 - Q1 Score]]+Table1[[#This Row],[TA 2 - Q2 Score]]+Table1[[#This Row],[TA 2 - Q3 Score]]</f>
        <v/>
      </c>
      <c r="S518">
        <f>Table1[[#This Row],[TA 2 - Q1 Bonus]]+Table1[[#This Row],[TA 2 - Q2 Bonus]]+Table1[[#This Row],[TA 2 - Q4 Bonus]]</f>
        <v/>
      </c>
      <c r="T518">
        <f>(Table1[[#This Row],[TA 1 - Total Score (out of 35)]]+Table1[[#This Row],[TA 2 - Total Score (out of 35)]])/2</f>
        <v/>
      </c>
      <c r="U518">
        <f>(Table1[[#This Row],[TA 1 - Total Bonus (out of 13)]]+Table1[[#This Row],[TA 2 - Total Bonus (out of 13)]])/2</f>
        <v/>
      </c>
      <c r="V518">
        <f>Table1[[#This Row],[Average Questions]]/35*20+Table1[[#This Row],[Average Bonus]]/13*5</f>
        <v/>
      </c>
      <c r="W518" t="n">
        <v>5</v>
      </c>
      <c r="X518" t="n">
        <v>0</v>
      </c>
      <c r="Y518" t="inlineStr">
        <is>
          <t>The student completed the data loading and transformation tasks correctly, including resizing, converting to tensor, and normalizing the images. However, the student did not display sample images, resulting in a deduction. In part 2, the student loaded the EfficientNetV2-Small model but failed to freeze the backbone and replace the classifier head correctly. The training and validation loops were implemented but did not adjust the labels to be 0-indexed, leading to a penalty. The student did not attempt the bonus task for test time augmentation.</t>
        </is>
      </c>
      <c r="Z518" t="n">
        <v>6</v>
      </c>
      <c r="AA518" t="n">
        <v>0</v>
      </c>
      <c r="AB518" t="inlineStr">
        <is>
          <t>The student partially completed the tasks. They implemented a custom dataset class and used ImageFolder, created DataLoaders, and displayed sample images with labels. However, the transformations were incorrect as they resized images to 32x32 instead of 128x128 and did not apply RandomRotation. The CNN model had only 3 convolutional layers instead of 5, and Batch Normalization was not added. The training and validation loops were correctly implemented, and the model was trained and plotted. The bonus task was not attempted.</t>
        </is>
      </c>
      <c r="AC518" t="n">
        <v>4</v>
      </c>
      <c r="AD518" t="inlineStr">
        <is>
          <t>The student partially completed Task 1 by creating a custom dataset class and DataLoaders, but made mistakes in the mask transformation and did not display sample images and masks correctly. Task 2 was incomplete due to using a binary segmentation model instead of a multi-class one. Task 3 was not attempted. Task 4 had issues with the loss function and optimizer, and the training loop did not run correctly. Task 5 was partially completed with visualization issues.</t>
        </is>
      </c>
      <c r="AE518" t="n">
        <v>0</v>
      </c>
      <c r="AF518" t="n">
        <v>0</v>
      </c>
      <c r="AG518" t="inlineStr">
        <is>
          <t>The student's implementation is incorrect and does not follow the required structure. The `ColorizationDataset` class is incorrectly initialized with unnecessary parameters and methods. The `rgb_to_grayscale` method is incomplete and incorrectly implemented. The `__getitem__` method is not properly defined to return the required (grayscale, color) tuple. The code does not run as intended and fails to produce the correct output.</t>
        </is>
      </c>
      <c r="AH518" t="n">
        <v>15</v>
      </c>
      <c r="AI518" t="n">
        <v>0</v>
      </c>
    </row>
    <row r="519">
      <c r="A519" t="n">
        <v>518</v>
      </c>
      <c r="B519" t="inlineStr">
        <is>
          <t>TA_10</t>
        </is>
      </c>
      <c r="C519" t="inlineStr">
        <is>
          <t>TA_20</t>
        </is>
      </c>
      <c r="D519" t="n">
        <v>7.75</v>
      </c>
      <c r="E519" t="n">
        <v>0</v>
      </c>
      <c r="F519" t="n">
        <v>8.5</v>
      </c>
      <c r="G519" t="n">
        <v>0</v>
      </c>
      <c r="H519" t="n">
        <v>2.25</v>
      </c>
      <c r="I519" t="n">
        <v>0</v>
      </c>
      <c r="J519" t="n">
        <v>5.5</v>
      </c>
      <c r="K519" t="n">
        <v>0</v>
      </c>
      <c r="L519" t="n">
        <v>8.5</v>
      </c>
      <c r="M519" t="n">
        <v>0</v>
      </c>
      <c r="N519" t="n">
        <v>5.75</v>
      </c>
      <c r="O519" t="n">
        <v>0</v>
      </c>
      <c r="P519">
        <f>Table1[[#This Row],[TA 1 - Q1 Score]]+Table1[[#This Row],[TA 1 - Q2 Score]]+Table1[[#This Row],[TA 1 - Q3 Score]]</f>
        <v/>
      </c>
      <c r="Q519">
        <f>Table1[[#This Row],[TA 1 - Q1 Bonus]]+Table1[[#This Row],[TA 1 - Q2 Bonus]]+Table1[[#This Row],[TA 1 - Q4 Bonus]]</f>
        <v/>
      </c>
      <c r="R519">
        <f>Table1[[#This Row],[TA 2 - Q1 Score]]+Table1[[#This Row],[TA 2 - Q2 Score]]+Table1[[#This Row],[TA 2 - Q3 Score]]</f>
        <v/>
      </c>
      <c r="S519">
        <f>Table1[[#This Row],[TA 2 - Q1 Bonus]]+Table1[[#This Row],[TA 2 - Q2 Bonus]]+Table1[[#This Row],[TA 2 - Q4 Bonus]]</f>
        <v/>
      </c>
      <c r="T519">
        <f>(Table1[[#This Row],[TA 1 - Total Score (out of 35)]]+Table1[[#This Row],[TA 2 - Total Score (out of 35)]])/2</f>
        <v/>
      </c>
      <c r="U519">
        <f>(Table1[[#This Row],[TA 1 - Total Bonus (out of 13)]]+Table1[[#This Row],[TA 2 - Total Bonus (out of 13)]])/2</f>
        <v/>
      </c>
      <c r="V519">
        <f>Table1[[#This Row],[Average Questions]]/35*20+Table1[[#This Row],[Average Bonus]]/13*5</f>
        <v/>
      </c>
      <c r="W519" t="n">
        <v>5</v>
      </c>
      <c r="X519" t="n">
        <v>0</v>
      </c>
      <c r="Y519" t="inlineStr">
        <is>
          <t>The student completed the data loading and transformation steps correctly, including resizing, converting to tensor, and normalizing. However, the student incorrectly added a SubtractOne layer in the transform pipeline, which is unnecessary and incorrect. The DataLoader creation and sample image display were mostly correct but had issues with the image shape and label display. The model loading and adaptation had a mistake where the classifier head was set to 27 classes instead of 26. The training and validation loops were implemented but contained errors in label handling and unnecessary softmax operations. The plotting of losses and accuracies was correct, but the training loop did not adjust labels, leading to a penalty. No bonus task was attempted.</t>
        </is>
      </c>
      <c r="Z519" t="n">
        <v>8</v>
      </c>
      <c r="AA519" t="n">
        <v>0</v>
      </c>
      <c r="AB519" t="inlineStr">
        <is>
          <t>The student successfully implemented a custom dataset class, created train and test datasets with appropriate transformations, and displayed sample images. However, the CNN model has fewer convolutional layers than required (5 layers needed, 5 layers implemented but with different channel sizes). The training and validation loops are correctly implemented, and the model is trained and plotted. The bonus task was not attempted.</t>
        </is>
      </c>
      <c r="AC519" t="n">
        <v>2</v>
      </c>
      <c r="AD519" t="inlineStr">
        <is>
          <t>The student attempted most tasks but made significant errors. The dataset class has issues with loading images and masks, and the constructor parameters are incorrectly used. The DataLoader creation is partially correct but uses an incorrect dataset class. The model definition uses an incorrect number of classes. The training and validation loops contain logical errors, particularly in handling the masks and loss functions. Visualization code is missing.</t>
        </is>
      </c>
      <c r="AE519" t="n">
        <v>0</v>
      </c>
      <c r="AF519" t="n">
        <v>0</v>
      </c>
      <c r="AG519" t="inlineStr">
        <is>
          <t>No submission found.</t>
        </is>
      </c>
      <c r="AH519" t="n">
        <v>15</v>
      </c>
      <c r="AI519" t="n">
        <v>0</v>
      </c>
    </row>
    <row r="520">
      <c r="A520" t="n">
        <v>519</v>
      </c>
      <c r="B520" t="inlineStr">
        <is>
          <t>TA_10</t>
        </is>
      </c>
      <c r="C520" t="inlineStr">
        <is>
          <t>TA_20</t>
        </is>
      </c>
      <c r="D520" t="n">
        <v>5</v>
      </c>
      <c r="E520" t="n">
        <v>0</v>
      </c>
      <c r="F520" t="n">
        <v>9.5</v>
      </c>
      <c r="G520" t="n">
        <v>0</v>
      </c>
      <c r="H520" t="n">
        <v>4.5</v>
      </c>
      <c r="I520" t="n">
        <v>0</v>
      </c>
      <c r="J520" t="n">
        <v>4.75</v>
      </c>
      <c r="K520" t="n">
        <v>0</v>
      </c>
      <c r="L520" t="n">
        <v>9.5</v>
      </c>
      <c r="M520" t="n">
        <v>0</v>
      </c>
      <c r="N520" t="n">
        <v>6</v>
      </c>
      <c r="O520" t="n">
        <v>0</v>
      </c>
      <c r="P520">
        <f>Table1[[#This Row],[TA 1 - Q1 Score]]+Table1[[#This Row],[TA 1 - Q2 Score]]+Table1[[#This Row],[TA 1 - Q3 Score]]</f>
        <v/>
      </c>
      <c r="Q520">
        <f>Table1[[#This Row],[TA 1 - Q1 Bonus]]+Table1[[#This Row],[TA 1 - Q2 Bonus]]+Table1[[#This Row],[TA 1 - Q4 Bonus]]</f>
        <v/>
      </c>
      <c r="R520">
        <f>Table1[[#This Row],[TA 2 - Q1 Score]]+Table1[[#This Row],[TA 2 - Q2 Score]]+Table1[[#This Row],[TA 2 - Q3 Score]]</f>
        <v/>
      </c>
      <c r="S520">
        <f>Table1[[#This Row],[TA 2 - Q1 Bonus]]+Table1[[#This Row],[TA 2 - Q2 Bonus]]+Table1[[#This Row],[TA 2 - Q4 Bonus]]</f>
        <v/>
      </c>
      <c r="T520">
        <f>(Table1[[#This Row],[TA 1 - Total Score (out of 35)]]+Table1[[#This Row],[TA 2 - Total Score (out of 35)]])/2</f>
        <v/>
      </c>
      <c r="U520">
        <f>(Table1[[#This Row],[TA 1 - Total Bonus (out of 13)]]+Table1[[#This Row],[TA 2 - Total Bonus (out of 13)]])/2</f>
        <v/>
      </c>
      <c r="V520">
        <f>Table1[[#This Row],[Average Questions]]/35*20+Table1[[#This Row],[Average Bonus]]/13*5</f>
        <v/>
      </c>
      <c r="W520" t="n">
        <v>6</v>
      </c>
      <c r="X520" t="n">
        <v>0</v>
      </c>
      <c r="Y520" t="inlineStr">
        <is>
          <t>The student completed the data loading and preparation with minor issues, such as incorrect batch size and missing normalization steps. The model loading and adaptation were partially correct, but the classifier replacement did not freeze the backbone. The training and validation loops had syntax errors and logical mistakes, particularly in label handling and loss calculation. The bonus task was not implemented correctly due to improper handling of image flips and predictions.</t>
        </is>
      </c>
      <c r="Z520" t="n">
        <v>6</v>
      </c>
      <c r="AA520" t="n">
        <v>0</v>
      </c>
      <c r="AB520" t="inlineStr">
        <is>
          <t>The student successfully loaded and prepared the data with the correct transformations, including resizing to 32x32 and random rotation. The CNN model was built with five convolutional layers and batch normalization, though the number of channels in the first layer was less than specified in the rubric. The training and validation loops were implemented correctly, and the model was trained for one epoch. However, the student did not plot the losses and accuracies, and no bonus task was attempted.</t>
        </is>
      </c>
      <c r="AC520" t="n">
        <v>4</v>
      </c>
      <c r="AD520" t="inlineStr">
        <is>
          <t>The student attempted most tasks but made significant errors. The dataset class had issues with file extensions and transformations. The training and validation loops used incorrect loss functions and data types. Visualization of predictions was flawed, using binary thresholding instead of multi-class handling.</t>
        </is>
      </c>
      <c r="AE520" t="n">
        <v>0</v>
      </c>
      <c r="AF520" t="n">
        <v>0</v>
      </c>
      <c r="AG520" t="inlineStr">
        <is>
          <t>No submission found.</t>
        </is>
      </c>
      <c r="AH520" t="n">
        <v>16</v>
      </c>
      <c r="AI520" t="n">
        <v>0</v>
      </c>
    </row>
    <row r="521">
      <c r="A521" t="n">
        <v>520</v>
      </c>
      <c r="B521" t="inlineStr">
        <is>
          <t>TA_10</t>
        </is>
      </c>
      <c r="C521" t="inlineStr">
        <is>
          <t>TA_20</t>
        </is>
      </c>
      <c r="D521" t="n">
        <v>10.75</v>
      </c>
      <c r="E521" t="n">
        <v>0</v>
      </c>
      <c r="F521" t="n">
        <v>8.5</v>
      </c>
      <c r="G521" t="n">
        <v>0</v>
      </c>
      <c r="H521" t="n">
        <v>10.75</v>
      </c>
      <c r="I521" t="n">
        <v>0</v>
      </c>
      <c r="J521" t="n">
        <v>10.5</v>
      </c>
      <c r="K521" t="n">
        <v>0</v>
      </c>
      <c r="L521" t="n">
        <v>9</v>
      </c>
      <c r="M521" t="n">
        <v>0</v>
      </c>
      <c r="N521" t="n">
        <v>11</v>
      </c>
      <c r="O521" t="n">
        <v>0</v>
      </c>
      <c r="P521">
        <f>Table1[[#This Row],[TA 1 - Q1 Score]]+Table1[[#This Row],[TA 1 - Q2 Score]]+Table1[[#This Row],[TA 1 - Q3 Score]]</f>
        <v/>
      </c>
      <c r="Q521">
        <f>Table1[[#This Row],[TA 1 - Q1 Bonus]]+Table1[[#This Row],[TA 1 - Q2 Bonus]]+Table1[[#This Row],[TA 1 - Q4 Bonus]]</f>
        <v/>
      </c>
      <c r="R521">
        <f>Table1[[#This Row],[TA 2 - Q1 Score]]+Table1[[#This Row],[TA 2 - Q2 Score]]+Table1[[#This Row],[TA 2 - Q3 Score]]</f>
        <v/>
      </c>
      <c r="S521">
        <f>Table1[[#This Row],[TA 2 - Q1 Bonus]]+Table1[[#This Row],[TA 2 - Q2 Bonus]]+Table1[[#This Row],[TA 2 - Q4 Bonus]]</f>
        <v/>
      </c>
      <c r="T521">
        <f>(Table1[[#This Row],[TA 1 - Total Score (out of 35)]]+Table1[[#This Row],[TA 2 - Total Score (out of 35)]])/2</f>
        <v/>
      </c>
      <c r="U521">
        <f>(Table1[[#This Row],[TA 1 - Total Bonus (out of 13)]]+Table1[[#This Row],[TA 2 - Total Bonus (out of 13)]])/2</f>
        <v/>
      </c>
      <c r="V521">
        <f>Table1[[#This Row],[Average Questions]]/35*20+Table1[[#This Row],[Average Bonus]]/13*5</f>
        <v/>
      </c>
      <c r="W521" t="n">
        <v>5.5</v>
      </c>
      <c r="X521" t="n">
        <v>0</v>
      </c>
      <c r="Y521" t="inlineStr">
        <is>
          <t>The student partially completed the tasks with some syntax and logical errors. The data loading and preparation section had incorrect resizing dimensions and an unnecessarily large batch size. The model loading and adaptation were mostly correct but lacked freezing the backbone properly. The training and validation loops were implemented with label fixing, but the learning rate was too low, and the number of epochs was insufficient. The bonus task was not attempted.</t>
        </is>
      </c>
      <c r="Z521" t="n">
        <v>8.5</v>
      </c>
      <c r="AA521" t="n">
        <v>0</v>
      </c>
      <c r="AB521" t="inlineStr">
        <is>
          <t>The student successfully completed most tasks with minor issues. The dataset loading and preparation were mostly correct, with the exception of using the wrong directory paths. The CNN model had 5 convolutional layers but used incorrect channel sizes and lacked batch normalization. The training and validation loops were implemented correctly, and the model trained and plotted the results accurately. However, the bonus task was not attempted.</t>
        </is>
      </c>
      <c r="AC521" t="n">
        <v>7</v>
      </c>
      <c r="AD521" t="inlineStr">
        <is>
          <t>The student's submission partially completes most tasks but contains several issues. Task 1 is mostly correct with a minor mistake in the dataset root path. Task 2 has a critical error in defining the number of classes (incorrectly set to 5 instead of 8). Task 3 is correctly implemented. Task 4 is mostly correct but uses a different learning rate and more epochs than specified. Task 5 visualizes predictions but uses a grayscale colormap instead of 'tab10'.</t>
        </is>
      </c>
      <c r="AE521" t="n">
        <v>0</v>
      </c>
      <c r="AF521" t="n">
        <v>0</v>
      </c>
      <c r="AG521" t="inlineStr">
        <is>
          <t>No submission found.</t>
        </is>
      </c>
      <c r="AH521" t="n">
        <v>21</v>
      </c>
      <c r="AI521" t="n">
        <v>0</v>
      </c>
    </row>
    <row r="522">
      <c r="A522" t="n">
        <v>521</v>
      </c>
      <c r="B522" t="inlineStr">
        <is>
          <t>TA_10</t>
        </is>
      </c>
      <c r="C522" t="inlineStr">
        <is>
          <t>TA_20</t>
        </is>
      </c>
      <c r="D522" t="n">
        <v>11</v>
      </c>
      <c r="E522" t="n">
        <v>4</v>
      </c>
      <c r="F522" t="n">
        <v>11</v>
      </c>
      <c r="G522" t="n">
        <v>1.5</v>
      </c>
      <c r="H522" t="n">
        <v>12</v>
      </c>
      <c r="I522" t="n">
        <v>5</v>
      </c>
      <c r="J522" t="n">
        <v>10.75</v>
      </c>
      <c r="K522" t="n">
        <v>4</v>
      </c>
      <c r="L522" t="n">
        <v>11</v>
      </c>
      <c r="M522" t="n">
        <v>3</v>
      </c>
      <c r="N522" t="n">
        <v>12</v>
      </c>
      <c r="O522" t="n">
        <v>5</v>
      </c>
      <c r="P522">
        <f>Table1[[#This Row],[TA 1 - Q1 Score]]+Table1[[#This Row],[TA 1 - Q2 Score]]+Table1[[#This Row],[TA 1 - Q3 Score]]</f>
        <v/>
      </c>
      <c r="Q522">
        <f>Table1[[#This Row],[TA 1 - Q1 Bonus]]+Table1[[#This Row],[TA 1 - Q2 Bonus]]+Table1[[#This Row],[TA 1 - Q4 Bonus]]</f>
        <v/>
      </c>
      <c r="R522">
        <f>Table1[[#This Row],[TA 2 - Q1 Score]]+Table1[[#This Row],[TA 2 - Q2 Score]]+Table1[[#This Row],[TA 2 - Q3 Score]]</f>
        <v/>
      </c>
      <c r="S522">
        <f>Table1[[#This Row],[TA 2 - Q1 Bonus]]+Table1[[#This Row],[TA 2 - Q2 Bonus]]+Table1[[#This Row],[TA 2 - Q4 Bonus]]</f>
        <v/>
      </c>
      <c r="T522">
        <f>(Table1[[#This Row],[TA 1 - Total Score (out of 35)]]+Table1[[#This Row],[TA 2 - Total Score (out of 35)]])/2</f>
        <v/>
      </c>
      <c r="U522">
        <f>(Table1[[#This Row],[TA 1 - Total Bonus (out of 13)]]+Table1[[#This Row],[TA 2 - Total Bonus (out of 13)]])/2</f>
        <v/>
      </c>
      <c r="V522">
        <f>Table1[[#This Row],[Average Questions]]/35*20+Table1[[#This Row],[Average Bonus]]/13*5</f>
        <v/>
      </c>
      <c r="W522" t="n">
        <v>8.5</v>
      </c>
      <c r="X522" t="n">
        <v>3</v>
      </c>
      <c r="Y522" t="inlineStr">
        <is>
          <t>The student completed most tasks correctly, including defining the necessary transforms, creating DataLoaders, displaying sample images, loading and adapting the EfficientNetV2-Small model, and implementing training and validation loops. However, there were minor issues such as incorrect optimizer setup (learning rate set to 0) and incomplete implementation of the bonus task (missing plotting of TTA results). The student successfully implemented TTA but did not plot the results as required.</t>
        </is>
      </c>
      <c r="Z522" t="n">
        <v>8.5</v>
      </c>
      <c r="AA522" t="n">
        <v>0</v>
      </c>
      <c r="AB522" t="inlineStr">
        <is>
          <t>The student successfully completed most tasks with minor issues. The dataset loading and preparation were mostly correct, with a small mistake in the directory path. The CNN model was built with 5 convolutional layers and batch normalization, earning full points. The training and validation functions were implemented correctly, though there was a slight error in the calculation of average loss and accuracy. The model was trained and plotted correctly. However, the bonus task for the residual connection was not fully implemented or tested, resulting in no bonus points.</t>
        </is>
      </c>
      <c r="AC522" t="n">
        <v>10</v>
      </c>
      <c r="AD522" t="inlineStr">
        <is>
          <t>The student's submission is mostly correct and runs end-to-end. The dataset class is implemented correctly with proper transformations and data loading. The model class uses the correct pretrained U-Net with efficientnet-b1 encoder. The training and validation loops are implemented with minor issues in loss calculation normalization. The training process defines the loss and optimizer correctly and prints the losses. The predictions are visualized accurately. Overall, the submission meets the requirements with only slight deviations.</t>
        </is>
      </c>
      <c r="AE522" t="n">
        <v>0</v>
      </c>
      <c r="AF522" t="n">
        <v>5</v>
      </c>
      <c r="AG522" t="inlineStr">
        <is>
          <t>The student's implementation of the `ColorizationDataset` class is correct and runs perfectly, producing the expected output and following the optimal logic. The `__init__`, `__len__`, `rgb_to_grayscale`, and `__getitem__` methods are all implemented accurately. The visualization also works as intended, showing the grayscale and color images correctly. Therefore, the student receives full bonus points for this task.</t>
        </is>
      </c>
      <c r="AH522" t="n">
        <v>27</v>
      </c>
      <c r="AI522" t="n">
        <v>8</v>
      </c>
    </row>
    <row r="523">
      <c r="A523" t="n">
        <v>522</v>
      </c>
      <c r="B523" t="inlineStr">
        <is>
          <t>TA_10</t>
        </is>
      </c>
      <c r="C523" t="inlineStr">
        <is>
          <t>TA_20</t>
        </is>
      </c>
      <c r="D523" t="n">
        <v>6.5</v>
      </c>
      <c r="E523" t="n">
        <v>0</v>
      </c>
      <c r="F523" t="n">
        <v>7.75</v>
      </c>
      <c r="G523" t="n">
        <v>0</v>
      </c>
      <c r="H523" t="n">
        <v>2.25</v>
      </c>
      <c r="I523" t="n">
        <v>0</v>
      </c>
      <c r="J523" t="n">
        <v>12</v>
      </c>
      <c r="K523" t="n">
        <v>0</v>
      </c>
      <c r="L523" t="n">
        <v>7.5</v>
      </c>
      <c r="M523" t="n">
        <v>0</v>
      </c>
      <c r="N523" t="n">
        <v>2.5</v>
      </c>
      <c r="O523" t="n">
        <v>0</v>
      </c>
      <c r="P523">
        <f>Table1[[#This Row],[TA 1 - Q1 Score]]+Table1[[#This Row],[TA 1 - Q2 Score]]+Table1[[#This Row],[TA 1 - Q3 Score]]</f>
        <v/>
      </c>
      <c r="Q523">
        <f>Table1[[#This Row],[TA 1 - Q1 Bonus]]+Table1[[#This Row],[TA 1 - Q2 Bonus]]+Table1[[#This Row],[TA 1 - Q4 Bonus]]</f>
        <v/>
      </c>
      <c r="R523">
        <f>Table1[[#This Row],[TA 2 - Q1 Score]]+Table1[[#This Row],[TA 2 - Q2 Score]]+Table1[[#This Row],[TA 2 - Q3 Score]]</f>
        <v/>
      </c>
      <c r="S523">
        <f>Table1[[#This Row],[TA 2 - Q1 Bonus]]+Table1[[#This Row],[TA 2 - Q2 Bonus]]+Table1[[#This Row],[TA 2 - Q4 Bonus]]</f>
        <v/>
      </c>
      <c r="T523">
        <f>(Table1[[#This Row],[TA 1 - Total Score (out of 35)]]+Table1[[#This Row],[TA 2 - Total Score (out of 35)]])/2</f>
        <v/>
      </c>
      <c r="U523">
        <f>(Table1[[#This Row],[TA 1 - Total Bonus (out of 13)]]+Table1[[#This Row],[TA 2 - Total Bonus (out of 13)]])/2</f>
        <v/>
      </c>
      <c r="V523">
        <f>Table1[[#This Row],[Average Questions]]/35*20+Table1[[#This Row],[Average Bonus]]/13*5</f>
        <v/>
      </c>
      <c r="W523" t="n">
        <v>8.5</v>
      </c>
      <c r="X523" t="n">
        <v>0</v>
      </c>
      <c r="Y523" t="inlineStr">
        <is>
          <t>The student completed most tasks correctly, including defining transforms, creating DataLoaders, displaying sample images, loading and adapting the pretrained model, and setting up training and validation loops. However, there were minor issues such as using a different batch size and not implementing the bonus task for Test Time Augmentation. The training and validation loops were implemented correctly, and the student adjusted the labels properly. The plots for training and validation losses and accuracies were also correctly generated.</t>
        </is>
      </c>
      <c r="Z523" t="n">
        <v>5</v>
      </c>
      <c r="AA523" t="n">
        <v>0</v>
      </c>
      <c r="AB523" t="inlineStr">
        <is>
          <t>The student partially completed the tasks. They correctly set up the dataset with the required transformations and displayed sample images. However, the CNN model has several issues: incorrect kernel sizes, missing batch normalization, and an incorrect fully connected layer input size. The training and validation loops were implemented but contained errors, such as converting labels to float unnecessarily. The bonus task was not attempted.</t>
        </is>
      </c>
      <c r="AC523" t="n">
        <v>2</v>
      </c>
      <c r="AD523" t="inlineStr">
        <is>
          <t>The student has completed Task 1 partially by creating a custom dataset class and DataLoaders, but the mask transformation is incorrect as it converts the mask to binary instead of remapping it to a consecutive range. Tasks 2 through 5 are not attempted.</t>
        </is>
      </c>
      <c r="AE523" t="n">
        <v>0</v>
      </c>
      <c r="AF523" t="n">
        <v>0</v>
      </c>
      <c r="AG523" t="inlineStr">
        <is>
          <t>No submission found.</t>
        </is>
      </c>
      <c r="AH523" t="n">
        <v>15.5</v>
      </c>
      <c r="AI523" t="n">
        <v>0</v>
      </c>
    </row>
    <row r="524">
      <c r="A524" t="n">
        <v>523</v>
      </c>
      <c r="B524" t="inlineStr">
        <is>
          <t>TA_10</t>
        </is>
      </c>
      <c r="C524" t="inlineStr">
        <is>
          <t>TA_20</t>
        </is>
      </c>
      <c r="D524" t="n">
        <v>4.75</v>
      </c>
      <c r="E524" t="n">
        <v>0</v>
      </c>
      <c r="F524" t="n">
        <v>9</v>
      </c>
      <c r="G524" t="n">
        <v>0</v>
      </c>
      <c r="H524" t="n">
        <v>5</v>
      </c>
      <c r="I524" t="n">
        <v>0</v>
      </c>
      <c r="J524" t="n">
        <v>6.5</v>
      </c>
      <c r="K524" t="n">
        <v>0</v>
      </c>
      <c r="L524" t="n">
        <v>11</v>
      </c>
      <c r="M524" t="n">
        <v>0</v>
      </c>
      <c r="N524" t="n">
        <v>5</v>
      </c>
      <c r="O524" t="n">
        <v>0</v>
      </c>
      <c r="P524">
        <f>Table1[[#This Row],[TA 1 - Q1 Score]]+Table1[[#This Row],[TA 1 - Q2 Score]]+Table1[[#This Row],[TA 1 - Q3 Score]]</f>
        <v/>
      </c>
      <c r="Q524">
        <f>Table1[[#This Row],[TA 1 - Q1 Bonus]]+Table1[[#This Row],[TA 1 - Q2 Bonus]]+Table1[[#This Row],[TA 1 - Q4 Bonus]]</f>
        <v/>
      </c>
      <c r="R524">
        <f>Table1[[#This Row],[TA 2 - Q1 Score]]+Table1[[#This Row],[TA 2 - Q2 Score]]+Table1[[#This Row],[TA 2 - Q3 Score]]</f>
        <v/>
      </c>
      <c r="S524">
        <f>Table1[[#This Row],[TA 2 - Q1 Bonus]]+Table1[[#This Row],[TA 2 - Q2 Bonus]]+Table1[[#This Row],[TA 2 - Q4 Bonus]]</f>
        <v/>
      </c>
      <c r="T524">
        <f>(Table1[[#This Row],[TA 1 - Total Score (out of 35)]]+Table1[[#This Row],[TA 2 - Total Score (out of 35)]])/2</f>
        <v/>
      </c>
      <c r="U524">
        <f>(Table1[[#This Row],[TA 1 - Total Bonus (out of 13)]]+Table1[[#This Row],[TA 2 - Total Bonus (out of 13)]])/2</f>
        <v/>
      </c>
      <c r="V524">
        <f>Table1[[#This Row],[Average Questions]]/35*20+Table1[[#This Row],[Average Bonus]]/13*5</f>
        <v/>
      </c>
      <c r="W524" t="n">
        <v>8.5</v>
      </c>
      <c r="X524" t="n">
        <v>0</v>
      </c>
      <c r="Y524" t="inlineStr">
        <is>
          <t>The student completed most tasks correctly, including defining transforms, creating DataLoaders, displaying sample images, loading and adapting the pretrained model, and setting up training and validation loops. However, the student did not freeze the backbone of the model, resulting in a deduction. Additionally, the student did not fix the labels to be 0-indexed, leading to a penalty. The bonus task was not attempted.</t>
        </is>
      </c>
      <c r="Z524" t="n">
        <v>8.5</v>
      </c>
      <c r="AA524" t="n">
        <v>0</v>
      </c>
      <c r="AB524" t="inlineStr">
        <is>
          <t>The student successfully implemented a custom dataset class, created train/test datasets and DataLoaders, applied the required transformations, and displayed sample images with labels. The CNN model has 5 convolutional layers with Batch Normalization, though the number of channels differs from the reference solution. The training and validation loops are correctly defined and executed, and the losses and accuracies are plotted. However, the bonus task was not attempted.</t>
        </is>
      </c>
      <c r="AC524" t="n">
        <v>3</v>
      </c>
      <c r="AD524" t="inlineStr">
        <is>
          <t>The student successfully implemented the dataset class, created DataLoaders, and displayed sample images and masks, earning full points for Task 1. However, the model class was incorrectly defined with only one output channel instead of eight, resulting in 0 points for Task 2. The training and validation loops were not implemented correctly, leading to 0 points for Task 3. The loss and optimizer were not defined, and the model was not trained, resulting in 0 points for Task 4. Finally, no visualization of predictions was provided, earning 0 points for Task 5.</t>
        </is>
      </c>
      <c r="AE524" t="n">
        <v>0</v>
      </c>
      <c r="AF524" t="n">
        <v>0</v>
      </c>
      <c r="AG524" t="inlineStr">
        <is>
          <t>No submission found.</t>
        </is>
      </c>
      <c r="AH524" t="n">
        <v>20</v>
      </c>
      <c r="AI524" t="n">
        <v>0</v>
      </c>
    </row>
    <row r="525">
      <c r="A525" t="n">
        <v>524</v>
      </c>
      <c r="B525" t="inlineStr">
        <is>
          <t>TA_10</t>
        </is>
      </c>
      <c r="C525" t="inlineStr">
        <is>
          <t>TA_20</t>
        </is>
      </c>
      <c r="D525" t="n">
        <v>6.5</v>
      </c>
      <c r="E525" t="n">
        <v>0</v>
      </c>
      <c r="F525" t="n">
        <v>8.75</v>
      </c>
      <c r="G525" t="n">
        <v>0</v>
      </c>
      <c r="H525" t="n">
        <v>5</v>
      </c>
      <c r="I525" t="n">
        <v>0</v>
      </c>
      <c r="J525" t="n">
        <v>6</v>
      </c>
      <c r="K525" t="n">
        <v>0</v>
      </c>
      <c r="L525" t="n">
        <v>11</v>
      </c>
      <c r="M525" t="n">
        <v>0</v>
      </c>
      <c r="N525" t="n">
        <v>11.5</v>
      </c>
      <c r="O525" t="n">
        <v>0</v>
      </c>
      <c r="P525">
        <f>Table1[[#This Row],[TA 1 - Q1 Score]]+Table1[[#This Row],[TA 1 - Q2 Score]]+Table1[[#This Row],[TA 1 - Q3 Score]]</f>
        <v/>
      </c>
      <c r="Q525">
        <f>Table1[[#This Row],[TA 1 - Q1 Bonus]]+Table1[[#This Row],[TA 1 - Q2 Bonus]]+Table1[[#This Row],[TA 1 - Q4 Bonus]]</f>
        <v/>
      </c>
      <c r="R525">
        <f>Table1[[#This Row],[TA 2 - Q1 Score]]+Table1[[#This Row],[TA 2 - Q2 Score]]+Table1[[#This Row],[TA 2 - Q3 Score]]</f>
        <v/>
      </c>
      <c r="S525">
        <f>Table1[[#This Row],[TA 2 - Q1 Bonus]]+Table1[[#This Row],[TA 2 - Q2 Bonus]]+Table1[[#This Row],[TA 2 - Q4 Bonus]]</f>
        <v/>
      </c>
      <c r="T525">
        <f>(Table1[[#This Row],[TA 1 - Total Score (out of 35)]]+Table1[[#This Row],[TA 2 - Total Score (out of 35)]])/2</f>
        <v/>
      </c>
      <c r="U525">
        <f>(Table1[[#This Row],[TA 1 - Total Bonus (out of 13)]]+Table1[[#This Row],[TA 2 - Total Bonus (out of 13)]])/2</f>
        <v/>
      </c>
      <c r="V525">
        <f>Table1[[#This Row],[Average Questions]]/35*20+Table1[[#This Row],[Average Bonus]]/13*5</f>
        <v/>
      </c>
      <c r="W525" t="n">
        <v>5</v>
      </c>
      <c r="X525" t="n">
        <v>0</v>
      </c>
      <c r="Y525" t="inlineStr">
        <is>
          <t>The student partially completed several tasks but made significant errors. In Part 1, the transforms were mostly correct but included redundant comments about converting to Tensor and Normalizing. DataLoaders were created but with incorrect variable names (valid_loader instead of test_loader). Sample images were displayed but with incorrect indices and labels. In Part 2, the model was loaded and modified, but the classifier head was incorrectly set to 27 classes instead of 26. In Part 3, the training and validation loops had issues with squeezing outputs, leading to dimension mismatches. No bonus tasks were attempted.</t>
        </is>
      </c>
      <c r="Z525" t="n">
        <v>6</v>
      </c>
      <c r="AA525" t="n">
        <v>0</v>
      </c>
      <c r="AB525" t="inlineStr">
        <is>
          <t>The student's submission contains several issues. In Part 1, the train and test directories are incorrectly swapped, leading to potential data leakage. The transformations are correct, but the directory swap affects the dataset loading. Sample images are displayed, but the indices chosen may not represent the dataset well. In Part 2, the CNN model has fewer convolutional layers than required (5 layers needed, 5 provided but with different channel sizes). Batch normalization is missing. In Part 3, both training and validation loops are implemented correctly. In Part 4, the model setup, training, and plotting are mostly correct, but the directory swap in Part 1 impacts the results. No bonus task was attempted.</t>
        </is>
      </c>
      <c r="AC525" t="n">
        <v>6</v>
      </c>
      <c r="AD525" t="inlineStr">
        <is>
          <t>The student's submission partially completes several tasks but contains significant errors. The dataset class is implemented correctly, and DataLoaders are set up properly. However, the model class uses an incorrect number of classes (7 instead of 8). The training and validation loops contain logical errors, particularly in handling the mask data types and dimensions. The training process runs for only 2 epochs, which is insufficient. The visualization of predictions is attempted but incorrectly displays masks in grayscale instead of using a colormap. Despite these issues, the student demonstrates an understanding of the overall workflow.</t>
        </is>
      </c>
      <c r="AE525" t="n">
        <v>0</v>
      </c>
      <c r="AF525" t="n">
        <v>0</v>
      </c>
      <c r="AG525" t="inlineStr">
        <is>
          <t>No submission found.</t>
        </is>
      </c>
      <c r="AH525" t="n">
        <v>17</v>
      </c>
      <c r="AI525" t="n">
        <v>0</v>
      </c>
    </row>
    <row r="526">
      <c r="A526" t="n">
        <v>525</v>
      </c>
      <c r="B526" t="inlineStr">
        <is>
          <t>TA_10</t>
        </is>
      </c>
      <c r="C526" t="inlineStr">
        <is>
          <t>TA_20</t>
        </is>
      </c>
      <c r="D526" t="n">
        <v>10.5</v>
      </c>
      <c r="E526" t="n">
        <v>0</v>
      </c>
      <c r="F526" t="n">
        <v>11</v>
      </c>
      <c r="G526" t="n">
        <v>0</v>
      </c>
      <c r="H526" t="n">
        <v>11</v>
      </c>
      <c r="I526" t="n">
        <v>0</v>
      </c>
      <c r="J526" t="n">
        <v>9</v>
      </c>
      <c r="K526" t="n">
        <v>0</v>
      </c>
      <c r="L526" t="n">
        <v>11</v>
      </c>
      <c r="M526" t="n">
        <v>0</v>
      </c>
      <c r="N526" t="n">
        <v>10</v>
      </c>
      <c r="O526" t="n">
        <v>0</v>
      </c>
      <c r="P526">
        <f>Table1[[#This Row],[TA 1 - Q1 Score]]+Table1[[#This Row],[TA 1 - Q2 Score]]+Table1[[#This Row],[TA 1 - Q3 Score]]</f>
        <v/>
      </c>
      <c r="Q526">
        <f>Table1[[#This Row],[TA 1 - Q1 Bonus]]+Table1[[#This Row],[TA 1 - Q2 Bonus]]+Table1[[#This Row],[TA 1 - Q4 Bonus]]</f>
        <v/>
      </c>
      <c r="R526">
        <f>Table1[[#This Row],[TA 2 - Q1 Score]]+Table1[[#This Row],[TA 2 - Q2 Score]]+Table1[[#This Row],[TA 2 - Q3 Score]]</f>
        <v/>
      </c>
      <c r="S526">
        <f>Table1[[#This Row],[TA 2 - Q1 Bonus]]+Table1[[#This Row],[TA 2 - Q2 Bonus]]+Table1[[#This Row],[TA 2 - Q4 Bonus]]</f>
        <v/>
      </c>
      <c r="T526">
        <f>(Table1[[#This Row],[TA 1 - Total Score (out of 35)]]+Table1[[#This Row],[TA 2 - Total Score (out of 35)]])/2</f>
        <v/>
      </c>
      <c r="U526">
        <f>(Table1[[#This Row],[TA 1 - Total Bonus (out of 13)]]+Table1[[#This Row],[TA 2 - Total Bonus (out of 13)]])/2</f>
        <v/>
      </c>
      <c r="V526">
        <f>Table1[[#This Row],[Average Questions]]/35*20+Table1[[#This Row],[Average Bonus]]/13*5</f>
        <v/>
      </c>
      <c r="W526" t="n">
        <v>7</v>
      </c>
      <c r="X526" t="n">
        <v>0</v>
      </c>
      <c r="Y526" t="inlineStr">
        <is>
          <t>The student completed the data loading and preparation, including defining the necessary transforms and creating DataLoaders. Sample images were displayed correctly. The pretrained EfficientNetV2-Small model was loaded and adapted with the backbone frozen and the classifier head replaced for 26 classes. However, there were issues in the training and validation loops where labels were not correctly adjusted to be 0-indexed, resulting in a penalty. The training process was set up and executed, and losses and accuracies were plotted. The bonus task for Test Time Augmentation was not completed due to incomplete code.</t>
        </is>
      </c>
      <c r="Z526" t="n">
        <v>6</v>
      </c>
      <c r="AA526" t="n">
        <v>0</v>
      </c>
      <c r="AB526" t="inlineStr">
        <is>
          <t>The student correctly implemented the dataset loading and preparation with ImageFolder and applied the required transformations, including RandomRotation and resizing to 32x32. They displayed sample images with labels. However, they used an AlexNet architecture instead of building a CNN with 5 convolutional layers and batch normalization as specified. The training and validation loops were implemented correctly, and the model was trained and plotted. No bonus task was attempted.</t>
        </is>
      </c>
      <c r="AC526" t="n">
        <v>8</v>
      </c>
      <c r="AD526" t="inlineStr">
        <is>
          <t>The student's submission includes most of the required tasks with some minor issues. The dataset class is implemented correctly, and the data loaders are set up properly. However, the image and mask transformations could be improved for better normalization and resizing. The U-Net model is defined with the correct encoder, and the training and validation loops are implemented correctly. The training process runs without errors, and the loss curve is plotted. The predictions are visualized, but the mask visualization could be enhanced for better clarity.</t>
        </is>
      </c>
      <c r="AE526" t="n">
        <v>0</v>
      </c>
      <c r="AF526" t="n">
        <v>0</v>
      </c>
      <c r="AG526" t="inlineStr">
        <is>
          <t>No submission found.</t>
        </is>
      </c>
      <c r="AH526" t="n">
        <v>21</v>
      </c>
      <c r="AI526" t="n">
        <v>0</v>
      </c>
    </row>
    <row r="527">
      <c r="A527" t="n">
        <v>526</v>
      </c>
      <c r="B527" t="inlineStr">
        <is>
          <t>TA_10</t>
        </is>
      </c>
      <c r="C527" t="inlineStr">
        <is>
          <t>TA_20</t>
        </is>
      </c>
      <c r="D527" t="n">
        <v>12</v>
      </c>
      <c r="E527" t="n">
        <v>4</v>
      </c>
      <c r="F527" t="n">
        <v>11</v>
      </c>
      <c r="G527" t="n">
        <v>2</v>
      </c>
      <c r="H527" t="n">
        <v>12</v>
      </c>
      <c r="I527" t="n">
        <v>5</v>
      </c>
      <c r="J527" t="n">
        <v>12</v>
      </c>
      <c r="K527" t="n">
        <v>4</v>
      </c>
      <c r="L527" t="n">
        <v>11</v>
      </c>
      <c r="M527" t="n">
        <v>4</v>
      </c>
      <c r="N527" t="n">
        <v>12</v>
      </c>
      <c r="O527" t="n">
        <v>5</v>
      </c>
      <c r="P527">
        <f>Table1[[#This Row],[TA 1 - Q1 Score]]+Table1[[#This Row],[TA 1 - Q2 Score]]+Table1[[#This Row],[TA 1 - Q3 Score]]</f>
        <v/>
      </c>
      <c r="Q527">
        <f>Table1[[#This Row],[TA 1 - Q1 Bonus]]+Table1[[#This Row],[TA 1 - Q2 Bonus]]+Table1[[#This Row],[TA 1 - Q4 Bonus]]</f>
        <v/>
      </c>
      <c r="R527">
        <f>Table1[[#This Row],[TA 2 - Q1 Score]]+Table1[[#This Row],[TA 2 - Q2 Score]]+Table1[[#This Row],[TA 2 - Q3 Score]]</f>
        <v/>
      </c>
      <c r="S527">
        <f>Table1[[#This Row],[TA 2 - Q1 Bonus]]+Table1[[#This Row],[TA 2 - Q2 Bonus]]+Table1[[#This Row],[TA 2 - Q4 Bonus]]</f>
        <v/>
      </c>
      <c r="T527">
        <f>(Table1[[#This Row],[TA 1 - Total Score (out of 35)]]+Table1[[#This Row],[TA 2 - Total Score (out of 35)]])/2</f>
        <v/>
      </c>
      <c r="U527">
        <f>(Table1[[#This Row],[TA 1 - Total Bonus (out of 13)]]+Table1[[#This Row],[TA 2 - Total Bonus (out of 13)]])/2</f>
        <v/>
      </c>
      <c r="V527">
        <f>Table1[[#This Row],[Average Questions]]/35*20+Table1[[#This Row],[Average Bonus]]/13*5</f>
        <v/>
      </c>
      <c r="W527" t="n">
        <v>8.5</v>
      </c>
      <c r="X527" t="n">
        <v>0</v>
      </c>
      <c r="Y527" t="inlineStr">
        <is>
          <t>The student completed most tasks correctly but made some minor mistakes. The data loading and preparation were mostly correct, with proper transformations and DataLoader creation. However, there was an unnecessary print statement for letters and a small error in the label mapping. The model loading and adaptation were correct, with the backbone frozen and the classifier replaced properly. The training and validation loops were implemented accurately, with label fixing applied. The plotting of losses and accuracies was also correct. The bonus task was not attempted, resulting in no bonus points.</t>
        </is>
      </c>
      <c r="Z527" t="n">
        <v>8.5</v>
      </c>
      <c r="AA527" t="n">
        <v>1</v>
      </c>
      <c r="AB527" t="inlineStr">
        <is>
          <t>The student successfully loaded and prepared the data with correct transformations and displayed sample images. The CNN model was built with 5 convolutional layers and batch normalization, though the number of channels and learning rate differ from the reference. Training and validation functions were implemented correctly, and the model was trained and plotted. The bonus task included a residual connection, but the implementation used concatenation instead of summation, and the plots were not compared with the original model.</t>
        </is>
      </c>
      <c r="AC527" t="n">
        <v>8.5</v>
      </c>
      <c r="AD527" t="inlineStr">
        <is>
          <t>The student's submission demonstrates a good understanding of the tasks but contains some minor issues. The dataset class is correctly implemented, and the DataLoaders are set up properly. Sample images and masks are displayed correctly. The model class is defined with the correct encoder, and the training and validation loops are mostly correct with minor syntax issues. The loss and optimizer are defined, and the model trains and prints the losses. However, the plot of the loss curve is missing, and the visualization of predictions has some issues with the colormap and does not match the reference solution.</t>
        </is>
      </c>
      <c r="AE527" t="n">
        <v>0</v>
      </c>
      <c r="AF527" t="n">
        <v>5</v>
      </c>
      <c r="AG527" t="inlineStr">
        <is>
          <t>The student's implementation of the ColorizationDataset class is correct and runs perfectly, producing the expected output and following the optimal logic. The code includes all required methods (__init__, __len__, rgb_to_grayscale, __getitem__) and provides correct visualizations. No mistakes were found in the implementation.</t>
        </is>
      </c>
      <c r="AH527" t="n">
        <v>25.5</v>
      </c>
      <c r="AI527" t="n">
        <v>6</v>
      </c>
    </row>
    <row r="528">
      <c r="A528" t="n">
        <v>527</v>
      </c>
      <c r="B528" t="inlineStr">
        <is>
          <t>TA_10</t>
        </is>
      </c>
      <c r="C528" t="inlineStr">
        <is>
          <t>TA_20</t>
        </is>
      </c>
      <c r="D528" t="n">
        <v>12</v>
      </c>
      <c r="E528" t="n">
        <v>0</v>
      </c>
      <c r="F528" t="n">
        <v>11</v>
      </c>
      <c r="G528" t="n">
        <v>0</v>
      </c>
      <c r="H528" t="n">
        <v>5.25</v>
      </c>
      <c r="I528" t="n">
        <v>0</v>
      </c>
      <c r="J528" t="n">
        <v>12</v>
      </c>
      <c r="K528" t="n">
        <v>0</v>
      </c>
      <c r="L528" t="n">
        <v>11</v>
      </c>
      <c r="M528" t="n">
        <v>0</v>
      </c>
      <c r="N528" t="n">
        <v>5.25</v>
      </c>
      <c r="O528" t="n">
        <v>0</v>
      </c>
      <c r="P528">
        <f>Table1[[#This Row],[TA 1 - Q1 Score]]+Table1[[#This Row],[TA 1 - Q2 Score]]+Table1[[#This Row],[TA 1 - Q3 Score]]</f>
        <v/>
      </c>
      <c r="Q528">
        <f>Table1[[#This Row],[TA 1 - Q1 Bonus]]+Table1[[#This Row],[TA 1 - Q2 Bonus]]+Table1[[#This Row],[TA 1 - Q4 Bonus]]</f>
        <v/>
      </c>
      <c r="R528">
        <f>Table1[[#This Row],[TA 2 - Q1 Score]]+Table1[[#This Row],[TA 2 - Q2 Score]]+Table1[[#This Row],[TA 2 - Q3 Score]]</f>
        <v/>
      </c>
      <c r="S528">
        <f>Table1[[#This Row],[TA 2 - Q1 Bonus]]+Table1[[#This Row],[TA 2 - Q2 Bonus]]+Table1[[#This Row],[TA 2 - Q4 Bonus]]</f>
        <v/>
      </c>
      <c r="T528">
        <f>(Table1[[#This Row],[TA 1 - Total Score (out of 35)]]+Table1[[#This Row],[TA 2 - Total Score (out of 35)]])/2</f>
        <v/>
      </c>
      <c r="U528">
        <f>(Table1[[#This Row],[TA 1 - Total Bonus (out of 13)]]+Table1[[#This Row],[TA 2 - Total Bonus (out of 13)]])/2</f>
        <v/>
      </c>
      <c r="V528">
        <f>Table1[[#This Row],[Average Questions]]/35*20+Table1[[#This Row],[Average Bonus]]/13*5</f>
        <v/>
      </c>
      <c r="W528" t="n">
        <v>8</v>
      </c>
      <c r="X528" t="n">
        <v>0</v>
      </c>
      <c r="Y528" t="inlineStr">
        <is>
          <t>The student completed most tasks correctly but made some mistakes. The data loading and preparation were mostly correct, with proper transforms and DataLoaders, though the image display had issues with label indexing. The model loading and adaptation were partially correct, with the backbone frozen but the classifier replacement incorrectly done by replacing the entire classifier instead of just the final layer. The training and validation loops were mostly correct, with label fixing applied. However, the optimizer setup targeted only the classifier parameters, which is acceptable. No bonus task was attempted.</t>
        </is>
      </c>
      <c r="Z528" t="n">
        <v>8.5</v>
      </c>
      <c r="AA528" t="n">
        <v>0</v>
      </c>
      <c r="AB528" t="inlineStr">
        <is>
          <t>The student successfully implemented a custom dataset class, created train/test datasets and DataLoaders, applied the required transformations, and displayed sample images with labels. The CNN model includes five convolutional layers with batch normalization. However, the training and validation functions do not calculate and return accuracy correctly, resulting in partial credit. The training loop and plotting of losses and accuracies were also implemented correctly.</t>
        </is>
      </c>
      <c r="AC528" t="n">
        <v>4</v>
      </c>
      <c r="AD528" t="inlineStr">
        <is>
          <t>The student correctly implemented the dataset class, including data loading, transformations, and displaying samples, earning full marks for Task 1. However, Task 2 was partially completed as the model was incorrectly defined with 'efficientnet-b1' and only one class instead of eight. Task 3 was not fully implemented due to incorrect loss functions and data handling in the training and validation loops, resulting in syntax and logical errors. Task 4 was also partially completed with incorrect loss functions and validation on the training set instead of the test set. Task 5 was not attempted.</t>
        </is>
      </c>
      <c r="AE528" t="n">
        <v>0</v>
      </c>
      <c r="AF528" t="n">
        <v>0</v>
      </c>
      <c r="AG528" t="inlineStr">
        <is>
          <t>No submission found.</t>
        </is>
      </c>
      <c r="AH528" t="n">
        <v>20.5</v>
      </c>
      <c r="AI528" t="n">
        <v>0</v>
      </c>
    </row>
    <row r="529">
      <c r="A529" t="n">
        <v>528</v>
      </c>
      <c r="B529" t="inlineStr">
        <is>
          <t>TA_10</t>
        </is>
      </c>
      <c r="C529" t="inlineStr">
        <is>
          <t>TA_20</t>
        </is>
      </c>
      <c r="D529" t="n">
        <v>11</v>
      </c>
      <c r="E529" t="n">
        <v>4</v>
      </c>
      <c r="F529" t="n">
        <v>9.75</v>
      </c>
      <c r="G529" t="n">
        <v>3.75</v>
      </c>
      <c r="H529" t="n">
        <v>11.25</v>
      </c>
      <c r="I529" t="n">
        <v>5</v>
      </c>
      <c r="J529" t="n">
        <v>11.5</v>
      </c>
      <c r="K529" t="n">
        <v>4</v>
      </c>
      <c r="L529" t="n">
        <v>9</v>
      </c>
      <c r="M529" t="n">
        <v>4</v>
      </c>
      <c r="N529" t="n">
        <v>11.5</v>
      </c>
      <c r="O529" t="n">
        <v>5</v>
      </c>
      <c r="P529">
        <f>Table1[[#This Row],[TA 1 - Q1 Score]]+Table1[[#This Row],[TA 1 - Q2 Score]]+Table1[[#This Row],[TA 1 - Q3 Score]]</f>
        <v/>
      </c>
      <c r="Q529">
        <f>Table1[[#This Row],[TA 1 - Q1 Bonus]]+Table1[[#This Row],[TA 1 - Q2 Bonus]]+Table1[[#This Row],[TA 1 - Q4 Bonus]]</f>
        <v/>
      </c>
      <c r="R529">
        <f>Table1[[#This Row],[TA 2 - Q1 Score]]+Table1[[#This Row],[TA 2 - Q2 Score]]+Table1[[#This Row],[TA 2 - Q3 Score]]</f>
        <v/>
      </c>
      <c r="S529">
        <f>Table1[[#This Row],[TA 2 - Q1 Bonus]]+Table1[[#This Row],[TA 2 - Q2 Bonus]]+Table1[[#This Row],[TA 2 - Q4 Bonus]]</f>
        <v/>
      </c>
      <c r="T529">
        <f>(Table1[[#This Row],[TA 1 - Total Score (out of 35)]]+Table1[[#This Row],[TA 2 - Total Score (out of 35)]])/2</f>
        <v/>
      </c>
      <c r="U529">
        <f>(Table1[[#This Row],[TA 1 - Total Bonus (out of 13)]]+Table1[[#This Row],[TA 2 - Total Bonus (out of 13)]])/2</f>
        <v/>
      </c>
      <c r="V529">
        <f>Table1[[#This Row],[Average Questions]]/35*20+Table1[[#This Row],[Average Bonus]]/13*5</f>
        <v/>
      </c>
      <c r="W529" t="n">
        <v>8</v>
      </c>
      <c r="X529" t="n">
        <v>0</v>
      </c>
      <c r="Y529" t="inlineStr">
        <is>
          <t>The student completed most tasks correctly but made some minor mistakes. The data loading and preparation were mostly accurate, though the test transform was redundant. The model setup and adaptation were correct, and the training and validation loops were implemented properly with label fixing. However, the plotting of losses and accuracies was incomplete, and the bonus task for Test Time Augmentation was not fully integrated into the training process.</t>
        </is>
      </c>
      <c r="Z529" t="n">
        <v>8</v>
      </c>
      <c r="AA529" t="n">
        <v>0</v>
      </c>
      <c r="AB529" t="inlineStr">
        <is>
          <t>The student successfully loaded and prepared the data with the correct transformations, including resizing to 32x32 and random horizontal flipping. The CNN model was built with five convolutional layers and batch normalization, though the number of channels in the first layer differs from the reference solution. The training and validation loops were implemented correctly, and the model was trained and plotted. However, the bonus task was not completed as the residual connection was not defined or used correctly.</t>
        </is>
      </c>
      <c r="AC529" t="n">
        <v>8</v>
      </c>
      <c r="AD529" t="inlineStr">
        <is>
          <t>The student's submission includes most of the required tasks with minor issues. Task 1 is mostly correct but has a small mistake in the DataLoader batch size and a missing denormalization function for displaying images. Task 2 correctly defines the U-Net model with the specified encoder. Task 3 implements the training and validation loops accurately. Task 4 defines the loss and optimizer correctly, trains the model, and plots the loss curve. Task 5 visualizes predictions but uses grayscale instead of a color map for better visualization.</t>
        </is>
      </c>
      <c r="AE529" t="n">
        <v>0</v>
      </c>
      <c r="AF529" t="n">
        <v>0</v>
      </c>
      <c r="AG529" t="inlineStr">
        <is>
          <t>The student's implementation contains a logical error in the `__getitem__` method where `gray_img` is returned instead of `gray_image`. Additionally, the `rgb_to_grayscale` method does not add the channel dimension to the grayscale image, resulting in incorrect shape. These issues prevent the code from running correctly and producing the expected output.</t>
        </is>
      </c>
      <c r="AH529" t="n">
        <v>24</v>
      </c>
      <c r="AI529" t="n">
        <v>0</v>
      </c>
    </row>
    <row r="530">
      <c r="A530" t="n">
        <v>529</v>
      </c>
      <c r="B530" t="inlineStr">
        <is>
          <t>TA_10</t>
        </is>
      </c>
      <c r="C530" t="inlineStr">
        <is>
          <t>TA_20</t>
        </is>
      </c>
      <c r="D530" t="n">
        <v>12</v>
      </c>
      <c r="E530" t="n">
        <v>0</v>
      </c>
      <c r="F530" t="n">
        <v>8.75</v>
      </c>
      <c r="G530" t="n">
        <v>0</v>
      </c>
      <c r="H530" t="n">
        <v>10</v>
      </c>
      <c r="I530" t="n">
        <v>0</v>
      </c>
      <c r="J530" t="n">
        <v>10.5</v>
      </c>
      <c r="K530" t="n">
        <v>0</v>
      </c>
      <c r="L530" t="n">
        <v>8.5</v>
      </c>
      <c r="M530" t="n">
        <v>0</v>
      </c>
      <c r="N530" t="n">
        <v>10.75</v>
      </c>
      <c r="O530" t="n">
        <v>0</v>
      </c>
      <c r="P530">
        <f>Table1[[#This Row],[TA 1 - Q1 Score]]+Table1[[#This Row],[TA 1 - Q2 Score]]+Table1[[#This Row],[TA 1 - Q3 Score]]</f>
        <v/>
      </c>
      <c r="Q530">
        <f>Table1[[#This Row],[TA 1 - Q1 Bonus]]+Table1[[#This Row],[TA 1 - Q2 Bonus]]+Table1[[#This Row],[TA 1 - Q4 Bonus]]</f>
        <v/>
      </c>
      <c r="R530">
        <f>Table1[[#This Row],[TA 2 - Q1 Score]]+Table1[[#This Row],[TA 2 - Q2 Score]]+Table1[[#This Row],[TA 2 - Q3 Score]]</f>
        <v/>
      </c>
      <c r="S530">
        <f>Table1[[#This Row],[TA 2 - Q1 Bonus]]+Table1[[#This Row],[TA 2 - Q2 Bonus]]+Table1[[#This Row],[TA 2 - Q4 Bonus]]</f>
        <v/>
      </c>
      <c r="T530">
        <f>(Table1[[#This Row],[TA 1 - Total Score (out of 35)]]+Table1[[#This Row],[TA 2 - Total Score (out of 35)]])/2</f>
        <v/>
      </c>
      <c r="U530">
        <f>(Table1[[#This Row],[TA 1 - Total Bonus (out of 13)]]+Table1[[#This Row],[TA 2 - Total Bonus (out of 13)]])/2</f>
        <v/>
      </c>
      <c r="V530">
        <f>Table1[[#This Row],[Average Questions]]/35*20+Table1[[#This Row],[Average Bonus]]/13*5</f>
        <v/>
      </c>
      <c r="W530" t="n">
        <v>7</v>
      </c>
      <c r="X530" t="n">
        <v>0</v>
      </c>
      <c r="Y530" t="inlineStr">
        <is>
          <t>The student completed the data loading and preparation, including defining the necessary transforms and creating DataLoaders, earning full marks for these tasks. However, there were issues in the model adaptation section where the student incorrectly loaded EfficientNet-B0 instead of EfficientNetV2-Small, resulting in a significant deduction. The training and validation loops were mostly correct but contained minor issues such as unnecessary softmax operations and incorrect label handling in the accuracy calculation. The student did not attempt the bonus task for Test Time Augmentation.</t>
        </is>
      </c>
      <c r="Z530" t="n">
        <v>8</v>
      </c>
      <c r="AA530" t="n">
        <v>0</v>
      </c>
      <c r="AB530" t="inlineStr">
        <is>
          <t>The student implemented a custom Dataset class and used appropriate transformations, including RandomRotation and resizing to 32x32, earning full marks for Part 1. The CNN model has 5 convolutional layers, but the channel sizes do not follow the reference solution, resulting in partial credit. Batch normalization was not added, deducting points. Training and validation loops were correctly defined and executed, earning full marks for Part 3. However, the test dataset path was incorrectly set to the train directory, affecting the evaluation. No bonus task was attempted.</t>
        </is>
      </c>
      <c r="AC530" t="n">
        <v>4</v>
      </c>
      <c r="AD530" t="inlineStr">
        <is>
          <t>The student partially completed Task 1 by creating a custom dataset class and DataLoaders, but there were issues with the mask transformation and normalization. Task 2 had an error in defining the U-Net model with the wrong number of classes. Task 3 was not fully implemented due to incorrect loss function and data type handling. Task 4 had issues with the loss function and data type, and Task 5 did not correctly visualize predictions.</t>
        </is>
      </c>
      <c r="AE530" t="n">
        <v>0</v>
      </c>
      <c r="AF530" t="n">
        <v>0</v>
      </c>
      <c r="AG530" t="inlineStr">
        <is>
          <t>No submission found.</t>
        </is>
      </c>
      <c r="AH530" t="n">
        <v>19</v>
      </c>
      <c r="AI530" t="n">
        <v>0</v>
      </c>
    </row>
    <row r="531">
      <c r="A531" t="n">
        <v>530</v>
      </c>
      <c r="B531" t="inlineStr">
        <is>
          <t>TA_10</t>
        </is>
      </c>
      <c r="C531" t="inlineStr">
        <is>
          <t>TA_20</t>
        </is>
      </c>
      <c r="D531" t="n">
        <v>9.5</v>
      </c>
      <c r="E531" t="n">
        <v>0</v>
      </c>
      <c r="F531" t="n">
        <v>0</v>
      </c>
      <c r="G531" t="n">
        <v>0</v>
      </c>
      <c r="H531" t="n">
        <v>4.5</v>
      </c>
      <c r="I531" t="n">
        <v>0</v>
      </c>
      <c r="J531" t="n">
        <v>10</v>
      </c>
      <c r="K531" t="n">
        <v>0</v>
      </c>
      <c r="L531" t="n">
        <v>0</v>
      </c>
      <c r="M531" t="n">
        <v>0</v>
      </c>
      <c r="N531" t="n">
        <v>9</v>
      </c>
      <c r="O531" t="n">
        <v>0</v>
      </c>
      <c r="P531">
        <f>Table1[[#This Row],[TA 1 - Q1 Score]]+Table1[[#This Row],[TA 1 - Q2 Score]]+Table1[[#This Row],[TA 1 - Q3 Score]]</f>
        <v/>
      </c>
      <c r="Q531">
        <f>Table1[[#This Row],[TA 1 - Q1 Bonus]]+Table1[[#This Row],[TA 1 - Q2 Bonus]]+Table1[[#This Row],[TA 1 - Q4 Bonus]]</f>
        <v/>
      </c>
      <c r="R531">
        <f>Table1[[#This Row],[TA 2 - Q1 Score]]+Table1[[#This Row],[TA 2 - Q2 Score]]+Table1[[#This Row],[TA 2 - Q3 Score]]</f>
        <v/>
      </c>
      <c r="S531">
        <f>Table1[[#This Row],[TA 2 - Q1 Bonus]]+Table1[[#This Row],[TA 2 - Q2 Bonus]]+Table1[[#This Row],[TA 2 - Q4 Bonus]]</f>
        <v/>
      </c>
      <c r="T531">
        <f>(Table1[[#This Row],[TA 1 - Total Score (out of 35)]]+Table1[[#This Row],[TA 2 - Total Score (out of 35)]])/2</f>
        <v/>
      </c>
      <c r="U531">
        <f>(Table1[[#This Row],[TA 1 - Total Bonus (out of 13)]]+Table1[[#This Row],[TA 2 - Total Bonus (out of 13)]])/2</f>
        <v/>
      </c>
      <c r="V531">
        <f>Table1[[#This Row],[Average Questions]]/35*20+Table1[[#This Row],[Average Bonus]]/13*5</f>
        <v/>
      </c>
      <c r="W531" t="n">
        <v>7</v>
      </c>
      <c r="X531" t="n">
        <v>0</v>
      </c>
      <c r="Y531" t="inlineStr">
        <is>
          <t>The student partially completed the tasks with some syntax and logical errors. In Part 1, the resize transformation was incorrectly implemented as `transforms.Resize(28*28)` instead of `transforms.Resize((28, 28))`. Part 2 was mostly correct but used `EfficientNet_V2_S_Weights.DEFAULT` unnecessarily. Part 3 had correct training and validation loops but did not adjust the labels, resulting in a penalty. Part 4 was mostly correct with proper setup and training, but no plots were generated. The bonus part was not attempted.</t>
        </is>
      </c>
      <c r="Z531" t="n">
        <v>0</v>
      </c>
      <c r="AA531" t="n">
        <v>0</v>
      </c>
      <c r="AB531" t="inlineStr">
        <is>
          <t>The student did not provide any code for the tasks in Part 1, Part 2, Part 3, Part 4, or the Bonus Part. Each cell from Cell 4 to Cell 16 is either empty or contains placeholder comments, indicating no attempt was made to complete the required tasks.</t>
        </is>
      </c>
      <c r="AC531" t="n">
        <v>4</v>
      </c>
      <c r="AD531" t="inlineStr">
        <is>
          <t>The student partially completed Task 1 by creating a custom dataset class and displaying sample images and masks, but used incorrect file paths and dataset names. Task 2 was attempted but the model was incorrectly defined with only one class instead of eight. Task 3 was partially implemented with training and validation loops, but contained syntax errors. Task 4 had issues with undefined variables and incorrect dataset usage. Task 5 was not attempted.</t>
        </is>
      </c>
      <c r="AE531" t="n">
        <v>0</v>
      </c>
      <c r="AF531" t="n">
        <v>0</v>
      </c>
      <c r="AG531" t="inlineStr">
        <is>
          <t>The student did not implement any part of the required `ColorizationDataset` class methods. The `__init__`, `__len__`, `rgb_to_grayscale`, and `__getitem__` methods were left unimplemented with only placeholders. As a result, the code does not run and fails to produce the expected output.</t>
        </is>
      </c>
      <c r="AH531" t="n">
        <v>11</v>
      </c>
      <c r="AI531" t="n">
        <v>0</v>
      </c>
    </row>
    <row r="532">
      <c r="A532" t="n">
        <v>531</v>
      </c>
      <c r="B532" t="inlineStr">
        <is>
          <t>TA_10</t>
        </is>
      </c>
      <c r="C532" t="inlineStr">
        <is>
          <t>TA_20</t>
        </is>
      </c>
      <c r="D532" t="n">
        <v>6.5</v>
      </c>
      <c r="E532" t="n">
        <v>0</v>
      </c>
      <c r="F532" t="n">
        <v>9</v>
      </c>
      <c r="G532" t="n">
        <v>0</v>
      </c>
      <c r="H532" t="n">
        <v>12</v>
      </c>
      <c r="I532" t="n">
        <v>0</v>
      </c>
      <c r="J532" t="n">
        <v>11.5</v>
      </c>
      <c r="K532" t="n">
        <v>0</v>
      </c>
      <c r="L532" t="n">
        <v>9</v>
      </c>
      <c r="M532" t="n">
        <v>0</v>
      </c>
      <c r="N532" t="n">
        <v>12</v>
      </c>
      <c r="O532" t="n">
        <v>0</v>
      </c>
      <c r="P532">
        <f>Table1[[#This Row],[TA 1 - Q1 Score]]+Table1[[#This Row],[TA 1 - Q2 Score]]+Table1[[#This Row],[TA 1 - Q3 Score]]</f>
        <v/>
      </c>
      <c r="Q532">
        <f>Table1[[#This Row],[TA 1 - Q1 Bonus]]+Table1[[#This Row],[TA 1 - Q2 Bonus]]+Table1[[#This Row],[TA 1 - Q4 Bonus]]</f>
        <v/>
      </c>
      <c r="R532">
        <f>Table1[[#This Row],[TA 2 - Q1 Score]]+Table1[[#This Row],[TA 2 - Q2 Score]]+Table1[[#This Row],[TA 2 - Q3 Score]]</f>
        <v/>
      </c>
      <c r="S532">
        <f>Table1[[#This Row],[TA 2 - Q1 Bonus]]+Table1[[#This Row],[TA 2 - Q2 Bonus]]+Table1[[#This Row],[TA 2 - Q4 Bonus]]</f>
        <v/>
      </c>
      <c r="T532">
        <f>(Table1[[#This Row],[TA 1 - Total Score (out of 35)]]+Table1[[#This Row],[TA 2 - Total Score (out of 35)]])/2</f>
        <v/>
      </c>
      <c r="U532">
        <f>(Table1[[#This Row],[TA 1 - Total Bonus (out of 13)]]+Table1[[#This Row],[TA 2 - Total Bonus (out of 13)]])/2</f>
        <v/>
      </c>
      <c r="V532">
        <f>Table1[[#This Row],[Average Questions]]/35*20+Table1[[#This Row],[Average Bonus]]/13*5</f>
        <v/>
      </c>
      <c r="W532" t="n">
        <v>4</v>
      </c>
      <c r="X532" t="n">
        <v>0</v>
      </c>
      <c r="Y532" t="inlineStr">
        <is>
          <t>The student attempted most tasks but made several mistakes. In Part 1, the resize transformation was incorrectly set to (28*28) instead of (28, 28). The DataLoader creation was partially correct but used a small batch size of 12 and shuffled the test set. In Part 2, the student loaded the correct model but used EfficientNet-B0 instead of EfficientNetV2-Small. The classifier head was modified correctly. In Part 3, the label fix was missing, and the training and validation loops contained unnecessary softmax operations. In Part 4, the plots were correct, but the training and validation loops had issues. No bonus task was attempted.</t>
        </is>
      </c>
      <c r="Z532" t="n">
        <v>5</v>
      </c>
      <c r="AA532" t="n">
        <v>0</v>
      </c>
      <c r="AB532" t="inlineStr">
        <is>
          <t>The student partially completed the required tasks. The data loading and preparation section included correct transformations and data loaders, earning full points. However, the model definition had only 5 convolutional layers without batch normalization, receiving 50% of the points. The training and validation loops were implemented correctly, earning full points. The bonus task was not attempted, resulting in 0 bonus points.</t>
        </is>
      </c>
      <c r="AC532" t="n">
        <v>8.5</v>
      </c>
      <c r="AD532" t="inlineStr">
        <is>
          <t>The student's submission largely follows the reference solution but contains minor issues. Task 1 is mostly correct with a small typo in the dataset class name. Task 2 correctly defines the U-Net model with the specified encoder. Task 3 implements training and validation loops accurately. Task 4 defines the loss and optimizer correctly, trains the model, and plots the loss curve. Task 5 visualizes predictions but uses a different colormap and includes unnecessary softmax computation. Overall, the submission is functional with some minor deviations.</t>
        </is>
      </c>
      <c r="AE532" t="n">
        <v>0</v>
      </c>
      <c r="AF532" t="n">
        <v>0</v>
      </c>
      <c r="AG532" t="inlineStr">
        <is>
          <t>The student did not implement any of the required methods in the `ColorizationDataset` class. The `__init__`, `__len__`, `rgb_to_grayscale`, and `__getitem__` methods were left unimplemented with only placeholder comments. As a result, the code does not run and fails to produce the expected output.</t>
        </is>
      </c>
      <c r="AH532" t="n">
        <v>17.5</v>
      </c>
      <c r="AI532" t="n">
        <v>0</v>
      </c>
    </row>
    <row r="533">
      <c r="A533" t="n">
        <v>532</v>
      </c>
      <c r="B533" t="inlineStr">
        <is>
          <t>TA_10</t>
        </is>
      </c>
      <c r="C533" t="inlineStr">
        <is>
          <t>TA_20</t>
        </is>
      </c>
      <c r="D533" t="n">
        <v>11.5</v>
      </c>
      <c r="E533" t="n">
        <v>0</v>
      </c>
      <c r="F533" t="n">
        <v>11</v>
      </c>
      <c r="G533" t="n">
        <v>0</v>
      </c>
      <c r="H533" t="n">
        <v>10.5</v>
      </c>
      <c r="I533" t="n">
        <v>0</v>
      </c>
      <c r="J533" t="n">
        <v>8.75</v>
      </c>
      <c r="K533" t="n">
        <v>0</v>
      </c>
      <c r="L533" t="n">
        <v>11</v>
      </c>
      <c r="M533" t="n">
        <v>0</v>
      </c>
      <c r="N533" t="n">
        <v>11.5</v>
      </c>
      <c r="O533" t="n">
        <v>0</v>
      </c>
      <c r="P533">
        <f>Table1[[#This Row],[TA 1 - Q1 Score]]+Table1[[#This Row],[TA 1 - Q2 Score]]+Table1[[#This Row],[TA 1 - Q3 Score]]</f>
        <v/>
      </c>
      <c r="Q533">
        <f>Table1[[#This Row],[TA 1 - Q1 Bonus]]+Table1[[#This Row],[TA 1 - Q2 Bonus]]+Table1[[#This Row],[TA 1 - Q4 Bonus]]</f>
        <v/>
      </c>
      <c r="R533">
        <f>Table1[[#This Row],[TA 2 - Q1 Score]]+Table1[[#This Row],[TA 2 - Q2 Score]]+Table1[[#This Row],[TA 2 - Q3 Score]]</f>
        <v/>
      </c>
      <c r="S533">
        <f>Table1[[#This Row],[TA 2 - Q1 Bonus]]+Table1[[#This Row],[TA 2 - Q2 Bonus]]+Table1[[#This Row],[TA 2 - Q4 Bonus]]</f>
        <v/>
      </c>
      <c r="T533">
        <f>(Table1[[#This Row],[TA 1 - Total Score (out of 35)]]+Table1[[#This Row],[TA 2 - Total Score (out of 35)]])/2</f>
        <v/>
      </c>
      <c r="U533">
        <f>(Table1[[#This Row],[TA 1 - Total Bonus (out of 13)]]+Table1[[#This Row],[TA 2 - Total Bonus (out of 13)]])/2</f>
        <v/>
      </c>
      <c r="V533">
        <f>Table1[[#This Row],[Average Questions]]/35*20+Table1[[#This Row],[Average Bonus]]/13*5</f>
        <v/>
      </c>
      <c r="W533" t="n">
        <v>7</v>
      </c>
      <c r="X533" t="n">
        <v>0</v>
      </c>
      <c r="Y533" t="inlineStr">
        <is>
          <t>The student completed most tasks with minor issues. The transforms were mostly correct but included an unnecessary SubtractOne module. DataLoaders were set up properly, and sample images were displayed. The pretrained model was loaded and adapted correctly, with the backbone frozen and classifier replaced. However, there were syntax errors in the training and validation loops, such as incorrect handling of outputs and labels. The training process ran, but the validation loop had a typo ('label' instead of 'labels'). No bonus tasks were attempted.</t>
        </is>
      </c>
      <c r="Z533" t="n">
        <v>8.5</v>
      </c>
      <c r="AA533" t="n">
        <v>0</v>
      </c>
      <c r="AB533" t="inlineStr">
        <is>
          <t>The student successfully completed most tasks with minor issues. The data loading and preparation section had correct transformations and displayed sample images. The CNN model had 5 convolutional layers with batch normalization, though the number of channels was different from the reference. Training and validation functions were implemented correctly, and the model trained and plotted losses and accuracies. However, the bonus task was not attempted.</t>
        </is>
      </c>
      <c r="AC533" t="n">
        <v>8</v>
      </c>
      <c r="AD533" t="inlineStr">
        <is>
          <t>The student's submission includes most of the required tasks with some minor issues. The dataset class is implemented correctly, but the image and mask paths are not properly loaded in the constructor. The DataLoader creation and sample display are mostly correct. The model class uses the correct U-Net architecture with the specified encoder. The training and validation loops are implemented correctly, though the number of epochs is set to 1 instead of 10. The loss and optimizer are defined correctly, and the training process prints the losses. The visualization of predictions is attempted but has some issues with displaying images and masks.</t>
        </is>
      </c>
      <c r="AE533" t="n">
        <v>0</v>
      </c>
      <c r="AF533" t="n">
        <v>0</v>
      </c>
      <c r="AG533" t="inlineStr">
        <is>
          <t>The student's implementation contains multiple syntax and logical errors. The `rgb_to_grayscale` method incorrectly attempts to use a string expression instead of performing the actual calculation. Additionally, the `__getitem__` method incorrectly calls `rgb_to_grayscale` without passing the required image argument. These issues prevent the code from running correctly.</t>
        </is>
      </c>
      <c r="AH533" t="n">
        <v>23.5</v>
      </c>
      <c r="AI533" t="n">
        <v>0</v>
      </c>
    </row>
    <row r="534">
      <c r="A534" t="n">
        <v>533</v>
      </c>
      <c r="B534" t="inlineStr">
        <is>
          <t>TA_10</t>
        </is>
      </c>
      <c r="C534" t="inlineStr">
        <is>
          <t>TA_20</t>
        </is>
      </c>
      <c r="D534" t="n">
        <v>5.75</v>
      </c>
      <c r="E534" t="n">
        <v>0</v>
      </c>
      <c r="F534" t="n">
        <v>8.75</v>
      </c>
      <c r="G534" t="n">
        <v>0</v>
      </c>
      <c r="H534" t="n">
        <v>6.5</v>
      </c>
      <c r="I534" t="n">
        <v>0</v>
      </c>
      <c r="J534" t="n">
        <v>9</v>
      </c>
      <c r="K534" t="n">
        <v>0</v>
      </c>
      <c r="L534" t="n">
        <v>9.75</v>
      </c>
      <c r="M534" t="n">
        <v>0</v>
      </c>
      <c r="N534" t="n">
        <v>11.25</v>
      </c>
      <c r="O534" t="n">
        <v>0</v>
      </c>
      <c r="P534">
        <f>Table1[[#This Row],[TA 1 - Q1 Score]]+Table1[[#This Row],[TA 1 - Q2 Score]]+Table1[[#This Row],[TA 1 - Q3 Score]]</f>
        <v/>
      </c>
      <c r="Q534">
        <f>Table1[[#This Row],[TA 1 - Q1 Bonus]]+Table1[[#This Row],[TA 1 - Q2 Bonus]]+Table1[[#This Row],[TA 1 - Q4 Bonus]]</f>
        <v/>
      </c>
      <c r="R534">
        <f>Table1[[#This Row],[TA 2 - Q1 Score]]+Table1[[#This Row],[TA 2 - Q2 Score]]+Table1[[#This Row],[TA 2 - Q3 Score]]</f>
        <v/>
      </c>
      <c r="S534">
        <f>Table1[[#This Row],[TA 2 - Q1 Bonus]]+Table1[[#This Row],[TA 2 - Q2 Bonus]]+Table1[[#This Row],[TA 2 - Q4 Bonus]]</f>
        <v/>
      </c>
      <c r="T534">
        <f>(Table1[[#This Row],[TA 1 - Total Score (out of 35)]]+Table1[[#This Row],[TA 2 - Total Score (out of 35)]])/2</f>
        <v/>
      </c>
      <c r="U534">
        <f>(Table1[[#This Row],[TA 1 - Total Bonus (out of 13)]]+Table1[[#This Row],[TA 2 - Total Bonus (out of 13)]])/2</f>
        <v/>
      </c>
      <c r="V534">
        <f>Table1[[#This Row],[Average Questions]]/35*20+Table1[[#This Row],[Average Bonus]]/13*5</f>
        <v/>
      </c>
      <c r="W534" t="n">
        <v>4</v>
      </c>
      <c r="X534" t="n">
        <v>0</v>
      </c>
      <c r="Y534" t="inlineStr">
        <is>
          <t>The student partially completed several tasks but made significant errors. The data loading and preparation section had issues with incorrect dataset splits and missing label adjustments. The model setup included freezing all parameters instead of just the backbone. The training and validation loops were implemented but did not adjust labels correctly. No bonus tasks were attempted.</t>
        </is>
      </c>
      <c r="Z534" t="n">
        <v>3</v>
      </c>
      <c r="AA534" t="n">
        <v>0</v>
      </c>
      <c r="AB534" t="inlineStr">
        <is>
          <t>The student partially completed several tasks but made significant errors. The data loading and preparation section had issues with incorrect paths and transformations, leading to incorrect image sizes. The CNN model was incorrectly defined with too few channels and incorrect batch normalization usage. The training and validation functions were mostly correct but used softmax unnecessarily. The training setup used an incorrect optimizer parameter reference. No bonus task was attempted.</t>
        </is>
      </c>
      <c r="AC534" t="n">
        <v>4</v>
      </c>
      <c r="AD534" t="inlineStr">
        <is>
          <t>The student attempted most tasks but made significant errors. In Task 1, the dataset paths were incorrectly identified, leading to mismatched image-mask pairs. The remapping function was incorrectly implemented for binary masks instead of multi-class. Task 2 used an incorrect number of classes (1 instead of 8). Task 3 had incorrect loss functions and data types for masks. Task 4 trained for only one epoch due to memory constraints. Task 5 was incomplete.</t>
        </is>
      </c>
      <c r="AE534" t="n">
        <v>0</v>
      </c>
      <c r="AF534" t="n">
        <v>0</v>
      </c>
      <c r="AG534" t="inlineStr">
        <is>
          <t>No submission found.</t>
        </is>
      </c>
      <c r="AH534" t="n">
        <v>11</v>
      </c>
      <c r="AI534" t="n">
        <v>0</v>
      </c>
    </row>
    <row r="535">
      <c r="A535" t="n">
        <v>534</v>
      </c>
      <c r="B535" t="inlineStr">
        <is>
          <t>TA_10</t>
        </is>
      </c>
      <c r="C535" t="inlineStr">
        <is>
          <t>TA_20</t>
        </is>
      </c>
      <c r="D535" t="n">
        <v>12</v>
      </c>
      <c r="E535" t="n">
        <v>3</v>
      </c>
      <c r="F535" t="n">
        <v>10</v>
      </c>
      <c r="G535" t="n">
        <v>4</v>
      </c>
      <c r="H535" t="n">
        <v>9.75</v>
      </c>
      <c r="I535" t="n">
        <v>5</v>
      </c>
      <c r="J535" t="n">
        <v>12</v>
      </c>
      <c r="K535" t="n">
        <v>3</v>
      </c>
      <c r="L535" t="n">
        <v>10.5</v>
      </c>
      <c r="M535" t="n">
        <v>4</v>
      </c>
      <c r="N535" t="n">
        <v>10.75</v>
      </c>
      <c r="O535" t="n">
        <v>5</v>
      </c>
      <c r="P535">
        <f>Table1[[#This Row],[TA 1 - Q1 Score]]+Table1[[#This Row],[TA 1 - Q2 Score]]+Table1[[#This Row],[TA 1 - Q3 Score]]</f>
        <v/>
      </c>
      <c r="Q535">
        <f>Table1[[#This Row],[TA 1 - Q1 Bonus]]+Table1[[#This Row],[TA 1 - Q2 Bonus]]+Table1[[#This Row],[TA 1 - Q4 Bonus]]</f>
        <v/>
      </c>
      <c r="R535">
        <f>Table1[[#This Row],[TA 2 - Q1 Score]]+Table1[[#This Row],[TA 2 - Q2 Score]]+Table1[[#This Row],[TA 2 - Q3 Score]]</f>
        <v/>
      </c>
      <c r="S535">
        <f>Table1[[#This Row],[TA 2 - Q1 Bonus]]+Table1[[#This Row],[TA 2 - Q2 Bonus]]+Table1[[#This Row],[TA 2 - Q4 Bonus]]</f>
        <v/>
      </c>
      <c r="T535">
        <f>(Table1[[#This Row],[TA 1 - Total Score (out of 35)]]+Table1[[#This Row],[TA 2 - Total Score (out of 35)]])/2</f>
        <v/>
      </c>
      <c r="U535">
        <f>(Table1[[#This Row],[TA 1 - Total Bonus (out of 13)]]+Table1[[#This Row],[TA 2 - Total Bonus (out of 13)]])/2</f>
        <v/>
      </c>
      <c r="V535">
        <f>Table1[[#This Row],[Average Questions]]/35*20+Table1[[#This Row],[Average Bonus]]/13*5</f>
        <v/>
      </c>
      <c r="W535" t="n">
        <v>7</v>
      </c>
      <c r="X535" t="n">
        <v>0</v>
      </c>
      <c r="Y535" t="inlineStr">
        <is>
          <t>The student completed most tasks with minor issues. Transforms were correctly defined, but the DataLoader batch size was small (4 instead of 64). Sample images were displayed correctly. The model was loaded and adapted properly, but the backbone was incorrectly frozen using a blanket approach rather than targeting the feature extractor specifically. Training and validation loops were implemented with label fixing, but the bonus task for Test Time Augmentation was incorrect, averaging predictions improperly and not calculating the final accuracy correctly.</t>
        </is>
      </c>
      <c r="Z535" t="n">
        <v>5</v>
      </c>
      <c r="AA535" t="n">
        <v>0</v>
      </c>
      <c r="AB535" t="inlineStr">
        <is>
          <t>The student partially completed the tasks. They correctly set up the dataset paths and transformations, but made a typo in the training path variable name ('trian_path'). The model architecture deviated significantly from the required 5 convolutional layers with batch normalization, instead using a more complex U-Net-like structure. The training and validation loops were implemented correctly, but the model definition did not meet the task requirements. No bonus task was attempted.</t>
        </is>
      </c>
      <c r="AC535" t="n">
        <v>4</v>
      </c>
      <c r="AD535" t="inlineStr">
        <is>
          <t>The student attempted most tasks but made significant errors. In Task 1, the dataset class and DataLoaders were mostly correct, but the display function had issues with mask visualization. Task 2 incorrectly defined the U-Net model with a single class instead of 8. Task 3 had incorrect training and validation loops due to improper handling of mask dimensions and loss functions. Task 4 used an incorrect loss function and optimizer, and Task 5 visualized predictions incorrectly as binary masks instead of multi-class.</t>
        </is>
      </c>
      <c r="AE535" t="n">
        <v>0</v>
      </c>
      <c r="AF535" t="n">
        <v>5</v>
      </c>
      <c r="AG535" t="inlineStr">
        <is>
          <t>The student's implementation of the `ColorizationDataset` class is correct and runs perfectly, producing the expected output and following the optimal logic. The `__init__`, `__len__`, `rgb_to_grayscale`, and `__getitem__` methods are all implemented accurately. The visualization also works as intended, showing both the grayscale and color images correctly. Therefore, the student receives full bonus points for this task.</t>
        </is>
      </c>
      <c r="AH535" t="n">
        <v>16</v>
      </c>
      <c r="AI535" t="n">
        <v>5</v>
      </c>
    </row>
    <row r="536">
      <c r="A536" t="n">
        <v>535</v>
      </c>
      <c r="B536" t="inlineStr">
        <is>
          <t>TA_10</t>
        </is>
      </c>
      <c r="C536" t="inlineStr">
        <is>
          <t>TA_20</t>
        </is>
      </c>
      <c r="D536" t="n">
        <v>1</v>
      </c>
      <c r="E536" t="n">
        <v>0</v>
      </c>
      <c r="F536" t="n">
        <v>3.2</v>
      </c>
      <c r="G536" t="n">
        <v>0</v>
      </c>
      <c r="H536" t="n">
        <v>-6</v>
      </c>
      <c r="I536" t="n">
        <v>0</v>
      </c>
      <c r="J536" t="n">
        <v>7.5</v>
      </c>
      <c r="K536" t="n">
        <v>0</v>
      </c>
      <c r="L536" t="n">
        <v>4.75</v>
      </c>
      <c r="M536" t="n">
        <v>0</v>
      </c>
      <c r="N536" t="n">
        <v>10</v>
      </c>
      <c r="O536" t="n">
        <v>0</v>
      </c>
      <c r="P536">
        <f>Table1[[#This Row],[TA 1 - Q1 Score]]+Table1[[#This Row],[TA 1 - Q2 Score]]+Table1[[#This Row],[TA 1 - Q3 Score]]</f>
        <v/>
      </c>
      <c r="Q536">
        <f>Table1[[#This Row],[TA 1 - Q1 Bonus]]+Table1[[#This Row],[TA 1 - Q2 Bonus]]+Table1[[#This Row],[TA 1 - Q4 Bonus]]</f>
        <v/>
      </c>
      <c r="R536">
        <f>Table1[[#This Row],[TA 2 - Q1 Score]]+Table1[[#This Row],[TA 2 - Q2 Score]]+Table1[[#This Row],[TA 2 - Q3 Score]]</f>
        <v/>
      </c>
      <c r="S536">
        <f>Table1[[#This Row],[TA 2 - Q1 Bonus]]+Table1[[#This Row],[TA 2 - Q2 Bonus]]+Table1[[#This Row],[TA 2 - Q4 Bonus]]</f>
        <v/>
      </c>
      <c r="T536">
        <f>(Table1[[#This Row],[TA 1 - Total Score (out of 35)]]+Table1[[#This Row],[TA 2 - Total Score (out of 35)]])/2</f>
        <v/>
      </c>
      <c r="U536">
        <f>(Table1[[#This Row],[TA 1 - Total Bonus (out of 13)]]+Table1[[#This Row],[TA 2 - Total Bonus (out of 13)]])/2</f>
        <v/>
      </c>
      <c r="V536">
        <f>Table1[[#This Row],[Average Questions]]/35*20+Table1[[#This Row],[Average Bonus]]/13*5</f>
        <v/>
      </c>
      <c r="W536" t="n">
        <v>2</v>
      </c>
      <c r="X536" t="n">
        <v>0</v>
      </c>
      <c r="Y536" t="inlineStr">
        <is>
          <t>The student partially completed the tasks but made several mistakes. In Part 1, the transforms were mostly correct but the DataLoader creation had issues with shuffling the validation set. In Part 2, the student incorrectly loaded EfficientNet-B0 instead of EfficientNetV2-Small and modified the classifier for binary classification instead of 26 classes. Parts 3 and 4 had significant issues, including incorrect handling of labels and incorrect implementation of the training and validation loops. No bonus tasks were attempted.</t>
        </is>
      </c>
      <c r="Z536" t="n">
        <v>5</v>
      </c>
      <c r="AA536" t="n">
        <v>0</v>
      </c>
      <c r="AB536" t="inlineStr">
        <is>
          <t>The student implemented a custom dataset class and created train/test datasets and DataLoaders, earning full credit for Part 1. However, the transformations were incorrect as they did not include RandomRotation and resized images to 32x32 instead of 128x128. The CNN model had only 3 convolutional layers instead of 5, and no Batch Normalization was added, resulting in 0 points for Part 2. The training and validation loops were correctly implemented, earning full credit for Part 3. The model setup, training, and plotting of losses and accuracies were done, but due to the incorrect model architecture, only partial credit was given for Part 4. No bonus tasks were attempted.</t>
        </is>
      </c>
      <c r="AC536" t="n">
        <v>0</v>
      </c>
      <c r="AD536" t="inlineStr">
        <is>
          <t>The student used the wrong dataset (OxfordIIITPet instead of the specified underwater imagery dataset) and made several mistakes in the implementation. The dataset class was incorrectly defined, and the model was set up for binary segmentation instead of multi-class segmentation. Additionally, the training and validation loops contained errors, and the visualization code did not correctly display the predictions.</t>
        </is>
      </c>
      <c r="AE536" t="n">
        <v>0</v>
      </c>
      <c r="AF536" t="n">
        <v>0</v>
      </c>
      <c r="AG536" t="inlineStr">
        <is>
          <t>The student's implementation is entirely incorrect and does not follow the required structure. The `ColorizationDataset` class incorrectly includes encoder and decoder components meant for an autoencoder, which are not needed for this task. Additionally, the `__init__`, `__len__`, `rgb_to_grayscale`, and `__getitem__` methods are either incomplete or incorrect. The `__init__` method incorrectly initializes a CNN autoencoder instead of storing the dataset. The `__len__` method references undefined attributes. The `rgb_to_grayscale` method is unimplemented. The `__getitem__` method incorrectly reads images from file paths and returns labels, which is not aligned with the task requirements.</t>
        </is>
      </c>
      <c r="AH536" t="n">
        <v>7</v>
      </c>
      <c r="AI536" t="n">
        <v>0</v>
      </c>
    </row>
    <row r="537">
      <c r="A537" t="n">
        <v>536</v>
      </c>
      <c r="B537" t="inlineStr">
        <is>
          <t>TA_10</t>
        </is>
      </c>
      <c r="C537" t="inlineStr">
        <is>
          <t>TA_20</t>
        </is>
      </c>
      <c r="D537" t="n">
        <v>11</v>
      </c>
      <c r="E537" t="n">
        <v>0</v>
      </c>
      <c r="F537" t="n">
        <v>9.5</v>
      </c>
      <c r="G537" t="n">
        <v>0</v>
      </c>
      <c r="H537" t="n">
        <v>12.5</v>
      </c>
      <c r="I537" t="n">
        <v>0</v>
      </c>
      <c r="J537" t="n">
        <v>9.5</v>
      </c>
      <c r="K537" t="n">
        <v>0</v>
      </c>
      <c r="L537" t="n">
        <v>9.5</v>
      </c>
      <c r="M537" t="n">
        <v>0</v>
      </c>
      <c r="N537" t="n">
        <v>11.5</v>
      </c>
      <c r="O537" t="n">
        <v>0</v>
      </c>
      <c r="P537">
        <f>Table1[[#This Row],[TA 1 - Q1 Score]]+Table1[[#This Row],[TA 1 - Q2 Score]]+Table1[[#This Row],[TA 1 - Q3 Score]]</f>
        <v/>
      </c>
      <c r="Q537">
        <f>Table1[[#This Row],[TA 1 - Q1 Bonus]]+Table1[[#This Row],[TA 1 - Q2 Bonus]]+Table1[[#This Row],[TA 1 - Q4 Bonus]]</f>
        <v/>
      </c>
      <c r="R537">
        <f>Table1[[#This Row],[TA 2 - Q1 Score]]+Table1[[#This Row],[TA 2 - Q2 Score]]+Table1[[#This Row],[TA 2 - Q3 Score]]</f>
        <v/>
      </c>
      <c r="S537">
        <f>Table1[[#This Row],[TA 2 - Q1 Bonus]]+Table1[[#This Row],[TA 2 - Q2 Bonus]]+Table1[[#This Row],[TA 2 - Q4 Bonus]]</f>
        <v/>
      </c>
      <c r="T537">
        <f>(Table1[[#This Row],[TA 1 - Total Score (out of 35)]]+Table1[[#This Row],[TA 2 - Total Score (out of 35)]])/2</f>
        <v/>
      </c>
      <c r="U537">
        <f>(Table1[[#This Row],[TA 1 - Total Bonus (out of 13)]]+Table1[[#This Row],[TA 2 - Total Bonus (out of 13)]])/2</f>
        <v/>
      </c>
      <c r="V537">
        <f>Table1[[#This Row],[Average Questions]]/35*20+Table1[[#This Row],[Average Bonus]]/13*5</f>
        <v/>
      </c>
      <c r="W537" t="n">
        <v>7</v>
      </c>
      <c r="X537" t="n">
        <v>0</v>
      </c>
      <c r="Y537" t="inlineStr">
        <is>
          <t>The student partially completed most tasks but made several mistakes. In Part 1, the resize transformation was incorrectly set to 32x32 instead of 28x28. DataLoaders were created correctly, and sample images were displayed with proper label adjustments. In Part 2, the student loaded the wrong model (efficientnet_b3 instead of efficientnet_v2_s) and incorrectly froze all model parameters instead of just the backbone. The classifier head was replaced correctly. In Part 3, both training and validation loops were implemented with minor issues: the output squeezing was unnecessary, and the label adjustment was correct. In Part 4, the model was trained and plotted, but the number of epochs was reduced to 3, and the optimizer was changed to AdamW. No bonus task was attempted.</t>
        </is>
      </c>
      <c r="Z537" t="n">
        <v>7</v>
      </c>
      <c r="AA537" t="n">
        <v>0</v>
      </c>
      <c r="AB537" t="inlineStr">
        <is>
          <t>The student successfully loaded and prepared the data with correct transformations and displayed sample images. The CNN model was built with five convolutional layers and batch normalization, though the kernel sizes and strides differ from the reference solution. Training and validation functions were implemented correctly, and the model was trained and evaluated. However, the batch size of 67 is unusually large and may not be optimal. No bonus task was attempted.</t>
        </is>
      </c>
      <c r="AC537" t="n">
        <v>8.5</v>
      </c>
      <c r="AD537" t="inlineStr">
        <is>
          <t>The student's submission largely follows the reference solution but contains minor issues. Task 1 is mostly correct with a small mistake in the dataset class import statement. Task 2 correctly defines the U-Net model with the specified encoder. Task 3 implements the training and validation loops accurately. Task 4 defines the loss and optimizer correctly, trains the model, and plots the loss curve. Task 5 visualizes predictions but uses grayscale for masks instead of the specified colormap.</t>
        </is>
      </c>
      <c r="AE537" t="n">
        <v>0</v>
      </c>
      <c r="AF537" t="n">
        <v>0</v>
      </c>
      <c r="AG537" t="inlineStr">
        <is>
          <t>The student did not implement the `ColorizationDataset` class correctly. The `rgb_to_grayscale` method contains syntax errors and logical mistakes, and the `__getitem__` method is incomplete. The test cases and visualization were not executed due to these issues.</t>
        </is>
      </c>
      <c r="AH537" t="n">
        <v>22.5</v>
      </c>
      <c r="AI537" t="n">
        <v>0</v>
      </c>
    </row>
    <row r="538">
      <c r="A538" t="n">
        <v>537</v>
      </c>
      <c r="B538" t="inlineStr">
        <is>
          <t>TA_10</t>
        </is>
      </c>
      <c r="C538" t="inlineStr">
        <is>
          <t>TA_20</t>
        </is>
      </c>
      <c r="D538" t="n">
        <v>12</v>
      </c>
      <c r="E538" t="n">
        <v>4</v>
      </c>
      <c r="F538" t="n">
        <v>11</v>
      </c>
      <c r="G538" t="n">
        <v>1</v>
      </c>
      <c r="H538" t="n">
        <v>12</v>
      </c>
      <c r="I538" t="n">
        <v>0</v>
      </c>
      <c r="J538" t="n">
        <v>12</v>
      </c>
      <c r="K538" t="n">
        <v>4</v>
      </c>
      <c r="L538" t="n">
        <v>11</v>
      </c>
      <c r="M538" t="n">
        <v>0</v>
      </c>
      <c r="N538" t="n">
        <v>12</v>
      </c>
      <c r="O538" t="n">
        <v>0</v>
      </c>
      <c r="P538">
        <f>Table1[[#This Row],[TA 1 - Q1 Score]]+Table1[[#This Row],[TA 1 - Q2 Score]]+Table1[[#This Row],[TA 1 - Q3 Score]]</f>
        <v/>
      </c>
      <c r="Q538">
        <f>Table1[[#This Row],[TA 1 - Q1 Bonus]]+Table1[[#This Row],[TA 1 - Q2 Bonus]]+Table1[[#This Row],[TA 1 - Q4 Bonus]]</f>
        <v/>
      </c>
      <c r="R538">
        <f>Table1[[#This Row],[TA 2 - Q1 Score]]+Table1[[#This Row],[TA 2 - Q2 Score]]+Table1[[#This Row],[TA 2 - Q3 Score]]</f>
        <v/>
      </c>
      <c r="S538">
        <f>Table1[[#This Row],[TA 2 - Q1 Bonus]]+Table1[[#This Row],[TA 2 - Q2 Bonus]]+Table1[[#This Row],[TA 2 - Q4 Bonus]]</f>
        <v/>
      </c>
      <c r="T538">
        <f>(Table1[[#This Row],[TA 1 - Total Score (out of 35)]]+Table1[[#This Row],[TA 2 - Total Score (out of 35)]])/2</f>
        <v/>
      </c>
      <c r="U538">
        <f>(Table1[[#This Row],[TA 1 - Total Bonus (out of 13)]]+Table1[[#This Row],[TA 2 - Total Bonus (out of 13)]])/2</f>
        <v/>
      </c>
      <c r="V538">
        <f>Table1[[#This Row],[Average Questions]]/35*20+Table1[[#This Row],[Average Bonus]]/13*5</f>
        <v/>
      </c>
      <c r="W538" t="n">
        <v>8.5</v>
      </c>
      <c r="X538" t="n">
        <v>1</v>
      </c>
      <c r="Y538" t="inlineStr">
        <is>
          <t>The student completed most tasks correctly but made some minor mistakes. In Part 1, the transforms were correctly defined, and DataLoaders were created with appropriate parameters. Sample images were displayed, though the label mapping was incorrect due to using train_dataset.classes instead of the letters string. In Part 2, the model was loaded and adapted correctly, but all parameters were frozen instead of just the backbone. In Part 3, the training and validation loops were mostly correct, with proper label fixing. In Part 4, the model was set up and trained, and the loss and accuracy plots were generated. For the bonus task, the student implemented TTA correctly but made a mistake in printing the final accuracy.</t>
        </is>
      </c>
      <c r="Z538" t="n">
        <v>7</v>
      </c>
      <c r="AA538" t="n">
        <v>0</v>
      </c>
      <c r="AB538" t="inlineStr">
        <is>
          <t>The student completed most tasks with minor issues. The data loading and preparation were mostly correct, with the right transformations applied. However, the model architecture had incorrect channel sizes and lacked the required number of convolutional layers. The training and validation loops were implemented correctly, but the model was not trained for the full number of epochs specified in the rubric. The bonus task was not completed correctly due to errors in the residual connection implementation.</t>
        </is>
      </c>
      <c r="AC538" t="n">
        <v>8.5</v>
      </c>
      <c r="AD538" t="inlineStr">
        <is>
          <t>The student's submission demonstrates a good understanding of the tasks but contains some minor issues. The dataset class is correctly implemented, and the data loaders are set up properly. However, the image and mask transformations could be improved for better normalization. The U-Net model is defined with the correct encoder, and the training and validation loops are mostly correct, though the number of epochs is reduced for speed. The loss and optimizer are defined appropriately, and the training process runs without errors. The visualization of predictions is attempted but uses grayscale for the predicted mask instead of a color map for better distinction between classes.</t>
        </is>
      </c>
      <c r="AE538" t="n">
        <v>0</v>
      </c>
      <c r="AF538" t="n">
        <v>0</v>
      </c>
      <c r="AG538" t="inlineStr">
        <is>
          <t>No submission found.</t>
        </is>
      </c>
      <c r="AH538" t="n">
        <v>24</v>
      </c>
      <c r="AI538" t="n">
        <v>1</v>
      </c>
    </row>
    <row r="539">
      <c r="A539" t="n">
        <v>538</v>
      </c>
      <c r="B539" t="inlineStr">
        <is>
          <t>TA_10</t>
        </is>
      </c>
      <c r="C539" t="inlineStr">
        <is>
          <t>TA_20</t>
        </is>
      </c>
      <c r="D539" t="n">
        <v>10.5</v>
      </c>
      <c r="E539" t="n">
        <v>0</v>
      </c>
      <c r="F539" t="n">
        <v>8.5</v>
      </c>
      <c r="G539" t="n">
        <v>0</v>
      </c>
      <c r="H539" t="n">
        <v>6</v>
      </c>
      <c r="I539" t="n">
        <v>0</v>
      </c>
      <c r="J539" t="n">
        <v>9.5</v>
      </c>
      <c r="K539" t="n">
        <v>0</v>
      </c>
      <c r="L539" t="n">
        <v>9</v>
      </c>
      <c r="M539" t="n">
        <v>0</v>
      </c>
      <c r="N539" t="n">
        <v>8.5</v>
      </c>
      <c r="O539" t="n">
        <v>0</v>
      </c>
      <c r="P539">
        <f>Table1[[#This Row],[TA 1 - Q1 Score]]+Table1[[#This Row],[TA 1 - Q2 Score]]+Table1[[#This Row],[TA 1 - Q3 Score]]</f>
        <v/>
      </c>
      <c r="Q539">
        <f>Table1[[#This Row],[TA 1 - Q1 Bonus]]+Table1[[#This Row],[TA 1 - Q2 Bonus]]+Table1[[#This Row],[TA 1 - Q4 Bonus]]</f>
        <v/>
      </c>
      <c r="R539">
        <f>Table1[[#This Row],[TA 2 - Q1 Score]]+Table1[[#This Row],[TA 2 - Q2 Score]]+Table1[[#This Row],[TA 2 - Q3 Score]]</f>
        <v/>
      </c>
      <c r="S539">
        <f>Table1[[#This Row],[TA 2 - Q1 Bonus]]+Table1[[#This Row],[TA 2 - Q2 Bonus]]+Table1[[#This Row],[TA 2 - Q4 Bonus]]</f>
        <v/>
      </c>
      <c r="T539">
        <f>(Table1[[#This Row],[TA 1 - Total Score (out of 35)]]+Table1[[#This Row],[TA 2 - Total Score (out of 35)]])/2</f>
        <v/>
      </c>
      <c r="U539">
        <f>(Table1[[#This Row],[TA 1 - Total Bonus (out of 13)]]+Table1[[#This Row],[TA 2 - Total Bonus (out of 13)]])/2</f>
        <v/>
      </c>
      <c r="V539">
        <f>Table1[[#This Row],[Average Questions]]/35*20+Table1[[#This Row],[Average Bonus]]/13*5</f>
        <v/>
      </c>
      <c r="W539" t="n">
        <v>5</v>
      </c>
      <c r="X539" t="n">
        <v>0</v>
      </c>
      <c r="Y539" t="inlineStr">
        <is>
          <t>The student completed the data loading and transformation tasks correctly, including resizing, converting to tensor, and normalizing the images. However, there were issues in creating and displaying sample images, where the student used hardcoded indices and did not properly denormalize the images for display. In part 2, the student loaded the EfficientNetV2-Small model but did not freeze the backbone, resulting in all parameters being trainable. The classifier head was correctly modified for 26 classes. In part 3, both training and validation loops had logical errors, particularly in how predictions were calculated. The student did not implement the bonus task for test time augmentation.</t>
        </is>
      </c>
      <c r="Z539" t="n">
        <v>7</v>
      </c>
      <c r="AA539" t="n">
        <v>0</v>
      </c>
      <c r="AB539" t="inlineStr">
        <is>
          <t>The student successfully completed most tasks but made several minor errors. The dataset loading and preparation were mostly correct, except for inconsistent resizing (32x32 for training and 64x64 for validation/test). The CNN model had 5 convolutional layers but lacked batch normalization. The training and validation loops were implemented correctly, and the model trained and plotted results. However, the bonus task was not attempted.</t>
        </is>
      </c>
      <c r="AC539" t="n">
        <v>6</v>
      </c>
      <c r="AD539" t="inlineStr">
        <is>
          <t>The student attempted most tasks but made several mistakes. In Task 1, the dataset class was partially correct but had issues with file paths and redundant definitions. DataLoaders were correctly defined but with incorrect batch sizes. Sample images and masks were displayed, but the paths were inconsistent. In Task 2, the model was incorrectly defined with only one class instead of eight. Task 3 and Task 4 were mostly correct with proper training and validation loops, loss calculation, and plotting. However, the model definition error affected the entire pipeline. Task 5 was not fully implemented due to the incorrect model setup.</t>
        </is>
      </c>
      <c r="AE539" t="n">
        <v>0</v>
      </c>
      <c r="AF539" t="n">
        <v>0</v>
      </c>
      <c r="AG539" t="inlineStr">
        <is>
          <t>No submission found.</t>
        </is>
      </c>
      <c r="AH539" t="n">
        <v>18</v>
      </c>
      <c r="AI539" t="n">
        <v>0</v>
      </c>
    </row>
    <row r="540">
      <c r="A540" t="n">
        <v>539</v>
      </c>
      <c r="B540" t="inlineStr">
        <is>
          <t>TA_10</t>
        </is>
      </c>
      <c r="C540" t="inlineStr">
        <is>
          <t>TA_20</t>
        </is>
      </c>
      <c r="D540" t="n">
        <v>11.5</v>
      </c>
      <c r="E540" t="n">
        <v>0</v>
      </c>
      <c r="F540" t="n">
        <v>9.5</v>
      </c>
      <c r="G540" t="n">
        <v>1</v>
      </c>
      <c r="H540" t="n">
        <v>6.5</v>
      </c>
      <c r="I540" t="n">
        <v>0</v>
      </c>
      <c r="J540" t="n">
        <v>11.5</v>
      </c>
      <c r="K540" t="n">
        <v>0</v>
      </c>
      <c r="L540" t="n">
        <v>9</v>
      </c>
      <c r="M540" t="n">
        <v>3</v>
      </c>
      <c r="N540" t="n">
        <v>8</v>
      </c>
      <c r="O540" t="n">
        <v>0</v>
      </c>
      <c r="P540">
        <f>Table1[[#This Row],[TA 1 - Q1 Score]]+Table1[[#This Row],[TA 1 - Q2 Score]]+Table1[[#This Row],[TA 1 - Q3 Score]]</f>
        <v/>
      </c>
      <c r="Q540">
        <f>Table1[[#This Row],[TA 1 - Q1 Bonus]]+Table1[[#This Row],[TA 1 - Q2 Bonus]]+Table1[[#This Row],[TA 1 - Q4 Bonus]]</f>
        <v/>
      </c>
      <c r="R540">
        <f>Table1[[#This Row],[TA 2 - Q1 Score]]+Table1[[#This Row],[TA 2 - Q2 Score]]+Table1[[#This Row],[TA 2 - Q3 Score]]</f>
        <v/>
      </c>
      <c r="S540">
        <f>Table1[[#This Row],[TA 2 - Q1 Bonus]]+Table1[[#This Row],[TA 2 - Q2 Bonus]]+Table1[[#This Row],[TA 2 - Q4 Bonus]]</f>
        <v/>
      </c>
      <c r="T540">
        <f>(Table1[[#This Row],[TA 1 - Total Score (out of 35)]]+Table1[[#This Row],[TA 2 - Total Score (out of 35)]])/2</f>
        <v/>
      </c>
      <c r="U540">
        <f>(Table1[[#This Row],[TA 1 - Total Bonus (out of 13)]]+Table1[[#This Row],[TA 2 - Total Bonus (out of 13)]])/2</f>
        <v/>
      </c>
      <c r="V540">
        <f>Table1[[#This Row],[Average Questions]]/35*20+Table1[[#This Row],[Average Bonus]]/13*5</f>
        <v/>
      </c>
      <c r="W540" t="n">
        <v>7.5</v>
      </c>
      <c r="X540" t="n">
        <v>0</v>
      </c>
      <c r="Y540" t="inlineStr">
        <is>
          <t>The student completed the data loading and transformation tasks correctly, including resizing, converting to tensor, and normalizing the images. The DataLoaders were set up properly, and sample images were displayed with correct labels. However, there were issues in the model adaptation section where the student froze all parameters instead of just the backbone. The training and validation loops were implemented but lacked detailed logging of loss and accuracy, and the optimizer was incorrectly set to update only the classifier parameters. No bonus task was attempted.</t>
        </is>
      </c>
      <c r="Z540" t="n">
        <v>7</v>
      </c>
      <c r="AA540" t="n">
        <v>0</v>
      </c>
      <c r="AB540" t="inlineStr">
        <is>
          <t>The student successfully loaded and prepared the data with the correct transformations and displayed sample images. The CNN model was built with 5 convolutional layers and batch normalization, though the number of channels and fully connected layer sizes differ from the reference. The training and validation loops were implemented correctly, but there was an error in the validation function where the accuracy was calculated incorrectly. The training process used the correct setup, but the validation loader was mistakenly passed the dataset instead of the dataloader. No bonus task was attempted.</t>
        </is>
      </c>
      <c r="AC540" t="n">
        <v>5</v>
      </c>
      <c r="AD540" t="inlineStr">
        <is>
          <t>The student partially completed the tasks with some syntax and logical errors. The dataset class and transformations were correctly implemented, but the DataLoader creation and sample display were missing. The model class used the correct encoder but was not fully integrated. The training and validation loops were attempted but contained errors, such as incorrect data types for the masks. The training process had issues with undefined variables and incorrect function calls. Visualization of predictions was not completed.</t>
        </is>
      </c>
      <c r="AE540" t="n">
        <v>0</v>
      </c>
      <c r="AF540" t="n">
        <v>0</v>
      </c>
      <c r="AG540" t="inlineStr">
        <is>
          <t>No submission found.</t>
        </is>
      </c>
      <c r="AH540" t="n">
        <v>19.5</v>
      </c>
      <c r="AI540" t="n">
        <v>0</v>
      </c>
    </row>
    <row r="541">
      <c r="A541" t="n">
        <v>540</v>
      </c>
      <c r="B541" t="inlineStr">
        <is>
          <t>TA_10</t>
        </is>
      </c>
      <c r="C541" t="inlineStr">
        <is>
          <t>TA_20</t>
        </is>
      </c>
      <c r="D541" t="n">
        <v>8.5</v>
      </c>
      <c r="E541" t="n">
        <v>0</v>
      </c>
      <c r="F541" t="n">
        <v>10.5</v>
      </c>
      <c r="G541" t="n">
        <v>0</v>
      </c>
      <c r="H541" t="n">
        <v>12</v>
      </c>
      <c r="I541" t="n">
        <v>0</v>
      </c>
      <c r="J541" t="n">
        <v>11.5</v>
      </c>
      <c r="K541" t="n">
        <v>0</v>
      </c>
      <c r="L541" t="n">
        <v>10.5</v>
      </c>
      <c r="M541" t="n">
        <v>0</v>
      </c>
      <c r="N541" t="n">
        <v>12</v>
      </c>
      <c r="O541" t="n">
        <v>0</v>
      </c>
      <c r="P541">
        <f>Table1[[#This Row],[TA 1 - Q1 Score]]+Table1[[#This Row],[TA 1 - Q2 Score]]+Table1[[#This Row],[TA 1 - Q3 Score]]</f>
        <v/>
      </c>
      <c r="Q541">
        <f>Table1[[#This Row],[TA 1 - Q1 Bonus]]+Table1[[#This Row],[TA 1 - Q2 Bonus]]+Table1[[#This Row],[TA 1 - Q4 Bonus]]</f>
        <v/>
      </c>
      <c r="R541">
        <f>Table1[[#This Row],[TA 2 - Q1 Score]]+Table1[[#This Row],[TA 2 - Q2 Score]]+Table1[[#This Row],[TA 2 - Q3 Score]]</f>
        <v/>
      </c>
      <c r="S541">
        <f>Table1[[#This Row],[TA 2 - Q1 Bonus]]+Table1[[#This Row],[TA 2 - Q2 Bonus]]+Table1[[#This Row],[TA 2 - Q4 Bonus]]</f>
        <v/>
      </c>
      <c r="T541">
        <f>(Table1[[#This Row],[TA 1 - Total Score (out of 35)]]+Table1[[#This Row],[TA 2 - Total Score (out of 35)]])/2</f>
        <v/>
      </c>
      <c r="U541">
        <f>(Table1[[#This Row],[TA 1 - Total Bonus (out of 13)]]+Table1[[#This Row],[TA 2 - Total Bonus (out of 13)]])/2</f>
        <v/>
      </c>
      <c r="V541">
        <f>Table1[[#This Row],[Average Questions]]/35*20+Table1[[#This Row],[Average Bonus]]/13*5</f>
        <v/>
      </c>
      <c r="W541" t="n">
        <v>6</v>
      </c>
      <c r="X541" t="n">
        <v>0</v>
      </c>
      <c r="Y541" t="inlineStr">
        <is>
          <t>The student completed the data loading and preparation with minor issues, such as incorrect label mapping display. The model loading and adaptation were mostly correct, but the backbone was not properly frozen. The training and validation loops had syntax errors and logical mistakes, particularly in the label adjustment. The plotting of losses and accuracies was correct, but the bonus task was not attempted.</t>
        </is>
      </c>
      <c r="Z541" t="n">
        <v>7</v>
      </c>
      <c r="AA541" t="n">
        <v>0</v>
      </c>
      <c r="AB541" t="inlineStr">
        <is>
          <t>The student successfully loaded and prepared the data with the correct transformations and displayed sample images. The CNN model was built with five convolutional layers and batch normalization, though the number of output channels in some layers deviated from the reference solution. The training and validation loops were implemented correctly, and the model was trained and plotted. However, the bonus task was not completed.</t>
        </is>
      </c>
      <c r="AC541" t="n">
        <v>8</v>
      </c>
      <c r="AD541" t="inlineStr">
        <is>
          <t>The student's submission includes most of the required tasks with minor issues. The dataset class and DataLoader creation are mostly correct, though the directory paths were hardcoded instead of using the downloaded path. The model definition uses 'efficientnet-b0' instead of 'efficientnet-b1' as specified. The training and validation loops are implemented correctly, but the number of epochs is reduced to 3. The visualization of predictions has a small issue with accessing the model output, which could cause errors. Overall, the submission is functional but contains some discrepancies with the instructions.</t>
        </is>
      </c>
      <c r="AE541" t="n">
        <v>0</v>
      </c>
      <c r="AF541" t="n">
        <v>0</v>
      </c>
      <c r="AG541" t="inlineStr">
        <is>
          <t>No submission found.</t>
        </is>
      </c>
      <c r="AH541" t="n">
        <v>21</v>
      </c>
      <c r="AI541" t="n">
        <v>0</v>
      </c>
    </row>
    <row r="542">
      <c r="A542" t="n">
        <v>541</v>
      </c>
      <c r="B542" t="inlineStr">
        <is>
          <t>TA_10</t>
        </is>
      </c>
      <c r="C542" t="inlineStr">
        <is>
          <t>TA_20</t>
        </is>
      </c>
      <c r="D542" t="n">
        <v>8.5</v>
      </c>
      <c r="E542" t="n">
        <v>0</v>
      </c>
      <c r="F542" t="n">
        <v>7.25</v>
      </c>
      <c r="G542" t="n">
        <v>0</v>
      </c>
      <c r="H542" t="n">
        <v>3.25</v>
      </c>
      <c r="I542" t="n">
        <v>0</v>
      </c>
      <c r="J542" t="n">
        <v>8.5</v>
      </c>
      <c r="K542" t="n">
        <v>0</v>
      </c>
      <c r="L542" t="n">
        <v>6.75</v>
      </c>
      <c r="M542" t="n">
        <v>0</v>
      </c>
      <c r="N542" t="n">
        <v>9.5</v>
      </c>
      <c r="O542" t="n">
        <v>0</v>
      </c>
      <c r="P542">
        <f>Table1[[#This Row],[TA 1 - Q1 Score]]+Table1[[#This Row],[TA 1 - Q2 Score]]+Table1[[#This Row],[TA 1 - Q3 Score]]</f>
        <v/>
      </c>
      <c r="Q542">
        <f>Table1[[#This Row],[TA 1 - Q1 Bonus]]+Table1[[#This Row],[TA 1 - Q2 Bonus]]+Table1[[#This Row],[TA 1 - Q4 Bonus]]</f>
        <v/>
      </c>
      <c r="R542">
        <f>Table1[[#This Row],[TA 2 - Q1 Score]]+Table1[[#This Row],[TA 2 - Q2 Score]]+Table1[[#This Row],[TA 2 - Q3 Score]]</f>
        <v/>
      </c>
      <c r="S542">
        <f>Table1[[#This Row],[TA 2 - Q1 Bonus]]+Table1[[#This Row],[TA 2 - Q2 Bonus]]+Table1[[#This Row],[TA 2 - Q4 Bonus]]</f>
        <v/>
      </c>
      <c r="T542">
        <f>(Table1[[#This Row],[TA 1 - Total Score (out of 35)]]+Table1[[#This Row],[TA 2 - Total Score (out of 35)]])/2</f>
        <v/>
      </c>
      <c r="U542">
        <f>(Table1[[#This Row],[TA 1 - Total Bonus (out of 13)]]+Table1[[#This Row],[TA 2 - Total Bonus (out of 13)]])/2</f>
        <v/>
      </c>
      <c r="V542">
        <f>Table1[[#This Row],[Average Questions]]/35*20+Table1[[#This Row],[Average Bonus]]/13*5</f>
        <v/>
      </c>
      <c r="W542" t="n">
        <v>3</v>
      </c>
      <c r="X542" t="n">
        <v>0</v>
      </c>
      <c r="Y542" t="inlineStr">
        <is>
          <t>The student completed the data loading and preparation section correctly, including the transforms and DataLoaders. However, the model setup and adaptation section had issues: the backbone was not correctly frozen, and the classifier head was incorrectly set initially. The training and validation loops were partially correct but contained logical errors, such as squeezing the outputs and using sigmoid activation. The bonus task was not attempted.</t>
        </is>
      </c>
      <c r="Z542" t="n">
        <v>5</v>
      </c>
      <c r="AA542" t="n">
        <v>0</v>
      </c>
      <c r="AB542" t="inlineStr">
        <is>
          <t>The student partially completed the tasks. They correctly set up the dataset and DataLoaders with appropriate transformations, including RandomRotation and resizing. However, the CNN model has several issues: it uses an incorrect architecture with too many layers and incorrect batch normalization usage. The training and validation loops are mostly correct but the model is not trained for enough epochs. No bonus task was attempted.</t>
        </is>
      </c>
      <c r="AC542" t="n">
        <v>2</v>
      </c>
      <c r="AD542" t="inlineStr">
        <is>
          <t>The student attempted most tasks but made significant errors. In Task 1, they incorrectly used ImageFolder for loading images and masks, which is inappropriate for segmentation tasks. They also used incorrect normalization parameters. In Task 2, they defined a U-Net model with only one class instead of eight, which is incorrect for multi-class segmentation. In Task 3, the training and validation loops were attempted but contained logical errors, such as converting masks to float. In Task 4, they used BCEWithLogitsLoss, which is suitable for binary segmentation, not multi-class. In Task 5, they visualized predictions but did not correctly handle multi-class masks.</t>
        </is>
      </c>
      <c r="AE542" t="n">
        <v>0</v>
      </c>
      <c r="AF542" t="n">
        <v>0</v>
      </c>
      <c r="AG542" t="inlineStr">
        <is>
          <t>The student's implementation contains several issues. In the `__init__` method, the dataset is stored incorrectly as `self.cifar_dataset` instead of `self.dataset`. The `__len__` method incorrectly references `cifar_data` instead of `self.dataset`. The `rgb_to_grayscale` method uses a `transforms.Compose` approach, which is not aligned with the required manual conversion using the formula Gray = 0.299 * R + 0.587 * G + 0.114 * B. The `__getitem__` method is incomplete and does not return the required (grayscale_image, color_image) tuple. These errors prevent the code from running correctly.</t>
        </is>
      </c>
      <c r="AH542" t="n">
        <v>10</v>
      </c>
      <c r="AI542" t="n">
        <v>0</v>
      </c>
    </row>
    <row r="543">
      <c r="A543" t="n">
        <v>542</v>
      </c>
      <c r="B543" t="inlineStr">
        <is>
          <t>TA_10</t>
        </is>
      </c>
      <c r="C543" t="inlineStr">
        <is>
          <t>TA_20</t>
        </is>
      </c>
      <c r="D543" t="n">
        <v>6.5</v>
      </c>
      <c r="E543" t="n">
        <v>0</v>
      </c>
      <c r="F543" t="n">
        <v>9.5</v>
      </c>
      <c r="G543" t="n">
        <v>0</v>
      </c>
      <c r="H543" t="n">
        <v>7</v>
      </c>
      <c r="I543" t="n">
        <v>0</v>
      </c>
      <c r="J543" t="n">
        <v>9</v>
      </c>
      <c r="K543" t="n">
        <v>0</v>
      </c>
      <c r="L543" t="n">
        <v>9.5</v>
      </c>
      <c r="M543" t="n">
        <v>0</v>
      </c>
      <c r="N543" t="n">
        <v>10</v>
      </c>
      <c r="O543" t="n">
        <v>0</v>
      </c>
      <c r="P543">
        <f>Table1[[#This Row],[TA 1 - Q1 Score]]+Table1[[#This Row],[TA 1 - Q2 Score]]+Table1[[#This Row],[TA 1 - Q3 Score]]</f>
        <v/>
      </c>
      <c r="Q543">
        <f>Table1[[#This Row],[TA 1 - Q1 Bonus]]+Table1[[#This Row],[TA 1 - Q2 Bonus]]+Table1[[#This Row],[TA 1 - Q4 Bonus]]</f>
        <v/>
      </c>
      <c r="R543">
        <f>Table1[[#This Row],[TA 2 - Q1 Score]]+Table1[[#This Row],[TA 2 - Q2 Score]]+Table1[[#This Row],[TA 2 - Q3 Score]]</f>
        <v/>
      </c>
      <c r="S543">
        <f>Table1[[#This Row],[TA 2 - Q1 Bonus]]+Table1[[#This Row],[TA 2 - Q2 Bonus]]+Table1[[#This Row],[TA 2 - Q4 Bonus]]</f>
        <v/>
      </c>
      <c r="T543">
        <f>(Table1[[#This Row],[TA 1 - Total Score (out of 35)]]+Table1[[#This Row],[TA 2 - Total Score (out of 35)]])/2</f>
        <v/>
      </c>
      <c r="U543">
        <f>(Table1[[#This Row],[TA 1 - Total Bonus (out of 13)]]+Table1[[#This Row],[TA 2 - Total Bonus (out of 13)]])/2</f>
        <v/>
      </c>
      <c r="V543">
        <f>Table1[[#This Row],[Average Questions]]/35*20+Table1[[#This Row],[Average Bonus]]/13*5</f>
        <v/>
      </c>
      <c r="W543" t="n">
        <v>6</v>
      </c>
      <c r="X543" t="n">
        <v>0</v>
      </c>
      <c r="Y543" t="inlineStr">
        <is>
          <t>The student completed the data loading and preparation, including defining the necessary transforms and creating DataLoaders. Sample images were displayed correctly. However, there were issues in the model adaptation section where the backbone was not properly frozen, and the classifier head was incorrectly set up. The training and validation loops had several errors, such as incorrect loss computation and accuracy calculation. The bonus task was not attempted.</t>
        </is>
      </c>
      <c r="Z543" t="n">
        <v>5</v>
      </c>
      <c r="AA543" t="n">
        <v>0</v>
      </c>
      <c r="AB543" t="inlineStr">
        <is>
          <t>The student partially completed the tasks. The dataset loading and preparation were mostly correct, but the transformations did not resize images to 32x32 as specified. The CNN model had incorrect layer definitions, such as mismatched input channels and missing layers. The training and validation functions were attempted but contained errors, such as incorrect data handling. The training loop and plotting were not fully implemented. No bonus task was attempted.</t>
        </is>
      </c>
      <c r="AC543" t="n">
        <v>5</v>
      </c>
      <c r="AD543" t="inlineStr">
        <is>
          <t>The student attempted most tasks but made several mistakes. The dataset class has issues with path handling and transformation application. The DataLoader creation is incorrect due to improper dataset instantiation. The model definition is correct, but the training and validation loops contain errors, such as incorrect mask handling and loss computation. The visualization code is flawed, using sigmoid and thresholding instead of argmax for multi-class segmentation.</t>
        </is>
      </c>
      <c r="AE543" t="n">
        <v>0</v>
      </c>
      <c r="AF543" t="n">
        <v>0</v>
      </c>
      <c r="AG543" t="inlineStr">
        <is>
          <t>No submission found.</t>
        </is>
      </c>
      <c r="AH543" t="n">
        <v>16</v>
      </c>
      <c r="AI543" t="n">
        <v>0</v>
      </c>
    </row>
    <row r="544">
      <c r="A544" t="n">
        <v>543</v>
      </c>
      <c r="B544" t="inlineStr">
        <is>
          <t>TA_10</t>
        </is>
      </c>
      <c r="C544" t="inlineStr">
        <is>
          <t>TA_20</t>
        </is>
      </c>
      <c r="D544" t="n">
        <v>3.25</v>
      </c>
      <c r="E544" t="n">
        <v>0</v>
      </c>
      <c r="F544" t="n">
        <v>5.3</v>
      </c>
      <c r="G544" t="n">
        <v>0</v>
      </c>
      <c r="H544" t="n">
        <v>5.25</v>
      </c>
      <c r="I544" t="n">
        <v>0</v>
      </c>
      <c r="J544" t="n">
        <v>3.25</v>
      </c>
      <c r="K544" t="n">
        <v>0</v>
      </c>
      <c r="L544" t="n">
        <v>5.5</v>
      </c>
      <c r="M544" t="n">
        <v>0</v>
      </c>
      <c r="N544" t="n">
        <v>6.75</v>
      </c>
      <c r="O544" t="n">
        <v>0</v>
      </c>
      <c r="P544">
        <f>Table1[[#This Row],[TA 1 - Q1 Score]]+Table1[[#This Row],[TA 1 - Q2 Score]]+Table1[[#This Row],[TA 1 - Q3 Score]]</f>
        <v/>
      </c>
      <c r="Q544">
        <f>Table1[[#This Row],[TA 1 - Q1 Bonus]]+Table1[[#This Row],[TA 1 - Q2 Bonus]]+Table1[[#This Row],[TA 1 - Q4 Bonus]]</f>
        <v/>
      </c>
      <c r="R544">
        <f>Table1[[#This Row],[TA 2 - Q1 Score]]+Table1[[#This Row],[TA 2 - Q2 Score]]+Table1[[#This Row],[TA 2 - Q3 Score]]</f>
        <v/>
      </c>
      <c r="S544">
        <f>Table1[[#This Row],[TA 2 - Q1 Bonus]]+Table1[[#This Row],[TA 2 - Q2 Bonus]]+Table1[[#This Row],[TA 2 - Q4 Bonus]]</f>
        <v/>
      </c>
      <c r="T544">
        <f>(Table1[[#This Row],[TA 1 - Total Score (out of 35)]]+Table1[[#This Row],[TA 2 - Total Score (out of 35)]])/2</f>
        <v/>
      </c>
      <c r="U544">
        <f>(Table1[[#This Row],[TA 1 - Total Bonus (out of 13)]]+Table1[[#This Row],[TA 2 - Total Bonus (out of 13)]])/2</f>
        <v/>
      </c>
      <c r="V544">
        <f>Table1[[#This Row],[Average Questions]]/35*20+Table1[[#This Row],[Average Bonus]]/13*5</f>
        <v/>
      </c>
      <c r="W544" t="n">
        <v>2</v>
      </c>
      <c r="X544" t="n">
        <v>0</v>
      </c>
      <c r="Y544" t="inlineStr">
        <is>
          <t>The student partially completed Part 1 by defining the correct transforms and creating DataLoaders, but failed to display sample images correctly. Parts 2, 3, and 4 were not attempted, resulting in no code for these sections. The bonus task was also not attempted.</t>
        </is>
      </c>
      <c r="Z544" t="n">
        <v>2</v>
      </c>
      <c r="AA544" t="n">
        <v>0</v>
      </c>
      <c r="AB544" t="inlineStr">
        <is>
          <t>The student attempted several tasks but made significant errors. In Part 1, the dataset paths were incorrectly swapped between train and test directories, and the transform order was incorrect. Sample image display was not implemented. In Part 2, the CNN model was incorrectly defined for a single-channel input instead of three channels, and it lacked five convolutional layers and batch normalization. Parts 3 and 4 were not fully implemented, with missing or incorrect code for training and validation loops, and no plotting of losses and accuracies. The bonus part was not attempted.</t>
        </is>
      </c>
      <c r="AC544" t="n">
        <v>2</v>
      </c>
      <c r="AD544" t="inlineStr">
        <is>
          <t>The student attempted most tasks but made significant errors. The dataset class is incomplete and incorrectly implemented, failing to load images and masks properly. The model class uses an incorrect number of output classes for multi-class segmentation. The training and validation loops contain logical errors, particularly in handling mask data types. The loss function and optimizer are defined but not used correctly due to the model's incorrect setup. No plots or visualizations were provided.</t>
        </is>
      </c>
      <c r="AE544" t="n">
        <v>0</v>
      </c>
      <c r="AF544" t="n">
        <v>0</v>
      </c>
      <c r="AG544" t="inlineStr">
        <is>
          <t>No submission found.</t>
        </is>
      </c>
      <c r="AH544" t="n">
        <v>6</v>
      </c>
      <c r="AI544" t="n">
        <v>0</v>
      </c>
    </row>
    <row r="545">
      <c r="A545" t="n">
        <v>544</v>
      </c>
      <c r="B545" t="inlineStr">
        <is>
          <t>TA_10</t>
        </is>
      </c>
      <c r="C545" t="inlineStr">
        <is>
          <t>TA_20</t>
        </is>
      </c>
      <c r="D545" t="n">
        <v>5</v>
      </c>
      <c r="E545" t="n">
        <v>4</v>
      </c>
      <c r="F545" t="n">
        <v>10</v>
      </c>
      <c r="G545" t="n">
        <v>1</v>
      </c>
      <c r="H545" t="n">
        <v>11.5</v>
      </c>
      <c r="I545" t="n">
        <v>0</v>
      </c>
      <c r="J545" t="n">
        <v>6.5</v>
      </c>
      <c r="K545" t="n">
        <v>3</v>
      </c>
      <c r="L545" t="n">
        <v>11</v>
      </c>
      <c r="M545" t="n">
        <v>0</v>
      </c>
      <c r="N545" t="n">
        <v>12</v>
      </c>
      <c r="O545" t="n">
        <v>0</v>
      </c>
      <c r="P545">
        <f>Table1[[#This Row],[TA 1 - Q1 Score]]+Table1[[#This Row],[TA 1 - Q2 Score]]+Table1[[#This Row],[TA 1 - Q3 Score]]</f>
        <v/>
      </c>
      <c r="Q545">
        <f>Table1[[#This Row],[TA 1 - Q1 Bonus]]+Table1[[#This Row],[TA 1 - Q2 Bonus]]+Table1[[#This Row],[TA 1 - Q4 Bonus]]</f>
        <v/>
      </c>
      <c r="R545">
        <f>Table1[[#This Row],[TA 2 - Q1 Score]]+Table1[[#This Row],[TA 2 - Q2 Score]]+Table1[[#This Row],[TA 2 - Q3 Score]]</f>
        <v/>
      </c>
      <c r="S545">
        <f>Table1[[#This Row],[TA 2 - Q1 Bonus]]+Table1[[#This Row],[TA 2 - Q2 Bonus]]+Table1[[#This Row],[TA 2 - Q4 Bonus]]</f>
        <v/>
      </c>
      <c r="T545">
        <f>(Table1[[#This Row],[TA 1 - Total Score (out of 35)]]+Table1[[#This Row],[TA 2 - Total Score (out of 35)]])/2</f>
        <v/>
      </c>
      <c r="U545">
        <f>(Table1[[#This Row],[TA 1 - Total Bonus (out of 13)]]+Table1[[#This Row],[TA 2 - Total Bonus (out of 13)]])/2</f>
        <v/>
      </c>
      <c r="V545">
        <f>Table1[[#This Row],[Average Questions]]/35*20+Table1[[#This Row],[Average Bonus]]/13*5</f>
        <v/>
      </c>
      <c r="W545" t="n">
        <v>5.5</v>
      </c>
      <c r="X545" t="n">
        <v>0</v>
      </c>
      <c r="Y545" t="inlineStr">
        <is>
          <t>The student completed the data loading and transformation tasks correctly, including resizing, converting to tensor, and normalizing the images. However, there were issues in creating the DataLoaders and displaying sample images, where the batch size and shuffling were not consistent with the reference solution. The model loading and adaptation tasks were mostly correct, but the student mistakenly set the number of classes to 27 instead of 26. The training and validation loops were implemented with some syntax errors, such as using softmax and argmax unnecessarily. The bonus task for Test Time Augmentation was not fully completed, as the student did not correctly compute the accuracy using the averaged predictions.</t>
        </is>
      </c>
      <c r="Z545" t="n">
        <v>7</v>
      </c>
      <c r="AA545" t="n">
        <v>0</v>
      </c>
      <c r="AB545" t="inlineStr">
        <is>
          <t>The student successfully loaded and prepared the data with the correct transformations and displayed sample images. The CNN model was built with 5 convolutional layers and included batch normalization, though the number of channels and fully connected layer sizes were different from the reference solution. The training and validation loops were implemented correctly, and the model was trained and plotted. However, the bonus task was not completed as the residual connection was incorrectly defined and the model did not retrain with the residual connection.</t>
        </is>
      </c>
      <c r="AC545" t="n">
        <v>8.5</v>
      </c>
      <c r="AD545" t="inlineStr">
        <is>
          <t>The student's submission largely follows the reference solution but contains minor issues. Task 1 is mostly correct with a small mistake in the mask transformation. Task 2 correctly defines the U-Net model with the specified encoder. Task 3 implements the training and validation loops accurately. Task 4 defines the loss and optimizer correctly, trains the model, and plots the loss curve, though with fewer epochs. Task 5 visualizes predictions but uses a grayscale colormap instead of 'tab10'. Overall, the code runs and attempts all tasks with minor errors.</t>
        </is>
      </c>
      <c r="AE545" t="n">
        <v>0</v>
      </c>
      <c r="AF545" t="n">
        <v>0</v>
      </c>
      <c r="AG545" t="inlineStr">
        <is>
          <t>The student's implementation contains several errors. In the `rgb_to_grayscale` method, the student incorrectly uses `torch.SUM(cc, img)` instead of the correct formula for converting RGB to grayscale. Additionally, the `__getitem__` method incorrectly calls `rgb_to_grayscale` without specifying the instance (`self`). These errors prevent the code from running correctly.</t>
        </is>
      </c>
      <c r="AH545" t="n">
        <v>21</v>
      </c>
      <c r="AI545" t="n">
        <v>0</v>
      </c>
    </row>
    <row r="546">
      <c r="A546" t="n">
        <v>545</v>
      </c>
      <c r="B546" t="inlineStr">
        <is>
          <t>TA_10</t>
        </is>
      </c>
      <c r="C546" t="inlineStr">
        <is>
          <t>TA_20</t>
        </is>
      </c>
      <c r="D546" t="n">
        <v>12</v>
      </c>
      <c r="E546" t="n">
        <v>4</v>
      </c>
      <c r="F546" t="n">
        <v>11</v>
      </c>
      <c r="G546" t="n">
        <v>4</v>
      </c>
      <c r="H546" t="n">
        <v>11.25</v>
      </c>
      <c r="I546" t="n">
        <v>5</v>
      </c>
      <c r="J546" t="n">
        <v>12</v>
      </c>
      <c r="K546" t="n">
        <v>4</v>
      </c>
      <c r="L546" t="n">
        <v>11</v>
      </c>
      <c r="M546" t="n">
        <v>4</v>
      </c>
      <c r="N546" t="n">
        <v>12</v>
      </c>
      <c r="O546" t="n">
        <v>5</v>
      </c>
      <c r="P546">
        <f>Table1[[#This Row],[TA 1 - Q1 Score]]+Table1[[#This Row],[TA 1 - Q2 Score]]+Table1[[#This Row],[TA 1 - Q3 Score]]</f>
        <v/>
      </c>
      <c r="Q546">
        <f>Table1[[#This Row],[TA 1 - Q1 Bonus]]+Table1[[#This Row],[TA 1 - Q2 Bonus]]+Table1[[#This Row],[TA 1 - Q4 Bonus]]</f>
        <v/>
      </c>
      <c r="R546">
        <f>Table1[[#This Row],[TA 2 - Q1 Score]]+Table1[[#This Row],[TA 2 - Q2 Score]]+Table1[[#This Row],[TA 2 - Q3 Score]]</f>
        <v/>
      </c>
      <c r="S546">
        <f>Table1[[#This Row],[TA 2 - Q1 Bonus]]+Table1[[#This Row],[TA 2 - Q2 Bonus]]+Table1[[#This Row],[TA 2 - Q4 Bonus]]</f>
        <v/>
      </c>
      <c r="T546">
        <f>(Table1[[#This Row],[TA 1 - Total Score (out of 35)]]+Table1[[#This Row],[TA 2 - Total Score (out of 35)]])/2</f>
        <v/>
      </c>
      <c r="U546">
        <f>(Table1[[#This Row],[TA 1 - Total Bonus (out of 13)]]+Table1[[#This Row],[TA 2 - Total Bonus (out of 13)]])/2</f>
        <v/>
      </c>
      <c r="V546">
        <f>Table1[[#This Row],[Average Questions]]/35*20+Table1[[#This Row],[Average Bonus]]/13*5</f>
        <v/>
      </c>
      <c r="W546" t="n">
        <v>8.5</v>
      </c>
      <c r="X546" t="n">
        <v>0</v>
      </c>
      <c r="Y546" t="inlineStr">
        <is>
          <t>The student completed most tasks correctly but made some minor mistakes. The data loading and preparation were mostly accurate, though the batch size was smaller than in the reference. The model loading and adaptation were correct, but the optimizer was set to a very low learning rate (0.0001). The training and validation loops were implemented correctly, including label fixing, but only one epoch was trained. The bonus task was not fully integrated into the training process, and the plots were not updated to reflect the TTA results.</t>
        </is>
      </c>
      <c r="Z546" t="n">
        <v>8.5</v>
      </c>
      <c r="AA546" t="n">
        <v>1</v>
      </c>
      <c r="AB546" t="inlineStr">
        <is>
          <t>The student successfully loaded and prepared the data with correct transformations and displayed sample images. The CNN model was built with five convolutional layers and batch normalization, though the final fully connected layer had an incorrect input size. Training and validation functions were implemented correctly, and the model trained and plotted losses and accuracies. For the bonus task, the student added a residual connection but used an incorrect number of epochs and had a mismatch in channel sizes, leading to a partially correct implementation.</t>
        </is>
      </c>
      <c r="AC546" t="n">
        <v>8.5</v>
      </c>
      <c r="AD546" t="inlineStr">
        <is>
          <t>The student's submission largely follows the reference solution but contains minor issues. Task 1 is mostly correct with proper dataset class and DataLoader implementation, though the test dataset is incorrectly set to the same directory as the train dataset. Task 2 correctly defines the U-Net model with the specified encoder. Task 3 includes both training and validation loops with minor syntax issues. Task 4 defines the loss and optimizer correctly, trains the model, prints losses, and plots the loss curve. Task 5 visualizes predictions but uses a different colormap and does not follow the reference solution exactly.</t>
        </is>
      </c>
      <c r="AE546" t="n">
        <v>0</v>
      </c>
      <c r="AF546" t="n">
        <v>5</v>
      </c>
      <c r="AG546" t="inlineStr">
        <is>
          <t>The student's implementation of the ColorizationDataset class is correct and runs perfectly. It includes the proper initialization, length method, grayscale conversion, and item retrieval. The visualization also works as expected. Since all tasks are completed accurately, the student receives full bonus points.</t>
        </is>
      </c>
      <c r="AH546" t="n">
        <v>25.5</v>
      </c>
      <c r="AI546" t="n">
        <v>6</v>
      </c>
    </row>
    <row r="547">
      <c r="A547" t="n">
        <v>546</v>
      </c>
      <c r="B547" t="inlineStr">
        <is>
          <t>TA_10</t>
        </is>
      </c>
      <c r="C547" t="inlineStr">
        <is>
          <t>TA_20</t>
        </is>
      </c>
      <c r="D547" t="n">
        <v>5</v>
      </c>
      <c r="E547" t="n">
        <v>0</v>
      </c>
      <c r="F547" t="n">
        <v>10.75</v>
      </c>
      <c r="G547" t="n">
        <v>0</v>
      </c>
      <c r="H547" t="n">
        <v>5</v>
      </c>
      <c r="I547" t="n">
        <v>0</v>
      </c>
      <c r="J547" t="n">
        <v>8.5</v>
      </c>
      <c r="K547" t="n">
        <v>0</v>
      </c>
      <c r="L547" t="n">
        <v>10.5</v>
      </c>
      <c r="M547" t="n">
        <v>0</v>
      </c>
      <c r="N547" t="n">
        <v>9.75</v>
      </c>
      <c r="O547" t="n">
        <v>0</v>
      </c>
      <c r="P547">
        <f>Table1[[#This Row],[TA 1 - Q1 Score]]+Table1[[#This Row],[TA 1 - Q2 Score]]+Table1[[#This Row],[TA 1 - Q3 Score]]</f>
        <v/>
      </c>
      <c r="Q547">
        <f>Table1[[#This Row],[TA 1 - Q1 Bonus]]+Table1[[#This Row],[TA 1 - Q2 Bonus]]+Table1[[#This Row],[TA 1 - Q4 Bonus]]</f>
        <v/>
      </c>
      <c r="R547">
        <f>Table1[[#This Row],[TA 2 - Q1 Score]]+Table1[[#This Row],[TA 2 - Q2 Score]]+Table1[[#This Row],[TA 2 - Q3 Score]]</f>
        <v/>
      </c>
      <c r="S547">
        <f>Table1[[#This Row],[TA 2 - Q1 Bonus]]+Table1[[#This Row],[TA 2 - Q2 Bonus]]+Table1[[#This Row],[TA 2 - Q4 Bonus]]</f>
        <v/>
      </c>
      <c r="T547">
        <f>(Table1[[#This Row],[TA 1 - Total Score (out of 35)]]+Table1[[#This Row],[TA 2 - Total Score (out of 35)]])/2</f>
        <v/>
      </c>
      <c r="U547">
        <f>(Table1[[#This Row],[TA 1 - Total Bonus (out of 13)]]+Table1[[#This Row],[TA 2 - Total Bonus (out of 13)]])/2</f>
        <v/>
      </c>
      <c r="V547">
        <f>Table1[[#This Row],[Average Questions]]/35*20+Table1[[#This Row],[Average Bonus]]/13*5</f>
        <v/>
      </c>
      <c r="W547" t="n">
        <v>7</v>
      </c>
      <c r="X547" t="n">
        <v>0</v>
      </c>
      <c r="Y547" t="inlineStr">
        <is>
          <t>The student completed most tasks with minor issues. Transforms were correctly defined, and DataLoaders were set up properly. Sample images were displayed, though with hardcoded indices. The pretrained model was loaded and adapted correctly, but the backbone was not explicitly frozen. Training and validation loops were implemented with a mistake in the output squeezing, affecting the loss calculation. Labels were not adjusted for 0-indexing, resulting in a penalty. No bonus task was attempted.</t>
        </is>
      </c>
      <c r="Z547" t="n">
        <v>8.5</v>
      </c>
      <c r="AA547" t="n">
        <v>0</v>
      </c>
      <c r="AB547" t="inlineStr">
        <is>
          <t>The student successfully completed most tasks with minor issues. The dataset loading and preparation were mostly correct, though the image display indices were hardcoded. The CNN model had 5 convolutional layers with batch normalization, but the final fully connected layer incorrectly used 10 classes instead of 3. The training and validation loops were implemented correctly, and the plots were generated. However, the bonus task was not attempted.</t>
        </is>
      </c>
      <c r="AC547" t="n">
        <v>2</v>
      </c>
      <c r="AD547" t="inlineStr">
        <is>
          <t>The student attempted most tasks but made significant errors. In Task 1, the dataset class was partially correct but used a binary mask instead of a multi-class mask. The DataLoader creation was mostly correct but used an incorrect batch size. Task 2 defined a U-Net model with the correct encoder but incorrectly set the number of classes to 1. Task 3 had incomplete training and validation loops with logical errors. Task 4 used an incorrect loss function (BCEWithLogitsLoss) for multi-class segmentation and had issues with the training loop. Task 5 attempted to visualize predictions but used a binary thresholding approach unsuitable for multi-class segmentation.</t>
        </is>
      </c>
      <c r="AE547" t="n">
        <v>0</v>
      </c>
      <c r="AF547" t="n">
        <v>0</v>
      </c>
      <c r="AG547" t="inlineStr">
        <is>
          <t>The student's implementation contains several errors and does not follow the required structure. In the `__init__` method, the dataset is incorrectly initialized using `datasets.CIFER-10` instead of storing the provided `cifar_dataset`. The `rgb_to_grayscale` method has syntax errors and does not correctly implement the grayscale conversion formula. The `__getitem__` method returns a dictionary instead of a tuple of grayscale and color images, and it incorrectly handles the image transformation. These issues prevent the code from running correctly and producing the expected output.</t>
        </is>
      </c>
      <c r="AH547" t="n">
        <v>17.5</v>
      </c>
      <c r="AI547" t="n">
        <v>0</v>
      </c>
    </row>
    <row r="548">
      <c r="A548" t="n">
        <v>547</v>
      </c>
      <c r="B548" t="inlineStr">
        <is>
          <t>TA_10</t>
        </is>
      </c>
      <c r="C548" t="inlineStr">
        <is>
          <t>TA_20</t>
        </is>
      </c>
      <c r="D548" t="n">
        <v>9.5</v>
      </c>
      <c r="E548" t="n">
        <v>3</v>
      </c>
      <c r="F548" t="n">
        <v>9</v>
      </c>
      <c r="G548" t="n">
        <v>0</v>
      </c>
      <c r="H548" t="n">
        <v>10.75</v>
      </c>
      <c r="I548" t="n">
        <v>0</v>
      </c>
      <c r="J548" t="n">
        <v>9.5</v>
      </c>
      <c r="K548" t="n">
        <v>0</v>
      </c>
      <c r="L548" t="n">
        <v>9</v>
      </c>
      <c r="M548" t="n">
        <v>0</v>
      </c>
      <c r="N548" t="n">
        <v>12</v>
      </c>
      <c r="O548" t="n">
        <v>0</v>
      </c>
      <c r="P548">
        <f>Table1[[#This Row],[TA 1 - Q1 Score]]+Table1[[#This Row],[TA 1 - Q2 Score]]+Table1[[#This Row],[TA 1 - Q3 Score]]</f>
        <v/>
      </c>
      <c r="Q548">
        <f>Table1[[#This Row],[TA 1 - Q1 Bonus]]+Table1[[#This Row],[TA 1 - Q2 Bonus]]+Table1[[#This Row],[TA 1 - Q4 Bonus]]</f>
        <v/>
      </c>
      <c r="R548">
        <f>Table1[[#This Row],[TA 2 - Q1 Score]]+Table1[[#This Row],[TA 2 - Q2 Score]]+Table1[[#This Row],[TA 2 - Q3 Score]]</f>
        <v/>
      </c>
      <c r="S548">
        <f>Table1[[#This Row],[TA 2 - Q1 Bonus]]+Table1[[#This Row],[TA 2 - Q2 Bonus]]+Table1[[#This Row],[TA 2 - Q4 Bonus]]</f>
        <v/>
      </c>
      <c r="T548">
        <f>(Table1[[#This Row],[TA 1 - Total Score (out of 35)]]+Table1[[#This Row],[TA 2 - Total Score (out of 35)]])/2</f>
        <v/>
      </c>
      <c r="U548">
        <f>(Table1[[#This Row],[TA 1 - Total Bonus (out of 13)]]+Table1[[#This Row],[TA 2 - Total Bonus (out of 13)]])/2</f>
        <v/>
      </c>
      <c r="V548">
        <f>Table1[[#This Row],[Average Questions]]/35*20+Table1[[#This Row],[Average Bonus]]/13*5</f>
        <v/>
      </c>
      <c r="W548" t="n">
        <v>8.5</v>
      </c>
      <c r="X548" t="n">
        <v>0</v>
      </c>
      <c r="Y548" t="inlineStr">
        <is>
          <t>The student completed most tasks correctly but made some mistakes. The data loading and preparation were mostly correct, with a minor issue in displaying sample images. The model loading and adaptation were accurate, but the training and validation loops had logical errors in label handling and prediction averaging. The bonus task was not fully implemented correctly, leading to no bonus points.</t>
        </is>
      </c>
      <c r="Z548" t="n">
        <v>8.5</v>
      </c>
      <c r="AA548" t="n">
        <v>0</v>
      </c>
      <c r="AB548" t="inlineStr">
        <is>
          <t>The student successfully completed most tasks with minor issues. The data loading and preparation section had a small mistake in the test DataLoader shuffle parameter, which should be False. The CNN model was built with 5 convolutional layers but did not include Batch Normalization, resulting in partial credit. The training and validation functions were correctly implemented, and the model trained and plotted the results accurately. No bonus task was attempted.</t>
        </is>
      </c>
      <c r="AC548" t="n">
        <v>8</v>
      </c>
      <c r="AD548" t="inlineStr">
        <is>
          <t>The student's submission contains mostly correct code with minor issues. Task 1 is partially correct due to a custom dataset class that works but has unnecessary imports and a custom transform that incorrectly subtracts one from images and masks. Task 2 is fully correct with the U-Net model defined properly. Task 3 is fully correct with training and validation loops implemented correctly. Task 4 is mostly correct with the loss and optimizer defined and training performed, but the plot labels are slightly off. Task 5 is mostly correct with predictions visualized, but the color map for predicted masks is incorrect.</t>
        </is>
      </c>
      <c r="AE548" t="n">
        <v>0</v>
      </c>
      <c r="AF548" t="n">
        <v>0</v>
      </c>
      <c r="AG548" t="inlineStr">
        <is>
          <t>No submission found.</t>
        </is>
      </c>
      <c r="AH548" t="n">
        <v>25</v>
      </c>
      <c r="AI548" t="n">
        <v>0</v>
      </c>
    </row>
    <row r="549">
      <c r="A549" t="n">
        <v>548</v>
      </c>
      <c r="B549" t="inlineStr">
        <is>
          <t>TA_10</t>
        </is>
      </c>
      <c r="C549" t="inlineStr">
        <is>
          <t>TA_20</t>
        </is>
      </c>
      <c r="D549" t="n">
        <v>4</v>
      </c>
      <c r="E549" t="n">
        <v>0</v>
      </c>
      <c r="F549" t="n">
        <v>4</v>
      </c>
      <c r="G549" t="n">
        <v>0</v>
      </c>
      <c r="H549" t="n">
        <v>2.75</v>
      </c>
      <c r="I549" t="n">
        <v>0</v>
      </c>
      <c r="J549" t="n">
        <v>6.5</v>
      </c>
      <c r="K549" t="n">
        <v>0</v>
      </c>
      <c r="L549" t="n">
        <v>6</v>
      </c>
      <c r="M549" t="n">
        <v>0</v>
      </c>
      <c r="N549" t="n">
        <v>8.25</v>
      </c>
      <c r="O549" t="n">
        <v>0</v>
      </c>
      <c r="P549">
        <f>Table1[[#This Row],[TA 1 - Q1 Score]]+Table1[[#This Row],[TA 1 - Q2 Score]]+Table1[[#This Row],[TA 1 - Q3 Score]]</f>
        <v/>
      </c>
      <c r="Q549">
        <f>Table1[[#This Row],[TA 1 - Q1 Bonus]]+Table1[[#This Row],[TA 1 - Q2 Bonus]]+Table1[[#This Row],[TA 1 - Q4 Bonus]]</f>
        <v/>
      </c>
      <c r="R549">
        <f>Table1[[#This Row],[TA 2 - Q1 Score]]+Table1[[#This Row],[TA 2 - Q2 Score]]+Table1[[#This Row],[TA 2 - Q3 Score]]</f>
        <v/>
      </c>
      <c r="S549">
        <f>Table1[[#This Row],[TA 2 - Q1 Bonus]]+Table1[[#This Row],[TA 2 - Q2 Bonus]]+Table1[[#This Row],[TA 2 - Q4 Bonus]]</f>
        <v/>
      </c>
      <c r="T549">
        <f>(Table1[[#This Row],[TA 1 - Total Score (out of 35)]]+Table1[[#This Row],[TA 2 - Total Score (out of 35)]])/2</f>
        <v/>
      </c>
      <c r="U549">
        <f>(Table1[[#This Row],[TA 1 - Total Bonus (out of 13)]]+Table1[[#This Row],[TA 2 - Total Bonus (out of 13)]])/2</f>
        <v/>
      </c>
      <c r="V549">
        <f>Table1[[#This Row],[Average Questions]]/35*20+Table1[[#This Row],[Average Bonus]]/13*5</f>
        <v/>
      </c>
      <c r="W549" t="n">
        <v>4</v>
      </c>
      <c r="X549" t="n">
        <v>0</v>
      </c>
      <c r="Y549" t="inlineStr">
        <is>
          <t>The student partially completed several tasks but made significant errors. The data loading and preparation section had issues with the order of transformations and incorrect comments. The model loading section used the wrong model (EfficientNet-b2 instead of EfficientNetV2-Small) and incorrectly set up the classifier. The training and validation loops contained mistakes, such as using sigmoid activation and binary classification logic for a multi-class problem. No bonus task was attempted.</t>
        </is>
      </c>
      <c r="Z549" t="n">
        <v>2</v>
      </c>
      <c r="AA549" t="n">
        <v>0</v>
      </c>
      <c r="AB549" t="inlineStr">
        <is>
          <t>The student attempted several tasks but made significant errors. The custom dataset class incorrectly references a non-existent 'datasets.PotatoCustom'. The transform pipeline includes a Grayscale conversion to 3 channels, which is incorrect. The CNN model class does not meet the requirement of having 5 convolutional layers with batch normalization. The training and validation loops are mostly correct but reference undefined variables like 'Model()' and 'train_loader'. No residual connection was implemented, and no plots were generated.</t>
        </is>
      </c>
      <c r="AC549" t="n">
        <v>2</v>
      </c>
      <c r="AD549" t="inlineStr">
        <is>
          <t>The student attempted most tasks but made significant errors. The dataset class and DataLoader creation were not fully implemented, and the remapping function was incorrectly set up for binary segmentation. The model was defined with an incorrect number of output classes (1 instead of 8). The training and validation loops contained syntax errors and used an inappropriate loss function (BCEWithLogitsLoss for multi-class segmentation). The loss plotting was attempted but did not run due to missing data. No visualization of predictions was provided.</t>
        </is>
      </c>
      <c r="AE549" t="n">
        <v>0</v>
      </c>
      <c r="AF549" t="n">
        <v>0</v>
      </c>
      <c r="AG549" t="inlineStr">
        <is>
          <t>No submission found.</t>
        </is>
      </c>
      <c r="AH549" t="n">
        <v>8</v>
      </c>
      <c r="AI549" t="n">
        <v>0</v>
      </c>
    </row>
    <row r="550">
      <c r="A550" t="n">
        <v>549</v>
      </c>
      <c r="B550" t="inlineStr">
        <is>
          <t>TA_10</t>
        </is>
      </c>
      <c r="C550" t="inlineStr">
        <is>
          <t>TA_20</t>
        </is>
      </c>
      <c r="D550" t="n">
        <v>6.5</v>
      </c>
      <c r="E550" t="n">
        <v>0</v>
      </c>
      <c r="F550" t="n">
        <v>9</v>
      </c>
      <c r="G550" t="n">
        <v>0</v>
      </c>
      <c r="H550" t="n">
        <v>5.25</v>
      </c>
      <c r="I550" t="n">
        <v>0</v>
      </c>
      <c r="J550" t="n">
        <v>8</v>
      </c>
      <c r="K550" t="n">
        <v>0</v>
      </c>
      <c r="L550" t="n">
        <v>9</v>
      </c>
      <c r="M550" t="n">
        <v>0</v>
      </c>
      <c r="N550" t="n">
        <v>11</v>
      </c>
      <c r="O550" t="n">
        <v>0</v>
      </c>
      <c r="P550">
        <f>Table1[[#This Row],[TA 1 - Q1 Score]]+Table1[[#This Row],[TA 1 - Q2 Score]]+Table1[[#This Row],[TA 1 - Q3 Score]]</f>
        <v/>
      </c>
      <c r="Q550">
        <f>Table1[[#This Row],[TA 1 - Q1 Bonus]]+Table1[[#This Row],[TA 1 - Q2 Bonus]]+Table1[[#This Row],[TA 1 - Q4 Bonus]]</f>
        <v/>
      </c>
      <c r="R550">
        <f>Table1[[#This Row],[TA 2 - Q1 Score]]+Table1[[#This Row],[TA 2 - Q2 Score]]+Table1[[#This Row],[TA 2 - Q3 Score]]</f>
        <v/>
      </c>
      <c r="S550">
        <f>Table1[[#This Row],[TA 2 - Q1 Bonus]]+Table1[[#This Row],[TA 2 - Q2 Bonus]]+Table1[[#This Row],[TA 2 - Q4 Bonus]]</f>
        <v/>
      </c>
      <c r="T550">
        <f>(Table1[[#This Row],[TA 1 - Total Score (out of 35)]]+Table1[[#This Row],[TA 2 - Total Score (out of 35)]])/2</f>
        <v/>
      </c>
      <c r="U550">
        <f>(Table1[[#This Row],[TA 1 - Total Bonus (out of 13)]]+Table1[[#This Row],[TA 2 - Total Bonus (out of 13)]])/2</f>
        <v/>
      </c>
      <c r="V550">
        <f>Table1[[#This Row],[Average Questions]]/35*20+Table1[[#This Row],[Average Bonus]]/13*5</f>
        <v/>
      </c>
      <c r="W550" t="n">
        <v>5</v>
      </c>
      <c r="X550" t="n">
        <v>0</v>
      </c>
      <c r="Y550" t="inlineStr">
        <is>
          <t>The student completed the data loading and transformation tasks correctly, including resizing, converting to tensor, and normalizing the images. However, there were issues in displaying sample images due to a typo ('mg' instead of 'img'). The model loading and adaptation section had a mistake where all parameters were frozen instead of just the backbone. The training and validation loops were mostly correct but did not adjust the labels to be 0-indexed, resulting in a penalty. The bonus task was not attempted.</t>
        </is>
      </c>
      <c r="Z550" t="n">
        <v>8.5</v>
      </c>
      <c r="AA550" t="n">
        <v>0</v>
      </c>
      <c r="AB550" t="inlineStr">
        <is>
          <t>The student successfully implemented a custom Dataset class, created train and test DataLoaders, applied the required transformations, and displayed sample images with labels. The CNN model has 5 convolutional layers, but the channel sizes are smaller than specified in the rubric. The training and validation loops are correctly implemented, and the model is trained and plotted. However, the bonus task was not completed.</t>
        </is>
      </c>
      <c r="AC550" t="n">
        <v>5</v>
      </c>
      <c r="AD550" t="inlineStr">
        <is>
          <t>The student attempted most tasks but made several mistakes. The dataset class and transformations were correctly defined, and the data loaders were set up properly. However, the model was incorrectly configured for multi-class segmentation (classes=1 instead of 8). The training and validation loops had issues with mask handling and loss calculation. The visualization code was partially correct but used a binary threshold for multi-class predictions.</t>
        </is>
      </c>
      <c r="AE550" t="n">
        <v>0</v>
      </c>
      <c r="AF550" t="n">
        <v>0</v>
      </c>
      <c r="AG550" t="inlineStr">
        <is>
          <t>No submission found.</t>
        </is>
      </c>
      <c r="AH550" t="n">
        <v>18.5</v>
      </c>
      <c r="AI550" t="n">
        <v>0</v>
      </c>
    </row>
    <row r="551">
      <c r="A551" t="n">
        <v>550</v>
      </c>
      <c r="B551" t="inlineStr">
        <is>
          <t>TA_10</t>
        </is>
      </c>
      <c r="C551" t="inlineStr">
        <is>
          <t>TA_20</t>
        </is>
      </c>
      <c r="D551" t="n">
        <v>11.5</v>
      </c>
      <c r="E551" t="n">
        <v>4</v>
      </c>
      <c r="F551" t="n">
        <v>7.9</v>
      </c>
      <c r="G551" t="n">
        <v>0</v>
      </c>
      <c r="H551" t="n">
        <v>6</v>
      </c>
      <c r="I551" t="n">
        <v>0</v>
      </c>
      <c r="J551" t="n">
        <v>11.5</v>
      </c>
      <c r="K551" t="n">
        <v>4</v>
      </c>
      <c r="L551" t="n">
        <v>9</v>
      </c>
      <c r="M551" t="n">
        <v>0</v>
      </c>
      <c r="N551" t="n">
        <v>6.5</v>
      </c>
      <c r="O551" t="n">
        <v>0</v>
      </c>
      <c r="P551">
        <f>Table1[[#This Row],[TA 1 - Q1 Score]]+Table1[[#This Row],[TA 1 - Q2 Score]]+Table1[[#This Row],[TA 1 - Q3 Score]]</f>
        <v/>
      </c>
      <c r="Q551">
        <f>Table1[[#This Row],[TA 1 - Q1 Bonus]]+Table1[[#This Row],[TA 1 - Q2 Bonus]]+Table1[[#This Row],[TA 1 - Q4 Bonus]]</f>
        <v/>
      </c>
      <c r="R551">
        <f>Table1[[#This Row],[TA 2 - Q1 Score]]+Table1[[#This Row],[TA 2 - Q2 Score]]+Table1[[#This Row],[TA 2 - Q3 Score]]</f>
        <v/>
      </c>
      <c r="S551">
        <f>Table1[[#This Row],[TA 2 - Q1 Bonus]]+Table1[[#This Row],[TA 2 - Q2 Bonus]]+Table1[[#This Row],[TA 2 - Q4 Bonus]]</f>
        <v/>
      </c>
      <c r="T551">
        <f>(Table1[[#This Row],[TA 1 - Total Score (out of 35)]]+Table1[[#This Row],[TA 2 - Total Score (out of 35)]])/2</f>
        <v/>
      </c>
      <c r="U551">
        <f>(Table1[[#This Row],[TA 1 - Total Bonus (out of 13)]]+Table1[[#This Row],[TA 2 - Total Bonus (out of 13)]])/2</f>
        <v/>
      </c>
      <c r="V551">
        <f>Table1[[#This Row],[Average Questions]]/35*20+Table1[[#This Row],[Average Bonus]]/13*5</f>
        <v/>
      </c>
      <c r="W551" t="n">
        <v>8.5</v>
      </c>
      <c r="X551" t="n">
        <v>3</v>
      </c>
      <c r="Y551" t="inlineStr">
        <is>
          <t>The student completed most tasks correctly, including data loading, model setup, and training loops. However, there were minor issues such as incorrect batch size in DataLoaders, missing label adjustment in the training loop, and incorrect plotting of validation accuracy. The bonus task for Test Time Augmentation was implemented correctly, averaging predictions from original, horizontally flipped, and vertically flipped images.</t>
        </is>
      </c>
      <c r="Z551" t="n">
        <v>5</v>
      </c>
      <c r="AA551" t="n">
        <v>0</v>
      </c>
      <c r="AB551" t="inlineStr">
        <is>
          <t>The student partially completed several tasks but made significant errors. They correctly set up the dataset and DataLoaders with the required transformations, earning full points for Part 1. However, the CNN model definition in Part 2 had numerous issues, including incorrect input/output channels and missing BatchNormalization layers, resulting in 0 points for this part. The training and validation functions were mostly correct but had minor issues, earning 0.5 points. The training setup and execution in Part 4 were partially correct but had issues with the model instantiation and plotting, earning 0.5 points. No bonus task was attempted.</t>
        </is>
      </c>
      <c r="AC551" t="n">
        <v>4</v>
      </c>
      <c r="AD551" t="inlineStr">
        <is>
          <t>The student attempted most tasks but made significant errors. In Task 1, the dataset class had issues with file path handling and transformations. Task 2 correctly defined the U-Net model. Task 3 had syntax errors in the training and validation loops. Task 4 incorrectly used the validation loader instead of the test loader and had syntax errors. Task 5 did not complete the visualization due to incomplete code.</t>
        </is>
      </c>
      <c r="AE551" t="n">
        <v>0</v>
      </c>
      <c r="AF551" t="n">
        <v>0</v>
      </c>
      <c r="AG551" t="inlineStr">
        <is>
          <t>No submission found.</t>
        </is>
      </c>
      <c r="AH551" t="n">
        <v>17.5</v>
      </c>
      <c r="AI551" t="n">
        <v>3</v>
      </c>
    </row>
    <row r="552">
      <c r="A552" t="n">
        <v>551</v>
      </c>
      <c r="B552" t="inlineStr">
        <is>
          <t>TA_10</t>
        </is>
      </c>
      <c r="C552" t="inlineStr">
        <is>
          <t>TA_20</t>
        </is>
      </c>
      <c r="D552" t="n">
        <v>12</v>
      </c>
      <c r="E552" t="n">
        <v>4</v>
      </c>
      <c r="F552" t="n">
        <v>11</v>
      </c>
      <c r="G552" t="n">
        <v>0</v>
      </c>
      <c r="H552" t="n">
        <v>9.5</v>
      </c>
      <c r="I552" t="n">
        <v>0</v>
      </c>
      <c r="J552" t="n">
        <v>12</v>
      </c>
      <c r="K552" t="n">
        <v>4</v>
      </c>
      <c r="L552" t="n">
        <v>11</v>
      </c>
      <c r="M552" t="n">
        <v>0</v>
      </c>
      <c r="N552" t="n">
        <v>9.75</v>
      </c>
      <c r="O552" t="n">
        <v>0</v>
      </c>
      <c r="P552">
        <f>Table1[[#This Row],[TA 1 - Q1 Score]]+Table1[[#This Row],[TA 1 - Q2 Score]]+Table1[[#This Row],[TA 1 - Q3 Score]]</f>
        <v/>
      </c>
      <c r="Q552">
        <f>Table1[[#This Row],[TA 1 - Q1 Bonus]]+Table1[[#This Row],[TA 1 - Q2 Bonus]]+Table1[[#This Row],[TA 1 - Q4 Bonus]]</f>
        <v/>
      </c>
      <c r="R552">
        <f>Table1[[#This Row],[TA 2 - Q1 Score]]+Table1[[#This Row],[TA 2 - Q2 Score]]+Table1[[#This Row],[TA 2 - Q3 Score]]</f>
        <v/>
      </c>
      <c r="S552">
        <f>Table1[[#This Row],[TA 2 - Q1 Bonus]]+Table1[[#This Row],[TA 2 - Q2 Bonus]]+Table1[[#This Row],[TA 2 - Q4 Bonus]]</f>
        <v/>
      </c>
      <c r="T552">
        <f>(Table1[[#This Row],[TA 1 - Total Score (out of 35)]]+Table1[[#This Row],[TA 2 - Total Score (out of 35)]])/2</f>
        <v/>
      </c>
      <c r="U552">
        <f>(Table1[[#This Row],[TA 1 - Total Bonus (out of 13)]]+Table1[[#This Row],[TA 2 - Total Bonus (out of 13)]])/2</f>
        <v/>
      </c>
      <c r="V552">
        <f>Table1[[#This Row],[Average Questions]]/35*20+Table1[[#This Row],[Average Bonus]]/13*5</f>
        <v/>
      </c>
      <c r="W552" t="n">
        <v>8.5</v>
      </c>
      <c r="X552" t="n">
        <v>0</v>
      </c>
      <c r="Y552" t="inlineStr">
        <is>
          <t>The student completed most tasks correctly but made some minor mistakes. The data loading and preparation were mostly accurate, though the batch size was smaller than in the reference. The model setup and adaptation were correct, including freezing the backbone and replacing the classifier head. The training and validation loops were implemented properly, with label fixing applied. However, the bonus task for Test Time Augmentation was not fully correct, as the student did not define a separate function for TTA and reused the existing validation function, leading to no bonus points.</t>
        </is>
      </c>
      <c r="Z552" t="n">
        <v>4</v>
      </c>
      <c r="AA552" t="n">
        <v>0</v>
      </c>
      <c r="AB552" t="inlineStr">
        <is>
          <t>The student partially completed the required tasks. They correctly set up the dataset and DataLoaders with the specified transformations, including RandomRotation and resizing to 32x32. However, they used an AlexNet architecture instead of building a CNN with 5 convolutional layers and batch normalization, which resulted in a significant deviation from the task requirements. The training and validation loops were implemented correctly, but the model architecture did not meet the criteria for full credit. No bonus task was attempted.</t>
        </is>
      </c>
      <c r="AC552" t="n">
        <v>4</v>
      </c>
      <c r="AD552" t="inlineStr">
        <is>
          <t>The student attempted most tasks but made significant errors. The dataset class and DataLoader creation were partially correct but lacked proper normalization and resizing for masks. The model definition used the wrong number of classes. The training and validation loops had issues with data types and loss functions. Visualization of predictions was incorrect due to improper handling of model outputs and thresholding.</t>
        </is>
      </c>
      <c r="AE552" t="n">
        <v>0</v>
      </c>
      <c r="AF552" t="n">
        <v>0</v>
      </c>
      <c r="AG552" t="inlineStr">
        <is>
          <t>No submission found.</t>
        </is>
      </c>
      <c r="AH552" t="n">
        <v>16.5</v>
      </c>
      <c r="AI552" t="n">
        <v>0</v>
      </c>
    </row>
    <row r="553">
      <c r="A553" t="n">
        <v>552</v>
      </c>
      <c r="B553" t="inlineStr">
        <is>
          <t>TA_10</t>
        </is>
      </c>
      <c r="C553" t="inlineStr">
        <is>
          <t>TA_20</t>
        </is>
      </c>
      <c r="D553" t="n">
        <v>12</v>
      </c>
      <c r="E553" t="n">
        <v>4</v>
      </c>
      <c r="F553" t="n">
        <v>11</v>
      </c>
      <c r="G553" t="n">
        <v>0</v>
      </c>
      <c r="H553" t="n">
        <v>9.25</v>
      </c>
      <c r="I553" t="n">
        <v>0</v>
      </c>
      <c r="J553" t="n">
        <v>12</v>
      </c>
      <c r="K553" t="n">
        <v>3</v>
      </c>
      <c r="L553" t="n">
        <v>11</v>
      </c>
      <c r="M553" t="n">
        <v>0</v>
      </c>
      <c r="N553" t="n">
        <v>10.75</v>
      </c>
      <c r="O553" t="n">
        <v>0</v>
      </c>
      <c r="P553">
        <f>Table1[[#This Row],[TA 1 - Q1 Score]]+Table1[[#This Row],[TA 1 - Q2 Score]]+Table1[[#This Row],[TA 1 - Q3 Score]]</f>
        <v/>
      </c>
      <c r="Q553">
        <f>Table1[[#This Row],[TA 1 - Q1 Bonus]]+Table1[[#This Row],[TA 1 - Q2 Bonus]]+Table1[[#This Row],[TA 1 - Q4 Bonus]]</f>
        <v/>
      </c>
      <c r="R553">
        <f>Table1[[#This Row],[TA 2 - Q1 Score]]+Table1[[#This Row],[TA 2 - Q2 Score]]+Table1[[#This Row],[TA 2 - Q3 Score]]</f>
        <v/>
      </c>
      <c r="S553">
        <f>Table1[[#This Row],[TA 2 - Q1 Bonus]]+Table1[[#This Row],[TA 2 - Q2 Bonus]]+Table1[[#This Row],[TA 2 - Q4 Bonus]]</f>
        <v/>
      </c>
      <c r="T553">
        <f>(Table1[[#This Row],[TA 1 - Total Score (out of 35)]]+Table1[[#This Row],[TA 2 - Total Score (out of 35)]])/2</f>
        <v/>
      </c>
      <c r="U553">
        <f>(Table1[[#This Row],[TA 1 - Total Bonus (out of 13)]]+Table1[[#This Row],[TA 2 - Total Bonus (out of 13)]])/2</f>
        <v/>
      </c>
      <c r="V553">
        <f>Table1[[#This Row],[Average Questions]]/35*20+Table1[[#This Row],[Average Bonus]]/13*5</f>
        <v/>
      </c>
      <c r="W553" t="n">
        <v>8.5</v>
      </c>
      <c r="X553" t="n">
        <v>3</v>
      </c>
      <c r="Y553" t="inlineStr">
        <is>
          <t>The student completed most tasks correctly, including defining transforms, creating DataLoaders, displaying sample images, loading and adapting the pretrained model, and implementing training and validation loops. However, there were minor issues such as incorrect normalization usage and a missing call to `plt.legend()` in the plots. The bonus task for Test Time Augmentation was implemented correctly, averaging predictions from original, horizontally flipped, and vertically flipped images.</t>
        </is>
      </c>
      <c r="Z553" t="n">
        <v>8.5</v>
      </c>
      <c r="AA553" t="n">
        <v>0</v>
      </c>
      <c r="AB553" t="inlineStr">
        <is>
          <t>The student successfully implemented a custom dataset class, created train and test datasets with appropriate transformations, and displayed sample images. The CNN model includes five convolutional layers with batch normalization, and the training and validation loops are correctly defined. However, the model training uses only 5 epochs instead of 10, and the bonus task for residual connections was not completed.</t>
        </is>
      </c>
      <c r="AC553" t="n">
        <v>5</v>
      </c>
      <c r="AD553" t="inlineStr">
        <is>
          <t>The student attempted most tasks but made several mistakes. The dataset class was partially correct but used an incorrect class name and had issues with mask transformation. DataLoaders were correctly defined, and sample images and masks were displayed. The model class used the wrong number of classes (1 instead of 8). Training and validation loops were attempted but used BCEWithLogitsLoss instead of CrossEntropyLoss, and masks were not properly handled. The visualization of predictions was attempted but incorrectly applied sigmoid and thresholding, leading to binary masks instead of multi-class predictions.</t>
        </is>
      </c>
      <c r="AE553" t="n">
        <v>0</v>
      </c>
      <c r="AF553" t="n">
        <v>0</v>
      </c>
      <c r="AG553" t="inlineStr">
        <is>
          <t>No submission found.</t>
        </is>
      </c>
      <c r="AH553" t="n">
        <v>22</v>
      </c>
      <c r="AI553" t="n">
        <v>3</v>
      </c>
    </row>
    <row r="554">
      <c r="A554" t="n">
        <v>553</v>
      </c>
      <c r="B554" t="inlineStr">
        <is>
          <t>TA_10</t>
        </is>
      </c>
      <c r="C554" t="inlineStr">
        <is>
          <t>TA_20</t>
        </is>
      </c>
      <c r="D554" t="n">
        <v>11</v>
      </c>
      <c r="E554" t="n">
        <v>4</v>
      </c>
      <c r="F554" t="n">
        <v>8.5</v>
      </c>
      <c r="G554" t="n">
        <v>1</v>
      </c>
      <c r="H554" t="n">
        <v>12</v>
      </c>
      <c r="I554" t="n">
        <v>5</v>
      </c>
      <c r="J554" t="n">
        <v>12</v>
      </c>
      <c r="K554" t="n">
        <v>3</v>
      </c>
      <c r="L554" t="n">
        <v>8.75</v>
      </c>
      <c r="M554" t="n">
        <v>0</v>
      </c>
      <c r="N554" t="n">
        <v>12</v>
      </c>
      <c r="O554" t="n">
        <v>5</v>
      </c>
      <c r="P554">
        <f>Table1[[#This Row],[TA 1 - Q1 Score]]+Table1[[#This Row],[TA 1 - Q2 Score]]+Table1[[#This Row],[TA 1 - Q3 Score]]</f>
        <v/>
      </c>
      <c r="Q554">
        <f>Table1[[#This Row],[TA 1 - Q1 Bonus]]+Table1[[#This Row],[TA 1 - Q2 Bonus]]+Table1[[#This Row],[TA 1 - Q4 Bonus]]</f>
        <v/>
      </c>
      <c r="R554">
        <f>Table1[[#This Row],[TA 2 - Q1 Score]]+Table1[[#This Row],[TA 2 - Q2 Score]]+Table1[[#This Row],[TA 2 - Q3 Score]]</f>
        <v/>
      </c>
      <c r="S554">
        <f>Table1[[#This Row],[TA 2 - Q1 Bonus]]+Table1[[#This Row],[TA 2 - Q2 Bonus]]+Table1[[#This Row],[TA 2 - Q4 Bonus]]</f>
        <v/>
      </c>
      <c r="T554">
        <f>(Table1[[#This Row],[TA 1 - Total Score (out of 35)]]+Table1[[#This Row],[TA 2 - Total Score (out of 35)]])/2</f>
        <v/>
      </c>
      <c r="U554">
        <f>(Table1[[#This Row],[TA 1 - Total Bonus (out of 13)]]+Table1[[#This Row],[TA 2 - Total Bonus (out of 13)]])/2</f>
        <v/>
      </c>
      <c r="V554">
        <f>Table1[[#This Row],[Average Questions]]/35*20+Table1[[#This Row],[Average Bonus]]/13*5</f>
        <v/>
      </c>
      <c r="W554" t="n">
        <v>8</v>
      </c>
      <c r="X554" t="n">
        <v>0</v>
      </c>
      <c r="Y554" t="inlineStr">
        <is>
          <t>The student completed most tasks correctly but made several minor mistakes. In Part 1, the transforms were correctly defined, and sample images were displayed, though the batch size for DataLoaders was smaller than in the reference. In Part 2, the model was loaded and adapted correctly, but the backbone was not explicitly frozen layer-by-layer. In Part 3, the training and validation loops were mostly correct, but the outputs were incorrectly squeezed, affecting the loss calculation. In Part 4, the model was trained and plotted correctly, but the bonus task was not implemented.</t>
        </is>
      </c>
      <c r="Z554" t="n">
        <v>6</v>
      </c>
      <c r="AA554" t="n">
        <v>0</v>
      </c>
      <c r="AB554" t="inlineStr">
        <is>
          <t>The student partially completed the tasks. The data loading and preparation section had issues with the image resizing dimensions and missing label display. The CNN model did not meet the requirement of having 5 convolutional layers with batch normalization. The training and validation functions were mostly correct but used softmax unnecessarily. The bonus task was not attempted.</t>
        </is>
      </c>
      <c r="AC554" t="n">
        <v>8.5</v>
      </c>
      <c r="AD554" t="inlineStr">
        <is>
          <t>The student's submission largely follows the reference solution but contains minor issues. Task 1 is mostly correct with a small mistake in the mask conversion. Task 2 correctly defines the U-Net model with the specified encoder. Task 3 implements the training and validation loops accurately. Task 4 defines the loss and optimizer correctly, trains the model, and plots the loss curve, though with fewer epochs than the reference. Task 5 visualizes predictions but uses a grayscale colormap instead of 'tab10'. Overall, the submission is well-structured and functional, earning partial credit for minor discrepancies.</t>
        </is>
      </c>
      <c r="AE554" t="n">
        <v>0</v>
      </c>
      <c r="AF554" t="n">
        <v>5</v>
      </c>
      <c r="AG554" t="inlineStr">
        <is>
          <t>The student's implementation of the `ColorizationDataset` class is correct and runs perfectly, producing the expected output and following the optimal logic. The `__init__`, `__len__`, `rgb_to_grayscale`, and `__getitem__` methods are all implemented accurately. The visualization also works as intended, showing the grayscale and color images correctly. Therefore, the student receives full bonus points for this task.</t>
        </is>
      </c>
      <c r="AH554" t="n">
        <v>22.5</v>
      </c>
      <c r="AI554" t="n">
        <v>5</v>
      </c>
    </row>
    <row r="555">
      <c r="A555" t="n">
        <v>554</v>
      </c>
      <c r="B555" t="inlineStr">
        <is>
          <t>TA_10</t>
        </is>
      </c>
      <c r="C555" t="inlineStr">
        <is>
          <t>TA_20</t>
        </is>
      </c>
      <c r="D555" t="n">
        <v>11.25</v>
      </c>
      <c r="E555" t="n">
        <v>0</v>
      </c>
      <c r="F555" t="n">
        <v>11</v>
      </c>
      <c r="G555" t="n">
        <v>0</v>
      </c>
      <c r="H555" t="n">
        <v>10.75</v>
      </c>
      <c r="I555" t="n">
        <v>0</v>
      </c>
      <c r="J555" t="n">
        <v>12</v>
      </c>
      <c r="K555" t="n">
        <v>0</v>
      </c>
      <c r="L555" t="n">
        <v>11</v>
      </c>
      <c r="M555" t="n">
        <v>1</v>
      </c>
      <c r="N555" t="n">
        <v>12</v>
      </c>
      <c r="O555" t="n">
        <v>0</v>
      </c>
      <c r="P555">
        <f>Table1[[#This Row],[TA 1 - Q1 Score]]+Table1[[#This Row],[TA 1 - Q2 Score]]+Table1[[#This Row],[TA 1 - Q3 Score]]</f>
        <v/>
      </c>
      <c r="Q555">
        <f>Table1[[#This Row],[TA 1 - Q1 Bonus]]+Table1[[#This Row],[TA 1 - Q2 Bonus]]+Table1[[#This Row],[TA 1 - Q4 Bonus]]</f>
        <v/>
      </c>
      <c r="R555">
        <f>Table1[[#This Row],[TA 2 - Q1 Score]]+Table1[[#This Row],[TA 2 - Q2 Score]]+Table1[[#This Row],[TA 2 - Q3 Score]]</f>
        <v/>
      </c>
      <c r="S555">
        <f>Table1[[#This Row],[TA 2 - Q1 Bonus]]+Table1[[#This Row],[TA 2 - Q2 Bonus]]+Table1[[#This Row],[TA 2 - Q4 Bonus]]</f>
        <v/>
      </c>
      <c r="T555">
        <f>(Table1[[#This Row],[TA 1 - Total Score (out of 35)]]+Table1[[#This Row],[TA 2 - Total Score (out of 35)]])/2</f>
        <v/>
      </c>
      <c r="U555">
        <f>(Table1[[#This Row],[TA 1 - Total Bonus (out of 13)]]+Table1[[#This Row],[TA 2 - Total Bonus (out of 13)]])/2</f>
        <v/>
      </c>
      <c r="V555">
        <f>Table1[[#This Row],[Average Questions]]/35*20+Table1[[#This Row],[Average Bonus]]/13*5</f>
        <v/>
      </c>
      <c r="W555" t="n">
        <v>7</v>
      </c>
      <c r="X555" t="n">
        <v>0</v>
      </c>
      <c r="Y555" t="inlineStr">
        <is>
          <t>The student completed most tasks with minor issues. The data loading and preparation were mostly correct, though the batch size was smaller than the reference. The model loading and adaptation had a mistake where the entire model was frozen instead of just the backbone. The training and validation loops were implemented with a logical error in the label adjustment and an unnecessary squeeze operation. The plotting of losses and accuracies was correct. The bonus task was not correctly implemented, with errors in the TTA validation function.</t>
        </is>
      </c>
      <c r="Z555" t="n">
        <v>5</v>
      </c>
      <c r="AA555" t="n">
        <v>0</v>
      </c>
      <c r="AB555" t="inlineStr">
        <is>
          <t>The student partially completed the tasks. They correctly set up the dataset and DataLoaders with the required transformations, including RandomRotation and resizing to 32x32. However, the CNN model defined does not meet the requirement of having exactly 5 convolutional layers with Batch Normalization. Instead, they used a more complex architecture similar to AlexNet. The training and validation loops were implemented correctly, and the student plotted the losses and accuracies. The bonus task was not attempted.</t>
        </is>
      </c>
      <c r="AC555" t="n">
        <v>8.5</v>
      </c>
      <c r="AD555" t="inlineStr">
        <is>
          <t>The student's submission contains mostly correct code with minor issues. Task 1 is partially correct with a small mistake in image and mask path retrieval. Task 2 is correct with the specified encoder. Task 3 is mostly correct with a minor issue in mask handling. Task 4 is mostly correct with a slight difference in learning rate and optimizer choice. Task 5 is correct with proper visualization.</t>
        </is>
      </c>
      <c r="AE555" t="n">
        <v>0</v>
      </c>
      <c r="AF555" t="n">
        <v>0</v>
      </c>
      <c r="AG555" t="inlineStr">
        <is>
          <t>No submission found.</t>
        </is>
      </c>
      <c r="AH555" t="n">
        <v>20.5</v>
      </c>
      <c r="AI555" t="n">
        <v>0</v>
      </c>
    </row>
    <row r="556">
      <c r="A556" t="n">
        <v>555</v>
      </c>
      <c r="B556" t="inlineStr">
        <is>
          <t>TA_10</t>
        </is>
      </c>
      <c r="C556" t="inlineStr">
        <is>
          <t>TA_20</t>
        </is>
      </c>
      <c r="D556" t="n">
        <v>5.5</v>
      </c>
      <c r="E556" t="n">
        <v>0</v>
      </c>
      <c r="F556" t="n">
        <v>10</v>
      </c>
      <c r="G556" t="n">
        <v>0</v>
      </c>
      <c r="H556" t="n">
        <v>11.75</v>
      </c>
      <c r="I556" t="n">
        <v>0</v>
      </c>
      <c r="J556" t="n">
        <v>9</v>
      </c>
      <c r="K556" t="n">
        <v>0</v>
      </c>
      <c r="L556" t="n">
        <v>10.5</v>
      </c>
      <c r="M556" t="n">
        <v>0</v>
      </c>
      <c r="N556" t="n">
        <v>12</v>
      </c>
      <c r="O556" t="n">
        <v>0</v>
      </c>
      <c r="P556">
        <f>Table1[[#This Row],[TA 1 - Q1 Score]]+Table1[[#This Row],[TA 1 - Q2 Score]]+Table1[[#This Row],[TA 1 - Q3 Score]]</f>
        <v/>
      </c>
      <c r="Q556">
        <f>Table1[[#This Row],[TA 1 - Q1 Bonus]]+Table1[[#This Row],[TA 1 - Q2 Bonus]]+Table1[[#This Row],[TA 1 - Q4 Bonus]]</f>
        <v/>
      </c>
      <c r="R556">
        <f>Table1[[#This Row],[TA 2 - Q1 Score]]+Table1[[#This Row],[TA 2 - Q2 Score]]+Table1[[#This Row],[TA 2 - Q3 Score]]</f>
        <v/>
      </c>
      <c r="S556">
        <f>Table1[[#This Row],[TA 2 - Q1 Bonus]]+Table1[[#This Row],[TA 2 - Q2 Bonus]]+Table1[[#This Row],[TA 2 - Q4 Bonus]]</f>
        <v/>
      </c>
      <c r="T556">
        <f>(Table1[[#This Row],[TA 1 - Total Score (out of 35)]]+Table1[[#This Row],[TA 2 - Total Score (out of 35)]])/2</f>
        <v/>
      </c>
      <c r="U556">
        <f>(Table1[[#This Row],[TA 1 - Total Bonus (out of 13)]]+Table1[[#This Row],[TA 2 - Total Bonus (out of 13)]])/2</f>
        <v/>
      </c>
      <c r="V556">
        <f>Table1[[#This Row],[Average Questions]]/35*20+Table1[[#This Row],[Average Bonus]]/13*5</f>
        <v/>
      </c>
      <c r="W556" t="n">
        <v>5</v>
      </c>
      <c r="X556" t="n">
        <v>0</v>
      </c>
      <c r="Y556" t="inlineStr">
        <is>
          <t>The student completed the data loading and transformation tasks correctly, including resizing, converting to tensor, and normalizing the images. However, the DataLoader creation and sample image display had issues, such as incorrect batch size and missing label adjustments. The model loading and adaptation were partially correct, but the student did not freeze the backbone and incorrectly replaced the classifier. The training and validation loops were mostly correct but contained logical errors, such as not adjusting labels and using an incorrect validation DataLoader. The bonus task was not attempted.</t>
        </is>
      </c>
      <c r="Z556" t="n">
        <v>7</v>
      </c>
      <c r="AA556" t="n">
        <v>0</v>
      </c>
      <c r="AB556" t="inlineStr">
        <is>
          <t>The student successfully loaded and prepared the data with the correct transformations and displayed sample images. The CNN model was built with five convolutional layers and batch normalization, though the architecture differs slightly from the reference. Training and validation functions were implemented correctly, and the model was trained and plotted. However, the bonus task was not completed as the residual connection was incorrectly defined and the model did not retrain properly.</t>
        </is>
      </c>
      <c r="AC556" t="n">
        <v>8</v>
      </c>
      <c r="AD556" t="inlineStr">
        <is>
          <t>The student's submission contains mostly correct code with minor issues. Task 1 is mostly complete with a few path discrepancies. Task 2 has a mistake in the number of classes specified. Task 3 is correctly implemented. Task 4 has a few issues with the number of epochs and optimizer choice but runs correctly otherwise. Task 5 visualizes predictions correctly but uses a different number of test samples.</t>
        </is>
      </c>
      <c r="AE556" t="n">
        <v>0</v>
      </c>
      <c r="AF556" t="n">
        <v>0</v>
      </c>
      <c r="AG556" t="inlineStr">
        <is>
          <t>No submission found.</t>
        </is>
      </c>
      <c r="AH556" t="n">
        <v>20</v>
      </c>
      <c r="AI556" t="n">
        <v>0</v>
      </c>
    </row>
    <row r="557">
      <c r="A557" t="n">
        <v>556</v>
      </c>
      <c r="B557" t="inlineStr">
        <is>
          <t>TA_10</t>
        </is>
      </c>
      <c r="C557" t="inlineStr">
        <is>
          <t>TA_20</t>
        </is>
      </c>
      <c r="D557" t="n">
        <v>6.25</v>
      </c>
      <c r="E557" t="n">
        <v>4</v>
      </c>
      <c r="F557" t="n">
        <v>10</v>
      </c>
      <c r="G557" t="n">
        <v>3</v>
      </c>
      <c r="H557" t="n">
        <v>11.75</v>
      </c>
      <c r="I557" t="n">
        <v>5</v>
      </c>
      <c r="J557" t="n">
        <v>7</v>
      </c>
      <c r="K557" t="n">
        <v>4</v>
      </c>
      <c r="L557" t="n">
        <v>10</v>
      </c>
      <c r="M557" t="n">
        <v>4</v>
      </c>
      <c r="N557" t="n">
        <v>12</v>
      </c>
      <c r="O557" t="n">
        <v>5</v>
      </c>
      <c r="P557">
        <f>Table1[[#This Row],[TA 1 - Q1 Score]]+Table1[[#This Row],[TA 1 - Q2 Score]]+Table1[[#This Row],[TA 1 - Q3 Score]]</f>
        <v/>
      </c>
      <c r="Q557">
        <f>Table1[[#This Row],[TA 1 - Q1 Bonus]]+Table1[[#This Row],[TA 1 - Q2 Bonus]]+Table1[[#This Row],[TA 1 - Q4 Bonus]]</f>
        <v/>
      </c>
      <c r="R557">
        <f>Table1[[#This Row],[TA 2 - Q1 Score]]+Table1[[#This Row],[TA 2 - Q2 Score]]+Table1[[#This Row],[TA 2 - Q3 Score]]</f>
        <v/>
      </c>
      <c r="S557">
        <f>Table1[[#This Row],[TA 2 - Q1 Bonus]]+Table1[[#This Row],[TA 2 - Q2 Bonus]]+Table1[[#This Row],[TA 2 - Q4 Bonus]]</f>
        <v/>
      </c>
      <c r="T557">
        <f>(Table1[[#This Row],[TA 1 - Total Score (out of 35)]]+Table1[[#This Row],[TA 2 - Total Score (out of 35)]])/2</f>
        <v/>
      </c>
      <c r="U557">
        <f>(Table1[[#This Row],[TA 1 - Total Bonus (out of 13)]]+Table1[[#This Row],[TA 2 - Total Bonus (out of 13)]])/2</f>
        <v/>
      </c>
      <c r="V557">
        <f>Table1[[#This Row],[Average Questions]]/35*20+Table1[[#This Row],[Average Bonus]]/13*5</f>
        <v/>
      </c>
      <c r="W557" t="n">
        <v>6</v>
      </c>
      <c r="X557" t="n">
        <v>0</v>
      </c>
      <c r="Y557" t="inlineStr">
        <is>
          <t>The student completed the data loading and transformation tasks correctly, including resizing, converting to tensor, and normalizing the images. However, there were issues in creating and displaying sample images, where the code did not fully run due to incorrect indexing. The model loading and adaptation tasks were partially correct, but the student used the wrong model variant (EfficientNetV2-M instead of EfficientNetV2-Small) and incorrectly set the number of classes to 27. The training and validation loops were mostly correct but contained minor issues like unnecessary squeezing of outputs. The bonus task was not attempted.</t>
        </is>
      </c>
      <c r="Z557" t="n">
        <v>7</v>
      </c>
      <c r="AA557" t="n">
        <v>0</v>
      </c>
      <c r="AB557" t="inlineStr">
        <is>
          <t>The student successfully loaded and prepared the data with the correct transformations and displayed sample images. The CNN model was built with 5 convolutional layers and batch normalization, though the channel sizes were different from the reference solution. The training and validation loops were implemented correctly, and the model was trained and plotted. However, the bonus task was not completed as the residual connection was incorrectly defined and the model was not retrained with it.</t>
        </is>
      </c>
      <c r="AC557" t="n">
        <v>8.5</v>
      </c>
      <c r="AD557" t="inlineStr">
        <is>
          <t>The student's submission demonstrates a good understanding of the tasks but contains some minor issues. Task 1 is mostly correct with a small mistake in the dataset class where the remap_mask function is called after the target_transform. Task 2 is correct with the U-Net model defined properly. Task 3 is correct with both training and validation loops implemented. Task 4 has a few issues: the optimizer is AdamW instead of Adam, the learning rate is lower, and the number of epochs is higher, but these do not significantly impact the correctness. Task 5 is mostly correct with a minor issue in the visualization where the predicted mask is shown in grayscale instead of using a colormap.</t>
        </is>
      </c>
      <c r="AE557" t="n">
        <v>0</v>
      </c>
      <c r="AF557" t="n">
        <v>0</v>
      </c>
      <c r="AG557" t="inlineStr">
        <is>
          <t>The student's implementation contains several errors in the `rgb_to_grayscale` method, including incorrect indexing of the image channels and a logical mistake in accessing the fourth channel which does not exist. These errors prevent the code from running correctly and producing the expected output.</t>
        </is>
      </c>
      <c r="AH557" t="n">
        <v>21.5</v>
      </c>
      <c r="AI557" t="n">
        <v>0</v>
      </c>
    </row>
    <row r="558">
      <c r="A558" t="n">
        <v>557</v>
      </c>
      <c r="B558" t="inlineStr">
        <is>
          <t>TA_10</t>
        </is>
      </c>
      <c r="C558" t="inlineStr">
        <is>
          <t>TA_20</t>
        </is>
      </c>
      <c r="D558" t="n">
        <v>9.75</v>
      </c>
      <c r="E558" t="n">
        <v>0</v>
      </c>
      <c r="F558" t="n">
        <v>8.5</v>
      </c>
      <c r="G558" t="n">
        <v>0</v>
      </c>
      <c r="H558" t="n">
        <v>5</v>
      </c>
      <c r="I558" t="n">
        <v>0</v>
      </c>
      <c r="J558" t="n">
        <v>11</v>
      </c>
      <c r="K558" t="n">
        <v>0</v>
      </c>
      <c r="L558" t="n">
        <v>9</v>
      </c>
      <c r="M558" t="n">
        <v>0</v>
      </c>
      <c r="N558" t="n">
        <v>10.75</v>
      </c>
      <c r="O558" t="n">
        <v>0</v>
      </c>
      <c r="P558">
        <f>Table1[[#This Row],[TA 1 - Q1 Score]]+Table1[[#This Row],[TA 1 - Q2 Score]]+Table1[[#This Row],[TA 1 - Q3 Score]]</f>
        <v/>
      </c>
      <c r="Q558">
        <f>Table1[[#This Row],[TA 1 - Q1 Bonus]]+Table1[[#This Row],[TA 1 - Q2 Bonus]]+Table1[[#This Row],[TA 1 - Q4 Bonus]]</f>
        <v/>
      </c>
      <c r="R558">
        <f>Table1[[#This Row],[TA 2 - Q1 Score]]+Table1[[#This Row],[TA 2 - Q2 Score]]+Table1[[#This Row],[TA 2 - Q3 Score]]</f>
        <v/>
      </c>
      <c r="S558">
        <f>Table1[[#This Row],[TA 2 - Q1 Bonus]]+Table1[[#This Row],[TA 2 - Q2 Bonus]]+Table1[[#This Row],[TA 2 - Q4 Bonus]]</f>
        <v/>
      </c>
      <c r="T558">
        <f>(Table1[[#This Row],[TA 1 - Total Score (out of 35)]]+Table1[[#This Row],[TA 2 - Total Score (out of 35)]])/2</f>
        <v/>
      </c>
      <c r="U558">
        <f>(Table1[[#This Row],[TA 1 - Total Bonus (out of 13)]]+Table1[[#This Row],[TA 2 - Total Bonus (out of 13)]])/2</f>
        <v/>
      </c>
      <c r="V558">
        <f>Table1[[#This Row],[Average Questions]]/35*20+Table1[[#This Row],[Average Bonus]]/13*5</f>
        <v/>
      </c>
      <c r="W558" t="n">
        <v>5</v>
      </c>
      <c r="X558" t="n">
        <v>0</v>
      </c>
      <c r="Y558" t="inlineStr">
        <is>
          <t>The student completed the data loading and preparation with minor issues, such as incorrect normalization usage and a typo in the test dataset transformation. The model loading and adaptation were partially correct, with the backbone frozen but the classifier replacement had syntax errors. The training and validation loops were attempted but contained logical mistakes, particularly in handling outputs and labels. The device setup was incorrect, forcing CPU usage despite GPU availability. No bonus task was attempted.</t>
        </is>
      </c>
      <c r="Z558" t="n">
        <v>8</v>
      </c>
      <c r="AA558" t="n">
        <v>0</v>
      </c>
      <c r="AB558" t="inlineStr">
        <is>
          <t>The student successfully completed most tasks with minor issues. The dataset loading and preparation were mostly correct, with the exception of using a different image size (32x32 instead of 128x128). The CNN model had 5 convolutional layers but used different channel sizes compared to the reference solution. Batch normalization was not added, resulting in a deduction. The training and validation loops were implemented correctly, and the model trained and plotted the results accurately. However, the bonus task was not attempted.</t>
        </is>
      </c>
      <c r="AC558" t="n">
        <v>4</v>
      </c>
      <c r="AD558" t="inlineStr">
        <is>
          <t>The student attempted most tasks but made significant errors. In Task 1, the dataset class was partially correct but used a binary mask instead of remapping to a consecutive range. DataLoaders were correctly implemented, and sample images and masks were displayed. In Task 2, the U-Net model was incorrectly defined with 'efficientnet-b1' and only one class. Task 3 had syntax errors in the training and validation loops. Task 4 used BCEWithLogitsLoss and AdamW optimizer, trained for 5 epochs, and printed losses, but the model definition was incorrect. Task 5 visualized predictions but with a binary mask and incorrect model usage.</t>
        </is>
      </c>
      <c r="AE558" t="n">
        <v>0</v>
      </c>
      <c r="AF558" t="n">
        <v>0</v>
      </c>
      <c r="AG558" t="inlineStr">
        <is>
          <t>No submission found.</t>
        </is>
      </c>
      <c r="AH558" t="n">
        <v>17</v>
      </c>
      <c r="AI558" t="n">
        <v>0</v>
      </c>
    </row>
    <row r="559">
      <c r="A559" t="n">
        <v>558</v>
      </c>
      <c r="B559" t="inlineStr">
        <is>
          <t>TA_10</t>
        </is>
      </c>
      <c r="C559" t="inlineStr">
        <is>
          <t>TA_20</t>
        </is>
      </c>
      <c r="D559" t="n">
        <v>2.5</v>
      </c>
      <c r="E559" t="n">
        <v>0</v>
      </c>
      <c r="F559" t="n">
        <v>0</v>
      </c>
      <c r="G559" t="n">
        <v>0</v>
      </c>
      <c r="H559" t="n">
        <v>0</v>
      </c>
      <c r="I559" t="n">
        <v>0</v>
      </c>
      <c r="J559" t="n">
        <v>5.5</v>
      </c>
      <c r="K559" t="n">
        <v>0</v>
      </c>
      <c r="L559" t="n">
        <v>2.5</v>
      </c>
      <c r="M559" t="n">
        <v>0</v>
      </c>
      <c r="N559" t="n">
        <v>10.75</v>
      </c>
      <c r="O559" t="n">
        <v>0</v>
      </c>
      <c r="P559">
        <f>Table1[[#This Row],[TA 1 - Q1 Score]]+Table1[[#This Row],[TA 1 - Q2 Score]]+Table1[[#This Row],[TA 1 - Q3 Score]]</f>
        <v/>
      </c>
      <c r="Q559">
        <f>Table1[[#This Row],[TA 1 - Q1 Bonus]]+Table1[[#This Row],[TA 1 - Q2 Bonus]]+Table1[[#This Row],[TA 1 - Q4 Bonus]]</f>
        <v/>
      </c>
      <c r="R559">
        <f>Table1[[#This Row],[TA 2 - Q1 Score]]+Table1[[#This Row],[TA 2 - Q2 Score]]+Table1[[#This Row],[TA 2 - Q3 Score]]</f>
        <v/>
      </c>
      <c r="S559">
        <f>Table1[[#This Row],[TA 2 - Q1 Bonus]]+Table1[[#This Row],[TA 2 - Q2 Bonus]]+Table1[[#This Row],[TA 2 - Q4 Bonus]]</f>
        <v/>
      </c>
      <c r="T559">
        <f>(Table1[[#This Row],[TA 1 - Total Score (out of 35)]]+Table1[[#This Row],[TA 2 - Total Score (out of 35)]])/2</f>
        <v/>
      </c>
      <c r="U559">
        <f>(Table1[[#This Row],[TA 1 - Total Bonus (out of 13)]]+Table1[[#This Row],[TA 2 - Total Bonus (out of 13)]])/2</f>
        <v/>
      </c>
      <c r="V559">
        <f>Table1[[#This Row],[Average Questions]]/35*20+Table1[[#This Row],[Average Bonus]]/13*5</f>
        <v/>
      </c>
      <c r="W559" t="n">
        <v>2</v>
      </c>
      <c r="X559" t="n">
        <v>0</v>
      </c>
      <c r="Y559" t="inlineStr">
        <is>
          <t>The student partially completed the data loading and preparation tasks but made significant errors in resizing images and did not create DataLoaders or display sample images. The model loading and adaptation section was not attempted. The training and validation functions were not implemented correctly, and the training loop contained errors. No bonus tasks were attempted.</t>
        </is>
      </c>
      <c r="Z559" t="n">
        <v>2</v>
      </c>
      <c r="AA559" t="n">
        <v>0</v>
      </c>
      <c r="AB559" t="inlineStr">
        <is>
          <t>The student did not complete most of the required tasks. They failed to load and prepare the data, including creating datasets and DataLoaders, applying the specified transformations, and displaying sample images. The CNN model defined has only three convolutional layers instead of five, and it does not include batch normalization. The training and validation loops are present but contain unnecessary softmax operations, which are not needed with CrossEntropyLoss. The student did not attempt the bonus task.</t>
        </is>
      </c>
      <c r="AC559" t="n">
        <v>4</v>
      </c>
      <c r="AD559" t="inlineStr">
        <is>
          <t>The student attempted most tasks but made significant errors. The dataset class incorrectly uses a CSV file for paths instead of directly listing image and mask files. The model class specifies a single output channel, contradicting the multi-class nature of the task. The training and validation loops use BCEWithLogitsLoss, which is suitable for binary segmentation, not multi-class. The visualization code correctly displays images and masks but does not handle multi-class predictions properly.</t>
        </is>
      </c>
      <c r="AE559" t="n">
        <v>0</v>
      </c>
      <c r="AF559" t="n">
        <v>0</v>
      </c>
      <c r="AG559" t="inlineStr">
        <is>
          <t>The student did not implement any of the required methods in the `ColorizationDataset` class. The `__init__`, `__len__`, `rgb_to_grayscale`, and `__getitem__` methods were left unimplemented with only placeholder comments. As a result, the code does not run and fails to produce the expected output.</t>
        </is>
      </c>
      <c r="AH559" t="n">
        <v>8</v>
      </c>
      <c r="AI559" t="n">
        <v>0</v>
      </c>
    </row>
    <row r="560">
      <c r="A560" t="n">
        <v>559</v>
      </c>
      <c r="B560" t="inlineStr">
        <is>
          <t>TA_10</t>
        </is>
      </c>
      <c r="C560" t="inlineStr">
        <is>
          <t>TA_20</t>
        </is>
      </c>
      <c r="D560" t="n">
        <v>12</v>
      </c>
      <c r="E560" t="n">
        <v>4</v>
      </c>
      <c r="F560" t="n">
        <v>10.5</v>
      </c>
      <c r="G560" t="n">
        <v>4</v>
      </c>
      <c r="H560" t="n">
        <v>11.5</v>
      </c>
      <c r="I560" t="n">
        <v>5</v>
      </c>
      <c r="J560" t="n">
        <v>12</v>
      </c>
      <c r="K560" t="n">
        <v>3</v>
      </c>
      <c r="L560" t="n">
        <v>11</v>
      </c>
      <c r="M560" t="n">
        <v>4</v>
      </c>
      <c r="N560" t="n">
        <v>12</v>
      </c>
      <c r="O560" t="n">
        <v>5</v>
      </c>
      <c r="P560">
        <f>Table1[[#This Row],[TA 1 - Q1 Score]]+Table1[[#This Row],[TA 1 - Q2 Score]]+Table1[[#This Row],[TA 1 - Q3 Score]]</f>
        <v/>
      </c>
      <c r="Q560">
        <f>Table1[[#This Row],[TA 1 - Q1 Bonus]]+Table1[[#This Row],[TA 1 - Q2 Bonus]]+Table1[[#This Row],[TA 1 - Q4 Bonus]]</f>
        <v/>
      </c>
      <c r="R560">
        <f>Table1[[#This Row],[TA 2 - Q1 Score]]+Table1[[#This Row],[TA 2 - Q2 Score]]+Table1[[#This Row],[TA 2 - Q3 Score]]</f>
        <v/>
      </c>
      <c r="S560">
        <f>Table1[[#This Row],[TA 2 - Q1 Bonus]]+Table1[[#This Row],[TA 2 - Q2 Bonus]]+Table1[[#This Row],[TA 2 - Q4 Bonus]]</f>
        <v/>
      </c>
      <c r="T560">
        <f>(Table1[[#This Row],[TA 1 - Total Score (out of 35)]]+Table1[[#This Row],[TA 2 - Total Score (out of 35)]])/2</f>
        <v/>
      </c>
      <c r="U560">
        <f>(Table1[[#This Row],[TA 1 - Total Bonus (out of 13)]]+Table1[[#This Row],[TA 2 - Total Bonus (out of 13)]])/2</f>
        <v/>
      </c>
      <c r="V560">
        <f>Table1[[#This Row],[Average Questions]]/35*20+Table1[[#This Row],[Average Bonus]]/13*5</f>
        <v/>
      </c>
      <c r="W560" t="n">
        <v>8</v>
      </c>
      <c r="X560" t="n">
        <v>0</v>
      </c>
      <c r="Y560" t="inlineStr">
        <is>
          <t>The student completed most tasks correctly but made some minor mistakes. The data loading and preparation were mostly correct, with the exception of using a batch size of 32 instead of 64. The model loading and adaptation were correct, but the student froze all parameters instead of just the backbone. The training and validation loops were implemented correctly, including fixing the labels. However, the bonus task was not completed as the student did not average the predictions correctly and used the wrong variable for computing accuracy.</t>
        </is>
      </c>
      <c r="Z560" t="n">
        <v>7</v>
      </c>
      <c r="AA560" t="n">
        <v>0</v>
      </c>
      <c r="AB560" t="inlineStr">
        <is>
          <t>The student partially completed the tasks. They correctly set up the dataset with the required transformations and displayed sample images. However, the CNN model had fewer convolutional layers and used incorrect channel sizes in the residual connection implementation. The training and validation loops were implemented correctly, but the model did not meet the requirement of having five convolutional layers with batch normalization. The bonus task was not attempted.</t>
        </is>
      </c>
      <c r="AC560" t="n">
        <v>8</v>
      </c>
      <c r="AD560" t="inlineStr">
        <is>
          <t>The student's submission includes most of the required tasks with minor issues. The dataset class is implemented correctly, but the image and mask paths are not filtered by file extensions. DataLoaders are created with a batch size of 32, which is not specified in the guidelines. Sample images and masks are displayed correctly. The U-Net model is defined with the correct encoder, but the optimizer uses AdamW instead of Adam. Training and validation loops are implemented with syntax errors in the mask conversion. Losses are printed and plotted, but only for 2 epochs instead of 10. Predictions are visualized, but the colormap used is gray instead of tab10.</t>
        </is>
      </c>
      <c r="AE560" t="n">
        <v>0</v>
      </c>
      <c r="AF560" t="n">
        <v>0</v>
      </c>
      <c r="AG560" t="inlineStr">
        <is>
          <t>The student's implementation contains several errors. In the `rgb_to_grayscale` method, the indexing of the image tensor is incorrect, leading to a mismatch in dimensions. Additionally, the `__getitem__` method incorrectly returns a tuple containing a single-element tuple for the color image, which causes issues in subsequent steps. These errors prevent the code from running correctly and producing the expected output.</t>
        </is>
      </c>
      <c r="AH560" t="n">
        <v>23</v>
      </c>
      <c r="AI560" t="n">
        <v>0</v>
      </c>
    </row>
    <row r="561">
      <c r="A561" t="n">
        <v>560</v>
      </c>
      <c r="B561" t="inlineStr">
        <is>
          <t>TA_10</t>
        </is>
      </c>
      <c r="C561" t="inlineStr">
        <is>
          <t>TA_20</t>
        </is>
      </c>
      <c r="D561" t="n">
        <v>6.5</v>
      </c>
      <c r="E561" t="n">
        <v>0</v>
      </c>
      <c r="F561" t="n">
        <v>8</v>
      </c>
      <c r="G561" t="n">
        <v>0</v>
      </c>
      <c r="H561" t="n">
        <v>12</v>
      </c>
      <c r="I561" t="n">
        <v>0</v>
      </c>
      <c r="J561" t="n">
        <v>8</v>
      </c>
      <c r="K561" t="n">
        <v>0</v>
      </c>
      <c r="L561" t="n">
        <v>8.5</v>
      </c>
      <c r="M561" t="n">
        <v>0</v>
      </c>
      <c r="N561" t="n">
        <v>12</v>
      </c>
      <c r="O561" t="n">
        <v>0</v>
      </c>
      <c r="P561">
        <f>Table1[[#This Row],[TA 1 - Q1 Score]]+Table1[[#This Row],[TA 1 - Q2 Score]]+Table1[[#This Row],[TA 1 - Q3 Score]]</f>
        <v/>
      </c>
      <c r="Q561">
        <f>Table1[[#This Row],[TA 1 - Q1 Bonus]]+Table1[[#This Row],[TA 1 - Q2 Bonus]]+Table1[[#This Row],[TA 1 - Q4 Bonus]]</f>
        <v/>
      </c>
      <c r="R561">
        <f>Table1[[#This Row],[TA 2 - Q1 Score]]+Table1[[#This Row],[TA 2 - Q2 Score]]+Table1[[#This Row],[TA 2 - Q3 Score]]</f>
        <v/>
      </c>
      <c r="S561">
        <f>Table1[[#This Row],[TA 2 - Q1 Bonus]]+Table1[[#This Row],[TA 2 - Q2 Bonus]]+Table1[[#This Row],[TA 2 - Q4 Bonus]]</f>
        <v/>
      </c>
      <c r="T561">
        <f>(Table1[[#This Row],[TA 1 - Total Score (out of 35)]]+Table1[[#This Row],[TA 2 - Total Score (out of 35)]])/2</f>
        <v/>
      </c>
      <c r="U561">
        <f>(Table1[[#This Row],[TA 1 - Total Bonus (out of 13)]]+Table1[[#This Row],[TA 2 - Total Bonus (out of 13)]])/2</f>
        <v/>
      </c>
      <c r="V561">
        <f>Table1[[#This Row],[Average Questions]]/35*20+Table1[[#This Row],[Average Bonus]]/13*5</f>
        <v/>
      </c>
      <c r="W561" t="n">
        <v>5</v>
      </c>
      <c r="X561" t="n">
        <v>0</v>
      </c>
      <c r="Y561" t="inlineStr">
        <is>
          <t>The student completed the data loading and preparation with minor issues, such as using a batch size of 32 instead of 64. The model loading and adaptation were mostly correct, but the classifier head was incorrectly set to 27 classes instead of 26. The training and validation loops had syntax errors, particularly with the .squeeze() method, which is unnecessary and causes dimension mismatches. The bonus task was not attempted.</t>
        </is>
      </c>
      <c r="Z561" t="n">
        <v>7</v>
      </c>
      <c r="AA561" t="n">
        <v>0</v>
      </c>
      <c r="AB561" t="inlineStr">
        <is>
          <t>The student successfully loaded and prepared the data with the correct transformations and displayed sample images. The CNN model has 5 convolutional layers but does not include batch normalization, resulting in partial credit. The training and validation loops are implemented correctly. The model is trained and the losses and accuracies are plotted. However, the bonus task for adding a residual connection was not completed.</t>
        </is>
      </c>
      <c r="AC561" t="n">
        <v>8.5</v>
      </c>
      <c r="AD561" t="inlineStr">
        <is>
          <t>The student's submission demonstrates a good understanding of the tasks but contains some minor issues. The dataset class is correctly implemented, and the data loaders are set up properly. Sample images and masks are displayed correctly. The model class uses the correct U-Net architecture with the specified encoder. The training and validation loops are implemented with minor syntax issues, such as unnecessary imports and incorrect optimizer usage. The training process runs without errors, and the loss curve is plotted. However, the visualization of predictions has some issues, including incorrect colormap usage and unnecessary imports.</t>
        </is>
      </c>
      <c r="AE561" t="n">
        <v>0</v>
      </c>
      <c r="AF561" t="n">
        <v>0</v>
      </c>
      <c r="AG561" t="inlineStr">
        <is>
          <t>The student did not implement any of the required methods in the `ColorizationDataset` class. The `__init__`, `__len__`, `rgb_to_grayscale`, and `__getitem__` methods are all empty or incomplete, resulting in no functional code for the bonus question.</t>
        </is>
      </c>
      <c r="AH561" t="n">
        <v>20.5</v>
      </c>
      <c r="AI561" t="n">
        <v>0</v>
      </c>
    </row>
    <row r="562">
      <c r="A562" t="n">
        <v>561</v>
      </c>
      <c r="B562" t="inlineStr">
        <is>
          <t>TA_10</t>
        </is>
      </c>
      <c r="C562" t="inlineStr">
        <is>
          <t>TA_20</t>
        </is>
      </c>
      <c r="D562" t="n">
        <v>11</v>
      </c>
      <c r="E562" t="n">
        <v>0</v>
      </c>
      <c r="F562" t="n">
        <v>9.25</v>
      </c>
      <c r="G562" t="n">
        <v>0</v>
      </c>
      <c r="H562" t="n">
        <v>10</v>
      </c>
      <c r="I562" t="n">
        <v>0</v>
      </c>
      <c r="J562" t="n">
        <v>11</v>
      </c>
      <c r="K562" t="n">
        <v>0</v>
      </c>
      <c r="L562" t="n">
        <v>10.5</v>
      </c>
      <c r="M562" t="n">
        <v>0</v>
      </c>
      <c r="N562" t="n">
        <v>11.25</v>
      </c>
      <c r="O562" t="n">
        <v>0</v>
      </c>
      <c r="P562">
        <f>Table1[[#This Row],[TA 1 - Q1 Score]]+Table1[[#This Row],[TA 1 - Q2 Score]]+Table1[[#This Row],[TA 1 - Q3 Score]]</f>
        <v/>
      </c>
      <c r="Q562">
        <f>Table1[[#This Row],[TA 1 - Q1 Bonus]]+Table1[[#This Row],[TA 1 - Q2 Bonus]]+Table1[[#This Row],[TA 1 - Q4 Bonus]]</f>
        <v/>
      </c>
      <c r="R562">
        <f>Table1[[#This Row],[TA 2 - Q1 Score]]+Table1[[#This Row],[TA 2 - Q2 Score]]+Table1[[#This Row],[TA 2 - Q3 Score]]</f>
        <v/>
      </c>
      <c r="S562">
        <f>Table1[[#This Row],[TA 2 - Q1 Bonus]]+Table1[[#This Row],[TA 2 - Q2 Bonus]]+Table1[[#This Row],[TA 2 - Q4 Bonus]]</f>
        <v/>
      </c>
      <c r="T562">
        <f>(Table1[[#This Row],[TA 1 - Total Score (out of 35)]]+Table1[[#This Row],[TA 2 - Total Score (out of 35)]])/2</f>
        <v/>
      </c>
      <c r="U562">
        <f>(Table1[[#This Row],[TA 1 - Total Bonus (out of 13)]]+Table1[[#This Row],[TA 2 - Total Bonus (out of 13)]])/2</f>
        <v/>
      </c>
      <c r="V562">
        <f>Table1[[#This Row],[Average Questions]]/35*20+Table1[[#This Row],[Average Bonus]]/13*5</f>
        <v/>
      </c>
      <c r="W562" t="n">
        <v>7</v>
      </c>
      <c r="X562" t="n">
        <v>0</v>
      </c>
      <c r="Y562" t="inlineStr">
        <is>
          <t>The student completed most tasks with minor issues. The data loading and preparation were mostly correct, though the batch size was set too low at 2. The model loading and adaptation were partially correct, but the backbone was not properly frozen. The training and validation loops had logical errors in the accuracy calculation, as the labels were not adjusted correctly in the validation loop. The plotting was correct, but no bonus task was attempted.</t>
        </is>
      </c>
      <c r="Z562" t="n">
        <v>8</v>
      </c>
      <c r="AA562" t="n">
        <v>0</v>
      </c>
      <c r="AB562" t="inlineStr">
        <is>
          <t>The student successfully loaded and prepared the data with the correct transformations, including RandomRotation and resizing to 32x32. The CNN model was built with five convolutional layers and batch normalization, though the student used Sequential for each layer instead of defining them separately. The training and validation loops were implemented correctly, and the model was trained and plotted. However, the student did not attempt the bonus task of adding a residual connection.</t>
        </is>
      </c>
      <c r="AC562" t="n">
        <v>4</v>
      </c>
      <c r="AD562" t="inlineStr">
        <is>
          <t>The student attempted most tasks but made several mistakes. In Task 1, the dataset class was partially correct but had issues with mask remapping and data splitting. Task 2 had an incorrect number of output classes. Task 3 contained logical errors in the training and validation loops. Task 4 used an incorrect loss function and optimizer, and Task 5 had issues with mask visualization.</t>
        </is>
      </c>
      <c r="AE562" t="n">
        <v>0</v>
      </c>
      <c r="AF562" t="n">
        <v>0</v>
      </c>
      <c r="AG562" t="inlineStr">
        <is>
          <t>No submission found.</t>
        </is>
      </c>
      <c r="AH562" t="n">
        <v>19</v>
      </c>
      <c r="AI562" t="n">
        <v>0</v>
      </c>
    </row>
    <row r="563">
      <c r="A563" t="n">
        <v>562</v>
      </c>
      <c r="B563" t="inlineStr">
        <is>
          <t>TA_10</t>
        </is>
      </c>
      <c r="C563" t="inlineStr">
        <is>
          <t>TA_20</t>
        </is>
      </c>
      <c r="D563" t="n">
        <v>12</v>
      </c>
      <c r="E563" t="n">
        <v>0</v>
      </c>
      <c r="F563" t="n">
        <v>9</v>
      </c>
      <c r="G563" t="n">
        <v>0</v>
      </c>
      <c r="H563" t="n">
        <v>12</v>
      </c>
      <c r="I563" t="n">
        <v>0</v>
      </c>
      <c r="J563" t="n">
        <v>11</v>
      </c>
      <c r="K563" t="n">
        <v>0</v>
      </c>
      <c r="L563" t="n">
        <v>9</v>
      </c>
      <c r="M563" t="n">
        <v>0</v>
      </c>
      <c r="N563" t="n">
        <v>12</v>
      </c>
      <c r="O563" t="n">
        <v>0</v>
      </c>
      <c r="P563">
        <f>Table1[[#This Row],[TA 1 - Q1 Score]]+Table1[[#This Row],[TA 1 - Q2 Score]]+Table1[[#This Row],[TA 1 - Q3 Score]]</f>
        <v/>
      </c>
      <c r="Q563">
        <f>Table1[[#This Row],[TA 1 - Q1 Bonus]]+Table1[[#This Row],[TA 1 - Q2 Bonus]]+Table1[[#This Row],[TA 1 - Q4 Bonus]]</f>
        <v/>
      </c>
      <c r="R563">
        <f>Table1[[#This Row],[TA 2 - Q1 Score]]+Table1[[#This Row],[TA 2 - Q2 Score]]+Table1[[#This Row],[TA 2 - Q3 Score]]</f>
        <v/>
      </c>
      <c r="S563">
        <f>Table1[[#This Row],[TA 2 - Q1 Bonus]]+Table1[[#This Row],[TA 2 - Q2 Bonus]]+Table1[[#This Row],[TA 2 - Q4 Bonus]]</f>
        <v/>
      </c>
      <c r="T563">
        <f>(Table1[[#This Row],[TA 1 - Total Score (out of 35)]]+Table1[[#This Row],[TA 2 - Total Score (out of 35)]])/2</f>
        <v/>
      </c>
      <c r="U563">
        <f>(Table1[[#This Row],[TA 1 - Total Bonus (out of 13)]]+Table1[[#This Row],[TA 2 - Total Bonus (out of 13)]])/2</f>
        <v/>
      </c>
      <c r="V563">
        <f>Table1[[#This Row],[Average Questions]]/35*20+Table1[[#This Row],[Average Bonus]]/13*5</f>
        <v/>
      </c>
      <c r="W563" t="n">
        <v>5.5</v>
      </c>
      <c r="X563" t="n">
        <v>0</v>
      </c>
      <c r="Y563" t="inlineStr">
        <is>
          <t>The student partially completed the tasks with some syntax and logical errors. The resize transformation was incorrectly set to 64x64 instead of 28x28. The DataLoader creation had a mistake in shuffling the test set. The model loading used EfficientNet-B0 instead of EfficientNetV2-Small. The training and validation loops contained errors in handling the model outputs and labels. The student did not attempt the bonus task.</t>
        </is>
      </c>
      <c r="Z563" t="n">
        <v>6</v>
      </c>
      <c r="AA563" t="n">
        <v>0</v>
      </c>
      <c r="AB563" t="inlineStr">
        <is>
          <t>The student successfully loaded and prepared the data with the correct transformations and displayed sample images. However, the CNN model has fewer convolutional layers than required (only 5 instead of 5 as specified, but with different channel sizes). The training and validation loops are implemented correctly, and the model is trained and plotted. The bonus task is not attempted, as the student used a pre-trained EfficientNet model instead of adding a residual connection to the CNN.</t>
        </is>
      </c>
      <c r="AC563" t="n">
        <v>8.5</v>
      </c>
      <c r="AD563" t="inlineStr">
        <is>
          <t>The student's submission largely follows the reference solution but contains minor issues. Task 1 is mostly correct with a small mistake in the mask transformation where the mask should not be scaled. Task 2 correctly defines the U-Net model with the specified encoder. Task 3 implements the training and validation loops accurately. Task 4 defines the loss and optimizer correctly and trains the model, printing and plotting the losses. Task 5 visualizes predictions but uses a grayscale colormap instead of 'tab10'.</t>
        </is>
      </c>
      <c r="AE563" t="n">
        <v>0</v>
      </c>
      <c r="AF563" t="n">
        <v>0</v>
      </c>
      <c r="AG563" t="inlineStr">
        <is>
          <t>No submission found.</t>
        </is>
      </c>
      <c r="AH563" t="n">
        <v>20</v>
      </c>
      <c r="AI563" t="n">
        <v>0</v>
      </c>
    </row>
    <row r="564">
      <c r="A564" t="n">
        <v>563</v>
      </c>
      <c r="B564" t="inlineStr">
        <is>
          <t>TA_10</t>
        </is>
      </c>
      <c r="C564" t="inlineStr">
        <is>
          <t>TA_20</t>
        </is>
      </c>
      <c r="D564" t="n">
        <v>12</v>
      </c>
      <c r="E564" t="n">
        <v>0</v>
      </c>
      <c r="F564" t="n">
        <v>10.5</v>
      </c>
      <c r="G564" t="n">
        <v>0</v>
      </c>
      <c r="H564" t="n">
        <v>1.5</v>
      </c>
      <c r="I564" t="n">
        <v>0</v>
      </c>
      <c r="J564" t="n">
        <v>12</v>
      </c>
      <c r="K564" t="n">
        <v>0</v>
      </c>
      <c r="L564" t="n">
        <v>10</v>
      </c>
      <c r="M564" t="n">
        <v>0</v>
      </c>
      <c r="N564" t="n">
        <v>2</v>
      </c>
      <c r="O564" t="n">
        <v>0</v>
      </c>
      <c r="P564">
        <f>Table1[[#This Row],[TA 1 - Q1 Score]]+Table1[[#This Row],[TA 1 - Q2 Score]]+Table1[[#This Row],[TA 1 - Q3 Score]]</f>
        <v/>
      </c>
      <c r="Q564">
        <f>Table1[[#This Row],[TA 1 - Q1 Bonus]]+Table1[[#This Row],[TA 1 - Q2 Bonus]]+Table1[[#This Row],[TA 1 - Q4 Bonus]]</f>
        <v/>
      </c>
      <c r="R564">
        <f>Table1[[#This Row],[TA 2 - Q1 Score]]+Table1[[#This Row],[TA 2 - Q2 Score]]+Table1[[#This Row],[TA 2 - Q3 Score]]</f>
        <v/>
      </c>
      <c r="S564">
        <f>Table1[[#This Row],[TA 2 - Q1 Bonus]]+Table1[[#This Row],[TA 2 - Q2 Bonus]]+Table1[[#This Row],[TA 2 - Q4 Bonus]]</f>
        <v/>
      </c>
      <c r="T564">
        <f>(Table1[[#This Row],[TA 1 - Total Score (out of 35)]]+Table1[[#This Row],[TA 2 - Total Score (out of 35)]])/2</f>
        <v/>
      </c>
      <c r="U564">
        <f>(Table1[[#This Row],[TA 1 - Total Bonus (out of 13)]]+Table1[[#This Row],[TA 2 - Total Bonus (out of 13)]])/2</f>
        <v/>
      </c>
      <c r="V564">
        <f>Table1[[#This Row],[Average Questions]]/35*20+Table1[[#This Row],[Average Bonus]]/13*5</f>
        <v/>
      </c>
      <c r="W564" t="n">
        <v>10.5</v>
      </c>
      <c r="X564" t="n">
        <v>0</v>
      </c>
      <c r="Y564" t="inlineStr">
        <is>
          <t>The student completed most tasks correctly, including defining transforms, creating DataLoaders, loading and adapting the pretrained model, and implementing training and validation loops. However, the student used a smaller batch size (4) compared to the reference solution (64), which may affect performance. The student also trained for only 2 epochs instead of 5, which could limit the model's learning capacity. No bonus task was attempted.</t>
        </is>
      </c>
      <c r="Z564" t="n">
        <v>7</v>
      </c>
      <c r="AA564" t="n">
        <v>0</v>
      </c>
      <c r="AB564" t="inlineStr">
        <is>
          <t>The student partially completed the tasks. They implemented a custom dataset class and used ImageFolder, but the dataset class was not utilized. The transforms were correctly applied, and sample images were displayed. The CNN model had 5 convolutional layers with batch normalization, but the number of channels and fully connected layer sizes were different from the reference solution. The training and validation loops were implemented correctly, and the model was trained and plotted. However, the bonus task was not attempted.</t>
        </is>
      </c>
      <c r="AC564" t="n">
        <v>2</v>
      </c>
      <c r="AD564" t="inlineStr">
        <is>
          <t>The student has completed Task 1 partially by defining a custom dataset class and setting up transformations. However, there are issues with the directory handling and missing code for creating DataLoaders and displaying samples. Tasks 2 through 5 are not addressed in the submission.</t>
        </is>
      </c>
      <c r="AE564" t="n">
        <v>0</v>
      </c>
      <c r="AF564" t="n">
        <v>0</v>
      </c>
      <c r="AG564" t="inlineStr">
        <is>
          <t>No submission found.</t>
        </is>
      </c>
      <c r="AH564" t="n">
        <v>19.5</v>
      </c>
      <c r="AI564" t="n">
        <v>0</v>
      </c>
    </row>
    <row r="565">
      <c r="A565" t="n">
        <v>564</v>
      </c>
      <c r="B565" t="inlineStr">
        <is>
          <t>TA_10</t>
        </is>
      </c>
      <c r="C565" t="inlineStr">
        <is>
          <t>TA_20</t>
        </is>
      </c>
      <c r="D565" t="n">
        <v>0</v>
      </c>
      <c r="E565" t="n">
        <v>0</v>
      </c>
      <c r="F565" t="n">
        <v>0</v>
      </c>
      <c r="G565" t="n">
        <v>0</v>
      </c>
      <c r="H565" t="n">
        <v>0</v>
      </c>
      <c r="I565" t="n">
        <v>0</v>
      </c>
      <c r="J565" t="n">
        <v>0</v>
      </c>
      <c r="K565" t="n">
        <v>0</v>
      </c>
      <c r="L565" t="n">
        <v>0</v>
      </c>
      <c r="M565" t="n">
        <v>0</v>
      </c>
      <c r="N565" t="n">
        <v>0</v>
      </c>
      <c r="O565" t="n">
        <v>0</v>
      </c>
      <c r="P565">
        <f>Table1[[#This Row],[TA 1 - Q1 Score]]+Table1[[#This Row],[TA 1 - Q2 Score]]+Table1[[#This Row],[TA 1 - Q3 Score]]</f>
        <v/>
      </c>
      <c r="Q565">
        <f>Table1[[#This Row],[TA 1 - Q1 Bonus]]+Table1[[#This Row],[TA 1 - Q2 Bonus]]+Table1[[#This Row],[TA 1 - Q4 Bonus]]</f>
        <v/>
      </c>
      <c r="R565">
        <f>Table1[[#This Row],[TA 2 - Q1 Score]]+Table1[[#This Row],[TA 2 - Q2 Score]]+Table1[[#This Row],[TA 2 - Q3 Score]]</f>
        <v/>
      </c>
      <c r="S565">
        <f>Table1[[#This Row],[TA 2 - Q1 Bonus]]+Table1[[#This Row],[TA 2 - Q2 Bonus]]+Table1[[#This Row],[TA 2 - Q4 Bonus]]</f>
        <v/>
      </c>
      <c r="T565">
        <f>(Table1[[#This Row],[TA 1 - Total Score (out of 35)]]+Table1[[#This Row],[TA 2 - Total Score (out of 35)]])/2</f>
        <v/>
      </c>
      <c r="U565">
        <f>(Table1[[#This Row],[TA 1 - Total Bonus (out of 13)]]+Table1[[#This Row],[TA 2 - Total Bonus (out of 13)]])/2</f>
        <v/>
      </c>
      <c r="V565">
        <f>Table1[[#This Row],[Average Questions]]/35*20+Table1[[#This Row],[Average Bonus]]/13*5</f>
        <v/>
      </c>
      <c r="W565" t="n">
        <v>0</v>
      </c>
      <c r="X565" t="n">
        <v>0</v>
      </c>
      <c r="Y565" t="inlineStr">
        <is>
          <t>The student did not provide any code for the tasks in Part 1, Part 2, Part 3, Part 4, or Part 5. The submission is incomplete and lacks any implementation for the required tasks.</t>
        </is>
      </c>
      <c r="Z565" t="n">
        <v>0</v>
      </c>
      <c r="AA565" t="n">
        <v>0</v>
      </c>
      <c r="AB565" t="inlineStr">
        <is>
          <t>The student did not provide any code for any of the tasks required in Question 2. Each cell from Cell 2 to Cell 6 is empty, indicating that no effort was made to load and prepare the data, build the CNN model, define training and validation functions, or perform the training process.</t>
        </is>
      </c>
      <c r="AC565" t="n">
        <v>0</v>
      </c>
      <c r="AD565" t="inlineStr">
        <is>
          <t>The student did not provide any code for Tasks 1 through 5. The submission is incomplete and lacks any implementation for the required tasks, resulting in a score of 0.</t>
        </is>
      </c>
      <c r="AE565" t="n">
        <v>0</v>
      </c>
      <c r="AF565" t="n">
        <v>0</v>
      </c>
      <c r="AG565" t="inlineStr">
        <is>
          <t>No submission found.</t>
        </is>
      </c>
      <c r="AH565" t="n">
        <v>0</v>
      </c>
      <c r="AI565" t="n">
        <v>0</v>
      </c>
    </row>
    <row r="566">
      <c r="A566" t="n">
        <v>565</v>
      </c>
      <c r="B566" t="inlineStr">
        <is>
          <t>TA_10</t>
        </is>
      </c>
      <c r="C566" t="inlineStr">
        <is>
          <t>TA_20</t>
        </is>
      </c>
      <c r="D566" t="n">
        <v>6</v>
      </c>
      <c r="E566" t="n">
        <v>0</v>
      </c>
      <c r="F566" t="n">
        <v>11</v>
      </c>
      <c r="G566" t="n">
        <v>0</v>
      </c>
      <c r="H566" t="n">
        <v>12</v>
      </c>
      <c r="I566" t="n">
        <v>0</v>
      </c>
      <c r="J566" t="n">
        <v>8.5</v>
      </c>
      <c r="K566" t="n">
        <v>0</v>
      </c>
      <c r="L566" t="n">
        <v>11</v>
      </c>
      <c r="M566" t="n">
        <v>0</v>
      </c>
      <c r="N566" t="n">
        <v>12</v>
      </c>
      <c r="O566" t="n">
        <v>0</v>
      </c>
      <c r="P566">
        <f>Table1[[#This Row],[TA 1 - Q1 Score]]+Table1[[#This Row],[TA 1 - Q2 Score]]+Table1[[#This Row],[TA 1 - Q3 Score]]</f>
        <v/>
      </c>
      <c r="Q566">
        <f>Table1[[#This Row],[TA 1 - Q1 Bonus]]+Table1[[#This Row],[TA 1 - Q2 Bonus]]+Table1[[#This Row],[TA 1 - Q4 Bonus]]</f>
        <v/>
      </c>
      <c r="R566">
        <f>Table1[[#This Row],[TA 2 - Q1 Score]]+Table1[[#This Row],[TA 2 - Q2 Score]]+Table1[[#This Row],[TA 2 - Q3 Score]]</f>
        <v/>
      </c>
      <c r="S566">
        <f>Table1[[#This Row],[TA 2 - Q1 Bonus]]+Table1[[#This Row],[TA 2 - Q2 Bonus]]+Table1[[#This Row],[TA 2 - Q4 Bonus]]</f>
        <v/>
      </c>
      <c r="T566">
        <f>(Table1[[#This Row],[TA 1 - Total Score (out of 35)]]+Table1[[#This Row],[TA 2 - Total Score (out of 35)]])/2</f>
        <v/>
      </c>
      <c r="U566">
        <f>(Table1[[#This Row],[TA 1 - Total Bonus (out of 13)]]+Table1[[#This Row],[TA 2 - Total Bonus (out of 13)]])/2</f>
        <v/>
      </c>
      <c r="V566">
        <f>Table1[[#This Row],[Average Questions]]/35*20+Table1[[#This Row],[Average Bonus]]/13*5</f>
        <v/>
      </c>
      <c r="W566" t="n">
        <v>4</v>
      </c>
      <c r="X566" t="n">
        <v>0</v>
      </c>
      <c r="Y566" t="inlineStr">
        <is>
          <t>The student completed the data loading and transformation tasks correctly, including normalization. However, the data display section had issues with image visualization due to incorrect handling of image dimensions. The model loading and adaptation were mostly correct, but the student mistakenly used EfficientNet-B0 instead of EfficientNetV2-Small and froze all parameters instead of just the backbone. The training and validation loops contained significant errors, including incorrect loss functions and label handling. The bonus task was not attempted.</t>
        </is>
      </c>
      <c r="Z566" t="n">
        <v>7</v>
      </c>
      <c r="AA566" t="n">
        <v>0</v>
      </c>
      <c r="AB566" t="inlineStr">
        <is>
          <t>The student successfully loaded and prepared the dataset using ImageFolder, applied the required transformations, and displayed sample images. The CNN model was built with 5 convolutional layers and batch normalization, though the number of channels in the layers differs from the reference solution. Training and validation functions were correctly defined and implemented, and the model was trained and plotted. However, the student did not attempt the bonus task involving residual connections.</t>
        </is>
      </c>
      <c r="AC566" t="n">
        <v>10.5</v>
      </c>
      <c r="AD566" t="inlineStr">
        <is>
          <t>The student's submission is mostly correct and runs end-to-end. The dataset class is implemented correctly with proper data loading and transformations. The model class uses the correct U-Net architecture with the specified encoder. The training and validation loops are implemented with minor issues, such as using AdamW instead of Adam for optimization. The training process prints and plots the loss curves correctly. The predictions are visualized against ground truth masks. The only issues are the use of AdamW and the redundant definition of the dataset class.</t>
        </is>
      </c>
      <c r="AE566" t="n">
        <v>0</v>
      </c>
      <c r="AF566" t="n">
        <v>0</v>
      </c>
      <c r="AG566" t="inlineStr">
        <is>
          <t>No submission found.</t>
        </is>
      </c>
      <c r="AH566" t="n">
        <v>21.5</v>
      </c>
      <c r="AI566" t="n">
        <v>0</v>
      </c>
    </row>
    <row r="567">
      <c r="A567" t="n">
        <v>566</v>
      </c>
      <c r="B567" t="inlineStr">
        <is>
          <t>TA_10</t>
        </is>
      </c>
      <c r="C567" t="inlineStr">
        <is>
          <t>TA_20</t>
        </is>
      </c>
      <c r="D567" t="n">
        <v>11</v>
      </c>
      <c r="E567" t="n">
        <v>0</v>
      </c>
      <c r="F567" t="n">
        <v>7.5</v>
      </c>
      <c r="G567" t="n">
        <v>1</v>
      </c>
      <c r="H567" t="n">
        <v>10.5</v>
      </c>
      <c r="I567" t="n">
        <v>0</v>
      </c>
      <c r="J567" t="n">
        <v>11</v>
      </c>
      <c r="K567" t="n">
        <v>0</v>
      </c>
      <c r="L567" t="n">
        <v>7.5</v>
      </c>
      <c r="M567" t="n">
        <v>0</v>
      </c>
      <c r="N567" t="n">
        <v>11</v>
      </c>
      <c r="O567" t="n">
        <v>0</v>
      </c>
      <c r="P567">
        <f>Table1[[#This Row],[TA 1 - Q1 Score]]+Table1[[#This Row],[TA 1 - Q2 Score]]+Table1[[#This Row],[TA 1 - Q3 Score]]</f>
        <v/>
      </c>
      <c r="Q567">
        <f>Table1[[#This Row],[TA 1 - Q1 Bonus]]+Table1[[#This Row],[TA 1 - Q2 Bonus]]+Table1[[#This Row],[TA 1 - Q4 Bonus]]</f>
        <v/>
      </c>
      <c r="R567">
        <f>Table1[[#This Row],[TA 2 - Q1 Score]]+Table1[[#This Row],[TA 2 - Q2 Score]]+Table1[[#This Row],[TA 2 - Q3 Score]]</f>
        <v/>
      </c>
      <c r="S567">
        <f>Table1[[#This Row],[TA 2 - Q1 Bonus]]+Table1[[#This Row],[TA 2 - Q2 Bonus]]+Table1[[#This Row],[TA 2 - Q4 Bonus]]</f>
        <v/>
      </c>
      <c r="T567">
        <f>(Table1[[#This Row],[TA 1 - Total Score (out of 35)]]+Table1[[#This Row],[TA 2 - Total Score (out of 35)]])/2</f>
        <v/>
      </c>
      <c r="U567">
        <f>(Table1[[#This Row],[TA 1 - Total Bonus (out of 13)]]+Table1[[#This Row],[TA 2 - Total Bonus (out of 13)]])/2</f>
        <v/>
      </c>
      <c r="V567">
        <f>Table1[[#This Row],[Average Questions]]/35*20+Table1[[#This Row],[Average Bonus]]/13*5</f>
        <v/>
      </c>
      <c r="W567" t="n">
        <v>8.5</v>
      </c>
      <c r="X567" t="n">
        <v>0</v>
      </c>
      <c r="Y567" t="inlineStr">
        <is>
          <t>The student completed most tasks with minor issues. In Part 1, the resize transformation was incorrectly specified as `transforms.Resize(28)` instead of `transforms.Resize((28, 28))`. The normalization mean value for green channel had a typo (`.406` instead of `0.406`). In Part 2, the model loading and adaptation were correct. In Part 3, the training and validation loops were mostly correct but used softmax and argmax unnecessarily. In Part 4, the training setup and execution were correct, but the number of epochs was set to 10 instead of 5 as in the reference. No bonus tasks were attempted.</t>
        </is>
      </c>
      <c r="Z567" t="n">
        <v>7</v>
      </c>
      <c r="AA567" t="n">
        <v>0</v>
      </c>
      <c r="AB567" t="inlineStr">
        <is>
          <t>The student partially completed the tasks. The data loading and preparation section had issues with image resizing dimensions (32 instead of 32x32) and incorrect shuffling in the test loader. The CNN model was built with 5 convolutional layers but did not include batch normalization. The training and validation loops were mostly correct but used softmax unnecessarily. The bonus task was attempted but incorrectly implemented the residual connection.</t>
        </is>
      </c>
      <c r="AC567" t="n">
        <v>8</v>
      </c>
      <c r="AD567" t="inlineStr">
        <is>
          <t>The student's submission contains mostly correct code with minor issues. In Task 1, the dataset class and DataLoaders are correctly implemented, but the mask shape printout indicates an unexpected dimension. In Task 2, the model is defined with an incorrect number of classes (5 instead of 8). In Task 3, both training and validation loops are correctly implemented. In Task 4, the loss and optimizer are defined, and the model trains and prints losses correctly. In Task 5, predictions are visualized, but the colormap used for masks is grayscale instead of tab10.</t>
        </is>
      </c>
      <c r="AE567" t="n">
        <v>0</v>
      </c>
      <c r="AF567" t="n">
        <v>0</v>
      </c>
      <c r="AG567" t="inlineStr">
        <is>
          <t>The student's implementation contains several errors. In the `__init__` method, the dataset is stored incorrectly. The `rgb_to_grayscale` method has a logic error where it modifies the input tensor directly and does not return the correct shape. The `__getitem__` method returns only the grayscale image, missing the color image. These issues prevent the code from running correctly and producing the expected output.</t>
        </is>
      </c>
      <c r="AH567" t="n">
        <v>23.5</v>
      </c>
      <c r="AI567" t="n">
        <v>0</v>
      </c>
    </row>
    <row r="568">
      <c r="A568" t="n">
        <v>567</v>
      </c>
      <c r="B568" t="inlineStr">
        <is>
          <t>TA_10</t>
        </is>
      </c>
      <c r="C568" t="inlineStr">
        <is>
          <t>TA_20</t>
        </is>
      </c>
      <c r="D568" t="n">
        <v>6.5</v>
      </c>
      <c r="E568" t="n">
        <v>0</v>
      </c>
      <c r="F568" t="n">
        <v>8.5</v>
      </c>
      <c r="G568" t="n">
        <v>0</v>
      </c>
      <c r="H568" t="n">
        <v>11.75</v>
      </c>
      <c r="I568" t="n">
        <v>0</v>
      </c>
      <c r="J568" t="n">
        <v>10</v>
      </c>
      <c r="K568" t="n">
        <v>0</v>
      </c>
      <c r="L568" t="n">
        <v>9</v>
      </c>
      <c r="M568" t="n">
        <v>0</v>
      </c>
      <c r="N568" t="n">
        <v>12</v>
      </c>
      <c r="O568" t="n">
        <v>0</v>
      </c>
      <c r="P568">
        <f>Table1[[#This Row],[TA 1 - Q1 Score]]+Table1[[#This Row],[TA 1 - Q2 Score]]+Table1[[#This Row],[TA 1 - Q3 Score]]</f>
        <v/>
      </c>
      <c r="Q568">
        <f>Table1[[#This Row],[TA 1 - Q1 Bonus]]+Table1[[#This Row],[TA 1 - Q2 Bonus]]+Table1[[#This Row],[TA 1 - Q4 Bonus]]</f>
        <v/>
      </c>
      <c r="R568">
        <f>Table1[[#This Row],[TA 2 - Q1 Score]]+Table1[[#This Row],[TA 2 - Q2 Score]]+Table1[[#This Row],[TA 2 - Q3 Score]]</f>
        <v/>
      </c>
      <c r="S568">
        <f>Table1[[#This Row],[TA 2 - Q1 Bonus]]+Table1[[#This Row],[TA 2 - Q2 Bonus]]+Table1[[#This Row],[TA 2 - Q4 Bonus]]</f>
        <v/>
      </c>
      <c r="T568">
        <f>(Table1[[#This Row],[TA 1 - Total Score (out of 35)]]+Table1[[#This Row],[TA 2 - Total Score (out of 35)]])/2</f>
        <v/>
      </c>
      <c r="U568">
        <f>(Table1[[#This Row],[TA 1 - Total Bonus (out of 13)]]+Table1[[#This Row],[TA 2 - Total Bonus (out of 13)]])/2</f>
        <v/>
      </c>
      <c r="V568">
        <f>Table1[[#This Row],[Average Questions]]/35*20+Table1[[#This Row],[Average Bonus]]/13*5</f>
        <v/>
      </c>
      <c r="W568" t="n">
        <v>8</v>
      </c>
      <c r="X568" t="n">
        <v>0</v>
      </c>
      <c r="Y568" t="inlineStr">
        <is>
          <t>The student completed most tasks correctly but made several minor mistakes. In Part 1, the transforms were correctly defined, and DataLoaders were created, but the sample images displayed did not show the correct labels. In Part 2, the model was loaded and adapted correctly, but all parameters were frozen instead of just the backbone. In Part 3, the training and validation loops were mostly correct, but the labels were not adjusted to be 0-indexed, resulting in a penalty. In Part 4, the model was set up and trained, and the loss and accuracy plots were generated correctly. No bonus task was attempted.</t>
        </is>
      </c>
      <c r="Z568" t="n">
        <v>8.5</v>
      </c>
      <c r="AA568" t="n">
        <v>0</v>
      </c>
      <c r="AB568" t="inlineStr">
        <is>
          <t>The student successfully implemented a custom Dataset class, created train and test datasets with DataLoaders, applied the required transformations, and displayed sample images with labels. The CNN model has 5 convolutional layers but does not include Batch Normalization. The training and validation loops are correctly defined and executed, and the losses and accuracies are plotted. However, the bonus task for adding a residual connection was not completed.</t>
        </is>
      </c>
      <c r="AC568" t="n">
        <v>10</v>
      </c>
      <c r="AD568" t="inlineStr">
        <is>
          <t>The student's submission is well-structured and follows the reference solution closely. The dataset class is correctly implemented, and the DataLoaders are set up properly. Sample images and masks are displayed without issues. The U-Net model with the efficientnet-b1 encoder is defined as required. Training and validation loops are correctly implemented, and the model is trained for 10 epochs with loss printed and plotted. Predictions are visualized against ground truth masks. Minor differences such as using AdamW optimizer and slight variations in plotting do not affect the correctness of the implementation.</t>
        </is>
      </c>
      <c r="AE568" t="n">
        <v>0</v>
      </c>
      <c r="AF568" t="n">
        <v>0</v>
      </c>
      <c r="AG568" t="inlineStr">
        <is>
          <t>No submission found.</t>
        </is>
      </c>
      <c r="AH568" t="n">
        <v>26.5</v>
      </c>
      <c r="AI568" t="n">
        <v>0</v>
      </c>
    </row>
    <row r="569">
      <c r="A569" t="n">
        <v>568</v>
      </c>
      <c r="B569" t="inlineStr">
        <is>
          <t>TA_10</t>
        </is>
      </c>
      <c r="C569" t="inlineStr">
        <is>
          <t>TA_20</t>
        </is>
      </c>
      <c r="D569" t="n">
        <v>12</v>
      </c>
      <c r="E569" t="n">
        <v>4</v>
      </c>
      <c r="F569" t="n">
        <v>11</v>
      </c>
      <c r="G569" t="n">
        <v>4</v>
      </c>
      <c r="H569" t="n">
        <v>9.5</v>
      </c>
      <c r="I569" t="n">
        <v>0</v>
      </c>
      <c r="J569" t="n">
        <v>11</v>
      </c>
      <c r="K569" t="n">
        <v>4</v>
      </c>
      <c r="L569" t="n">
        <v>11</v>
      </c>
      <c r="M569" t="n">
        <v>4</v>
      </c>
      <c r="N569" t="n">
        <v>12</v>
      </c>
      <c r="O569" t="n">
        <v>5</v>
      </c>
      <c r="P569">
        <f>Table1[[#This Row],[TA 1 - Q1 Score]]+Table1[[#This Row],[TA 1 - Q2 Score]]+Table1[[#This Row],[TA 1 - Q3 Score]]</f>
        <v/>
      </c>
      <c r="Q569">
        <f>Table1[[#This Row],[TA 1 - Q1 Bonus]]+Table1[[#This Row],[TA 1 - Q2 Bonus]]+Table1[[#This Row],[TA 1 - Q4 Bonus]]</f>
        <v/>
      </c>
      <c r="R569">
        <f>Table1[[#This Row],[TA 2 - Q1 Score]]+Table1[[#This Row],[TA 2 - Q2 Score]]+Table1[[#This Row],[TA 2 - Q3 Score]]</f>
        <v/>
      </c>
      <c r="S569">
        <f>Table1[[#This Row],[TA 2 - Q1 Bonus]]+Table1[[#This Row],[TA 2 - Q2 Bonus]]+Table1[[#This Row],[TA 2 - Q4 Bonus]]</f>
        <v/>
      </c>
      <c r="T569">
        <f>(Table1[[#This Row],[TA 1 - Total Score (out of 35)]]+Table1[[#This Row],[TA 2 - Total Score (out of 35)]])/2</f>
        <v/>
      </c>
      <c r="U569">
        <f>(Table1[[#This Row],[TA 1 - Total Bonus (out of 13)]]+Table1[[#This Row],[TA 2 - Total Bonus (out of 13)]])/2</f>
        <v/>
      </c>
      <c r="V569">
        <f>Table1[[#This Row],[Average Questions]]/35*20+Table1[[#This Row],[Average Bonus]]/13*5</f>
        <v/>
      </c>
      <c r="W569" t="n">
        <v>8</v>
      </c>
      <c r="X569" t="n">
        <v>0</v>
      </c>
      <c r="Y569" t="inlineStr">
        <is>
          <t>The student completed most tasks correctly but made some minor mistakes. The data loading and preparation were mostly correct, with proper resizing, tensor conversion, and normalization. However, the DataLoader batch size was set to 32 instead of 64, and the sample images displayed were not randomly selected. The model loading and adaptation were correct, with the backbone frozen and the classifier head replaced properly. The training and validation loops were implemented correctly, with label fixing applied. However, the bonus task for Test Time Augmentation was not fully implemented, as the validation function was incorrectly overwritten instead of creating a new one.</t>
        </is>
      </c>
      <c r="Z569" t="n">
        <v>6</v>
      </c>
      <c r="AA569" t="n">
        <v>0</v>
      </c>
      <c r="AB569" t="inlineStr">
        <is>
          <t>The student implemented a custom dataset class and used the correct transformations, earning full marks for Part 1. The CNN model has 5 convolutional layers with batch normalization, but the fully connected layers are overly complex, earning 75% for Part 2. The training and validation loops are correctly defined, earning full marks for Part 3. The model setup, training, and plotting of losses and accuracies are mostly correct, earning 75% for Part 4 due to the limited number of epochs. No bonus task was attempted.</t>
        </is>
      </c>
      <c r="AC569" t="n">
        <v>7</v>
      </c>
      <c r="AD569" t="inlineStr">
        <is>
          <t>The student's submission includes most of the required tasks with some issues. The dataset class is implemented correctly, and the DataLoaders are set up properly. However, the image and mask transformations do not include normalization for images, which is a critical step. The model class uses the correct architecture but with a different learning rate and fewer epochs than specified. The training and validation loops are mostly correct but lack detailed comments. The visualization of predictions has errors, including an unnecessary point-wise function and incorrect handling of the predicted mask.</t>
        </is>
      </c>
      <c r="AE569" t="n">
        <v>0</v>
      </c>
      <c r="AF569" t="n">
        <v>0</v>
      </c>
      <c r="AG569" t="inlineStr">
        <is>
          <t>The student's implementation of the `ColorizationDataset` class contains several issues. The `rgb_to_grayscale` method incorrectly creates a grayscale image using NumPy arrays instead of directly operating on PyTorch tensors, which can lead to inefficiencies and potential runtime errors. Additionally, the student included multiple cells with unrelated code snippets and print statements that do not contribute to the task. Despite these issues, the student did attempt to implement the required methods, so partial credit is not applicable due to the incorrect approach.</t>
        </is>
      </c>
      <c r="AH569" t="n">
        <v>21</v>
      </c>
      <c r="AI569" t="n">
        <v>0</v>
      </c>
    </row>
    <row r="570">
      <c r="A570" t="n">
        <v>569</v>
      </c>
      <c r="B570" t="inlineStr">
        <is>
          <t>TA_10</t>
        </is>
      </c>
      <c r="C570" t="inlineStr">
        <is>
          <t>TA_20</t>
        </is>
      </c>
      <c r="D570" t="n">
        <v>6.5</v>
      </c>
      <c r="E570" t="n">
        <v>0</v>
      </c>
      <c r="F570" t="n">
        <v>11</v>
      </c>
      <c r="G570" t="n">
        <v>2</v>
      </c>
      <c r="H570" t="n">
        <v>11.5</v>
      </c>
      <c r="I570" t="n">
        <v>0</v>
      </c>
      <c r="J570" t="n">
        <v>10</v>
      </c>
      <c r="K570" t="n">
        <v>0</v>
      </c>
      <c r="L570" t="n">
        <v>11</v>
      </c>
      <c r="M570" t="n">
        <v>0</v>
      </c>
      <c r="N570" t="n">
        <v>12</v>
      </c>
      <c r="O570" t="n">
        <v>0</v>
      </c>
      <c r="P570">
        <f>Table1[[#This Row],[TA 1 - Q1 Score]]+Table1[[#This Row],[TA 1 - Q2 Score]]+Table1[[#This Row],[TA 1 - Q3 Score]]</f>
        <v/>
      </c>
      <c r="Q570">
        <f>Table1[[#This Row],[TA 1 - Q1 Bonus]]+Table1[[#This Row],[TA 1 - Q2 Bonus]]+Table1[[#This Row],[TA 1 - Q4 Bonus]]</f>
        <v/>
      </c>
      <c r="R570">
        <f>Table1[[#This Row],[TA 2 - Q1 Score]]+Table1[[#This Row],[TA 2 - Q2 Score]]+Table1[[#This Row],[TA 2 - Q3 Score]]</f>
        <v/>
      </c>
      <c r="S570">
        <f>Table1[[#This Row],[TA 2 - Q1 Bonus]]+Table1[[#This Row],[TA 2 - Q2 Bonus]]+Table1[[#This Row],[TA 2 - Q4 Bonus]]</f>
        <v/>
      </c>
      <c r="T570">
        <f>(Table1[[#This Row],[TA 1 - Total Score (out of 35)]]+Table1[[#This Row],[TA 2 - Total Score (out of 35)]])/2</f>
        <v/>
      </c>
      <c r="U570">
        <f>(Table1[[#This Row],[TA 1 - Total Bonus (out of 13)]]+Table1[[#This Row],[TA 2 - Total Bonus (out of 13)]])/2</f>
        <v/>
      </c>
      <c r="V570">
        <f>Table1[[#This Row],[Average Questions]]/35*20+Table1[[#This Row],[Average Bonus]]/13*5</f>
        <v/>
      </c>
      <c r="W570" t="n">
        <v>7</v>
      </c>
      <c r="X570" t="n">
        <v>0</v>
      </c>
      <c r="Y570" t="inlineStr">
        <is>
          <t>The student completed most tasks with minor issues. The data loading and preparation were mostly correct, with a small mistake in displaying labels. The model loading and adaptation were accurate, though the student froze all parameters instead of just the backbone. The training and validation loops were implemented correctly but lacked label fixing, resulting in a penalty. The plotting of losses and accuracies was done properly. No bonus task was attempted.</t>
        </is>
      </c>
      <c r="Z570" t="n">
        <v>6</v>
      </c>
      <c r="AA570" t="n">
        <v>0</v>
      </c>
      <c r="AB570" t="inlineStr">
        <is>
          <t>The student partially completed the tasks. They correctly set up the dataset and DataLoaders with the required transformations, including RandomRotation and resizing to 32x32. Sample images were displayed with labels. However, the CNN model had more than five convolutional layers and did not follow the specified architecture. The training and validation loops were implemented correctly, and the model was trained and plotted. The bonus task was attempted but the residual connection was incorrectly defined, leading to a non-functional model.</t>
        </is>
      </c>
      <c r="AC570" t="n">
        <v>8.5</v>
      </c>
      <c r="AD570" t="inlineStr">
        <is>
          <t>The student's submission demonstrates a good understanding of the tasks but contains some minor issues. Task 1 is mostly correct with a few unnecessary steps and a missing normalization step for images. Task 2 is correct with the specified encoder. Task 3 is well-implemented with both training and validation loops. Task 4 is mostly correct with a slight issue in the optimizer choice and learning rate. Task 5 is correct with proper visualization of predictions.</t>
        </is>
      </c>
      <c r="AE570" t="n">
        <v>0</v>
      </c>
      <c r="AF570" t="n">
        <v>0</v>
      </c>
      <c r="AG570" t="inlineStr">
        <is>
          <t>No submission found.</t>
        </is>
      </c>
      <c r="AH570" t="n">
        <v>21.5</v>
      </c>
      <c r="AI570" t="n">
        <v>0</v>
      </c>
    </row>
    <row r="571">
      <c r="A571" t="n">
        <v>570</v>
      </c>
      <c r="B571" t="inlineStr">
        <is>
          <t>TA_10</t>
        </is>
      </c>
      <c r="C571" t="inlineStr">
        <is>
          <t>TA_20</t>
        </is>
      </c>
      <c r="D571" t="n">
        <v>10</v>
      </c>
      <c r="E571" t="n">
        <v>1</v>
      </c>
      <c r="F571" t="n">
        <v>9</v>
      </c>
      <c r="G571" t="n">
        <v>0</v>
      </c>
      <c r="H571" t="n">
        <v>10.5</v>
      </c>
      <c r="I571" t="n">
        <v>0</v>
      </c>
      <c r="J571" t="n">
        <v>10</v>
      </c>
      <c r="K571" t="n">
        <v>0</v>
      </c>
      <c r="L571" t="n">
        <v>9.5</v>
      </c>
      <c r="M571" t="n">
        <v>0</v>
      </c>
      <c r="N571" t="n">
        <v>11</v>
      </c>
      <c r="O571" t="n">
        <v>0</v>
      </c>
      <c r="P571">
        <f>Table1[[#This Row],[TA 1 - Q1 Score]]+Table1[[#This Row],[TA 1 - Q2 Score]]+Table1[[#This Row],[TA 1 - Q3 Score]]</f>
        <v/>
      </c>
      <c r="Q571">
        <f>Table1[[#This Row],[TA 1 - Q1 Bonus]]+Table1[[#This Row],[TA 1 - Q2 Bonus]]+Table1[[#This Row],[TA 1 - Q4 Bonus]]</f>
        <v/>
      </c>
      <c r="R571">
        <f>Table1[[#This Row],[TA 2 - Q1 Score]]+Table1[[#This Row],[TA 2 - Q2 Score]]+Table1[[#This Row],[TA 2 - Q3 Score]]</f>
        <v/>
      </c>
      <c r="S571">
        <f>Table1[[#This Row],[TA 2 - Q1 Bonus]]+Table1[[#This Row],[TA 2 - Q2 Bonus]]+Table1[[#This Row],[TA 2 - Q4 Bonus]]</f>
        <v/>
      </c>
      <c r="T571">
        <f>(Table1[[#This Row],[TA 1 - Total Score (out of 35)]]+Table1[[#This Row],[TA 2 - Total Score (out of 35)]])/2</f>
        <v/>
      </c>
      <c r="U571">
        <f>(Table1[[#This Row],[TA 1 - Total Bonus (out of 13)]]+Table1[[#This Row],[TA 2 - Total Bonus (out of 13)]])/2</f>
        <v/>
      </c>
      <c r="V571">
        <f>Table1[[#This Row],[Average Questions]]/35*20+Table1[[#This Row],[Average Bonus]]/13*5</f>
        <v/>
      </c>
      <c r="W571" t="n">
        <v>4</v>
      </c>
      <c r="X571" t="n">
        <v>0</v>
      </c>
      <c r="Y571" t="inlineStr">
        <is>
          <t>The student partially completed several tasks but made significant errors. The data loading and preparation section had incomplete code for transforms and DataLoader creation. The model setup was incorrect as the entire model was frozen instead of just the backbone. The training and validation loops contained errors, such as squeezing the model outputs and using an incorrect learning rate. The bonus task was not implemented correctly, with separate validation functions for horizontal and vertical flips instead of averaging predictions.</t>
        </is>
      </c>
      <c r="Z571" t="n">
        <v>6</v>
      </c>
      <c r="AA571" t="n">
        <v>0</v>
      </c>
      <c r="AB571" t="inlineStr">
        <is>
          <t>The student partially completed the tasks. They implemented a custom dataset class and used the correct transformations, including RandomRotation and resizing to 32x32. However, the CNN model had incorrect architecture with fewer convolutional layers and incorrect fully connected layer sizes. The training and validation loops were mostly correct but used an incorrect number of epochs. No residual connection was defined or implemented.</t>
        </is>
      </c>
      <c r="AC571" t="n">
        <v>8</v>
      </c>
      <c r="AD571" t="inlineStr">
        <is>
          <t>The student's submission includes most of the required tasks with minor issues. The dataset class is implemented correctly, and the DataLoaders are set up properly. However, the model uses 'efficientnet-b1' instead of 'efficientnet-b0' as specified. The training and validation loops are implemented correctly, and the model is trained for 2 epochs instead of 10, which is acceptable. The predictions are visualized correctly, but the loss curve is not plotted. Overall, the submission is mostly correct with some deviations from the instructions.</t>
        </is>
      </c>
      <c r="AE571" t="n">
        <v>0</v>
      </c>
      <c r="AF571" t="n">
        <v>0</v>
      </c>
      <c r="AG571" t="inlineStr">
        <is>
          <t>No submission found.</t>
        </is>
      </c>
      <c r="AH571" t="n">
        <v>18</v>
      </c>
      <c r="AI571" t="n">
        <v>0</v>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2026-05-20T13:26:12Z</dcterms:created>
  <dcterms:modified xsi:type="dcterms:W3CDTF">2026-07-20T03:07:12Z</dcterms:modified>
  <cp:lastModifiedBy>Ali Habibullah</cp:lastModifiedBy>
</cp:coreProperties>
</file>