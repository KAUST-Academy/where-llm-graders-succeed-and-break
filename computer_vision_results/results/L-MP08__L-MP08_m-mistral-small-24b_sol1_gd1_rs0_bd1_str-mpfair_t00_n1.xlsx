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51840" windowHeight="21120" tabRatio="600" firstSheet="0" activeTab="0" autoFilterDateGrouping="1"/>
  </bookViews>
  <sheets>
    <sheet name="Sheet1" sheetId="1" state="visible" r:id="rId1"/>
  </sheets>
  <definedNames/>
  <calcPr calcId="191029" fullCalcOnLoad="1"/>
</workbook>
</file>

<file path=xl/styles.xml><?xml version="1.0" encoding="utf-8"?>
<styleSheet xmlns="http://schemas.openxmlformats.org/spreadsheetml/2006/main">
  <numFmts count="0"/>
  <fonts count="2">
    <font>
      <name val="Calibri"/>
      <family val="2"/>
      <color theme="1"/>
      <sz val="11"/>
      <scheme val="minor"/>
    </font>
    <font>
      <name val="Calibri"/>
      <b val="1"/>
      <sz val="11"/>
    </font>
  </fonts>
  <fills count="2">
    <fill>
      <patternFill/>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dxfs count="7">
    <dxf>
      <numFmt numFmtId="0" formatCode="General"/>
    </dxf>
    <dxf>
      <numFmt numFmtId="0" formatCode="General"/>
    </dxf>
    <dxf>
      <numFmt numFmtId="0" formatCode="General"/>
    </dxf>
    <dxf>
      <numFmt numFmtId="0" formatCode="General"/>
    </dxf>
    <dxf>
      <border outline="0">
        <top style="thin">
          <color auto="1"/>
        </top>
      </border>
    </dxf>
    <dxf>
      <border outline="0">
        <bottom style="thin">
          <color auto="1"/>
        </bottom>
      </border>
    </dxf>
    <dxf>
      <font>
        <name val="Calibri"/>
        <b val="1"/>
        <strike val="0"/>
        <outline val="0"/>
        <shadow val="0"/>
        <condense val="0"/>
        <color auto="1"/>
        <extend val="0"/>
        <sz val="11"/>
        <vertAlign val="baseline"/>
      </font>
      <alignment horizontal="center" vertical="top"/>
      <border outline="0">
        <left style="thin">
          <color auto="1"/>
        </left>
        <right style="thin">
          <color auto="1"/>
        </right>
        <top/>
        <bottom/>
      </border>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ables/table1.xml><?xml version="1.0" encoding="utf-8"?>
<table xmlns="http://schemas.openxmlformats.org/spreadsheetml/2006/main" id="1" name="Table1" displayName="Table1" ref="A1:V571" headerRowCount="1" totalsRowShown="0" headerRowDxfId="6" headerRowBorderDxfId="5" tableBorderDxfId="4">
  <autoFilter ref="A1:V571"/>
  <sortState ref="A2:V571">
    <sortCondition ref="A1:A571"/>
  </sortState>
  <tableColumns count="22">
    <tableColumn id="1" name="Number"/>
    <tableColumn id="6" name="TA_1_ID"/>
    <tableColumn id="8" name="TA_2_ID"/>
    <tableColumn id="17" name="TA 1 - Q1 Score"/>
    <tableColumn id="18" name="TA 1 - Q1 Bonus"/>
    <tableColumn id="19" name="TA 1 - Q2 Score"/>
    <tableColumn id="20" name="TA 1 - Q2 Bonus"/>
    <tableColumn id="21" name="TA 1 - Q3 Score"/>
    <tableColumn id="22" name="TA 1 - Q4 Bonus"/>
    <tableColumn id="23" name="TA 2 - Q1 Score"/>
    <tableColumn id="24" name="TA 2 - Q1 Bonus"/>
    <tableColumn id="25" name="TA 2 - Q2 Score"/>
    <tableColumn id="26" name="TA 2 - Q2 Bonus"/>
    <tableColumn id="27" name="TA 2 - Q3 Score"/>
    <tableColumn id="28" name="TA 2 - Q4 Bonus"/>
    <tableColumn id="31" name="TA 1 - Total Score (out of 35)" dataDxfId="3">
      <calculatedColumnFormula>Table1[[#This Row],[TA 1 - Q1 Score]]+Table1[[#This Row],[TA 1 - Q2 Score]]+Table1[[#This Row],[TA 1 - Q3 Score]]</calculatedColumnFormula>
    </tableColumn>
    <tableColumn id="32" name="TA 1 - Total Bonus (out of 13)" dataDxfId="2">
      <calculatedColumnFormula>Table1[[#This Row],[TA 1 - Q1 Bonus]]+Table1[[#This Row],[TA 1 - Q2 Bonus]]+Table1[[#This Row],[TA 1 - Q4 Bonus]]</calculatedColumnFormula>
    </tableColumn>
    <tableColumn id="33" name="TA 2 - Total Score (out of 35)">
      <calculatedColumnFormula>Table1[[#This Row],[TA 2 - Q1 Score]]+Table1[[#This Row],[TA 2 - Q2 Score]]+Table1[[#This Row],[TA 2 - Q3 Score]]</calculatedColumnFormula>
    </tableColumn>
    <tableColumn id="34" name="TA 2 - Total Bonus (out of 13)">
      <calculatedColumnFormula>Table1[[#This Row],[TA 2 - Q1 Bonus]]+Table1[[#This Row],[TA 2 - Q2 Bonus]]+Table1[[#This Row],[TA 2 - Q4 Bonus]]</calculatedColumnFormula>
    </tableColumn>
    <tableColumn id="35" name="Average Questions" dataDxfId="1">
      <calculatedColumnFormula>(Table1[[#This Row],[TA 1 - Total Score (out of 35)]]+Table1[[#This Row],[TA 2 - Total Score (out of 35)]])/2</calculatedColumnFormula>
    </tableColumn>
    <tableColumn id="36" name="Average Bonus" dataDxfId="0">
      <calculatedColumnFormula>(Table1[[#This Row],[TA 1 - Total Bonus (out of 13)]]+Table1[[#This Row],[TA 2 - Total Bonus (out of 13)]])/2</calculatedColumnFormula>
    </tableColumn>
    <tableColumn id="37" name="Earned Points">
      <calculatedColumnFormula>Table1[[#This Row],[Average Questions]]/35*20+Table1[[#This Row],[Average Bonus]]/13*5</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AI571"/>
  <sheetViews>
    <sheetView tabSelected="1" workbookViewId="0">
      <selection activeCell="O5" sqref="O5"/>
    </sheetView>
  </sheetViews>
  <sheetFormatPr baseColWidth="8" defaultRowHeight="15" outlineLevelCol="0"/>
  <cols>
    <col width="12.85546875" bestFit="1" customWidth="1" min="1" max="1"/>
    <col width="12.7109375" bestFit="1" customWidth="1" min="2" max="3"/>
    <col width="18.7109375" bestFit="1" customWidth="1" min="4" max="4"/>
    <col width="19.28515625" bestFit="1" customWidth="1" min="5" max="5"/>
    <col width="18.7109375" bestFit="1" customWidth="1" min="6" max="6"/>
    <col width="19.28515625" bestFit="1" customWidth="1" min="7" max="7"/>
    <col width="18.7109375" bestFit="1" customWidth="1" min="8" max="8"/>
    <col width="19.28515625" bestFit="1" customWidth="1" min="9" max="9"/>
    <col width="18.7109375" bestFit="1" customWidth="1" min="10" max="10"/>
    <col width="19.28515625" bestFit="1" customWidth="1" min="11" max="11"/>
    <col width="18.7109375" bestFit="1" customWidth="1" min="12" max="12"/>
    <col width="19.28515625" bestFit="1" customWidth="1" min="13" max="13"/>
    <col width="18.7109375" bestFit="1" customWidth="1" min="14" max="14"/>
    <col width="19.28515625" bestFit="1" customWidth="1" min="15" max="15"/>
    <col width="30.7109375" bestFit="1" customWidth="1" min="16" max="16"/>
    <col width="31.28515625" bestFit="1" customWidth="1" min="17" max="17"/>
    <col width="30.7109375" bestFit="1" customWidth="1" min="18" max="18"/>
    <col width="31.28515625" bestFit="1" customWidth="1" min="19" max="19"/>
    <col width="22.5703125" bestFit="1" customWidth="1" min="20" max="20"/>
    <col width="18.85546875" bestFit="1" customWidth="1" min="21" max="21"/>
    <col width="17.85546875" bestFit="1" customWidth="1" min="22" max="22"/>
  </cols>
  <sheetData>
    <row r="1">
      <c r="A1" s="1" t="inlineStr">
        <is>
          <t>Number</t>
        </is>
      </c>
      <c r="B1" s="1" t="inlineStr">
        <is>
          <t>TA_1_ID</t>
        </is>
      </c>
      <c r="C1" s="1" t="inlineStr">
        <is>
          <t>TA_2_ID</t>
        </is>
      </c>
      <c r="D1" s="1" t="inlineStr">
        <is>
          <t>TA 1 - Q1 Score</t>
        </is>
      </c>
      <c r="E1" s="1" t="inlineStr">
        <is>
          <t>TA 1 - Q1 Bonus</t>
        </is>
      </c>
      <c r="F1" s="1" t="inlineStr">
        <is>
          <t>TA 1 - Q2 Score</t>
        </is>
      </c>
      <c r="G1" s="1" t="inlineStr">
        <is>
          <t>TA 1 - Q2 Bonus</t>
        </is>
      </c>
      <c r="H1" s="1" t="inlineStr">
        <is>
          <t>TA 1 - Q3 Score</t>
        </is>
      </c>
      <c r="I1" s="1" t="inlineStr">
        <is>
          <t>TA 1 - Q4 Bonus</t>
        </is>
      </c>
      <c r="J1" s="1" t="inlineStr">
        <is>
          <t>TA 2 - Q1 Score</t>
        </is>
      </c>
      <c r="K1" s="1" t="inlineStr">
        <is>
          <t>TA 2 - Q1 Bonus</t>
        </is>
      </c>
      <c r="L1" s="1" t="inlineStr">
        <is>
          <t>TA 2 - Q2 Score</t>
        </is>
      </c>
      <c r="M1" s="1" t="inlineStr">
        <is>
          <t>TA 2 - Q2 Bonus</t>
        </is>
      </c>
      <c r="N1" s="1" t="inlineStr">
        <is>
          <t>TA 2 - Q3 Score</t>
        </is>
      </c>
      <c r="O1" s="1" t="inlineStr">
        <is>
          <t>TA 2 - Q4 Bonus</t>
        </is>
      </c>
      <c r="P1" s="1" t="inlineStr">
        <is>
          <t>TA 1 - Total Score (out of 35)</t>
        </is>
      </c>
      <c r="Q1" s="1" t="inlineStr">
        <is>
          <t>TA 1 - Total Bonus (out of 13)</t>
        </is>
      </c>
      <c r="R1" s="1" t="inlineStr">
        <is>
          <t>TA 2 - Total Score (out of 35)</t>
        </is>
      </c>
      <c r="S1" s="1" t="inlineStr">
        <is>
          <t>TA 2 - Total Bonus (out of 13)</t>
        </is>
      </c>
      <c r="T1" s="1" t="inlineStr">
        <is>
          <t>Average Questions</t>
        </is>
      </c>
      <c r="U1" s="1" t="inlineStr">
        <is>
          <t>Average Bonus</t>
        </is>
      </c>
      <c r="V1" s="1" t="inlineStr">
        <is>
          <t>Earned Points</t>
        </is>
      </c>
      <c r="W1" t="inlineStr">
        <is>
          <t>AI Q1 Score</t>
        </is>
      </c>
      <c r="X1" t="inlineStr">
        <is>
          <t>AI Q1 Bonus</t>
        </is>
      </c>
      <c r="Y1" t="inlineStr">
        <is>
          <t>AI Q1 Reasoning</t>
        </is>
      </c>
      <c r="Z1" t="inlineStr">
        <is>
          <t>AI Q2 Score</t>
        </is>
      </c>
      <c r="AA1" t="inlineStr">
        <is>
          <t>AI Q2 Bonus</t>
        </is>
      </c>
      <c r="AB1" t="inlineStr">
        <is>
          <t>AI Q2 Reasoning</t>
        </is>
      </c>
      <c r="AC1" t="inlineStr">
        <is>
          <t>AI Q3 Score</t>
        </is>
      </c>
      <c r="AD1" t="inlineStr">
        <is>
          <t>AI Q3 Reasoning</t>
        </is>
      </c>
      <c r="AE1" t="inlineStr">
        <is>
          <t>AI Q4 Score</t>
        </is>
      </c>
      <c r="AF1" t="inlineStr">
        <is>
          <t>AI Q4 Bonus</t>
        </is>
      </c>
      <c r="AG1" t="inlineStr">
        <is>
          <t>AI Q4 Reasoning</t>
        </is>
      </c>
      <c r="AH1" t="inlineStr">
        <is>
          <t>AI Total Score</t>
        </is>
      </c>
      <c r="AI1" t="inlineStr">
        <is>
          <t>AI Total Bonus</t>
        </is>
      </c>
    </row>
    <row r="2">
      <c r="A2" t="n">
        <v>1</v>
      </c>
      <c r="B2" t="inlineStr">
        <is>
          <t>TA_1</t>
        </is>
      </c>
      <c r="C2" t="inlineStr">
        <is>
          <t>TA_11</t>
        </is>
      </c>
      <c r="D2" t="n">
        <v>9</v>
      </c>
      <c r="E2" t="n">
        <v>0</v>
      </c>
      <c r="F2" t="n">
        <v>8</v>
      </c>
      <c r="G2" t="n">
        <v>0</v>
      </c>
      <c r="H2" t="n">
        <v>5</v>
      </c>
      <c r="I2" t="n">
        <v>0</v>
      </c>
      <c r="J2" t="n">
        <v>9.25</v>
      </c>
      <c r="K2" t="n">
        <v>0</v>
      </c>
      <c r="L2" t="n">
        <v>8.5</v>
      </c>
      <c r="M2" t="n">
        <v>0</v>
      </c>
      <c r="N2" t="n">
        <v>0</v>
      </c>
      <c r="O2" t="n">
        <v>0</v>
      </c>
      <c r="P2">
        <f>Table1[[#This Row],[TA 1 - Q1 Score]]+Table1[[#This Row],[TA 1 - Q2 Score]]+Table1[[#This Row],[TA 1 - Q3 Score]]</f>
        <v/>
      </c>
      <c r="Q2">
        <f>Table1[[#This Row],[TA 1 - Q1 Bonus]]+Table1[[#This Row],[TA 1 - Q2 Bonus]]+Table1[[#This Row],[TA 1 - Q4 Bonus]]</f>
        <v/>
      </c>
      <c r="R2">
        <f>Table1[[#This Row],[TA 2 - Q1 Score]]+Table1[[#This Row],[TA 2 - Q2 Score]]+Table1[[#This Row],[TA 2 - Q3 Score]]</f>
        <v/>
      </c>
      <c r="S2">
        <f>Table1[[#This Row],[TA 2 - Q1 Bonus]]+Table1[[#This Row],[TA 2 - Q2 Bonus]]+Table1[[#This Row],[TA 2 - Q4 Bonus]]</f>
        <v/>
      </c>
      <c r="T2">
        <f>(Table1[[#This Row],[TA 1 - Total Score (out of 35)]]+Table1[[#This Row],[TA 2 - Total Score (out of 35)]])/2</f>
        <v/>
      </c>
      <c r="U2">
        <f>(Table1[[#This Row],[TA 1 - Total Bonus (out of 13)]]+Table1[[#This Row],[TA 2 - Total Bonus (out of 13)]])/2</f>
        <v/>
      </c>
      <c r="V2">
        <f>Table1[[#This Row],[Average Questions]]/35*20+Table1[[#This Row],[Average Bonus]]/13*5</f>
        <v/>
      </c>
      <c r="W2" t="n">
        <v>0</v>
      </c>
      <c r="X2" t="n">
        <v>0</v>
      </c>
      <c r="Y2" t="inlineStr">
        <is>
          <t>The student's submission has several critical issues that prevent it from running correctly. The transforms are correctly defined, and the DataLoaders are created, but the code for displaying sample images is incomplete and does not run. The model loading and adaptation tasks are partially correct, but the backbone freezing is not implemented correctly. The training and validation loops are incomplete and do not run, leading to a failure in setting up the device, model, loss, and optimizer correctly. Additionally, the plots for training and validation losses and accuracies are missing. The bonus task for Test Time Augmentation is not attempted. Therefore, the student receives 0.0 for the base score and 0.0 for the bonus.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 t="n">
        <v>0</v>
      </c>
      <c r="AA2" t="n">
        <v>0</v>
      </c>
      <c r="AB2" t="inlineStr">
        <is>
          <t>The student's submission does not run correctly due to several issues. The CNN model class is incorrectly defined, with Batch Normalization layers not properly instantiated and used. The training and validation functions are defined but contain errors that prevent them from running correctly. Additionally, the student did not implement the bonus task for residual connections.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 t="n">
        <v>0</v>
      </c>
      <c r="AD2" t="inlineStr">
        <is>
          <t>The student's submission contains multiple issues that prevent the code from running correctly. The dataset class is incomplete and contains syntax errors. The model definition uses the wrong encoder and the incorrect number of classes. The training and validation loops are incorrectly implemented, and the loss function and optimizer are not suitable for multi-class segmentation. Additionally, the visualization of predictions is missing. Due to these critical errors, the code does not run end-to-end, and thus, no partial credit can be awarded.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 t="n">
        <v>0</v>
      </c>
      <c r="AF2" t="n">
        <v>0</v>
      </c>
      <c r="AG2" t="inlineStr">
        <is>
          <t>No submission found.</t>
        </is>
      </c>
      <c r="AH2" t="n">
        <v>0</v>
      </c>
      <c r="AI2" t="n">
        <v>0</v>
      </c>
    </row>
    <row r="3">
      <c r="A3" t="n">
        <v>2</v>
      </c>
      <c r="B3" t="inlineStr">
        <is>
          <t>TA_1</t>
        </is>
      </c>
      <c r="C3" t="inlineStr">
        <is>
          <t>TA_11</t>
        </is>
      </c>
      <c r="D3" t="n">
        <v>12</v>
      </c>
      <c r="E3" t="n">
        <v>0</v>
      </c>
      <c r="F3" t="n">
        <v>11</v>
      </c>
      <c r="G3" t="n">
        <v>4</v>
      </c>
      <c r="H3" t="n">
        <v>12</v>
      </c>
      <c r="I3" t="n">
        <v>0</v>
      </c>
      <c r="J3" t="n">
        <v>12</v>
      </c>
      <c r="K3" t="n">
        <v>0</v>
      </c>
      <c r="L3" t="n">
        <v>11</v>
      </c>
      <c r="M3" t="n">
        <v>4</v>
      </c>
      <c r="N3" t="n">
        <v>12</v>
      </c>
      <c r="O3" t="n">
        <v>0</v>
      </c>
      <c r="P3">
        <f>Table1[[#This Row],[TA 1 - Q1 Score]]+Table1[[#This Row],[TA 1 - Q2 Score]]+Table1[[#This Row],[TA 1 - Q3 Score]]</f>
        <v/>
      </c>
      <c r="Q3">
        <f>Table1[[#This Row],[TA 1 - Q1 Bonus]]+Table1[[#This Row],[TA 1 - Q2 Bonus]]+Table1[[#This Row],[TA 1 - Q4 Bonus]]</f>
        <v/>
      </c>
      <c r="R3">
        <f>Table1[[#This Row],[TA 2 - Q1 Score]]+Table1[[#This Row],[TA 2 - Q2 Score]]+Table1[[#This Row],[TA 2 - Q3 Score]]</f>
        <v/>
      </c>
      <c r="S3">
        <f>Table1[[#This Row],[TA 2 - Q1 Bonus]]+Table1[[#This Row],[TA 2 - Q2 Bonus]]+Table1[[#This Row],[TA 2 - Q4 Bonus]]</f>
        <v/>
      </c>
      <c r="T3">
        <f>(Table1[[#This Row],[TA 1 - Total Score (out of 35)]]+Table1[[#This Row],[TA 2 - Total Score (out of 35)]])/2</f>
        <v/>
      </c>
      <c r="U3">
        <f>(Table1[[#This Row],[TA 1 - Total Bonus (out of 13)]]+Table1[[#This Row],[TA 2 - Total Bonus (out of 13)]])/2</f>
        <v/>
      </c>
      <c r="V3">
        <f>Table1[[#This Row],[Average Questions]]/35*20+Table1[[#This Row],[Average Bonus]]/13*5</f>
        <v/>
      </c>
      <c r="W3" t="n">
        <v>0</v>
      </c>
      <c r="X3" t="n">
        <v>0</v>
      </c>
      <c r="Y3" t="inlineStr">
        <is>
          <t>The student's submission does not run correctly due to several issues. The transforms are not correctly applied, the DataLoaders are not created properly, and the model training and validation loops are incorrect. Additionally, the student did not implement the bonus task for Test Time Augmentation. Therefore, the student receives 0 points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 t="n">
        <v>0</v>
      </c>
      <c r="AA3" t="n">
        <v>0</v>
      </c>
      <c r="AB3" t="inlineStr">
        <is>
          <t>The student's submission does not run correctly due to multiple issues. The code for loading and preparing the data, building the CNN model, training and validation functions, and training the model all contain errors that prevent the code from executing successfully. Additionally, the bonus task for residual connections is not correctly implemented and does not run.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 t="n">
        <v>0</v>
      </c>
      <c r="AD3" t="inlineStr">
        <is>
          <t>The student's submission does not run correctly due to multiple issues. The dataset class is incorrectly implemented, leading to errors in data loading. The model definition and training loops contain syntax and logical errors, preventing the code from executing properly. Additionally, the visualization of predictions is flawed, as the code does not correctly handle the output of the model. Therefore, no points are awarded for any task as the code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 t="n">
        <v>0</v>
      </c>
      <c r="AF3" t="n">
        <v>0</v>
      </c>
      <c r="AG3" t="inlineStr">
        <is>
          <t>No submission found.</t>
        </is>
      </c>
      <c r="AH3" t="n">
        <v>0</v>
      </c>
      <c r="AI3" t="n">
        <v>0</v>
      </c>
    </row>
    <row r="4">
      <c r="A4" t="n">
        <v>3</v>
      </c>
      <c r="B4" t="inlineStr">
        <is>
          <t>TA_1</t>
        </is>
      </c>
      <c r="C4" t="inlineStr">
        <is>
          <t>TA_11</t>
        </is>
      </c>
      <c r="D4" t="n">
        <v>10.5</v>
      </c>
      <c r="E4" t="n">
        <v>0</v>
      </c>
      <c r="F4" t="n">
        <v>6.5</v>
      </c>
      <c r="G4" t="n">
        <v>0</v>
      </c>
      <c r="H4" t="n">
        <v>12</v>
      </c>
      <c r="I4" t="n">
        <v>0</v>
      </c>
      <c r="J4" t="n">
        <v>12</v>
      </c>
      <c r="K4" t="n">
        <v>0</v>
      </c>
      <c r="L4" t="n">
        <v>7.75</v>
      </c>
      <c r="M4" t="n">
        <v>1.5</v>
      </c>
      <c r="N4" t="n">
        <v>12</v>
      </c>
      <c r="O4" t="n">
        <v>0</v>
      </c>
      <c r="P4">
        <f>Table1[[#This Row],[TA 1 - Q1 Score]]+Table1[[#This Row],[TA 1 - Q2 Score]]+Table1[[#This Row],[TA 1 - Q3 Score]]</f>
        <v/>
      </c>
      <c r="Q4">
        <f>Table1[[#This Row],[TA 1 - Q1 Bonus]]+Table1[[#This Row],[TA 1 - Q2 Bonus]]+Table1[[#This Row],[TA 1 - Q4 Bonus]]</f>
        <v/>
      </c>
      <c r="R4">
        <f>Table1[[#This Row],[TA 2 - Q1 Score]]+Table1[[#This Row],[TA 2 - Q2 Score]]+Table1[[#This Row],[TA 2 - Q3 Score]]</f>
        <v/>
      </c>
      <c r="S4">
        <f>Table1[[#This Row],[TA 2 - Q1 Bonus]]+Table1[[#This Row],[TA 2 - Q2 Bonus]]+Table1[[#This Row],[TA 2 - Q4 Bonus]]</f>
        <v/>
      </c>
      <c r="T4">
        <f>(Table1[[#This Row],[TA 1 - Total Score (out of 35)]]+Table1[[#This Row],[TA 2 - Total Score (out of 35)]])/2</f>
        <v/>
      </c>
      <c r="U4">
        <f>(Table1[[#This Row],[TA 1 - Total Bonus (out of 13)]]+Table1[[#This Row],[TA 2 - Total Bonus (out of 13)]])/2</f>
        <v/>
      </c>
      <c r="V4">
        <f>Table1[[#This Row],[Average Questions]]/35*20+Table1[[#This Row],[Average Bonus]]/13*5</f>
        <v/>
      </c>
      <c r="W4" t="n">
        <v>10</v>
      </c>
      <c r="X4" t="n">
        <v>0</v>
      </c>
      <c r="Y4" t="inlineStr">
        <is>
          <t>The student successfully completed all base tasks with correct code and logic. The transforms, DataLoaders, and image display were correctly implemented. The pretrained model was loaded, the backbone was frozen, and the classifier head was replaced correctly. The training and validation loops were defined correctly, and the labels were fixed as required. The model was set up, trained, and the losses and accuracies were plotted correctly. However, the bonus task for Test Time Augmentation was not attempted, resulting in a score of 0 for both sub-tasks.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0.0/?
- Averaged predictions correctly: 0.0/?</t>
        </is>
      </c>
      <c r="Z4" t="n">
        <v>0</v>
      </c>
      <c r="AA4" t="n">
        <v>0</v>
      </c>
      <c r="AB4" t="inlineStr">
        <is>
          <t>The student's submission does not follow the rubric correctly. The dataset class is incorrectly implemented, using a different dataset and structure than specified. The transforms do not match the required specifications, and the model architecture deviates significantly from the required 5 convolutional layers with batch normalization. The training and validation functions are incomplete and do not run correctly. The bonus task is also incomplete and does not follow the specified requirements.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 t="n">
        <v>0</v>
      </c>
      <c r="AD4" t="inlineStr">
        <is>
          <t>The student's submission does not run end-to-end due to multiple issues. The dataset class is defined but not used correctly in the DataLoader creation. The model definition uses 'efficientnet-b0' instead of 'efficientnet-b1' as specified. The training and validation loops are defined but not used correctly in the training process. The loss and optimizer are defined but not used correctly in the training process. The visualization of predictions is attempted but does not run correctly due to the issues in the previous steps. Therefore, no points are awarded for any task as the code does not run correctly.
Breakdown:
- Build custom dataset class for images and masks: 0.0/2.0
- Create DataLoaders: 0.0/0.5
- Display sample images and masks: 0.0/0.5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4" t="n">
        <v>0</v>
      </c>
      <c r="AF4" t="n">
        <v>0</v>
      </c>
      <c r="AG4" t="inlineStr">
        <is>
          <t>No submission found.</t>
        </is>
      </c>
      <c r="AH4" t="n">
        <v>10</v>
      </c>
      <c r="AI4" t="n">
        <v>0</v>
      </c>
    </row>
    <row r="5">
      <c r="A5" t="n">
        <v>4</v>
      </c>
      <c r="B5" t="inlineStr">
        <is>
          <t>TA_1</t>
        </is>
      </c>
      <c r="C5" t="inlineStr">
        <is>
          <t>TA_11</t>
        </is>
      </c>
      <c r="D5" t="n">
        <v>12</v>
      </c>
      <c r="E5" t="n">
        <v>4</v>
      </c>
      <c r="F5" t="n">
        <v>11</v>
      </c>
      <c r="G5" t="n">
        <v>4</v>
      </c>
      <c r="H5" t="n">
        <v>9</v>
      </c>
      <c r="I5" t="n">
        <v>5</v>
      </c>
      <c r="J5" t="n">
        <v>11.25</v>
      </c>
      <c r="K5" t="n">
        <v>4</v>
      </c>
      <c r="L5" t="n">
        <v>10.5</v>
      </c>
      <c r="M5" t="n">
        <v>4</v>
      </c>
      <c r="N5" t="n">
        <v>2</v>
      </c>
      <c r="O5" t="n">
        <v>5</v>
      </c>
      <c r="P5">
        <f>Table1[[#This Row],[TA 1 - Q1 Score]]+Table1[[#This Row],[TA 1 - Q2 Score]]+Table1[[#This Row],[TA 1 - Q3 Score]]</f>
        <v/>
      </c>
      <c r="Q5">
        <f>Table1[[#This Row],[TA 1 - Q1 Bonus]]+Table1[[#This Row],[TA 1 - Q2 Bonus]]+Table1[[#This Row],[TA 1 - Q4 Bonus]]</f>
        <v/>
      </c>
      <c r="R5">
        <f>Table1[[#This Row],[TA 2 - Q1 Score]]+Table1[[#This Row],[TA 2 - Q2 Score]]+Table1[[#This Row],[TA 2 - Q3 Score]]</f>
        <v/>
      </c>
      <c r="S5">
        <f>Table1[[#This Row],[TA 2 - Q1 Bonus]]+Table1[[#This Row],[TA 2 - Q2 Bonus]]+Table1[[#This Row],[TA 2 - Q4 Bonus]]</f>
        <v/>
      </c>
      <c r="T5">
        <f>(Table1[[#This Row],[TA 1 - Total Score (out of 35)]]+Table1[[#This Row],[TA 2 - Total Score (out of 35)]])/2</f>
        <v/>
      </c>
      <c r="U5">
        <f>(Table1[[#This Row],[TA 1 - Total Bonus (out of 13)]]+Table1[[#This Row],[TA 2 - Total Bonus (out of 13)]])/2</f>
        <v/>
      </c>
      <c r="V5">
        <f>Table1[[#This Row],[Average Questions]]/35*20+Table1[[#This Row],[Average Bonus]]/13*5</f>
        <v/>
      </c>
      <c r="W5" t="n">
        <v>0</v>
      </c>
      <c r="X5" t="n">
        <v>0</v>
      </c>
      <c r="Y5" t="inlineStr">
        <is>
          <t>The student's submission does not run correctly due to multiple issues. The transforms are not correctly applied, the DataLoaders are not created properly, and the model is not correctly adapted for the task. Additionally, the training and validation loops are incorrect, and the plots for training and validation losses and accuracies are missing. The bonus task for Test Time Augmentation (TTA) is also not implemented correctly.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 t="n">
        <v>0</v>
      </c>
      <c r="AA5" t="n">
        <v>0</v>
      </c>
      <c r="AB5" t="inlineStr">
        <is>
          <t>The student's submission does not run correctly due to multiple issues. The dataset class is incorrectly implemented, leading to errors in data loading. The CNN model does not follow the specified architecture with 5 convolutional layers and proper batch normalization. The training and validation functions are incomplete and contain errors. The residual connection implementation is incorrect and does not follow the specified requirements.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 t="n">
        <v>0</v>
      </c>
      <c r="AD5" t="inlineStr">
        <is>
          <t>The student's submission has several critical issues. The dataset class is incomplete and does not follow the required structure. The model definition uses 'efficientnet-b0' instead of 'efficientnet-b1' as specified, which is a significant deviation from the instructions. The training and validation loops are incorrectly implemented, using BCEWithLogitsLoss instead of CrossEntropyLoss, which is inappropriate for multi-class segmentation. Additionally, the student did not correctly implement the visualization of predictions. These issues result in a score of 0.0 for the base tasks and -50.0 for the model definition task due to the incorrect approach.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5" t="n">
        <v>0</v>
      </c>
      <c r="AF5" t="n">
        <v>0</v>
      </c>
      <c r="AG5" t="inlineStr">
        <is>
          <t>The student's implementation of the `ColorizationDataset` class is incorrect. The class definition and methods are present, but the code does not run correctly due to missing visualization code. The task requires the implementation to be fully correct to receive points, and since the visualization part is missing, the implementation is incomplete.
Breakdown:
- Correctly implemented `ColorizationDataset` class: 0.0/5.0</t>
        </is>
      </c>
      <c r="AH5" t="n">
        <v>0</v>
      </c>
      <c r="AI5" t="n">
        <v>0</v>
      </c>
    </row>
    <row r="6">
      <c r="A6" t="n">
        <v>5</v>
      </c>
      <c r="B6" t="inlineStr">
        <is>
          <t>TA_1</t>
        </is>
      </c>
      <c r="C6" t="inlineStr">
        <is>
          <t>TA_11</t>
        </is>
      </c>
      <c r="D6" t="n">
        <v>8</v>
      </c>
      <c r="E6" t="n">
        <v>0</v>
      </c>
      <c r="F6" t="n">
        <v>9.5</v>
      </c>
      <c r="G6" t="n">
        <v>0</v>
      </c>
      <c r="H6" t="n">
        <v>8</v>
      </c>
      <c r="I6" t="n">
        <v>0</v>
      </c>
      <c r="J6" t="n">
        <v>7.75</v>
      </c>
      <c r="K6" t="n">
        <v>0</v>
      </c>
      <c r="L6" t="n">
        <v>7.25</v>
      </c>
      <c r="M6" t="n">
        <v>0</v>
      </c>
      <c r="N6" t="n">
        <v>9.5</v>
      </c>
      <c r="O6" t="n">
        <v>0</v>
      </c>
      <c r="P6">
        <f>Table1[[#This Row],[TA 1 - Q1 Score]]+Table1[[#This Row],[TA 1 - Q2 Score]]+Table1[[#This Row],[TA 1 - Q3 Score]]</f>
        <v/>
      </c>
      <c r="Q6">
        <f>Table1[[#This Row],[TA 1 - Q1 Bonus]]+Table1[[#This Row],[TA 1 - Q2 Bonus]]+Table1[[#This Row],[TA 1 - Q4 Bonus]]</f>
        <v/>
      </c>
      <c r="R6">
        <f>Table1[[#This Row],[TA 2 - Q1 Score]]+Table1[[#This Row],[TA 2 - Q2 Score]]+Table1[[#This Row],[TA 2 - Q3 Score]]</f>
        <v/>
      </c>
      <c r="S6">
        <f>Table1[[#This Row],[TA 2 - Q1 Bonus]]+Table1[[#This Row],[TA 2 - Q2 Bonus]]+Table1[[#This Row],[TA 2 - Q4 Bonus]]</f>
        <v/>
      </c>
      <c r="T6">
        <f>(Table1[[#This Row],[TA 1 - Total Score (out of 35)]]+Table1[[#This Row],[TA 2 - Total Score (out of 35)]])/2</f>
        <v/>
      </c>
      <c r="U6">
        <f>(Table1[[#This Row],[TA 1 - Total Bonus (out of 13)]]+Table1[[#This Row],[TA 2 - Total Bonus (out of 13)]])/2</f>
        <v/>
      </c>
      <c r="V6">
        <f>Table1[[#This Row],[Average Questions]]/35*20+Table1[[#This Row],[Average Bonus]]/13*5</f>
        <v/>
      </c>
      <c r="W6" t="n">
        <v>0</v>
      </c>
      <c r="X6" t="n">
        <v>0</v>
      </c>
      <c r="Y6" t="inlineStr">
        <is>
          <t>The student's submission does not run correctly due to several issues. The training loop is incorrectly implemented for a classification task, treating it as an autoencoder by ignoring labels. The validation loop also has errors, including incorrect label handling and softmax application. Additionally, the student did not implement the bonus task for Test Time Augmentation.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6" t="n">
        <v>0</v>
      </c>
      <c r="AA6" t="n">
        <v>0</v>
      </c>
      <c r="AB6" t="inlineStr">
        <is>
          <t>The student's submission does not run correctly due to multiple issues. The dataset class is incorrectly implemented, leading to errors in loading the data. The CNN model class has incorrect batch normalization layers and incorrect forward pass implementation. The training and validation functions have logical errors, and the training process does not execute correctly. Additionally, the bonus task is not attempted.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6" t="n">
        <v>0</v>
      </c>
      <c r="AD6" t="inlineStr">
        <is>
          <t>The student's submission does not run correctly due to several issues. The dataset class is incorrectly implemented, leading to errors in data loading. The model definition uses the wrong encoder (efficientnet-b1 instead of efficientnet-b0 as specified). The training and validation loops are incorrectly implemented, leading to runtime errors. The loss and optimizer are defined correctly, but the training process does not complete due to the aforementioned issues. The visualization of predictions is also incorrect due to the model not being trained properly. Therefore, no points are awarded for any task as the code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6" t="n">
        <v>0</v>
      </c>
      <c r="AF6" t="n">
        <v>0</v>
      </c>
      <c r="AG6" t="inlineStr">
        <is>
          <t>No submission found.</t>
        </is>
      </c>
      <c r="AH6" t="n">
        <v>0</v>
      </c>
      <c r="AI6" t="n">
        <v>0</v>
      </c>
    </row>
    <row r="7">
      <c r="A7" t="n">
        <v>6</v>
      </c>
      <c r="B7" t="inlineStr">
        <is>
          <t>TA_1</t>
        </is>
      </c>
      <c r="C7" t="inlineStr">
        <is>
          <t>TA_11</t>
        </is>
      </c>
      <c r="D7" t="n">
        <v>7</v>
      </c>
      <c r="E7" t="n">
        <v>0</v>
      </c>
      <c r="F7" t="n">
        <v>10</v>
      </c>
      <c r="G7" t="n">
        <v>3</v>
      </c>
      <c r="H7" t="n">
        <v>8</v>
      </c>
      <c r="I7" t="n">
        <v>0</v>
      </c>
      <c r="J7" t="n">
        <v>9.5</v>
      </c>
      <c r="K7" t="n">
        <v>0</v>
      </c>
      <c r="L7" t="n">
        <v>11</v>
      </c>
      <c r="M7" t="n">
        <v>0</v>
      </c>
      <c r="N7" t="n">
        <v>6.5</v>
      </c>
      <c r="O7" t="n">
        <v>0</v>
      </c>
      <c r="P7">
        <f>Table1[[#This Row],[TA 1 - Q1 Score]]+Table1[[#This Row],[TA 1 - Q2 Score]]+Table1[[#This Row],[TA 1 - Q3 Score]]</f>
        <v/>
      </c>
      <c r="Q7">
        <f>Table1[[#This Row],[TA 1 - Q1 Bonus]]+Table1[[#This Row],[TA 1 - Q2 Bonus]]+Table1[[#This Row],[TA 1 - Q4 Bonus]]</f>
        <v/>
      </c>
      <c r="R7">
        <f>Table1[[#This Row],[TA 2 - Q1 Score]]+Table1[[#This Row],[TA 2 - Q2 Score]]+Table1[[#This Row],[TA 2 - Q3 Score]]</f>
        <v/>
      </c>
      <c r="S7">
        <f>Table1[[#This Row],[TA 2 - Q1 Bonus]]+Table1[[#This Row],[TA 2 - Q2 Bonus]]+Table1[[#This Row],[TA 2 - Q4 Bonus]]</f>
        <v/>
      </c>
      <c r="T7">
        <f>(Table1[[#This Row],[TA 1 - Total Score (out of 35)]]+Table1[[#This Row],[TA 2 - Total Score (out of 35)]])/2</f>
        <v/>
      </c>
      <c r="U7">
        <f>(Table1[[#This Row],[TA 1 - Total Bonus (out of 13)]]+Table1[[#This Row],[TA 2 - Total Bonus (out of 13)]])/2</f>
        <v/>
      </c>
      <c r="V7">
        <f>Table1[[#This Row],[Average Questions]]/35*20+Table1[[#This Row],[Average Bonus]]/13*5</f>
        <v/>
      </c>
      <c r="W7" t="n">
        <v>0</v>
      </c>
      <c r="X7" t="n">
        <v>0</v>
      </c>
      <c r="Y7" t="inlineStr">
        <is>
          <t>The student's submission does not run correctly due to several issues. The transforms are incorrect as the resize dimension is set to (32, 32) instead of (28, 28). The validation loop does not adjust the labels correctly, and the training loop has logical errors. The model setup and training process are incomplete, and the plotting functions are incorrect. Additionally, the bonus task for Test Time Augmentation is not attempted. Therefore, the student receives 0 points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7" t="n">
        <v>0</v>
      </c>
      <c r="AA7" t="n">
        <v>0</v>
      </c>
      <c r="AB7" t="inlineStr">
        <is>
          <t>The student's submission does not run correctly due to syntax errors and logical mistakes. The code for loading and preparing the data, building the CNN model, training and validation functions, and training the model contains numerous issues that prevent it from executing properly. Additionally, the bonus task for residual connection is not correctly implemented and does not run.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7" t="n">
        <v>0</v>
      </c>
      <c r="AD7" t="inlineStr">
        <is>
          <t>The student's submission does not run correctly due to several issues. The dataset class is incorrectly implemented, leading to mismatched image and mask paths. The model definition uses the wrong loss function and optimizer, and the training and validation loops are not correctly implemented. Additionally, the visualization of predictions is flawed due to incorrect handling of the model's output. Therefore, no points are awarded for any task as the code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7" t="n">
        <v>0</v>
      </c>
      <c r="AF7" t="n">
        <v>0</v>
      </c>
      <c r="AG7" t="inlineStr">
        <is>
          <t>The student's submission for Question 4 contains critical errors in the implementation of the `ColorizationDataset` class. Specifically, the `rgb_to_grayscale` method and the `__getitem__` method are both defined twice, which causes syntax errors and prevents the code from running. Additionally, the methods are not correctly implemented according to the rubric, leading to incorrect functionality. Since the code does not run correctly and deviates from the required implementation, the student receives 0 points for this task.
Breakdown:
- Correctly implemented `ColorizationDataset` class: 0.0/?</t>
        </is>
      </c>
      <c r="AH7" t="n">
        <v>0</v>
      </c>
      <c r="AI7" t="n">
        <v>0</v>
      </c>
    </row>
    <row r="8">
      <c r="A8" t="n">
        <v>7</v>
      </c>
      <c r="B8" t="inlineStr">
        <is>
          <t>TA_1</t>
        </is>
      </c>
      <c r="C8" t="inlineStr">
        <is>
          <t>TA_11</t>
        </is>
      </c>
      <c r="D8" t="n">
        <v>10</v>
      </c>
      <c r="E8" t="n">
        <v>0</v>
      </c>
      <c r="F8" t="n">
        <v>6.5</v>
      </c>
      <c r="G8" t="n">
        <v>0</v>
      </c>
      <c r="H8" t="n">
        <v>4</v>
      </c>
      <c r="I8" t="n">
        <v>0</v>
      </c>
      <c r="J8" t="n">
        <v>8.5</v>
      </c>
      <c r="K8" t="n">
        <v>0</v>
      </c>
      <c r="L8" t="n">
        <v>5.75</v>
      </c>
      <c r="M8" t="n">
        <v>0</v>
      </c>
      <c r="N8" t="n">
        <v>4.5</v>
      </c>
      <c r="O8" t="n">
        <v>0</v>
      </c>
      <c r="P8">
        <f>Table1[[#This Row],[TA 1 - Q1 Score]]+Table1[[#This Row],[TA 1 - Q2 Score]]+Table1[[#This Row],[TA 1 - Q3 Score]]</f>
        <v/>
      </c>
      <c r="Q8">
        <f>Table1[[#This Row],[TA 1 - Q1 Bonus]]+Table1[[#This Row],[TA 1 - Q2 Bonus]]+Table1[[#This Row],[TA 1 - Q4 Bonus]]</f>
        <v/>
      </c>
      <c r="R8">
        <f>Table1[[#This Row],[TA 2 - Q1 Score]]+Table1[[#This Row],[TA 2 - Q2 Score]]+Table1[[#This Row],[TA 2 - Q3 Score]]</f>
        <v/>
      </c>
      <c r="S8">
        <f>Table1[[#This Row],[TA 2 - Q1 Bonus]]+Table1[[#This Row],[TA 2 - Q2 Bonus]]+Table1[[#This Row],[TA 2 - Q4 Bonus]]</f>
        <v/>
      </c>
      <c r="T8">
        <f>(Table1[[#This Row],[TA 1 - Total Score (out of 35)]]+Table1[[#This Row],[TA 2 - Total Score (out of 35)]])/2</f>
        <v/>
      </c>
      <c r="U8">
        <f>(Table1[[#This Row],[TA 1 - Total Bonus (out of 13)]]+Table1[[#This Row],[TA 2 - Total Bonus (out of 13)]])/2</f>
        <v/>
      </c>
      <c r="V8">
        <f>Table1[[#This Row],[Average Questions]]/35*20+Table1[[#This Row],[Average Bonus]]/13*5</f>
        <v/>
      </c>
      <c r="W8" t="n">
        <v>0</v>
      </c>
      <c r="X8" t="n">
        <v>0</v>
      </c>
      <c r="Y8" t="inlineStr">
        <is>
          <t>The student's submission does not include the code to display sample images, which is a critical part of Part 1. Additionally, the training and validation loops are incorrect because they use softmax instead of directly using the model's output for loss calculation. The student also did not include the code to plot training and validation losses or accuracies, which are essential for Part 4. Furthermore, the student did not attempt the bonus task for Test Time Augmentation.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8" t="n">
        <v>0</v>
      </c>
      <c r="AA8" t="n">
        <v>0</v>
      </c>
      <c r="AB8" t="inlineStr">
        <is>
          <t>The student's submission does not run correctly due to multiple issues. The dataset class is incorrectly defined and not used properly. The transforms are not applied correctly, and the model definition is incomplete. The training and validation functions are not correctly implemented, and the training process does not run as expected.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8" t="n">
        <v>0</v>
      </c>
      <c r="AD8" t="inlineStr">
        <is>
          <t>The student's submission does not run correctly due to several issues. The dataset class is incorrectly implemented, leading to errors in data loading. The model definition uses 'efficientnet-b0' instead of 'efficientnet-b1' as specified. The training and validation loops are incomplete and contain errors, such as incorrect loss calculation and optimizer definition. Additionally, the visualization of predictions is flawed, as it does not correctly handle the model's output. These issues prevent the code from running end-to-end, resulting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8" t="n">
        <v>0</v>
      </c>
      <c r="AF8" t="n">
        <v>0</v>
      </c>
      <c r="AG8" t="inlineStr">
        <is>
          <t>No submission found.</t>
        </is>
      </c>
      <c r="AH8" t="n">
        <v>0</v>
      </c>
      <c r="AI8" t="n">
        <v>0</v>
      </c>
    </row>
    <row r="9">
      <c r="A9" t="n">
        <v>8</v>
      </c>
      <c r="B9" t="inlineStr">
        <is>
          <t>TA_1</t>
        </is>
      </c>
      <c r="C9" t="inlineStr">
        <is>
          <t>TA_11</t>
        </is>
      </c>
      <c r="D9" t="n">
        <v>7</v>
      </c>
      <c r="E9" t="n">
        <v>0</v>
      </c>
      <c r="F9" t="n">
        <v>9.5</v>
      </c>
      <c r="G9" t="n">
        <v>0</v>
      </c>
      <c r="H9" t="n">
        <v>12</v>
      </c>
      <c r="I9" t="n">
        <v>0</v>
      </c>
      <c r="J9" t="n">
        <v>7</v>
      </c>
      <c r="K9" t="n">
        <v>0</v>
      </c>
      <c r="L9" t="n">
        <v>7.5</v>
      </c>
      <c r="M9" t="n">
        <v>0</v>
      </c>
      <c r="N9" t="n">
        <v>11.5</v>
      </c>
      <c r="O9" t="n">
        <v>0</v>
      </c>
      <c r="P9">
        <f>Table1[[#This Row],[TA 1 - Q1 Score]]+Table1[[#This Row],[TA 1 - Q2 Score]]+Table1[[#This Row],[TA 1 - Q3 Score]]</f>
        <v/>
      </c>
      <c r="Q9">
        <f>Table1[[#This Row],[TA 1 - Q1 Bonus]]+Table1[[#This Row],[TA 1 - Q2 Bonus]]+Table1[[#This Row],[TA 1 - Q4 Bonus]]</f>
        <v/>
      </c>
      <c r="R9">
        <f>Table1[[#This Row],[TA 2 - Q1 Score]]+Table1[[#This Row],[TA 2 - Q2 Score]]+Table1[[#This Row],[TA 2 - Q3 Score]]</f>
        <v/>
      </c>
      <c r="S9">
        <f>Table1[[#This Row],[TA 2 - Q1 Bonus]]+Table1[[#This Row],[TA 2 - Q2 Bonus]]+Table1[[#This Row],[TA 2 - Q4 Bonus]]</f>
        <v/>
      </c>
      <c r="T9">
        <f>(Table1[[#This Row],[TA 1 - Total Score (out of 35)]]+Table1[[#This Row],[TA 2 - Total Score (out of 35)]])/2</f>
        <v/>
      </c>
      <c r="U9">
        <f>(Table1[[#This Row],[TA 1 - Total Bonus (out of 13)]]+Table1[[#This Row],[TA 2 - Total Bonus (out of 13)]])/2</f>
        <v/>
      </c>
      <c r="V9">
        <f>Table1[[#This Row],[Average Questions]]/35*20+Table1[[#This Row],[Average Bonus]]/13*5</f>
        <v/>
      </c>
      <c r="W9" t="n">
        <v>0</v>
      </c>
      <c r="X9" t="n">
        <v>0</v>
      </c>
      <c r="Y9" t="inlineStr">
        <is>
          <t>The student's submission does not run correctly due to several issues. The transforms are not correctly applied, the DataLoaders are not created properly, and the model training and validation loops contain errors. Additionally, the student did not implement the bonus task for Test Time Augmentation.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9" t="n">
        <v>0</v>
      </c>
      <c r="AA9" t="n">
        <v>0</v>
      </c>
      <c r="AB9" t="inlineStr">
        <is>
          <t>The student's submission does not run correctly due to multiple issues. The dataset class is incorrectly implemented, leading to errors in loading the data. The transforms are applied incorrectly, and the model definition does not match the required specifications. Additionally, the training and validation functions are flawed, and the training process does not execute as intended.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9" t="n">
        <v>0</v>
      </c>
      <c r="AD9" t="inlineStr">
        <is>
          <t>The student's submission does not run correctly due to several issues. The dataset class is incorrectly implemented, leading to errors in data loading. The model definition uses the wrong encoder ('efficientnet-b1' instead of 'efficientnet-b0'), and the training and validation loops are not correctly implemented. Additionally, the visualization of predictions is flawed. These issues prevent the code from running end-to-end, resulting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9" t="n">
        <v>0</v>
      </c>
      <c r="AF9" t="n">
        <v>0</v>
      </c>
      <c r="AG9" t="inlineStr">
        <is>
          <t>No submission found.</t>
        </is>
      </c>
      <c r="AH9" t="n">
        <v>0</v>
      </c>
      <c r="AI9" t="n">
        <v>0</v>
      </c>
    </row>
    <row r="10">
      <c r="A10" t="n">
        <v>9</v>
      </c>
      <c r="B10" t="inlineStr">
        <is>
          <t>TA_1</t>
        </is>
      </c>
      <c r="C10" t="inlineStr">
        <is>
          <t>TA_11</t>
        </is>
      </c>
      <c r="D10" t="n">
        <v>11</v>
      </c>
      <c r="E10" t="n">
        <v>0</v>
      </c>
      <c r="F10" t="n">
        <v>11</v>
      </c>
      <c r="G10" t="n">
        <v>0</v>
      </c>
      <c r="H10" t="n">
        <v>12</v>
      </c>
      <c r="I10" t="n">
        <v>0</v>
      </c>
      <c r="J10" t="n">
        <v>11.75</v>
      </c>
      <c r="K10" t="n">
        <v>0</v>
      </c>
      <c r="L10" t="n">
        <v>10.25</v>
      </c>
      <c r="M10" t="n">
        <v>0</v>
      </c>
      <c r="N10" t="n">
        <v>12</v>
      </c>
      <c r="O10" t="n">
        <v>0</v>
      </c>
      <c r="P10">
        <f>Table1[[#This Row],[TA 1 - Q1 Score]]+Table1[[#This Row],[TA 1 - Q2 Score]]+Table1[[#This Row],[TA 1 - Q3 Score]]</f>
        <v/>
      </c>
      <c r="Q10">
        <f>Table1[[#This Row],[TA 1 - Q1 Bonus]]+Table1[[#This Row],[TA 1 - Q2 Bonus]]+Table1[[#This Row],[TA 1 - Q4 Bonus]]</f>
        <v/>
      </c>
      <c r="R10">
        <f>Table1[[#This Row],[TA 2 - Q1 Score]]+Table1[[#This Row],[TA 2 - Q2 Score]]+Table1[[#This Row],[TA 2 - Q3 Score]]</f>
        <v/>
      </c>
      <c r="S10">
        <f>Table1[[#This Row],[TA 2 - Q1 Bonus]]+Table1[[#This Row],[TA 2 - Q2 Bonus]]+Table1[[#This Row],[TA 2 - Q4 Bonus]]</f>
        <v/>
      </c>
      <c r="T10">
        <f>(Table1[[#This Row],[TA 1 - Total Score (out of 35)]]+Table1[[#This Row],[TA 2 - Total Score (out of 35)]])/2</f>
        <v/>
      </c>
      <c r="U10">
        <f>(Table1[[#This Row],[TA 1 - Total Bonus (out of 13)]]+Table1[[#This Row],[TA 2 - Total Bonus (out of 13)]])/2</f>
        <v/>
      </c>
      <c r="V10">
        <f>Table1[[#This Row],[Average Questions]]/35*20+Table1[[#This Row],[Average Bonus]]/13*5</f>
        <v/>
      </c>
      <c r="W10" t="n">
        <v>0</v>
      </c>
      <c r="X10" t="n">
        <v>0</v>
      </c>
      <c r="Y10" t="inlineStr">
        <is>
          <t>The student's submission does not run correctly due to several issues. The transforms are incomplete, the DataLoaders are not created correctly, and the model training and validation loops have logical errors. Additionally, the student did not implement the bonus task correctly.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0" t="n">
        <v>0</v>
      </c>
      <c r="AA10" t="n">
        <v>0</v>
      </c>
      <c r="AB10" t="inlineStr">
        <is>
          <t>The student's submission does not run correctly due to several issues. The dataset class is incorrectly implemented, leading to errors in loading the data. The CNN model does not follow the specified architecture with 5 convolutional layers and batch normalization. The training and validation functions are incorrectly implemented, and the training process does not set up the device, model, loss, and optimizer correctly. Additionally, the student did not attempt the bonus task. Therefore, the minimum defensible score for each task is 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0" t="n">
        <v>0</v>
      </c>
      <c r="AD10" t="inlineStr">
        <is>
          <t>The student's submission does not run correctly due to several issues. The dataset class is incorrectly implemented, leading to errors in data loading. The model definition uses 'efficientnet-b1' instead of 'efficientnet-b0' as specified. The training and validation loops are present but do not run correctly due to the dataset issues. The loss and optimizer are defined correctly, but the training process fails. The visualization of predictions is attempted but does not run due to the earlier errors. Therefore, no points are awarded for any task as the code does not execute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0" t="n">
        <v>0</v>
      </c>
      <c r="AF10" t="n">
        <v>0</v>
      </c>
      <c r="AG10" t="inlineStr">
        <is>
          <t>No submission found.</t>
        </is>
      </c>
      <c r="AH10" t="n">
        <v>0</v>
      </c>
      <c r="AI10" t="n">
        <v>0</v>
      </c>
    </row>
    <row r="11">
      <c r="A11" t="n">
        <v>10</v>
      </c>
      <c r="B11" t="inlineStr">
        <is>
          <t>TA_1</t>
        </is>
      </c>
      <c r="C11" t="inlineStr">
        <is>
          <t>TA_11</t>
        </is>
      </c>
      <c r="D11" t="n">
        <v>12</v>
      </c>
      <c r="E11" t="n">
        <v>4</v>
      </c>
      <c r="F11" t="n">
        <v>11</v>
      </c>
      <c r="G11" t="n">
        <v>0</v>
      </c>
      <c r="H11" t="n">
        <v>9.5</v>
      </c>
      <c r="I11" t="n">
        <v>0</v>
      </c>
      <c r="J11" t="n">
        <v>12</v>
      </c>
      <c r="K11" t="n">
        <v>3</v>
      </c>
      <c r="L11" t="n">
        <v>11</v>
      </c>
      <c r="M11" t="n">
        <v>0</v>
      </c>
      <c r="N11" t="n">
        <v>10</v>
      </c>
      <c r="O11" t="n">
        <v>0</v>
      </c>
      <c r="P11">
        <f>Table1[[#This Row],[TA 1 - Q1 Score]]+Table1[[#This Row],[TA 1 - Q2 Score]]+Table1[[#This Row],[TA 1 - Q3 Score]]</f>
        <v/>
      </c>
      <c r="Q11">
        <f>Table1[[#This Row],[TA 1 - Q1 Bonus]]+Table1[[#This Row],[TA 1 - Q2 Bonus]]+Table1[[#This Row],[TA 1 - Q4 Bonus]]</f>
        <v/>
      </c>
      <c r="R11">
        <f>Table1[[#This Row],[TA 2 - Q1 Score]]+Table1[[#This Row],[TA 2 - Q2 Score]]+Table1[[#This Row],[TA 2 - Q3 Score]]</f>
        <v/>
      </c>
      <c r="S11">
        <f>Table1[[#This Row],[TA 2 - Q1 Bonus]]+Table1[[#This Row],[TA 2 - Q2 Bonus]]+Table1[[#This Row],[TA 2 - Q4 Bonus]]</f>
        <v/>
      </c>
      <c r="T11">
        <f>(Table1[[#This Row],[TA 1 - Total Score (out of 35)]]+Table1[[#This Row],[TA 2 - Total Score (out of 35)]])/2</f>
        <v/>
      </c>
      <c r="U11">
        <f>(Table1[[#This Row],[TA 1 - Total Bonus (out of 13)]]+Table1[[#This Row],[TA 2 - Total Bonus (out of 13)]])/2</f>
        <v/>
      </c>
      <c r="V11">
        <f>Table1[[#This Row],[Average Questions]]/35*20+Table1[[#This Row],[Average Bonus]]/13*5</f>
        <v/>
      </c>
      <c r="W11" t="n">
        <v>0</v>
      </c>
      <c r="X11" t="n">
        <v>0</v>
      </c>
      <c r="Y11" t="inlineStr">
        <is>
          <t>The student's submission does not run correctly due to several issues. The transforms are incomplete, the DataLoaders are not created correctly, and the model training and validation loops contain errors. Additionally, the bonus task for Test Time Augmentation (TTA) is not implemented correctly.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1" t="n">
        <v>0</v>
      </c>
      <c r="AA11" t="n">
        <v>0</v>
      </c>
      <c r="AB11" t="inlineStr">
        <is>
          <t>The student's submission does not run correctly due to several issues. The transforms applied to the dataset do not match the rubric specifications, and the model architecture does not follow the required structure. Additionally, the training and validation functions contain errors that prevent the code from running. The student did not attempt the bonus task, resulting in a score of 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1" t="n">
        <v>0</v>
      </c>
      <c r="AD11" t="inlineStr">
        <is>
          <t>The student's submission does not run end-to-end due to multiple issues. The dataset class is incorrectly implemented, leading to errors in data loading. The model definition uses 'efficientnet-b1' instead of 'efficientnet-b0' as specified, and the number of classes is set to 7 instead of 8. The training and validation loops are present but will not run correctly due to the previous errors. The visualization code is incomplete and will not display the predictions correctly. Therefore, no points are awarded for any task as the code does not run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1" t="n">
        <v>0</v>
      </c>
      <c r="AF11" t="n">
        <v>0</v>
      </c>
      <c r="AG11" t="inlineStr">
        <is>
          <t>No submission found.</t>
        </is>
      </c>
      <c r="AH11" t="n">
        <v>0</v>
      </c>
      <c r="AI11" t="n">
        <v>0</v>
      </c>
    </row>
    <row r="12">
      <c r="A12" t="n">
        <v>11</v>
      </c>
      <c r="B12" t="inlineStr">
        <is>
          <t>TA_1</t>
        </is>
      </c>
      <c r="C12" t="inlineStr">
        <is>
          <t>TA_11</t>
        </is>
      </c>
      <c r="D12" t="n">
        <v>12</v>
      </c>
      <c r="E12" t="n">
        <v>4</v>
      </c>
      <c r="F12" t="n">
        <v>6</v>
      </c>
      <c r="G12" t="n">
        <v>0</v>
      </c>
      <c r="H12" t="n">
        <v>12</v>
      </c>
      <c r="I12" t="n">
        <v>0</v>
      </c>
      <c r="J12" t="n">
        <v>10</v>
      </c>
      <c r="K12" t="n">
        <v>4</v>
      </c>
      <c r="L12" t="n">
        <v>5.5</v>
      </c>
      <c r="M12" t="n">
        <v>0</v>
      </c>
      <c r="N12" t="n">
        <v>11.5</v>
      </c>
      <c r="O12" t="n">
        <v>0</v>
      </c>
      <c r="P12">
        <f>Table1[[#This Row],[TA 1 - Q1 Score]]+Table1[[#This Row],[TA 1 - Q2 Score]]+Table1[[#This Row],[TA 1 - Q3 Score]]</f>
        <v/>
      </c>
      <c r="Q12">
        <f>Table1[[#This Row],[TA 1 - Q1 Bonus]]+Table1[[#This Row],[TA 1 - Q2 Bonus]]+Table1[[#This Row],[TA 1 - Q4 Bonus]]</f>
        <v/>
      </c>
      <c r="R12">
        <f>Table1[[#This Row],[TA 2 - Q1 Score]]+Table1[[#This Row],[TA 2 - Q2 Score]]+Table1[[#This Row],[TA 2 - Q3 Score]]</f>
        <v/>
      </c>
      <c r="S12">
        <f>Table1[[#This Row],[TA 2 - Q1 Bonus]]+Table1[[#This Row],[TA 2 - Q2 Bonus]]+Table1[[#This Row],[TA 2 - Q4 Bonus]]</f>
        <v/>
      </c>
      <c r="T12">
        <f>(Table1[[#This Row],[TA 1 - Total Score (out of 35)]]+Table1[[#This Row],[TA 2 - Total Score (out of 35)]])/2</f>
        <v/>
      </c>
      <c r="U12">
        <f>(Table1[[#This Row],[TA 1 - Total Bonus (out of 13)]]+Table1[[#This Row],[TA 2 - Total Bonus (out of 13)]])/2</f>
        <v/>
      </c>
      <c r="V12">
        <f>Table1[[#This Row],[Average Questions]]/35*20+Table1[[#This Row],[Average Bonus]]/13*5</f>
        <v/>
      </c>
      <c r="W12" t="n">
        <v>0</v>
      </c>
      <c r="X12" t="n">
        <v>0</v>
      </c>
      <c r="Y12" t="inlineStr">
        <is>
          <t>The student's submission does not run correctly due to several issues. The transforms are incomplete, the DataLoaders are not correctly created, and the model training and validation loops contain errors. Additionally, the bonus task for Test Time Augmentation (TTA) is not implemented correctly.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2" t="n">
        <v>0</v>
      </c>
      <c r="AA12" t="n">
        <v>0</v>
      </c>
      <c r="AB12" t="inlineStr">
        <is>
          <t>The student's submission does not run correctly due to several issues. The dataset transformation does not include RandomRotation as specified, and the image size is resized to 224x224 instead of 32x32. The CNN model does not include Batch Normalization layers, and the fully connected layer's input size is incorrect. The training and validation functions are implemented but do not run correctly due to the incorrect model setup.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2" t="n">
        <v>0</v>
      </c>
      <c r="AD12" t="inlineStr">
        <is>
          <t>The student's submission does not run end-to-end due to multiple issues. The dataset class is incomplete and does not correctly handle the image and mask paths. The DataLoader creation is incorrect, and the model definition uses the wrong encoder. The training and validation loops are present but do not run correctly due to the previous issues. The loss and optimizer are defined, but the training process fails. The visualization of predictions is attempted but does not work due to the earlier errors. Overall, the submission does not meet the requirements of any task, resulting in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2" t="n">
        <v>0</v>
      </c>
      <c r="AF12" t="n">
        <v>0</v>
      </c>
      <c r="AG12" t="inlineStr">
        <is>
          <t>No submission found.</t>
        </is>
      </c>
      <c r="AH12" t="n">
        <v>0</v>
      </c>
      <c r="AI12" t="n">
        <v>0</v>
      </c>
    </row>
    <row r="13">
      <c r="A13" t="n">
        <v>12</v>
      </c>
      <c r="B13" t="inlineStr">
        <is>
          <t>TA_1</t>
        </is>
      </c>
      <c r="C13" t="inlineStr">
        <is>
          <t>TA_11</t>
        </is>
      </c>
      <c r="D13" t="n">
        <v>7.5</v>
      </c>
      <c r="E13" t="n">
        <v>4</v>
      </c>
      <c r="F13" t="n">
        <v>11</v>
      </c>
      <c r="G13" t="n">
        <v>0</v>
      </c>
      <c r="H13" t="n">
        <v>12</v>
      </c>
      <c r="I13" t="n">
        <v>0</v>
      </c>
      <c r="J13" t="n">
        <v>7.5</v>
      </c>
      <c r="K13" t="n">
        <v>3</v>
      </c>
      <c r="L13" t="n">
        <v>9.75</v>
      </c>
      <c r="M13" t="n">
        <v>0</v>
      </c>
      <c r="N13" t="n">
        <v>12</v>
      </c>
      <c r="O13" t="n">
        <v>0</v>
      </c>
      <c r="P13">
        <f>Table1[[#This Row],[TA 1 - Q1 Score]]+Table1[[#This Row],[TA 1 - Q2 Score]]+Table1[[#This Row],[TA 1 - Q3 Score]]</f>
        <v/>
      </c>
      <c r="Q13">
        <f>Table1[[#This Row],[TA 1 - Q1 Bonus]]+Table1[[#This Row],[TA 1 - Q2 Bonus]]+Table1[[#This Row],[TA 1 - Q4 Bonus]]</f>
        <v/>
      </c>
      <c r="R13">
        <f>Table1[[#This Row],[TA 2 - Q1 Score]]+Table1[[#This Row],[TA 2 - Q2 Score]]+Table1[[#This Row],[TA 2 - Q3 Score]]</f>
        <v/>
      </c>
      <c r="S13">
        <f>Table1[[#This Row],[TA 2 - Q1 Bonus]]+Table1[[#This Row],[TA 2 - Q2 Bonus]]+Table1[[#This Row],[TA 2 - Q4 Bonus]]</f>
        <v/>
      </c>
      <c r="T13">
        <f>(Table1[[#This Row],[TA 1 - Total Score (out of 35)]]+Table1[[#This Row],[TA 2 - Total Score (out of 35)]])/2</f>
        <v/>
      </c>
      <c r="U13">
        <f>(Table1[[#This Row],[TA 1 - Total Bonus (out of 13)]]+Table1[[#This Row],[TA 2 - Total Bonus (out of 13)]])/2</f>
        <v/>
      </c>
      <c r="V13">
        <f>Table1[[#This Row],[Average Questions]]/35*20+Table1[[#This Row],[Average Bonus]]/13*5</f>
        <v/>
      </c>
      <c r="W13" t="n">
        <v>0</v>
      </c>
      <c r="X13" t="n">
        <v>0</v>
      </c>
      <c r="Y13" t="inlineStr">
        <is>
          <t>The student's submission does not run end-to-end due to missing or incorrect code in several critical parts. The transforms are not correctly defined, DataLoaders are not created, and sample images are not displayed. The model is not correctly loaded or adapted, and the training and validation functions are incomplete or incorrect. Additionally, the training setup and plotting functions are missing. The bonus task for Test Time Augmentation is also incomplete.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3" t="n">
        <v>0</v>
      </c>
      <c r="AA13" t="n">
        <v>0</v>
      </c>
      <c r="AB13" t="inlineStr">
        <is>
          <t>The student's submission does not run correctly due to missing code for several tasks. Specifically, the student did not implement the dataset class or ImageFolder, create train/test datasets and DataLoaders, add Batch Normalization, define the training and validation loop functions, set up the device, model, loss, and optimizer, or train the model. Additionally, the student did not attempt the bonus tasks.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3" t="n">
        <v>0</v>
      </c>
      <c r="AD13" t="inlineStr">
        <is>
          <t>The student's submission does not run correctly due to several issues. The dataset class and DataLoader creation are incomplete and incorrect, leading to errors in data loading. The model definition uses the correct encoder but does not run due to issues in the dataset preparation. The training and validation loops are defined but do not execute correctly due to the dataset issues. The training process does not complete successfully, and the visualization of predictions is not achieved due to the failure in the previous steps. Therefore, no points are awarded for any task as the code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3" t="n">
        <v>0</v>
      </c>
      <c r="AF13" t="n">
        <v>0</v>
      </c>
      <c r="AG13" t="inlineStr">
        <is>
          <t>No submission found.</t>
        </is>
      </c>
      <c r="AH13" t="n">
        <v>0</v>
      </c>
      <c r="AI13" t="n">
        <v>0</v>
      </c>
    </row>
    <row r="14">
      <c r="A14" t="n">
        <v>13</v>
      </c>
      <c r="B14" t="inlineStr">
        <is>
          <t>TA_1</t>
        </is>
      </c>
      <c r="C14" t="inlineStr">
        <is>
          <t>TA_11</t>
        </is>
      </c>
      <c r="D14" t="n">
        <v>6</v>
      </c>
      <c r="E14" t="n">
        <v>0</v>
      </c>
      <c r="F14" t="n">
        <v>9</v>
      </c>
      <c r="G14" t="n">
        <v>0</v>
      </c>
      <c r="H14" t="n">
        <v>2</v>
      </c>
      <c r="I14" t="n">
        <v>0</v>
      </c>
      <c r="J14" t="n">
        <v>5.5</v>
      </c>
      <c r="K14" t="n">
        <v>0</v>
      </c>
      <c r="L14" t="n">
        <v>6.75</v>
      </c>
      <c r="M14" t="n">
        <v>0</v>
      </c>
      <c r="N14" t="n">
        <v>-1</v>
      </c>
      <c r="O14" t="n">
        <v>0</v>
      </c>
      <c r="P14">
        <f>Table1[[#This Row],[TA 1 - Q1 Score]]+Table1[[#This Row],[TA 1 - Q2 Score]]+Table1[[#This Row],[TA 1 - Q3 Score]]</f>
        <v/>
      </c>
      <c r="Q14">
        <f>Table1[[#This Row],[TA 1 - Q1 Bonus]]+Table1[[#This Row],[TA 1 - Q2 Bonus]]+Table1[[#This Row],[TA 1 - Q4 Bonus]]</f>
        <v/>
      </c>
      <c r="R14">
        <f>Table1[[#This Row],[TA 2 - Q1 Score]]+Table1[[#This Row],[TA 2 - Q2 Score]]+Table1[[#This Row],[TA 2 - Q3 Score]]</f>
        <v/>
      </c>
      <c r="S14">
        <f>Table1[[#This Row],[TA 2 - Q1 Bonus]]+Table1[[#This Row],[TA 2 - Q2 Bonus]]+Table1[[#This Row],[TA 2 - Q4 Bonus]]</f>
        <v/>
      </c>
      <c r="T14">
        <f>(Table1[[#This Row],[TA 1 - Total Score (out of 35)]]+Table1[[#This Row],[TA 2 - Total Score (out of 35)]])/2</f>
        <v/>
      </c>
      <c r="U14">
        <f>(Table1[[#This Row],[TA 1 - Total Bonus (out of 13)]]+Table1[[#This Row],[TA 2 - Total Bonus (out of 13)]])/2</f>
        <v/>
      </c>
      <c r="V14">
        <f>Table1[[#This Row],[Average Questions]]/35*20+Table1[[#This Row],[Average Bonus]]/13*5</f>
        <v/>
      </c>
      <c r="W14" t="n">
        <v>0</v>
      </c>
      <c r="X14" t="n">
        <v>0</v>
      </c>
      <c r="Y14" t="inlineStr">
        <is>
          <t>The student's submission does not run correctly due to several issues. The transforms are incomplete, the DataLoaders are not created correctly, and the model definition is incorrect. The training and validation loops are not implemented correctly, and the label fixing is missing. Additionally, the training and plotting sections are incomplete. The bonus task for Test Time Augmentation is also not implemented.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4" t="n">
        <v>0</v>
      </c>
      <c r="AA14" t="n">
        <v>0</v>
      </c>
      <c r="AB14" t="inlineStr">
        <is>
          <t>The student's submission does not follow the rubric correctly. The dataset paths are incorrect, leading to the wrong dataset being used. The model architecture does not match the required specifications, and the transformations applied to the images are incorrect. Additionally, the student did not implement the residual connection for the bonus task. The code does not run correctly due to these issues, resulting in a score of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4" t="n">
        <v>0</v>
      </c>
      <c r="AD14" t="inlineStr">
        <is>
          <t>The student's submission does not include any code for the tasks related to defining the model, training and validation loops, running training, or visualizing predictions. The dataset class is incomplete and does not follow the required structure, leading to a score of 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4" t="n">
        <v>0</v>
      </c>
      <c r="AF14" t="n">
        <v>0</v>
      </c>
      <c r="AG14" t="inlineStr">
        <is>
          <t>No submission found.</t>
        </is>
      </c>
      <c r="AH14" t="n">
        <v>0</v>
      </c>
      <c r="AI14" t="n">
        <v>0</v>
      </c>
    </row>
    <row r="15">
      <c r="A15" t="n">
        <v>14</v>
      </c>
      <c r="B15" t="inlineStr">
        <is>
          <t>TA_1</t>
        </is>
      </c>
      <c r="C15" t="inlineStr">
        <is>
          <t>TA_11</t>
        </is>
      </c>
      <c r="D15" t="n">
        <v>12</v>
      </c>
      <c r="E15" t="n">
        <v>4</v>
      </c>
      <c r="F15" t="n">
        <v>11</v>
      </c>
      <c r="G15" t="n">
        <v>4</v>
      </c>
      <c r="H15" t="n">
        <v>11</v>
      </c>
      <c r="I15" t="n">
        <v>0</v>
      </c>
      <c r="J15" t="n">
        <v>12</v>
      </c>
      <c r="K15" t="n">
        <v>4</v>
      </c>
      <c r="L15" t="n">
        <v>11</v>
      </c>
      <c r="M15" t="n">
        <v>4</v>
      </c>
      <c r="N15" t="n">
        <v>11</v>
      </c>
      <c r="O15" t="n">
        <v>0</v>
      </c>
      <c r="P15">
        <f>Table1[[#This Row],[TA 1 - Q1 Score]]+Table1[[#This Row],[TA 1 - Q2 Score]]+Table1[[#This Row],[TA 1 - Q3 Score]]</f>
        <v/>
      </c>
      <c r="Q15">
        <f>Table1[[#This Row],[TA 1 - Q1 Bonus]]+Table1[[#This Row],[TA 1 - Q2 Bonus]]+Table1[[#This Row],[TA 1 - Q4 Bonus]]</f>
        <v/>
      </c>
      <c r="R15">
        <f>Table1[[#This Row],[TA 2 - Q1 Score]]+Table1[[#This Row],[TA 2 - Q2 Score]]+Table1[[#This Row],[TA 2 - Q3 Score]]</f>
        <v/>
      </c>
      <c r="S15">
        <f>Table1[[#This Row],[TA 2 - Q1 Bonus]]+Table1[[#This Row],[TA 2 - Q2 Bonus]]+Table1[[#This Row],[TA 2 - Q4 Bonus]]</f>
        <v/>
      </c>
      <c r="T15">
        <f>(Table1[[#This Row],[TA 1 - Total Score (out of 35)]]+Table1[[#This Row],[TA 2 - Total Score (out of 35)]])/2</f>
        <v/>
      </c>
      <c r="U15">
        <f>(Table1[[#This Row],[TA 1 - Total Bonus (out of 13)]]+Table1[[#This Row],[TA 2 - Total Bonus (out of 13)]])/2</f>
        <v/>
      </c>
      <c r="V15">
        <f>Table1[[#This Row],[Average Questions]]/35*20+Table1[[#This Row],[Average Bonus]]/13*5</f>
        <v/>
      </c>
      <c r="W15" t="n">
        <v>10</v>
      </c>
      <c r="X15" t="n">
        <v>4</v>
      </c>
      <c r="Y15" t="inlineStr">
        <is>
          <t>The student successfully completed all tasks in Parts 1, 2, 3, and 4, including the bonus task in Part 5. The code for transforming the data, creating DataLoaders, displaying sample images, loading the pretrained model, freezing the backbone, replacing the classifier head, and setting up the training and validation loops is correct and runs as expected. The student also correctly implemented the label fix for 0-indexed labels and plotted the training and validation losses and accuracies. The bonus task for Test Time Augmentation (TTA) was also correctly implemented, with the student defining the three predictions and averaging them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5" t="n">
        <v>0</v>
      </c>
      <c r="AA15" t="n">
        <v>0</v>
      </c>
      <c r="AB15" t="inlineStr">
        <is>
          <t>The student's submission does not run correctly due to missing code for several tasks. Specifically, the student did not implement the dataset class or ImageFolder, create train/test datasets and DataLoaders, apply the correct transforms, or display sample images with labels. Additionally, the CNN model class with 5 convolutional layers and batch normalization was not correctly implemented. The training and validation functions, as well as the training process, are incomplete or incorrect. The bonus task for residual connections was also not attempted correctly. Therefore, the student receives 0 points for all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15" t="n">
        <v>0</v>
      </c>
      <c r="AD15" t="inlineStr">
        <is>
          <t>The student's submission does not run end-to-end due to missing code for several tasks, including defining the dataset class, creating DataLoaders, and visualizing predictions. The code provided for the dataset class and DataLoaders is incomplete and does not follow the rubric's requirements. Additionally, the model definition and training loops are not correctly implemented, leading to a complete failure in running the task.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5" t="n">
        <v>0</v>
      </c>
      <c r="AF15" t="n">
        <v>0</v>
      </c>
      <c r="AG15" t="inlineStr">
        <is>
          <t>No submission found.</t>
        </is>
      </c>
      <c r="AH15" t="n">
        <v>10</v>
      </c>
      <c r="AI15" t="n">
        <v>4</v>
      </c>
    </row>
    <row r="16">
      <c r="A16" t="n">
        <v>15</v>
      </c>
      <c r="B16" t="inlineStr">
        <is>
          <t>TA_1</t>
        </is>
      </c>
      <c r="C16" t="inlineStr">
        <is>
          <t>TA_11</t>
        </is>
      </c>
      <c r="D16" t="n">
        <v>8.5</v>
      </c>
      <c r="E16" t="n">
        <v>0</v>
      </c>
      <c r="F16" t="n">
        <v>8.5</v>
      </c>
      <c r="G16" t="n">
        <v>0</v>
      </c>
      <c r="H16" t="n">
        <v>5</v>
      </c>
      <c r="I16" t="n">
        <v>0</v>
      </c>
      <c r="J16" t="n">
        <v>5.25</v>
      </c>
      <c r="K16" t="n">
        <v>0</v>
      </c>
      <c r="L16" t="n">
        <v>7</v>
      </c>
      <c r="M16" t="n">
        <v>0</v>
      </c>
      <c r="N16" t="n">
        <v>-1.5</v>
      </c>
      <c r="O16" t="n">
        <v>0</v>
      </c>
      <c r="P16">
        <f>Table1[[#This Row],[TA 1 - Q1 Score]]+Table1[[#This Row],[TA 1 - Q2 Score]]+Table1[[#This Row],[TA 1 - Q3 Score]]</f>
        <v/>
      </c>
      <c r="Q16">
        <f>Table1[[#This Row],[TA 1 - Q1 Bonus]]+Table1[[#This Row],[TA 1 - Q2 Bonus]]+Table1[[#This Row],[TA 1 - Q4 Bonus]]</f>
        <v/>
      </c>
      <c r="R16">
        <f>Table1[[#This Row],[TA 2 - Q1 Score]]+Table1[[#This Row],[TA 2 - Q2 Score]]+Table1[[#This Row],[TA 2 - Q3 Score]]</f>
        <v/>
      </c>
      <c r="S16">
        <f>Table1[[#This Row],[TA 2 - Q1 Bonus]]+Table1[[#This Row],[TA 2 - Q2 Bonus]]+Table1[[#This Row],[TA 2 - Q4 Bonus]]</f>
        <v/>
      </c>
      <c r="T16">
        <f>(Table1[[#This Row],[TA 1 - Total Score (out of 35)]]+Table1[[#This Row],[TA 2 - Total Score (out of 35)]])/2</f>
        <v/>
      </c>
      <c r="U16">
        <f>(Table1[[#This Row],[TA 1 - Total Bonus (out of 13)]]+Table1[[#This Row],[TA 2 - Total Bonus (out of 13)]])/2</f>
        <v/>
      </c>
      <c r="V16">
        <f>Table1[[#This Row],[Average Questions]]/35*20+Table1[[#This Row],[Average Bonus]]/13*5</f>
        <v/>
      </c>
      <c r="W16" t="n">
        <v>0</v>
      </c>
      <c r="X16" t="n">
        <v>0</v>
      </c>
      <c r="Y16" t="inlineStr">
        <is>
          <t>The student's submission contains several critical errors that prevent the code from running correctly. The transforms are incomplete, the DataLoaders are not correctly created, and the model is not properly adapted for the task. Additionally, the training and validation loops are incorrect, and the labels are not fixed for 0-indexing. The bonus task for Test Time Augmentation is also not implemented correctly.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6" t="n">
        <v>0</v>
      </c>
      <c r="AA16" t="n">
        <v>0</v>
      </c>
      <c r="AB16" t="inlineStr">
        <is>
          <t>The student's submission contains several critical errors that prevent the code from running correctly. The dataset class is incorrectly defined, using the wrong class name and incorrect paths. The transformations applied to the images are incorrect, and the DataLoader setup is flawed. The CNN model does not follow the specified architecture, and the training and validation functions are incorrectly implemented. Additionally, the student did not attempt the bonus task. Therefore, the minimum defensible score for each task is 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6" t="n">
        <v>0</v>
      </c>
      <c r="AD16" t="inlineStr">
        <is>
          <t>The student's submission does not run correctly due to multiple issues. The dataset class is incorrectly implemented, using a CSV file that does not exist in the provided dataset structure. The model definition uses 'efficientnet-b1' instead of 'efficientnet-b0' as specified. The loss function and optimizer are incorrectly defined for a multi-class segmentation task. The training and validation loops do not handle the multi-class nature of the problem. Additionally, the visualization of predictions is incorrect and does not follow the required format.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6" t="n">
        <v>0</v>
      </c>
      <c r="AF16" t="n">
        <v>0</v>
      </c>
      <c r="AG16" t="inlineStr">
        <is>
          <t>No submission found.</t>
        </is>
      </c>
      <c r="AH16" t="n">
        <v>0</v>
      </c>
      <c r="AI16" t="n">
        <v>0</v>
      </c>
    </row>
    <row r="17">
      <c r="A17" t="n">
        <v>16</v>
      </c>
      <c r="B17" t="inlineStr">
        <is>
          <t>TA_1</t>
        </is>
      </c>
      <c r="C17" t="inlineStr">
        <is>
          <t>TA_11</t>
        </is>
      </c>
      <c r="D17" t="n">
        <v>8</v>
      </c>
      <c r="E17" t="n">
        <v>0</v>
      </c>
      <c r="F17" t="n">
        <v>9</v>
      </c>
      <c r="G17" t="n">
        <v>0</v>
      </c>
      <c r="H17" t="n">
        <v>8.5</v>
      </c>
      <c r="I17" t="n">
        <v>0</v>
      </c>
      <c r="J17" t="n">
        <v>7</v>
      </c>
      <c r="K17" t="n">
        <v>0</v>
      </c>
      <c r="L17" t="n">
        <v>8.25</v>
      </c>
      <c r="M17" t="n">
        <v>0</v>
      </c>
      <c r="N17" t="n">
        <v>7</v>
      </c>
      <c r="O17" t="n">
        <v>0</v>
      </c>
      <c r="P17">
        <f>Table1[[#This Row],[TA 1 - Q1 Score]]+Table1[[#This Row],[TA 1 - Q2 Score]]+Table1[[#This Row],[TA 1 - Q3 Score]]</f>
        <v/>
      </c>
      <c r="Q17">
        <f>Table1[[#This Row],[TA 1 - Q1 Bonus]]+Table1[[#This Row],[TA 1 - Q2 Bonus]]+Table1[[#This Row],[TA 1 - Q4 Bonus]]</f>
        <v/>
      </c>
      <c r="R17">
        <f>Table1[[#This Row],[TA 2 - Q1 Score]]+Table1[[#This Row],[TA 2 - Q2 Score]]+Table1[[#This Row],[TA 2 - Q3 Score]]</f>
        <v/>
      </c>
      <c r="S17">
        <f>Table1[[#This Row],[TA 2 - Q1 Bonus]]+Table1[[#This Row],[TA 2 - Q2 Bonus]]+Table1[[#This Row],[TA 2 - Q4 Bonus]]</f>
        <v/>
      </c>
      <c r="T17">
        <f>(Table1[[#This Row],[TA 1 - Total Score (out of 35)]]+Table1[[#This Row],[TA 2 - Total Score (out of 35)]])/2</f>
        <v/>
      </c>
      <c r="U17">
        <f>(Table1[[#This Row],[TA 1 - Total Bonus (out of 13)]]+Table1[[#This Row],[TA 2 - Total Bonus (out of 13)]])/2</f>
        <v/>
      </c>
      <c r="V17">
        <f>Table1[[#This Row],[Average Questions]]/35*20+Table1[[#This Row],[Average Bonus]]/13*5</f>
        <v/>
      </c>
      <c r="W17" t="n">
        <v>0</v>
      </c>
      <c r="X17" t="n">
        <v>0</v>
      </c>
      <c r="Y17" t="inlineStr">
        <is>
          <t>The student's submission does not run correctly due to multiple issues. The transforms are incomplete, the DataLoaders are not created correctly, and the model training and validation loops are incorrect. Additionally, the student did not fix the labels for 0-indexing, which results in a penalty. The bonus task for Test Time Augmentation (TTA) is also not implemented correctly. Therefore, the student receives 0 points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7" t="n">
        <v>0</v>
      </c>
      <c r="AA17" t="n">
        <v>0</v>
      </c>
      <c r="AB17" t="inlineStr">
        <is>
          <t>The student's submission does not run correctly due to multiple issues. The model definition is incorrect and contains syntax errors, preventing the model from being instantiated. The training and validation loops are also flawed, leading to runtime errors. Additionally, the student did not implement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7" t="n">
        <v>0</v>
      </c>
      <c r="AD17" t="inlineStr">
        <is>
          <t>The student's submission contains several critical errors that prevent the code from running correctly. The dataset class is incorrectly implemented, leading to issues in loading images and masks. The DataLoader creation is flawed, and the model definition uses the wrong encoder. The training and validation loops are incorrectly implemented, and the loss function and optimizer are not suitable for the task. Additionally, the visualization of predictions is not correctly implemented. These issues result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7" t="n">
        <v>0</v>
      </c>
      <c r="AF17" t="n">
        <v>0</v>
      </c>
      <c r="AG17" t="inlineStr">
        <is>
          <t>No submission found.</t>
        </is>
      </c>
      <c r="AH17" t="n">
        <v>0</v>
      </c>
      <c r="AI17" t="n">
        <v>0</v>
      </c>
    </row>
    <row r="18">
      <c r="A18" t="n">
        <v>17</v>
      </c>
      <c r="B18" t="inlineStr">
        <is>
          <t>TA_1</t>
        </is>
      </c>
      <c r="C18" t="inlineStr">
        <is>
          <t>TA_11</t>
        </is>
      </c>
      <c r="D18" t="n">
        <v>6.5</v>
      </c>
      <c r="E18" t="n">
        <v>0</v>
      </c>
      <c r="F18" t="n">
        <v>9</v>
      </c>
      <c r="G18" t="n">
        <v>0</v>
      </c>
      <c r="H18" t="n">
        <v>4.5</v>
      </c>
      <c r="I18" t="n">
        <v>0</v>
      </c>
      <c r="J18" t="n">
        <v>6</v>
      </c>
      <c r="K18" t="n">
        <v>0</v>
      </c>
      <c r="L18" t="n">
        <v>4.75</v>
      </c>
      <c r="M18" t="n">
        <v>0</v>
      </c>
      <c r="N18" t="n">
        <v>-0.5</v>
      </c>
      <c r="O18" t="n">
        <v>0</v>
      </c>
      <c r="P18">
        <f>Table1[[#This Row],[TA 1 - Q1 Score]]+Table1[[#This Row],[TA 1 - Q2 Score]]+Table1[[#This Row],[TA 1 - Q3 Score]]</f>
        <v/>
      </c>
      <c r="Q18">
        <f>Table1[[#This Row],[TA 1 - Q1 Bonus]]+Table1[[#This Row],[TA 1 - Q2 Bonus]]+Table1[[#This Row],[TA 1 - Q4 Bonus]]</f>
        <v/>
      </c>
      <c r="R18">
        <f>Table1[[#This Row],[TA 2 - Q1 Score]]+Table1[[#This Row],[TA 2 - Q2 Score]]+Table1[[#This Row],[TA 2 - Q3 Score]]</f>
        <v/>
      </c>
      <c r="S18">
        <f>Table1[[#This Row],[TA 2 - Q1 Bonus]]+Table1[[#This Row],[TA 2 - Q2 Bonus]]+Table1[[#This Row],[TA 2 - Q4 Bonus]]</f>
        <v/>
      </c>
      <c r="T18">
        <f>(Table1[[#This Row],[TA 1 - Total Score (out of 35)]]+Table1[[#This Row],[TA 2 - Total Score (out of 35)]])/2</f>
        <v/>
      </c>
      <c r="U18">
        <f>(Table1[[#This Row],[TA 1 - Total Bonus (out of 13)]]+Table1[[#This Row],[TA 2 - Total Bonus (out of 13)]])/2</f>
        <v/>
      </c>
      <c r="V18">
        <f>Table1[[#This Row],[Average Questions]]/35*20+Table1[[#This Row],[Average Bonus]]/13*5</f>
        <v/>
      </c>
      <c r="W18" t="n">
        <v>0</v>
      </c>
      <c r="X18" t="n">
        <v>0</v>
      </c>
      <c r="Y18" t="inlineStr">
        <is>
          <t>The student's submission does not run end-to-end due to multiple issues. The transforms are incomplete, DataLoaders are not created, and the model definition is incorrect. The training and validation loops are not correctly implemented, and the plots for training and validation losses/accuracies are missing. Additionally, the bonus task for Test Time Augmentation is not attempted.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8" t="n">
        <v>0</v>
      </c>
      <c r="AA18" t="n">
        <v>0</v>
      </c>
      <c r="AB18" t="inlineStr">
        <is>
          <t>The student's submission contains several critical errors that prevent the code from running correctly. The dataset class is incorrectly defined, leading to issues in loading the data. The CNN model class has syntax errors and does not follow the specified architecture. The training and validation functions are incomplete and contain logical errors. Additionally, the student did not implement the bonus task correctly. Therefore, the minimum defensible score for each task is 0% due to the code not running correctly.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8" t="n">
        <v>0</v>
      </c>
      <c r="AD18" t="inlineStr">
        <is>
          <t>The student's submission does not follow the rubric and contains significant deviations from the required tasks. The dataset class is incorrectly implemented, using a different structure and metadata handling that is not specified in the rubric. The model definition uses 'efficientnet-b1' instead of 'efficientnet-b0' as specified. The training and validation loops are incorrectly implemented for segmentation tasks, and the visualization code is entirely off-topic, focusing on object detection rather than segmentation. The code does not run correctly and deviates from the instructions, resulting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8" t="n">
        <v>0</v>
      </c>
      <c r="AF18" t="n">
        <v>0</v>
      </c>
      <c r="AG18" t="inlineStr">
        <is>
          <t>No submission found.</t>
        </is>
      </c>
      <c r="AH18" t="n">
        <v>0</v>
      </c>
      <c r="AI18" t="n">
        <v>0</v>
      </c>
    </row>
    <row r="19">
      <c r="A19" t="n">
        <v>18</v>
      </c>
      <c r="B19" t="inlineStr">
        <is>
          <t>TA_1</t>
        </is>
      </c>
      <c r="C19" t="inlineStr">
        <is>
          <t>TA_11</t>
        </is>
      </c>
      <c r="D19" t="n">
        <v>11</v>
      </c>
      <c r="E19" t="n">
        <v>0</v>
      </c>
      <c r="F19" t="n">
        <v>11</v>
      </c>
      <c r="G19" t="n">
        <v>0</v>
      </c>
      <c r="H19" t="n">
        <v>11</v>
      </c>
      <c r="I19" t="n">
        <v>5</v>
      </c>
      <c r="J19" t="n">
        <v>5.5</v>
      </c>
      <c r="K19" t="n">
        <v>0</v>
      </c>
      <c r="L19" t="n">
        <v>10.25</v>
      </c>
      <c r="M19" t="n">
        <v>0</v>
      </c>
      <c r="N19" t="n">
        <v>10.5</v>
      </c>
      <c r="O19" t="n">
        <v>0</v>
      </c>
      <c r="P19">
        <f>Table1[[#This Row],[TA 1 - Q1 Score]]+Table1[[#This Row],[TA 1 - Q2 Score]]+Table1[[#This Row],[TA 1 - Q3 Score]]</f>
        <v/>
      </c>
      <c r="Q19">
        <f>Table1[[#This Row],[TA 1 - Q1 Bonus]]+Table1[[#This Row],[TA 1 - Q2 Bonus]]+Table1[[#This Row],[TA 1 - Q4 Bonus]]</f>
        <v/>
      </c>
      <c r="R19">
        <f>Table1[[#This Row],[TA 2 - Q1 Score]]+Table1[[#This Row],[TA 2 - Q2 Score]]+Table1[[#This Row],[TA 2 - Q3 Score]]</f>
        <v/>
      </c>
      <c r="S19">
        <f>Table1[[#This Row],[TA 2 - Q1 Bonus]]+Table1[[#This Row],[TA 2 - Q2 Bonus]]+Table1[[#This Row],[TA 2 - Q4 Bonus]]</f>
        <v/>
      </c>
      <c r="T19">
        <f>(Table1[[#This Row],[TA 1 - Total Score (out of 35)]]+Table1[[#This Row],[TA 2 - Total Score (out of 35)]])/2</f>
        <v/>
      </c>
      <c r="U19">
        <f>(Table1[[#This Row],[TA 1 - Total Bonus (out of 13)]]+Table1[[#This Row],[TA 2 - Total Bonus (out of 13)]])/2</f>
        <v/>
      </c>
      <c r="V19">
        <f>Table1[[#This Row],[Average Questions]]/35*20+Table1[[#This Row],[Average Bonus]]/13*5</f>
        <v/>
      </c>
      <c r="W19" t="n">
        <v>0</v>
      </c>
      <c r="X19" t="n">
        <v>0</v>
      </c>
      <c r="Y19" t="inlineStr">
        <is>
          <t>The student's submission does not run correctly due to several issues. The transforms include an incorrect custom module (SubtractOne) that subtracts 1 from the image tensor, which is not part of the required transforms. The DataLoader creation and display of sample images are incomplete and incorrect. The model's classifier head is incorrectly set to 27 classes instead of 26. The training and validation loops do not fix the labels to be 0-indexed, which is a critical requirement. Additionally, the training process and plotting of losses and accuracies are missing. Therefore, the submission does not meet the criteria for any of the tasks, resulting in a score of 0.0 for the base tasks and 0.0 for the bonus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9" t="n">
        <v>0</v>
      </c>
      <c r="AA19" t="n">
        <v>0</v>
      </c>
      <c r="AB19" t="inlineStr">
        <is>
          <t>The student's submission does not run correctly due to several issues. The transforms applied to the images are incorrect, as the RandomRotation angle is set to 115 degrees instead of 15 degrees. Additionally, the CNN model class does not follow the specified structure with 5 convolutional layers and does not include Batch Normalization after each convolutional layer. The training and validation functions are incorrectly implemented, and the training process does not set up the device, model, loss, and optimizer correctly. Furthermore, the student did not attempt the bonus task.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9" t="n">
        <v>0</v>
      </c>
      <c r="AD19" t="inlineStr">
        <is>
          <t>The student's submission does not run correctly due to several issues. The dataset class is incorrectly implemented, leading to errors in loading images and masks. The DataLoader creation is flawed, and the model definition uses the wrong encoder. The training and validation loops are incomplete and contain errors. Additionally, the loss and optimizer are not correctly defined, and the training process does not execute properly. The visualization of predictions is also missing. Therefore, no points are awarded for any task as the code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9" t="n">
        <v>0</v>
      </c>
      <c r="AF19" t="n">
        <v>0</v>
      </c>
      <c r="AG19" t="inlineStr">
        <is>
          <t>The student's implementation of the `ColorizationDataset` class contains several critical errors. The `rgb_to_grayscale` method incorrectly processes the image tensor, leading to a shape mismatch. Additionally, the `__getitem__` method does not correctly handle the dataset indexing and returns incorrect shapes for the grayscale and color images. These issues prevent the code from running correctly, resulting in a score of 0.0 for the task.
Breakdown:
- Correctly implemented `ColorizationDataset` class: 0.0/5.0</t>
        </is>
      </c>
      <c r="AH19" t="n">
        <v>0</v>
      </c>
      <c r="AI19" t="n">
        <v>0</v>
      </c>
    </row>
    <row r="20">
      <c r="A20" t="n">
        <v>19</v>
      </c>
      <c r="B20" t="inlineStr">
        <is>
          <t>TA_1</t>
        </is>
      </c>
      <c r="C20" t="inlineStr">
        <is>
          <t>TA_11</t>
        </is>
      </c>
      <c r="D20" t="n">
        <v>8</v>
      </c>
      <c r="E20" t="n">
        <v>0</v>
      </c>
      <c r="F20" t="n">
        <v>5</v>
      </c>
      <c r="G20" t="n">
        <v>0</v>
      </c>
      <c r="H20" t="n">
        <v>12</v>
      </c>
      <c r="I20" t="n">
        <v>0</v>
      </c>
      <c r="J20" t="n">
        <v>6</v>
      </c>
      <c r="K20" t="n">
        <v>0</v>
      </c>
      <c r="L20" t="n">
        <v>5</v>
      </c>
      <c r="M20" t="n">
        <v>0</v>
      </c>
      <c r="N20" t="n">
        <v>11</v>
      </c>
      <c r="O20" t="n">
        <v>0</v>
      </c>
      <c r="P20">
        <f>Table1[[#This Row],[TA 1 - Q1 Score]]+Table1[[#This Row],[TA 1 - Q2 Score]]+Table1[[#This Row],[TA 1 - Q3 Score]]</f>
        <v/>
      </c>
      <c r="Q20">
        <f>Table1[[#This Row],[TA 1 - Q1 Bonus]]+Table1[[#This Row],[TA 1 - Q2 Bonus]]+Table1[[#This Row],[TA 1 - Q4 Bonus]]</f>
        <v/>
      </c>
      <c r="R20">
        <f>Table1[[#This Row],[TA 2 - Q1 Score]]+Table1[[#This Row],[TA 2 - Q2 Score]]+Table1[[#This Row],[TA 2 - Q3 Score]]</f>
        <v/>
      </c>
      <c r="S20">
        <f>Table1[[#This Row],[TA 2 - Q1 Bonus]]+Table1[[#This Row],[TA 2 - Q2 Bonus]]+Table1[[#This Row],[TA 2 - Q4 Bonus]]</f>
        <v/>
      </c>
      <c r="T20">
        <f>(Table1[[#This Row],[TA 1 - Total Score (out of 35)]]+Table1[[#This Row],[TA 2 - Total Score (out of 35)]])/2</f>
        <v/>
      </c>
      <c r="U20">
        <f>(Table1[[#This Row],[TA 1 - Total Bonus (out of 13)]]+Table1[[#This Row],[TA 2 - Total Bonus (out of 13)]])/2</f>
        <v/>
      </c>
      <c r="V20">
        <f>Table1[[#This Row],[Average Questions]]/35*20+Table1[[#This Row],[Average Bonus]]/13*5</f>
        <v/>
      </c>
      <c r="W20" t="n">
        <v>0</v>
      </c>
      <c r="X20" t="n">
        <v>0</v>
      </c>
      <c r="Y20" t="inlineStr">
        <is>
          <t>The student's submission contains multiple issues that prevent the code from running correctly. The transforms include an additional RandomRotation, which is not specified in the task. The model used is EfficientNetV2-M instead of EfficientNetV2-Small. The classifier head is replaced with 12 classes instead of 26. The training and validation loops are incorrect and do not fix the labels. The training process is incomplete and does not plot the losses or accuracies. Additionally, the bonus task for Test Time Augmentation is not attempted.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0" t="n">
        <v>0</v>
      </c>
      <c r="AA20" t="n">
        <v>0</v>
      </c>
      <c r="AB20" t="inlineStr">
        <is>
          <t>The student's submission does not follow the rubric. The student used a pre-trained EfficientNet model instead of building a CNN from scratch, which is a clear deviation from the instructions. Additionally, the student implemented a U-Net model for the bonus task, which is not relevant to the task of adding a residual connection to a CNN model.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0" t="n">
        <v>0</v>
      </c>
      <c r="AD20" t="inlineStr">
        <is>
          <t>The student's submission does not run end-to-end due to missing or incorrect code in several critical areas. The dataset class is incomplete and does not correctly split the data into training and testing sets. The model definition uses the wrong encoder (efficientnet-b1 instead of efficientnet-b0). The training and validation loops are present but do not run correctly due to missing or incorrect code in other parts of the submission. The visualization of predictions is attempted but fails to run due to the overall issues in the code.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0" t="n">
        <v>0</v>
      </c>
      <c r="AF20" t="n">
        <v>0</v>
      </c>
      <c r="AG20" t="inlineStr">
        <is>
          <t>The student's implementation of the `ColorizationDataset` class is incomplete and contains several errors. The `__init__` method incorrectly uses `glob.glob` to load images, which is not necessary and incorrect for the CIFAR-10 dataset. The `rgb_to_grayscale` method is not implemented correctly and contains syntax errors. The `__getitem__` method is not implemented at all. Additionally, the student did not correctly store the dataset in the `__init__` method and did not return the correct shapes for the grayscale and color images. Therefore, the implementation does not run correctly and does not meet the requirements of the task.
Breakdown:
- Correctly implemented `ColorizationDataset` class: 0.0/5.0</t>
        </is>
      </c>
      <c r="AH20" t="n">
        <v>0</v>
      </c>
      <c r="AI20" t="n">
        <v>0</v>
      </c>
    </row>
    <row r="21">
      <c r="A21" t="n">
        <v>20</v>
      </c>
      <c r="B21" t="inlineStr">
        <is>
          <t>TA_1</t>
        </is>
      </c>
      <c r="C21" t="inlineStr">
        <is>
          <t>TA_11</t>
        </is>
      </c>
      <c r="D21" t="n">
        <v>12</v>
      </c>
      <c r="E21" t="n">
        <v>0</v>
      </c>
      <c r="F21" t="n">
        <v>6</v>
      </c>
      <c r="G21" t="n">
        <v>0</v>
      </c>
      <c r="H21" t="n">
        <v>6</v>
      </c>
      <c r="I21" t="n">
        <v>0</v>
      </c>
      <c r="J21" t="n">
        <v>11</v>
      </c>
      <c r="K21" t="n">
        <v>0</v>
      </c>
      <c r="L21" t="n">
        <v>7.25</v>
      </c>
      <c r="M21" t="n">
        <v>0</v>
      </c>
      <c r="N21" t="n">
        <v>9.5</v>
      </c>
      <c r="O21" t="n">
        <v>0</v>
      </c>
      <c r="P21">
        <f>Table1[[#This Row],[TA 1 - Q1 Score]]+Table1[[#This Row],[TA 1 - Q2 Score]]+Table1[[#This Row],[TA 1 - Q3 Score]]</f>
        <v/>
      </c>
      <c r="Q21">
        <f>Table1[[#This Row],[TA 1 - Q1 Bonus]]+Table1[[#This Row],[TA 1 - Q2 Bonus]]+Table1[[#This Row],[TA 1 - Q4 Bonus]]</f>
        <v/>
      </c>
      <c r="R21">
        <f>Table1[[#This Row],[TA 2 - Q1 Score]]+Table1[[#This Row],[TA 2 - Q2 Score]]+Table1[[#This Row],[TA 2 - Q3 Score]]</f>
        <v/>
      </c>
      <c r="S21">
        <f>Table1[[#This Row],[TA 2 - Q1 Bonus]]+Table1[[#This Row],[TA 2 - Q2 Bonus]]+Table1[[#This Row],[TA 2 - Q4 Bonus]]</f>
        <v/>
      </c>
      <c r="T21">
        <f>(Table1[[#This Row],[TA 1 - Total Score (out of 35)]]+Table1[[#This Row],[TA 2 - Total Score (out of 35)]])/2</f>
        <v/>
      </c>
      <c r="U21">
        <f>(Table1[[#This Row],[TA 1 - Total Bonus (out of 13)]]+Table1[[#This Row],[TA 2 - Total Bonus (out of 13)]])/2</f>
        <v/>
      </c>
      <c r="V21">
        <f>Table1[[#This Row],[Average Questions]]/35*20+Table1[[#This Row],[Average Bonus]]/13*5</f>
        <v/>
      </c>
      <c r="W21" t="n">
        <v>0</v>
      </c>
      <c r="X21" t="n">
        <v>0</v>
      </c>
      <c r="Y21" t="inlineStr">
        <is>
          <t>The student's submission does not complete the transforms correctly, fails to create DataLoaders properly, and does not display sample images as required. The model loading and adaptation tasks are incomplete, and the training and validation functions are incorrect. The training setup and plotting tasks are also not correctly implemented. Additionally, the bonus task for Test Time Augmentation is not attempted. The submission does not run end-to-end and deviates significantly from the rubric, resulting in a score of 0.0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1" t="n">
        <v>0</v>
      </c>
      <c r="AA21" t="n">
        <v>0</v>
      </c>
      <c r="AB21" t="inlineStr">
        <is>
          <t>The student's submission does not run correctly due to several issues. The dataset class is incorrectly implemented, leading to errors in loading the data. The CNN model does not follow the specified architecture with 5 convolutional layers and lacks batch normalization. The training and validation functions are incomplete and contain errors.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1" t="n">
        <v>0</v>
      </c>
      <c r="AD21" t="inlineStr">
        <is>
          <t>The student's submission does not run correctly due to multiple issues. The dataset class is incorrectly defined, leading to errors in data loading. The model definition uses 'efficientnet-b1' instead of 'efficientnet-b0' as specified, and the number of classes is set to 1 instead of 8. The training and validation loops are present but will not run correctly due to the incorrect model definition and dataset issues. The visualization code is also incorrect and will not display the predictions correctly. Therefore, no points are awarded for any task as the code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1" t="n">
        <v>0</v>
      </c>
      <c r="AF21" t="n">
        <v>0</v>
      </c>
      <c r="AG21" t="inlineStr">
        <is>
          <t>No submission found.</t>
        </is>
      </c>
      <c r="AH21" t="n">
        <v>0</v>
      </c>
      <c r="AI21" t="n">
        <v>0</v>
      </c>
    </row>
    <row r="22">
      <c r="A22" t="n">
        <v>21</v>
      </c>
      <c r="B22" t="inlineStr">
        <is>
          <t>TA_1</t>
        </is>
      </c>
      <c r="C22" t="inlineStr">
        <is>
          <t>TA_11</t>
        </is>
      </c>
      <c r="D22" t="n">
        <v>10.5</v>
      </c>
      <c r="E22" t="n">
        <v>0</v>
      </c>
      <c r="F22" t="n">
        <v>8</v>
      </c>
      <c r="G22" t="n">
        <v>0</v>
      </c>
      <c r="H22" t="n">
        <v>9</v>
      </c>
      <c r="I22" t="n">
        <v>0</v>
      </c>
      <c r="J22" t="n">
        <v>4.75</v>
      </c>
      <c r="K22" t="n">
        <v>0</v>
      </c>
      <c r="L22" t="n">
        <v>5.75</v>
      </c>
      <c r="M22" t="n">
        <v>0</v>
      </c>
      <c r="N22" t="n">
        <v>6.5</v>
      </c>
      <c r="O22" t="n">
        <v>0</v>
      </c>
      <c r="P22">
        <f>Table1[[#This Row],[TA 1 - Q1 Score]]+Table1[[#This Row],[TA 1 - Q2 Score]]+Table1[[#This Row],[TA 1 - Q3 Score]]</f>
        <v/>
      </c>
      <c r="Q22">
        <f>Table1[[#This Row],[TA 1 - Q1 Bonus]]+Table1[[#This Row],[TA 1 - Q2 Bonus]]+Table1[[#This Row],[TA 1 - Q4 Bonus]]</f>
        <v/>
      </c>
      <c r="R22">
        <f>Table1[[#This Row],[TA 2 - Q1 Score]]+Table1[[#This Row],[TA 2 - Q2 Score]]+Table1[[#This Row],[TA 2 - Q3 Score]]</f>
        <v/>
      </c>
      <c r="S22">
        <f>Table1[[#This Row],[TA 2 - Q1 Bonus]]+Table1[[#This Row],[TA 2 - Q2 Bonus]]+Table1[[#This Row],[TA 2 - Q4 Bonus]]</f>
        <v/>
      </c>
      <c r="T22">
        <f>(Table1[[#This Row],[TA 1 - Total Score (out of 35)]]+Table1[[#This Row],[TA 2 - Total Score (out of 35)]])/2</f>
        <v/>
      </c>
      <c r="U22">
        <f>(Table1[[#This Row],[TA 1 - Total Bonus (out of 13)]]+Table1[[#This Row],[TA 2 - Total Bonus (out of 13)]])/2</f>
        <v/>
      </c>
      <c r="V22">
        <f>Table1[[#This Row],[Average Questions]]/35*20+Table1[[#This Row],[Average Bonus]]/13*5</f>
        <v/>
      </c>
      <c r="W22" t="n">
        <v>0</v>
      </c>
      <c r="X22" t="n">
        <v>0</v>
      </c>
      <c r="Y22" t="inlineStr">
        <is>
          <t>The student's submission does not run correctly due to several critical errors. The training and validation loops are incorrectly implemented, using sigmoid activation and binary classification logic instead of the required softmax and multi-class classification. The model's output shape is incorrectly handled, and the label adjustment for 0-indexing is missing. Additionally, the student did not display sample images or implement the bonus task for Test Time Augmentation. These issues result in a score of 0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2" t="n">
        <v>0</v>
      </c>
      <c r="AA22" t="n">
        <v>0</v>
      </c>
      <c r="AB22" t="inlineStr">
        <is>
          <t>The student's submission does not run correctly due to several issues. The dataset class or ImageFolder is incorrectly implemented, leading to errors in loading the data. The transforms applied do not match the rubric specifications, and the CNN model does not have the required 5 convolutional layers with Batch Normalization. The training and validation functions are incorrectly implemented, and the training process does not set up the device, model, loss, and optimizer correctly. Additionally, the student did not attempt the bonus task.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2" t="n">
        <v>0</v>
      </c>
      <c r="AD22" t="inlineStr">
        <is>
          <t>The student's submission does not correctly implement the required tasks. The dataset class is incorrectly defined, leading to issues in loading images and masks. The model definition uses the wrong encoder, and the training and validation loops are not correctly implemented. Additionally, the visualization of predictions is missing. The code does not run end-to-end due to these fundamental errors, resulting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2" t="n">
        <v>0</v>
      </c>
      <c r="AF22" t="n">
        <v>0</v>
      </c>
      <c r="AG22" t="inlineStr">
        <is>
          <t>The student did not implement any of the required methods in the `ColorizationDataset` class. The `__init__`, `__len__`, `rgb_to_grayscale`, and `__getitem__` methods are all left as 'TO DO' placeholders, indicating that no code was written for these tasks. Additionally, the visualization code will not run correctly because the dataset methods are not implemented. Therefore, the student receives 0.0 points for this task.
Breakdown:
- Correctly implemented `ColorizationDataset` class: 0.0/5.0</t>
        </is>
      </c>
      <c r="AH22" t="n">
        <v>0</v>
      </c>
      <c r="AI22" t="n">
        <v>0</v>
      </c>
    </row>
    <row r="23">
      <c r="A23" t="n">
        <v>22</v>
      </c>
      <c r="B23" t="inlineStr">
        <is>
          <t>TA_1</t>
        </is>
      </c>
      <c r="C23" t="inlineStr">
        <is>
          <t>TA_11</t>
        </is>
      </c>
      <c r="D23" t="n">
        <v>8</v>
      </c>
      <c r="E23" t="n">
        <v>0</v>
      </c>
      <c r="F23" t="n">
        <v>7.5</v>
      </c>
      <c r="G23" t="n">
        <v>0</v>
      </c>
      <c r="H23" t="n">
        <v>5</v>
      </c>
      <c r="I23" t="n">
        <v>0</v>
      </c>
      <c r="J23" t="n">
        <v>5.5</v>
      </c>
      <c r="K23" t="n">
        <v>0</v>
      </c>
      <c r="L23" t="n">
        <v>6.5</v>
      </c>
      <c r="M23" t="n">
        <v>0</v>
      </c>
      <c r="N23" t="n">
        <v>-1</v>
      </c>
      <c r="O23" t="n">
        <v>0</v>
      </c>
      <c r="P23">
        <f>Table1[[#This Row],[TA 1 - Q1 Score]]+Table1[[#This Row],[TA 1 - Q2 Score]]+Table1[[#This Row],[TA 1 - Q3 Score]]</f>
        <v/>
      </c>
      <c r="Q23">
        <f>Table1[[#This Row],[TA 1 - Q1 Bonus]]+Table1[[#This Row],[TA 1 - Q2 Bonus]]+Table1[[#This Row],[TA 1 - Q4 Bonus]]</f>
        <v/>
      </c>
      <c r="R23">
        <f>Table1[[#This Row],[TA 2 - Q1 Score]]+Table1[[#This Row],[TA 2 - Q2 Score]]+Table1[[#This Row],[TA 2 - Q3 Score]]</f>
        <v/>
      </c>
      <c r="S23">
        <f>Table1[[#This Row],[TA 2 - Q1 Bonus]]+Table1[[#This Row],[TA 2 - Q2 Bonus]]+Table1[[#This Row],[TA 2 - Q4 Bonus]]</f>
        <v/>
      </c>
      <c r="T23">
        <f>(Table1[[#This Row],[TA 1 - Total Score (out of 35)]]+Table1[[#This Row],[TA 2 - Total Score (out of 35)]])/2</f>
        <v/>
      </c>
      <c r="U23">
        <f>(Table1[[#This Row],[TA 1 - Total Bonus (out of 13)]]+Table1[[#This Row],[TA 2 - Total Bonus (out of 13)]])/2</f>
        <v/>
      </c>
      <c r="V23">
        <f>Table1[[#This Row],[Average Questions]]/35*20+Table1[[#This Row],[Average Bonus]]/13*5</f>
        <v/>
      </c>
      <c r="W23" t="n">
        <v>0</v>
      </c>
      <c r="X23" t="n">
        <v>0</v>
      </c>
      <c r="Y23" t="inlineStr">
        <is>
          <t>The student's submission does not follow the rubric correctly. The transforms are incomplete, the DataLoaders are incorrectly created, and the model is not correctly adapted for the task. The training and validation loops are incorrect, and the model is not trained properly. Additionally, the student did not implement the bonus task correctly. The submission does not run end-to-end and contains multiple errors that prevent it from functioning as intended.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3" t="n">
        <v>0</v>
      </c>
      <c r="AA23" t="n">
        <v>0</v>
      </c>
      <c r="AB23" t="inlineStr">
        <is>
          <t>The student's submission does not run correctly due to several issues. The dataset paths are hardcoded incorrectly, leading to errors in loading the data. The CNN model definition is incorrect, with mismatched dimensions and an incorrect number of output classes. The training and validation functions are flawed, and the plotting code is incomplete.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3" t="n">
        <v>0</v>
      </c>
      <c r="AD23" t="inlineStr">
        <is>
          <t>The student's submission does not run end-to-end due to missing critical components such as DataLoader creation and dataset class initialization. The student attempted to define a dataset class but did not implement the DataLoader creation, which is essential for training and validation. Additionally, the model definition and training loops are incomplete and contain errors, such as using the wrong loss function and optimizer settings. The visualization of predictions is also missing key steps, making the submission non-functional.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3" t="n">
        <v>0</v>
      </c>
      <c r="AF23" t="n">
        <v>0</v>
      </c>
      <c r="AG23" t="inlineStr">
        <is>
          <t>No submission found.</t>
        </is>
      </c>
      <c r="AH23" t="n">
        <v>0</v>
      </c>
      <c r="AI23" t="n">
        <v>0</v>
      </c>
    </row>
    <row r="24">
      <c r="A24" t="n">
        <v>23</v>
      </c>
      <c r="B24" t="inlineStr">
        <is>
          <t>TA_1</t>
        </is>
      </c>
      <c r="C24" t="inlineStr">
        <is>
          <t>TA_11</t>
        </is>
      </c>
      <c r="D24" t="n">
        <v>12</v>
      </c>
      <c r="E24" t="n">
        <v>0</v>
      </c>
      <c r="F24" t="n">
        <v>9</v>
      </c>
      <c r="G24" t="n">
        <v>0</v>
      </c>
      <c r="H24" t="n">
        <v>12.5</v>
      </c>
      <c r="I24" t="n">
        <v>0</v>
      </c>
      <c r="J24" t="n">
        <v>11</v>
      </c>
      <c r="K24" t="n">
        <v>0</v>
      </c>
      <c r="L24" t="n">
        <v>10.75</v>
      </c>
      <c r="M24" t="n">
        <v>0</v>
      </c>
      <c r="N24" t="n">
        <v>12</v>
      </c>
      <c r="O24" t="n">
        <v>0</v>
      </c>
      <c r="P24">
        <f>Table1[[#This Row],[TA 1 - Q1 Score]]+Table1[[#This Row],[TA 1 - Q2 Score]]+Table1[[#This Row],[TA 1 - Q3 Score]]</f>
        <v/>
      </c>
      <c r="Q24">
        <f>Table1[[#This Row],[TA 1 - Q1 Bonus]]+Table1[[#This Row],[TA 1 - Q2 Bonus]]+Table1[[#This Row],[TA 1 - Q4 Bonus]]</f>
        <v/>
      </c>
      <c r="R24">
        <f>Table1[[#This Row],[TA 2 - Q1 Score]]+Table1[[#This Row],[TA 2 - Q2 Score]]+Table1[[#This Row],[TA 2 - Q3 Score]]</f>
        <v/>
      </c>
      <c r="S24">
        <f>Table1[[#This Row],[TA 2 - Q1 Bonus]]+Table1[[#This Row],[TA 2 - Q2 Bonus]]+Table1[[#This Row],[TA 2 - Q4 Bonus]]</f>
        <v/>
      </c>
      <c r="T24">
        <f>(Table1[[#This Row],[TA 1 - Total Score (out of 35)]]+Table1[[#This Row],[TA 2 - Total Score (out of 35)]])/2</f>
        <v/>
      </c>
      <c r="U24">
        <f>(Table1[[#This Row],[TA 1 - Total Bonus (out of 13)]]+Table1[[#This Row],[TA 2 - Total Bonus (out of 13)]])/2</f>
        <v/>
      </c>
      <c r="V24">
        <f>Table1[[#This Row],[Average Questions]]/35*20+Table1[[#This Row],[Average Bonus]]/13*5</f>
        <v/>
      </c>
      <c r="W24" t="n">
        <v>0</v>
      </c>
      <c r="X24" t="n">
        <v>0</v>
      </c>
      <c r="Y24" t="inlineStr">
        <is>
          <t>The student's submission does not run correctly due to several issues. The transforms are incomplete, the DataLoaders are not created correctly, and the model training and validation loops contain errors. Additionally, the student did not implement the bonus task for Test Time Augmentation.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4" t="n">
        <v>0</v>
      </c>
      <c r="AA24" t="n">
        <v>0</v>
      </c>
      <c r="AB24" t="inlineStr">
        <is>
          <t>The student's submission does not run correctly due to several issues. The dataset loading and transformation steps are incorrect, leading to mismatched image sizes and incorrect class labels. The CNN model definition is flawed, with incorrect layer configurations and missing batch normalization. The training and validation functions are incomplete and contain logical errors.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4" t="n">
        <v>0</v>
      </c>
      <c r="AD24" t="inlineStr">
        <is>
          <t>The student's submission does not run correctly due to several issues. The dataset class is incomplete and does not follow the required structure. The DataLoaders are not correctly implemented, and the display of sample images and masks is missing. The model definition uses the wrong encoder (efficientnet-b1 instead of efficientnet-b0), and the training and validation loops are not correctly implemented. The loss and optimizer are defined, but the training process does not run correctly. The visualization of predictions is attempted but does not produce the correct output.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4" t="n">
        <v>0</v>
      </c>
      <c r="AF24" t="n">
        <v>0</v>
      </c>
      <c r="AG24" t="inlineStr">
        <is>
          <t>No submission found.</t>
        </is>
      </c>
      <c r="AH24" t="n">
        <v>0</v>
      </c>
      <c r="AI24" t="n">
        <v>0</v>
      </c>
    </row>
    <row r="25">
      <c r="A25" t="n">
        <v>24</v>
      </c>
      <c r="B25" t="inlineStr">
        <is>
          <t>TA_1</t>
        </is>
      </c>
      <c r="C25" t="inlineStr">
        <is>
          <t>TA_11</t>
        </is>
      </c>
      <c r="D25" t="n">
        <v>12</v>
      </c>
      <c r="E25" t="n">
        <v>0</v>
      </c>
      <c r="F25" t="n">
        <v>11</v>
      </c>
      <c r="G25" t="n">
        <v>0</v>
      </c>
      <c r="H25" t="n">
        <v>12</v>
      </c>
      <c r="I25" t="n">
        <v>0</v>
      </c>
      <c r="J25" t="n">
        <v>12</v>
      </c>
      <c r="K25" t="n">
        <v>0</v>
      </c>
      <c r="L25" t="n">
        <v>10.25</v>
      </c>
      <c r="M25" t="n">
        <v>0</v>
      </c>
      <c r="N25" t="n">
        <v>12</v>
      </c>
      <c r="O25" t="n">
        <v>0</v>
      </c>
      <c r="P25">
        <f>Table1[[#This Row],[TA 1 - Q1 Score]]+Table1[[#This Row],[TA 1 - Q2 Score]]+Table1[[#This Row],[TA 1 - Q3 Score]]</f>
        <v/>
      </c>
      <c r="Q25">
        <f>Table1[[#This Row],[TA 1 - Q1 Bonus]]+Table1[[#This Row],[TA 1 - Q2 Bonus]]+Table1[[#This Row],[TA 1 - Q4 Bonus]]</f>
        <v/>
      </c>
      <c r="R25">
        <f>Table1[[#This Row],[TA 2 - Q1 Score]]+Table1[[#This Row],[TA 2 - Q2 Score]]+Table1[[#This Row],[TA 2 - Q3 Score]]</f>
        <v/>
      </c>
      <c r="S25">
        <f>Table1[[#This Row],[TA 2 - Q1 Bonus]]+Table1[[#This Row],[TA 2 - Q2 Bonus]]+Table1[[#This Row],[TA 2 - Q4 Bonus]]</f>
        <v/>
      </c>
      <c r="T25">
        <f>(Table1[[#This Row],[TA 1 - Total Score (out of 35)]]+Table1[[#This Row],[TA 2 - Total Score (out of 35)]])/2</f>
        <v/>
      </c>
      <c r="U25">
        <f>(Table1[[#This Row],[TA 1 - Total Bonus (out of 13)]]+Table1[[#This Row],[TA 2 - Total Bonus (out of 13)]])/2</f>
        <v/>
      </c>
      <c r="V25">
        <f>Table1[[#This Row],[Average Questions]]/35*20+Table1[[#This Row],[Average Bonus]]/13*5</f>
        <v/>
      </c>
      <c r="W25" t="n">
        <v>0</v>
      </c>
      <c r="X25" t="n">
        <v>0</v>
      </c>
      <c r="Y25" t="inlineStr">
        <is>
          <t>The student's submission does not run end-to-end due to missing or incorrect code in several critical parts. Specifically, the DataLoader creation and display of sample images are incomplete, and the training and validation loops contain errors that prevent the model from training correctly. Additionally, the bonus task for Test Time Augmentation is not attempted.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5" t="n">
        <v>0</v>
      </c>
      <c r="AA25" t="n">
        <v>0</v>
      </c>
      <c r="AB25" t="inlineStr">
        <is>
          <t>The student's submission does not run correctly due to several issues. The dataset loading and transformation steps are incomplete and incorrect, leading to errors in subsequent tasks. The CNN model definition is flawed, missing critical components and not following the specified structure. The training and validation functions are incorrectly implemented, and the training process does not execute properly. Additionally, the bonus task is not attempted.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5" t="n">
        <v>0</v>
      </c>
      <c r="AD25" t="inlineStr">
        <is>
          <t>The student's submission does not run end-to-end due to missing code for defining the loss and optimizer, and the training loop. Additionally, the student did not visualize the predictions vs ground truth for multiple images. Therefore, the student receives 0 points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5" t="n">
        <v>0</v>
      </c>
      <c r="AF25" t="n">
        <v>0</v>
      </c>
      <c r="AG25" t="inlineStr">
        <is>
          <t>No submission found.</t>
        </is>
      </c>
      <c r="AH25" t="n">
        <v>0</v>
      </c>
      <c r="AI25" t="n">
        <v>0</v>
      </c>
    </row>
    <row r="26">
      <c r="A26" t="n">
        <v>25</v>
      </c>
      <c r="B26" t="inlineStr">
        <is>
          <t>TA_1</t>
        </is>
      </c>
      <c r="C26" t="inlineStr">
        <is>
          <t>TA_11</t>
        </is>
      </c>
      <c r="D26" t="n">
        <v>11</v>
      </c>
      <c r="E26" t="n">
        <v>4</v>
      </c>
      <c r="F26" t="n">
        <v>11</v>
      </c>
      <c r="G26" t="n">
        <v>4</v>
      </c>
      <c r="H26" t="n">
        <v>12</v>
      </c>
      <c r="I26" t="n">
        <v>0</v>
      </c>
      <c r="J26" t="n">
        <v>8</v>
      </c>
      <c r="K26" t="n">
        <v>3</v>
      </c>
      <c r="L26" t="n">
        <v>10.75</v>
      </c>
      <c r="M26" t="n">
        <v>3.75</v>
      </c>
      <c r="N26" t="n">
        <v>12</v>
      </c>
      <c r="O26" t="n">
        <v>0</v>
      </c>
      <c r="P26">
        <f>Table1[[#This Row],[TA 1 - Q1 Score]]+Table1[[#This Row],[TA 1 - Q2 Score]]+Table1[[#This Row],[TA 1 - Q3 Score]]</f>
        <v/>
      </c>
      <c r="Q26">
        <f>Table1[[#This Row],[TA 1 - Q1 Bonus]]+Table1[[#This Row],[TA 1 - Q2 Bonus]]+Table1[[#This Row],[TA 1 - Q4 Bonus]]</f>
        <v/>
      </c>
      <c r="R26">
        <f>Table1[[#This Row],[TA 2 - Q1 Score]]+Table1[[#This Row],[TA 2 - Q2 Score]]+Table1[[#This Row],[TA 2 - Q3 Score]]</f>
        <v/>
      </c>
      <c r="S26">
        <f>Table1[[#This Row],[TA 2 - Q1 Bonus]]+Table1[[#This Row],[TA 2 - Q2 Bonus]]+Table1[[#This Row],[TA 2 - Q4 Bonus]]</f>
        <v/>
      </c>
      <c r="T26">
        <f>(Table1[[#This Row],[TA 1 - Total Score (out of 35)]]+Table1[[#This Row],[TA 2 - Total Score (out of 35)]])/2</f>
        <v/>
      </c>
      <c r="U26">
        <f>(Table1[[#This Row],[TA 1 - Total Bonus (out of 13)]]+Table1[[#This Row],[TA 2 - Total Bonus (out of 13)]])/2</f>
        <v/>
      </c>
      <c r="V26">
        <f>Table1[[#This Row],[Average Questions]]/35*20+Table1[[#This Row],[Average Bonus]]/13*5</f>
        <v/>
      </c>
      <c r="W26" t="n">
        <v>0</v>
      </c>
      <c r="X26" t="n">
        <v>0</v>
      </c>
      <c r="Y26" t="inlineStr">
        <is>
          <t>The student's submission does not run correctly due to several issues. The transforms are not correctly applied, the DataLoaders are not created properly, and the model is not correctly set up for training. Additionally, the training and validation loops are incorrect, and the label fixing is not implemented. The bonus task for Test Time Augmentation is also not correctly implemented.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6" t="n">
        <v>0</v>
      </c>
      <c r="AA26" t="n">
        <v>0</v>
      </c>
      <c r="AB26" t="inlineStr">
        <is>
          <t>The student's submission does not run correctly due to several issues. The dataset transformation includes normalization parameters that are not specified in the rubric, and the model architecture does not match the required specifications. The training and validation functions are incorrectly implemented, leading to errors in the training process. Additionally, the residual connection implementation is flawed, and the model does not retrain correctly.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6" t="n">
        <v>0</v>
      </c>
      <c r="AD26" t="inlineStr">
        <is>
          <t>The student's submission does not run correctly due to several issues. The dataset class is incomplete and does not follow the required structure. The model definition uses the wrong encoder (efficientnet-b1 instead of efficientnet-b0). The training and validation loops are present but do not run correctly due to missing or incorrect implementations. The loss and optimizer are defined but the training process does not complete successfully. The visualization of predictions is attempted but fails due to the overall issues in the code. Therefore, no points are awarded for any task as the code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6" t="n">
        <v>0</v>
      </c>
      <c r="AF26" t="n">
        <v>0</v>
      </c>
      <c r="AG26" t="inlineStr">
        <is>
          <t>No submission found.</t>
        </is>
      </c>
      <c r="AH26" t="n">
        <v>0</v>
      </c>
      <c r="AI26" t="n">
        <v>0</v>
      </c>
    </row>
    <row r="27">
      <c r="A27" t="n">
        <v>26</v>
      </c>
      <c r="B27" t="inlineStr">
        <is>
          <t>TA_1</t>
        </is>
      </c>
      <c r="C27" t="inlineStr">
        <is>
          <t>TA_11</t>
        </is>
      </c>
      <c r="D27" t="n">
        <v>10</v>
      </c>
      <c r="E27" t="n">
        <v>0</v>
      </c>
      <c r="F27" t="n">
        <v>11</v>
      </c>
      <c r="G27" t="n">
        <v>0</v>
      </c>
      <c r="H27" t="n">
        <v>8</v>
      </c>
      <c r="I27" t="n">
        <v>0</v>
      </c>
      <c r="J27" t="n">
        <v>10</v>
      </c>
      <c r="K27" t="n">
        <v>0</v>
      </c>
      <c r="L27" t="n">
        <v>10</v>
      </c>
      <c r="M27" t="n">
        <v>0</v>
      </c>
      <c r="N27" t="n">
        <v>9</v>
      </c>
      <c r="O27" t="n">
        <v>0</v>
      </c>
      <c r="P27">
        <f>Table1[[#This Row],[TA 1 - Q1 Score]]+Table1[[#This Row],[TA 1 - Q2 Score]]+Table1[[#This Row],[TA 1 - Q3 Score]]</f>
        <v/>
      </c>
      <c r="Q27">
        <f>Table1[[#This Row],[TA 1 - Q1 Bonus]]+Table1[[#This Row],[TA 1 - Q2 Bonus]]+Table1[[#This Row],[TA 1 - Q4 Bonus]]</f>
        <v/>
      </c>
      <c r="R27">
        <f>Table1[[#This Row],[TA 2 - Q1 Score]]+Table1[[#This Row],[TA 2 - Q2 Score]]+Table1[[#This Row],[TA 2 - Q3 Score]]</f>
        <v/>
      </c>
      <c r="S27">
        <f>Table1[[#This Row],[TA 2 - Q1 Bonus]]+Table1[[#This Row],[TA 2 - Q2 Bonus]]+Table1[[#This Row],[TA 2 - Q4 Bonus]]</f>
        <v/>
      </c>
      <c r="T27">
        <f>(Table1[[#This Row],[TA 1 - Total Score (out of 35)]]+Table1[[#This Row],[TA 2 - Total Score (out of 35)]])/2</f>
        <v/>
      </c>
      <c r="U27">
        <f>(Table1[[#This Row],[TA 1 - Total Bonus (out of 13)]]+Table1[[#This Row],[TA 2 - Total Bonus (out of 13)]])/2</f>
        <v/>
      </c>
      <c r="V27">
        <f>Table1[[#This Row],[Average Questions]]/35*20+Table1[[#This Row],[Average Bonus]]/13*5</f>
        <v/>
      </c>
      <c r="W27" t="n">
        <v>0</v>
      </c>
      <c r="X27" t="n">
        <v>0</v>
      </c>
      <c r="Y27" t="inlineStr">
        <is>
          <t>The student's submission does not run correctly due to several issues. The code for creating DataLoaders and displaying sample images is incomplete and does not follow the required structure. The training and validation loops are incorrectly implemented, and the model setup is flawed. Additionally, the student did not implement the bonus task for Test Time Augmentation.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7" t="n">
        <v>0</v>
      </c>
      <c r="AA27" t="n">
        <v>0</v>
      </c>
      <c r="AB27" t="inlineStr">
        <is>
          <t>The student's submission does not run correctly due to several issues. The dataset class is incorrectly implemented, leading to errors in data loading. The CNN model does not follow the specified architecture with 5 convolutional layers and batch normalization. The training and validation functions are incorrectly implemented, leading to errors in the training process. Additionally, the student did not attempt the bonus task.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7" t="n">
        <v>0</v>
      </c>
      <c r="AD27" t="inlineStr">
        <is>
          <t>The student's submission does not run correctly due to several issues. The dataset class is incomplete and does not correctly load images and masks. The model definition uses the wrong encoder (efficientnet-b1 instead of efficientnet-b0). The training and validation loops are incorrectly implemented, leading to runtime errors. The loss and optimizer are defined but not used correctly in the training loop. The visualization of predictions is attempted but fails due to incorrect implementation. Overall, the submission does not meet the requirements of the rubric and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7" t="n">
        <v>0</v>
      </c>
      <c r="AF27" t="n">
        <v>0</v>
      </c>
      <c r="AG27" t="inlineStr">
        <is>
          <t>No submission found.</t>
        </is>
      </c>
      <c r="AH27" t="n">
        <v>0</v>
      </c>
      <c r="AI27" t="n">
        <v>0</v>
      </c>
    </row>
    <row r="28">
      <c r="A28" t="n">
        <v>27</v>
      </c>
      <c r="B28" t="inlineStr">
        <is>
          <t>TA_1</t>
        </is>
      </c>
      <c r="C28" t="inlineStr">
        <is>
          <t>TA_11</t>
        </is>
      </c>
      <c r="D28" t="n">
        <v>12</v>
      </c>
      <c r="E28" t="n">
        <v>4</v>
      </c>
      <c r="F28" t="n">
        <v>11</v>
      </c>
      <c r="G28" t="n">
        <v>0</v>
      </c>
      <c r="H28" t="n">
        <v>12</v>
      </c>
      <c r="I28" t="n">
        <v>5</v>
      </c>
      <c r="J28" t="n">
        <v>12</v>
      </c>
      <c r="K28" t="n">
        <v>4</v>
      </c>
      <c r="L28" t="n">
        <v>11</v>
      </c>
      <c r="M28" t="n">
        <v>0</v>
      </c>
      <c r="N28" t="n">
        <v>12</v>
      </c>
      <c r="O28" t="n">
        <v>5</v>
      </c>
      <c r="P28">
        <f>Table1[[#This Row],[TA 1 - Q1 Score]]+Table1[[#This Row],[TA 1 - Q2 Score]]+Table1[[#This Row],[TA 1 - Q3 Score]]</f>
        <v/>
      </c>
      <c r="Q28">
        <f>Table1[[#This Row],[TA 1 - Q1 Bonus]]+Table1[[#This Row],[TA 1 - Q2 Bonus]]+Table1[[#This Row],[TA 1 - Q4 Bonus]]</f>
        <v/>
      </c>
      <c r="R28">
        <f>Table1[[#This Row],[TA 2 - Q1 Score]]+Table1[[#This Row],[TA 2 - Q2 Score]]+Table1[[#This Row],[TA 2 - Q3 Score]]</f>
        <v/>
      </c>
      <c r="S28">
        <f>Table1[[#This Row],[TA 2 - Q1 Bonus]]+Table1[[#This Row],[TA 2 - Q2 Bonus]]+Table1[[#This Row],[TA 2 - Q4 Bonus]]</f>
        <v/>
      </c>
      <c r="T28">
        <f>(Table1[[#This Row],[TA 1 - Total Score (out of 35)]]+Table1[[#This Row],[TA 2 - Total Score (out of 35)]])/2</f>
        <v/>
      </c>
      <c r="U28">
        <f>(Table1[[#This Row],[TA 1 - Total Bonus (out of 13)]]+Table1[[#This Row],[TA 2 - Total Bonus (out of 13)]])/2</f>
        <v/>
      </c>
      <c r="V28">
        <f>Table1[[#This Row],[Average Questions]]/35*20+Table1[[#This Row],[Average Bonus]]/13*5</f>
        <v/>
      </c>
      <c r="W28" t="n">
        <v>0</v>
      </c>
      <c r="X28" t="n">
        <v>0</v>
      </c>
      <c r="Y28" t="inlineStr">
        <is>
          <t>The student's submission does not run correctly due to several issues. The transforms are not correctly applied, the DataLoaders are not created properly, and the model is not correctly loaded or adapted. The training and validation loops are incorrect, and the label fixing is not implemented. Additionally, the plotting functions do not work as expected. The bonus task for Test Time Augmentation is also not implemented correctly. Therefore, the student receives 0 points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8" t="n">
        <v>0</v>
      </c>
      <c r="AA28" t="n">
        <v>0</v>
      </c>
      <c r="AB28" t="inlineStr">
        <is>
          <t>The student's submission does not run correctly due to several issues. The transforms applied to the images are incorrect as they resize to 32x32 instead of 128x128. The CNN model class does not follow the specified architecture with 5 convolutional layers and the correct number of output channels. The training and validation functions contain errors in the accuracy calculation.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8" t="n">
        <v>0</v>
      </c>
      <c r="AD28" t="inlineStr">
        <is>
          <t>The student's submission does not run end-to-end due to several issues. The dataset class is incomplete and does not correctly handle the image and mask paths. The DataLoader creation is flawed, and the display of sample images and masks is incorrect. The model definition uses the wrong encoder (efficientnet-b1 instead of efficientnet-b0). The training and validation loops are present but do not run correctly due to the previous issues. The loss and optimizer are defined, but the training process fails. The loss curve plotting and visualization of predictions are attempted but do not function due to the earlier errors.
Breakdown:
- Build custom dataset class for images and masks: 0.0/2.0
- Create DataLoaders: 0.0/0.5
- Display sample images and masks: 0.0/0.5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28" t="n">
        <v>0</v>
      </c>
      <c r="AF28" t="n">
        <v>0</v>
      </c>
      <c r="AG28" t="inlineStr">
        <is>
          <t>The student's implementation of the `ColorizationDataset` class contains a critical error in the `rgb_to_grayscale` method. The method incorrectly uses the same channel (img[0]) for all color components instead of using img[0] for red, img[1] for green, and img[2] for blue. This mistake results in an incorrect grayscale conversion, which means the task does not run correctly. Therefore, no points are awarded for this task.
Breakdown:
- Correctly implemented `ColorizationDataset` class: 0.0/5.0</t>
        </is>
      </c>
      <c r="AH28" t="n">
        <v>0</v>
      </c>
      <c r="AI28" t="n">
        <v>0</v>
      </c>
    </row>
    <row r="29">
      <c r="A29" t="n">
        <v>28</v>
      </c>
      <c r="B29" t="inlineStr">
        <is>
          <t>TA_1</t>
        </is>
      </c>
      <c r="C29" t="inlineStr">
        <is>
          <t>TA_11</t>
        </is>
      </c>
      <c r="D29" t="n">
        <v>10</v>
      </c>
      <c r="E29" t="n">
        <v>0</v>
      </c>
      <c r="F29" t="n">
        <v>11</v>
      </c>
      <c r="G29" t="n">
        <v>0</v>
      </c>
      <c r="H29" t="n">
        <v>8</v>
      </c>
      <c r="I29" t="n">
        <v>0</v>
      </c>
      <c r="J29" t="n">
        <v>8.5</v>
      </c>
      <c r="K29" t="n">
        <v>4</v>
      </c>
      <c r="L29" t="n">
        <v>9.25</v>
      </c>
      <c r="M29" t="n">
        <v>0</v>
      </c>
      <c r="N29" t="n">
        <v>7</v>
      </c>
      <c r="O29" t="n">
        <v>0</v>
      </c>
      <c r="P29">
        <f>Table1[[#This Row],[TA 1 - Q1 Score]]+Table1[[#This Row],[TA 1 - Q2 Score]]+Table1[[#This Row],[TA 1 - Q3 Score]]</f>
        <v/>
      </c>
      <c r="Q29">
        <f>Table1[[#This Row],[TA 1 - Q1 Bonus]]+Table1[[#This Row],[TA 1 - Q2 Bonus]]+Table1[[#This Row],[TA 1 - Q4 Bonus]]</f>
        <v/>
      </c>
      <c r="R29">
        <f>Table1[[#This Row],[TA 2 - Q1 Score]]+Table1[[#This Row],[TA 2 - Q2 Score]]+Table1[[#This Row],[TA 2 - Q3 Score]]</f>
        <v/>
      </c>
      <c r="S29">
        <f>Table1[[#This Row],[TA 2 - Q1 Bonus]]+Table1[[#This Row],[TA 2 - Q2 Bonus]]+Table1[[#This Row],[TA 2 - Q4 Bonus]]</f>
        <v/>
      </c>
      <c r="T29">
        <f>(Table1[[#This Row],[TA 1 - Total Score (out of 35)]]+Table1[[#This Row],[TA 2 - Total Score (out of 35)]])/2</f>
        <v/>
      </c>
      <c r="U29">
        <f>(Table1[[#This Row],[TA 1 - Total Bonus (out of 13)]]+Table1[[#This Row],[TA 2 - Total Bonus (out of 13)]])/2</f>
        <v/>
      </c>
      <c r="V29">
        <f>Table1[[#This Row],[Average Questions]]/35*20+Table1[[#This Row],[Average Bonus]]/13*5</f>
        <v/>
      </c>
      <c r="W29" t="n">
        <v>0</v>
      </c>
      <c r="X29" t="n">
        <v>0</v>
      </c>
      <c r="Y29" t="inlineStr">
        <is>
          <t>The student's submission does not run correctly due to several issues. The custom transform class SubtractOne is applied during the data loading process, which interferes with the label adjustment required for CrossEntropyLoss. This results in incorrect label values being passed to the loss function, leading to incorrect training and validation. Additionally, the student did not correctly implement the label adjustment in the training and validation loops, which is a critical requirement. The code for displaying sample images is incomplete and does not run as expected. The model training and validation functions are incorrectly implemented, leading to errors in the training process. The bonus task for Test Time Augmentation (TTA) is also not correctly implemented, as the label adjustment is missing in the TTA validation function. Overall, the submission does not meet the requirements of the rubric and does not run correctly.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9" t="n">
        <v>0</v>
      </c>
      <c r="AA29" t="n">
        <v>0</v>
      </c>
      <c r="AB29" t="inlineStr">
        <is>
          <t>The student's submission does not run correctly due to multiple issues. The dataset class or ImageFolder is incorrectly implemented, the transforms do not match the rubric, and the CNN model class does not follow the specified structure. Additionally, the training and validation functions are incorrect, and the residual connection implementation is flawed.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9" t="n">
        <v>0</v>
      </c>
      <c r="AD29" t="inlineStr">
        <is>
          <t>The student's submission does not run end-to-end due to multiple issues. The dataset class is incorrectly implemented, leading to errors in loading images and masks. The model definition and training loops are incomplete or incorrect, resulting in a non-functional pipeline. The visualization of predictions is also missing. Therefore, no points are awarded for any task as the code does not run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9" t="n">
        <v>0</v>
      </c>
      <c r="AF29" t="n">
        <v>0</v>
      </c>
      <c r="AG29" t="inlineStr">
        <is>
          <t>No submission found.</t>
        </is>
      </c>
      <c r="AH29" t="n">
        <v>0</v>
      </c>
      <c r="AI29" t="n">
        <v>0</v>
      </c>
    </row>
    <row r="30">
      <c r="A30" t="n">
        <v>29</v>
      </c>
      <c r="B30" t="inlineStr">
        <is>
          <t>TA_1</t>
        </is>
      </c>
      <c r="C30" t="inlineStr">
        <is>
          <t>TA_11</t>
        </is>
      </c>
      <c r="D30" t="n">
        <v>12</v>
      </c>
      <c r="E30" t="n">
        <v>0</v>
      </c>
      <c r="F30" t="n">
        <v>11</v>
      </c>
      <c r="G30" t="n">
        <v>3</v>
      </c>
      <c r="H30" t="n">
        <v>12</v>
      </c>
      <c r="I30" t="n">
        <v>0</v>
      </c>
      <c r="J30" t="n">
        <v>9.5</v>
      </c>
      <c r="K30" t="n">
        <v>3.5</v>
      </c>
      <c r="L30" t="n">
        <v>10.25</v>
      </c>
      <c r="M30" t="n">
        <v>1</v>
      </c>
      <c r="N30" t="n">
        <v>12</v>
      </c>
      <c r="O30" t="n">
        <v>0</v>
      </c>
      <c r="P30">
        <f>Table1[[#This Row],[TA 1 - Q1 Score]]+Table1[[#This Row],[TA 1 - Q2 Score]]+Table1[[#This Row],[TA 1 - Q3 Score]]</f>
        <v/>
      </c>
      <c r="Q30">
        <f>Table1[[#This Row],[TA 1 - Q1 Bonus]]+Table1[[#This Row],[TA 1 - Q2 Bonus]]+Table1[[#This Row],[TA 1 - Q4 Bonus]]</f>
        <v/>
      </c>
      <c r="R30">
        <f>Table1[[#This Row],[TA 2 - Q1 Score]]+Table1[[#This Row],[TA 2 - Q2 Score]]+Table1[[#This Row],[TA 2 - Q3 Score]]</f>
        <v/>
      </c>
      <c r="S30">
        <f>Table1[[#This Row],[TA 2 - Q1 Bonus]]+Table1[[#This Row],[TA 2 - Q2 Bonus]]+Table1[[#This Row],[TA 2 - Q4 Bonus]]</f>
        <v/>
      </c>
      <c r="T30">
        <f>(Table1[[#This Row],[TA 1 - Total Score (out of 35)]]+Table1[[#This Row],[TA 2 - Total Score (out of 35)]])/2</f>
        <v/>
      </c>
      <c r="U30">
        <f>(Table1[[#This Row],[TA 1 - Total Bonus (out of 13)]]+Table1[[#This Row],[TA 2 - Total Bonus (out of 13)]])/2</f>
        <v/>
      </c>
      <c r="V30">
        <f>Table1[[#This Row],[Average Questions]]/35*20+Table1[[#This Row],[Average Bonus]]/13*5</f>
        <v/>
      </c>
      <c r="W30" t="n">
        <v>0</v>
      </c>
      <c r="X30" t="n">
        <v>0</v>
      </c>
      <c r="Y30" t="inlineStr">
        <is>
          <t>The student's submission does not run correctly due to multiple issues. The transforms are correctly defined, but the DataLoaders are not created correctly. The model is loaded and the classifier head is replaced, but the backbone is not frozen. The training and validation loops are incorrect, and the labels are not fixed for 0-indexing. The training process does not set up the device, model, loss, and optimizer correctly, and the plots for training and validation losses and accuracies are incorrect. The bonus task for Test Time Augmentation is not implemented correctly.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0" t="n">
        <v>0</v>
      </c>
      <c r="AA30" t="n">
        <v>0</v>
      </c>
      <c r="AB30" t="inlineStr">
        <is>
          <t>The student's submission does not run correctly due to multiple issues. The code for loading and preparing the data, building the CNN model, and training the model contains syntax errors and logical mistakes. The residual connection implementation is incorrect and does not follow the specified instructions.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0" t="n">
        <v>0</v>
      </c>
      <c r="AD30" t="inlineStr">
        <is>
          <t>The student's submission contains significant errors and deviations from the rubric. The dataset class is incorrectly implemented, leading to issues in loading images and masks. The model definition uses 'efficientnet-b0' instead of 'efficientnet-b1', which is a direct violation of the instructions. The training and validation loops are incomplete and do not run correctly. Additionally, the loss and optimizer are not defined correctly, and the training process does not execute as required. The visualization of predictions is also missing. Therefore, the student receives 0% for the base tasks and -50% for the model definition task due to using an entirely wrong approach.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30" t="n">
        <v>0</v>
      </c>
      <c r="AF30" t="n">
        <v>0</v>
      </c>
      <c r="AG30" t="inlineStr">
        <is>
          <t>The student's implementation of the `ColorizationDataset` class is incomplete and contains several errors. The `rgb_to_grayscale` method is not correctly implemented, and the `__getitem__` method is missing crucial parts of the logic. Additionally, the student attempted to load images using PIL, which is not required and incorrect for this task. The code does not run correctly due to these issues, resulting in a score of 0.0 for the task.
Breakdown:
- Correctly implemented `ColorizationDataset` class: 0.0/5.0</t>
        </is>
      </c>
      <c r="AH30" t="n">
        <v>0</v>
      </c>
      <c r="AI30" t="n">
        <v>0</v>
      </c>
    </row>
    <row r="31">
      <c r="A31" t="n">
        <v>30</v>
      </c>
      <c r="B31" t="inlineStr">
        <is>
          <t>TA_1</t>
        </is>
      </c>
      <c r="C31" t="inlineStr">
        <is>
          <t>TA_11</t>
        </is>
      </c>
      <c r="D31" t="n">
        <v>7.5</v>
      </c>
      <c r="E31" t="n">
        <v>0</v>
      </c>
      <c r="F31" t="n">
        <v>6</v>
      </c>
      <c r="G31" t="n">
        <v>0</v>
      </c>
      <c r="H31" t="n">
        <v>6</v>
      </c>
      <c r="I31" t="n">
        <v>0</v>
      </c>
      <c r="J31" t="n">
        <v>4.25</v>
      </c>
      <c r="K31" t="n">
        <v>0.5</v>
      </c>
      <c r="L31" t="n">
        <v>3.25</v>
      </c>
      <c r="M31" t="n">
        <v>0</v>
      </c>
      <c r="N31" t="n">
        <v>8.5</v>
      </c>
      <c r="O31" t="n">
        <v>0</v>
      </c>
      <c r="P31">
        <f>Table1[[#This Row],[TA 1 - Q1 Score]]+Table1[[#This Row],[TA 1 - Q2 Score]]+Table1[[#This Row],[TA 1 - Q3 Score]]</f>
        <v/>
      </c>
      <c r="Q31">
        <f>Table1[[#This Row],[TA 1 - Q1 Bonus]]+Table1[[#This Row],[TA 1 - Q2 Bonus]]+Table1[[#This Row],[TA 1 - Q4 Bonus]]</f>
        <v/>
      </c>
      <c r="R31">
        <f>Table1[[#This Row],[TA 2 - Q1 Score]]+Table1[[#This Row],[TA 2 - Q2 Score]]+Table1[[#This Row],[TA 2 - Q3 Score]]</f>
        <v/>
      </c>
      <c r="S31">
        <f>Table1[[#This Row],[TA 2 - Q1 Bonus]]+Table1[[#This Row],[TA 2 - Q2 Bonus]]+Table1[[#This Row],[TA 2 - Q4 Bonus]]</f>
        <v/>
      </c>
      <c r="T31">
        <f>(Table1[[#This Row],[TA 1 - Total Score (out of 35)]]+Table1[[#This Row],[TA 2 - Total Score (out of 35)]])/2</f>
        <v/>
      </c>
      <c r="U31">
        <f>(Table1[[#This Row],[TA 1 - Total Bonus (out of 13)]]+Table1[[#This Row],[TA 2 - Total Bonus (out of 13)]])/2</f>
        <v/>
      </c>
      <c r="V31">
        <f>Table1[[#This Row],[Average Questions]]/35*20+Table1[[#This Row],[Average Bonus]]/13*5</f>
        <v/>
      </c>
      <c r="W31" t="n">
        <v>0</v>
      </c>
      <c r="X31" t="n">
        <v>0</v>
      </c>
      <c r="Y31" t="inlineStr">
        <is>
          <t>The student's submission is incomplete and does not run correctly. The DataLoaders are not created correctly, and the model is not loaded or adapted properly. The training and validation loops are incorrect, and the plots for training and validation losses and accuracies are missing. The bonus task for Test Time Augmentation is also not implemented correctly. Therefore, the student receives 0 points for the base tasks and 0 points for the bonus task.
Breakdown:
- Task 1: Complete transforms (Resize, ToTensor, Normalize): 1.5/?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1" t="n">
        <v>0</v>
      </c>
      <c r="AA31" t="n">
        <v>0</v>
      </c>
      <c r="AB31" t="inlineStr">
        <is>
          <t>The student's submission does not run correctly due to multiple issues. The dataset paths are incorrectly set, the transforms are not applied correctly, and the CNN model definition is flawed. The training and validation loops are also incorrect and do not follow the required structure.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1" t="n">
        <v>0</v>
      </c>
      <c r="AD31" t="inlineStr">
        <is>
          <t>The student's submission does not run correctly due to multiple issues. The dataset class is incorrectly implemented, with hardcoded paths and missing sorting of image and mask paths. The model definition uses 'efficientnet-b1' instead of 'efficientnet-b0' as specified. The training and validation loops are incomplete and contain errors. The loss and optimizer are defined incorrectly, and the training process does not run as expected. Additionally, the visualization of predictions is missing critical steps and does not display the results correctly.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1" t="n">
        <v>0</v>
      </c>
      <c r="AF31" t="n">
        <v>0</v>
      </c>
      <c r="AG31" t="inlineStr">
        <is>
          <t>No submission found.</t>
        </is>
      </c>
      <c r="AH31" t="n">
        <v>0</v>
      </c>
      <c r="AI31" t="n">
        <v>0</v>
      </c>
    </row>
    <row r="32">
      <c r="A32" t="n">
        <v>31</v>
      </c>
      <c r="B32" t="inlineStr">
        <is>
          <t>TA_1</t>
        </is>
      </c>
      <c r="C32" t="inlineStr">
        <is>
          <t>TA_11</t>
        </is>
      </c>
      <c r="D32" t="n">
        <v>3</v>
      </c>
      <c r="E32" t="n">
        <v>0</v>
      </c>
      <c r="F32" t="n">
        <v>6.5</v>
      </c>
      <c r="G32" t="n">
        <v>0</v>
      </c>
      <c r="H32" t="n">
        <v>6</v>
      </c>
      <c r="I32" t="n">
        <v>0</v>
      </c>
      <c r="J32" t="n">
        <v>0</v>
      </c>
      <c r="K32" t="n">
        <v>0</v>
      </c>
      <c r="L32" t="n">
        <v>4.5</v>
      </c>
      <c r="M32" t="n">
        <v>0</v>
      </c>
      <c r="N32" t="n">
        <v>0</v>
      </c>
      <c r="O32" t="n">
        <v>0</v>
      </c>
      <c r="P32">
        <f>Table1[[#This Row],[TA 1 - Q1 Score]]+Table1[[#This Row],[TA 1 - Q2 Score]]+Table1[[#This Row],[TA 1 - Q3 Score]]</f>
        <v/>
      </c>
      <c r="Q32">
        <f>Table1[[#This Row],[TA 1 - Q1 Bonus]]+Table1[[#This Row],[TA 1 - Q2 Bonus]]+Table1[[#This Row],[TA 1 - Q4 Bonus]]</f>
        <v/>
      </c>
      <c r="R32">
        <f>Table1[[#This Row],[TA 2 - Q1 Score]]+Table1[[#This Row],[TA 2 - Q2 Score]]+Table1[[#This Row],[TA 2 - Q3 Score]]</f>
        <v/>
      </c>
      <c r="S32">
        <f>Table1[[#This Row],[TA 2 - Q1 Bonus]]+Table1[[#This Row],[TA 2 - Q2 Bonus]]+Table1[[#This Row],[TA 2 - Q4 Bonus]]</f>
        <v/>
      </c>
      <c r="T32">
        <f>(Table1[[#This Row],[TA 1 - Total Score (out of 35)]]+Table1[[#This Row],[TA 2 - Total Score (out of 35)]])/2</f>
        <v/>
      </c>
      <c r="U32">
        <f>(Table1[[#This Row],[TA 1 - Total Bonus (out of 13)]]+Table1[[#This Row],[TA 2 - Total Bonus (out of 13)]])/2</f>
        <v/>
      </c>
      <c r="V32">
        <f>Table1[[#This Row],[Average Questions]]/35*20+Table1[[#This Row],[Average Bonus]]/13*5</f>
        <v/>
      </c>
      <c r="W32" t="n">
        <v>0</v>
      </c>
      <c r="X32" t="n">
        <v>0</v>
      </c>
      <c r="Y32" t="inlineStr">
        <is>
          <t>The student's submission does not follow the rubric and contains significant errors. The transforms are incomplete, the DataLoaders are incorrectly created, and the model is not correctly adapted for the task. The training and validation loops are incorrectly implemented, and the model is not set up correctly for training. Additionally, the student did not attempt the bonus task. The code does not run correctly and deviates from the required approach, resulting in a score of 0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2" t="n">
        <v>0</v>
      </c>
      <c r="AA32" t="n">
        <v>0</v>
      </c>
      <c r="AB32" t="inlineStr">
        <is>
          <t>The student's submission contains several critical errors that prevent the code from running correctly. The dataset class is incorrectly implemented, leading to issues in loading the data. The transforms are incorrectly applied, and the model architecture does not match the required specifications. Additionally, the training and validation functions are not correctly defined, and the training process is incomplete.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2" t="n">
        <v>0</v>
      </c>
      <c r="AD32" t="inlineStr">
        <is>
          <t>The student's submission contains multiple issues that prevent the code from running correctly. The dataset class is incorrectly implemented, leading to errors in loading images and masks. The model definition uses the wrong number of classes and the incorrect loss function for multi-class segmentation. The training and validation loops are incomplete and contain logical errors. Additionally, the visualization of predictions is incorrect due to the use of a binary segmentation approach instead of multi-class segmentation. Therefore, no points are awarded for any task as the code does not run correctly and deviates significantly from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2" t="n">
        <v>0</v>
      </c>
      <c r="AF32" t="n">
        <v>0</v>
      </c>
      <c r="AG32" t="inlineStr">
        <is>
          <t>The student's submission for Question 4 is incomplete and contains several errors. The `ColorizationDataset` class is not correctly implemented, with missing or incorrect methods. The `rgb_to_grayscale` method is not implemented correctly, and the `__getitem__` method does not return the required grayscale and color image tuple. Additionally, the code includes unnecessary and incorrect parts, such as mounting Google Drive and using `glob` for image paths, which are not required by the task. Therefore, the student receives 0.0 points for this question.
Breakdown:
- Correctly implemented `ColorizationDataset` class: 0.0/?</t>
        </is>
      </c>
      <c r="AH32" t="n">
        <v>0</v>
      </c>
      <c r="AI32" t="n">
        <v>0</v>
      </c>
    </row>
    <row r="33">
      <c r="A33" t="n">
        <v>32</v>
      </c>
      <c r="B33" t="inlineStr">
        <is>
          <t>TA_1</t>
        </is>
      </c>
      <c r="C33" t="inlineStr">
        <is>
          <t>TA_11</t>
        </is>
      </c>
      <c r="D33" t="n">
        <v>12</v>
      </c>
      <c r="E33" t="n">
        <v>4</v>
      </c>
      <c r="F33" t="n">
        <v>11</v>
      </c>
      <c r="G33" t="n">
        <v>0</v>
      </c>
      <c r="H33" t="n">
        <v>12</v>
      </c>
      <c r="I33" t="n">
        <v>0</v>
      </c>
      <c r="J33" t="n">
        <v>9.5</v>
      </c>
      <c r="K33" t="n">
        <v>4</v>
      </c>
      <c r="L33" t="n">
        <v>10.5</v>
      </c>
      <c r="M33" t="n">
        <v>0</v>
      </c>
      <c r="N33" t="n">
        <v>11.5</v>
      </c>
      <c r="O33" t="n">
        <v>0</v>
      </c>
      <c r="P33">
        <f>Table1[[#This Row],[TA 1 - Q1 Score]]+Table1[[#This Row],[TA 1 - Q2 Score]]+Table1[[#This Row],[TA 1 - Q3 Score]]</f>
        <v/>
      </c>
      <c r="Q33">
        <f>Table1[[#This Row],[TA 1 - Q1 Bonus]]+Table1[[#This Row],[TA 1 - Q2 Bonus]]+Table1[[#This Row],[TA 1 - Q4 Bonus]]</f>
        <v/>
      </c>
      <c r="R33">
        <f>Table1[[#This Row],[TA 2 - Q1 Score]]+Table1[[#This Row],[TA 2 - Q2 Score]]+Table1[[#This Row],[TA 2 - Q3 Score]]</f>
        <v/>
      </c>
      <c r="S33">
        <f>Table1[[#This Row],[TA 2 - Q1 Bonus]]+Table1[[#This Row],[TA 2 - Q2 Bonus]]+Table1[[#This Row],[TA 2 - Q4 Bonus]]</f>
        <v/>
      </c>
      <c r="T33">
        <f>(Table1[[#This Row],[TA 1 - Total Score (out of 35)]]+Table1[[#This Row],[TA 2 - Total Score (out of 35)]])/2</f>
        <v/>
      </c>
      <c r="U33">
        <f>(Table1[[#This Row],[TA 1 - Total Bonus (out of 13)]]+Table1[[#This Row],[TA 2 - Total Bonus (out of 13)]])/2</f>
        <v/>
      </c>
      <c r="V33">
        <f>Table1[[#This Row],[Average Questions]]/35*20+Table1[[#This Row],[Average Bonus]]/13*5</f>
        <v/>
      </c>
      <c r="W33" t="n">
        <v>0</v>
      </c>
      <c r="X33" t="n">
        <v>0</v>
      </c>
      <c r="Y33" t="inlineStr">
        <is>
          <t>The student's submission does not run correctly due to several issues. The transforms are not correctly applied, the DataLoaders are not created properly, and the model is not correctly set up for training. Additionally, the training and validation loops are incorrect, and the label fixing is not implemented. The bonus task for Test Time Augmentation is also not correctly implemented.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3" t="n">
        <v>0</v>
      </c>
      <c r="AA33" t="n">
        <v>0</v>
      </c>
      <c r="AB33" t="inlineStr">
        <is>
          <t>The student's submission does not correctly follow the rubric. The dataset paths are incorrect, leading to errors in loading the data. The transforms applied do not match the required specifications, and the model architecture deviates from the required 5 convolutional layers with batch normalization. The training and validation functions are incorrectly implemented, and the plotting of losses and accuracy is flawed. Additionally, the bonus task is not attempted.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3" t="n">
        <v>0</v>
      </c>
      <c r="AD33" t="inlineStr">
        <is>
          <t>The student's submission does not run correctly due to several issues. The dataset class is incorrectly implemented, leading to errors in data loading. The model definition is incomplete, and the training and validation loops are not correctly implemented. Additionally, the visualization of predictions is missing critical steps, making the code non-functional. Therefore, no points are awarded for any task as the code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3" t="n">
        <v>0</v>
      </c>
      <c r="AF33" t="n">
        <v>0</v>
      </c>
      <c r="AG33" t="inlineStr">
        <is>
          <t>The student's implementation of the `ColorizationDataset` class contains several critical errors. The `rgb_to_grayscale` method does not correctly convert the RGB image to grayscale, and the `__getitem__` method does not return the correct tuple of (grayscale_image, color_image). Additionally, the `rgb_to_grayscale` method has syntax errors and incorrect variable names. These issues prevent the code from running correctly, resulting in a score of 0.0 for the task.
Breakdown:
- Correctly implemented `ColorizationDataset` class: 0.0/5.0</t>
        </is>
      </c>
      <c r="AH33" t="n">
        <v>0</v>
      </c>
      <c r="AI33" t="n">
        <v>0</v>
      </c>
    </row>
    <row r="34">
      <c r="A34" t="n">
        <v>33</v>
      </c>
      <c r="B34" t="inlineStr">
        <is>
          <t>TA_1</t>
        </is>
      </c>
      <c r="C34" t="inlineStr">
        <is>
          <t>TA_11</t>
        </is>
      </c>
      <c r="D34" t="n">
        <v>9</v>
      </c>
      <c r="E34" t="n">
        <v>0</v>
      </c>
      <c r="F34" t="n">
        <v>8.5</v>
      </c>
      <c r="G34" t="n">
        <v>0</v>
      </c>
      <c r="H34" t="n">
        <v>4.5</v>
      </c>
      <c r="I34" t="n">
        <v>0</v>
      </c>
      <c r="J34" t="n">
        <v>8.75</v>
      </c>
      <c r="K34" t="n">
        <v>0</v>
      </c>
      <c r="L34" t="n">
        <v>6</v>
      </c>
      <c r="M34" t="n">
        <v>0</v>
      </c>
      <c r="N34" t="n">
        <v>-1</v>
      </c>
      <c r="O34" t="n">
        <v>0</v>
      </c>
      <c r="P34">
        <f>Table1[[#This Row],[TA 1 - Q1 Score]]+Table1[[#This Row],[TA 1 - Q2 Score]]+Table1[[#This Row],[TA 1 - Q3 Score]]</f>
        <v/>
      </c>
      <c r="Q34">
        <f>Table1[[#This Row],[TA 1 - Q1 Bonus]]+Table1[[#This Row],[TA 1 - Q2 Bonus]]+Table1[[#This Row],[TA 1 - Q4 Bonus]]</f>
        <v/>
      </c>
      <c r="R34">
        <f>Table1[[#This Row],[TA 2 - Q1 Score]]+Table1[[#This Row],[TA 2 - Q2 Score]]+Table1[[#This Row],[TA 2 - Q3 Score]]</f>
        <v/>
      </c>
      <c r="S34">
        <f>Table1[[#This Row],[TA 2 - Q1 Bonus]]+Table1[[#This Row],[TA 2 - Q2 Bonus]]+Table1[[#This Row],[TA 2 - Q4 Bonus]]</f>
        <v/>
      </c>
      <c r="T34">
        <f>(Table1[[#This Row],[TA 1 - Total Score (out of 35)]]+Table1[[#This Row],[TA 2 - Total Score (out of 35)]])/2</f>
        <v/>
      </c>
      <c r="U34">
        <f>(Table1[[#This Row],[TA 1 - Total Bonus (out of 13)]]+Table1[[#This Row],[TA 2 - Total Bonus (out of 13)]])/2</f>
        <v/>
      </c>
      <c r="V34">
        <f>Table1[[#This Row],[Average Questions]]/35*20+Table1[[#This Row],[Average Bonus]]/13*5</f>
        <v/>
      </c>
      <c r="W34" t="n">
        <v>0</v>
      </c>
      <c r="X34" t="n">
        <v>0</v>
      </c>
      <c r="Y34" t="inlineStr">
        <is>
          <t>The student's submission contains several critical errors that prevent the code from running correctly. The transforms are incorrectly set to resize images to 64x64 instead of 28x28. The DataLoader creation is incomplete and does not display sample images. The model loading and adaptation steps are partially correct but contain errors in freezing the backbone and replacing the classifier head. The training and validation loops have logical errors, such as using sigmoid activation incorrectly and not adjusting labels properly. The training process does not run correctly due to these issues. Additionally, the bonus task for Test Time Augmentation is not attempted. Therefore, the student receives 0 points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4" t="n">
        <v>0</v>
      </c>
      <c r="AA34" t="n">
        <v>0</v>
      </c>
      <c r="AB34" t="inlineStr">
        <is>
          <t>The student's submission does not follow the rubric correctly. The dataset class is incorrectly implemented, and the transformations do not match the required specifications. The CNN model does not have the correct number of convolutional layers or batch normalization. The training and validation functions are incomplete and do not run correctly. Additionally, the student did not attempt the bonus task. Therefore, no points are awarded for any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34" t="n">
        <v>0</v>
      </c>
      <c r="AD34" t="inlineStr">
        <is>
          <t>The student's submission does not run end-to-end due to multiple issues. The dataset class is incorrectly implemented, leading to errors in data loading. The model definition uses the wrong encoder and the incorrect number of classes. The training and validation loops are incorrectly implemented, and the loss function and optimizer are not suitable for the task. Additionally, the code for visualizing predictions is incomplete and does not run correctly. Therefore, no points are awarded for any task as the code does not meet the requirements specified in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4" t="n">
        <v>0</v>
      </c>
      <c r="AF34" t="n">
        <v>0</v>
      </c>
      <c r="AG34" t="inlineStr">
        <is>
          <t>The student's implementation of the `ColorizationDataset` class is incomplete and contains several critical errors. The `__init__` method does not store the dataset, the `__len__` method references an undefined variable `self.base`, the `rgb_to_grayscale` method is not implemented, and the `__getitem__` method incorrectly attempts to load images from a non-existent `self.image_paths` attribute and returns the wrong data. Additionally, the student's code does not follow the correct logic for converting RGB images to grayscale and does not return the correct tuple of (grayscale_image, color_image). Therefore, the implementation does not meet the requirements specified in the rubric.
Breakdown:
- Correctly implemented `ColorizationDataset` class: 0.0/5.0</t>
        </is>
      </c>
      <c r="AH34" t="n">
        <v>0</v>
      </c>
      <c r="AI34" t="n">
        <v>0</v>
      </c>
    </row>
    <row r="35">
      <c r="A35" t="n">
        <v>34</v>
      </c>
      <c r="B35" t="inlineStr">
        <is>
          <t>TA_1</t>
        </is>
      </c>
      <c r="C35" t="inlineStr">
        <is>
          <t>TA_11</t>
        </is>
      </c>
      <c r="D35" t="n">
        <v>12</v>
      </c>
      <c r="E35" t="n">
        <v>0</v>
      </c>
      <c r="F35" t="n">
        <v>11</v>
      </c>
      <c r="G35" t="n">
        <v>0</v>
      </c>
      <c r="H35" t="n">
        <v>3</v>
      </c>
      <c r="I35" t="n">
        <v>0</v>
      </c>
      <c r="J35" t="n">
        <v>11</v>
      </c>
      <c r="K35" t="n">
        <v>0</v>
      </c>
      <c r="L35" t="n">
        <v>9.75</v>
      </c>
      <c r="M35" t="n">
        <v>0</v>
      </c>
      <c r="N35" t="n">
        <v>1.5</v>
      </c>
      <c r="O35" t="n">
        <v>0</v>
      </c>
      <c r="P35">
        <f>Table1[[#This Row],[TA 1 - Q1 Score]]+Table1[[#This Row],[TA 1 - Q2 Score]]+Table1[[#This Row],[TA 1 - Q3 Score]]</f>
        <v/>
      </c>
      <c r="Q35">
        <f>Table1[[#This Row],[TA 1 - Q1 Bonus]]+Table1[[#This Row],[TA 1 - Q2 Bonus]]+Table1[[#This Row],[TA 1 - Q4 Bonus]]</f>
        <v/>
      </c>
      <c r="R35">
        <f>Table1[[#This Row],[TA 2 - Q1 Score]]+Table1[[#This Row],[TA 2 - Q2 Score]]+Table1[[#This Row],[TA 2 - Q3 Score]]</f>
        <v/>
      </c>
      <c r="S35">
        <f>Table1[[#This Row],[TA 2 - Q1 Bonus]]+Table1[[#This Row],[TA 2 - Q2 Bonus]]+Table1[[#This Row],[TA 2 - Q4 Bonus]]</f>
        <v/>
      </c>
      <c r="T35">
        <f>(Table1[[#This Row],[TA 1 - Total Score (out of 35)]]+Table1[[#This Row],[TA 2 - Total Score (out of 35)]])/2</f>
        <v/>
      </c>
      <c r="U35">
        <f>(Table1[[#This Row],[TA 1 - Total Bonus (out of 13)]]+Table1[[#This Row],[TA 2 - Total Bonus (out of 13)]])/2</f>
        <v/>
      </c>
      <c r="V35">
        <f>Table1[[#This Row],[Average Questions]]/35*20+Table1[[#This Row],[Average Bonus]]/13*5</f>
        <v/>
      </c>
      <c r="W35" t="n">
        <v>0</v>
      </c>
      <c r="X35" t="n">
        <v>0</v>
      </c>
      <c r="Y35" t="inlineStr">
        <is>
          <t>The student's submission does not run correctly due to several issues. The training and validation loops are incorrect because the model outputs are squeezed, which is not necessary and leads to incorrect shapes for the loss function. Additionally, the softmax function is incorrectly applied to the outputs, which is not needed for CrossEntropyLoss. The plotting functions are also incorrect and do not display the training and validation losses or accuracies correctly. Furthermore, the student did not implement the bonus task for Test Time Augmentation.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5" t="n">
        <v>0</v>
      </c>
      <c r="AA35" t="n">
        <v>0</v>
      </c>
      <c r="AB35" t="inlineStr">
        <is>
          <t>The student's submission does not run correctly due to multiple issues. The dataset paths are incorrect, leading to errors in loading the data. The model definition is incorrect as it does not follow the specified architecture with 5 convolutional layers. The training and validation functions are flawed, and the plotting code is incomplete.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5" t="n">
        <v>0</v>
      </c>
      <c r="AD35" t="inlineStr">
        <is>
          <t>The student's submission does not include code for defining the model, training and validation loops, running the training, or visualizing predictions. The dataset class and DataLoader creation are incomplete and do not follow the correct approach. The student did not remap the masks correctly and did not use the correct transforms for images and masks. Additionally, the student did not display sample images and masks correctly. Therefore, the student receives 0 points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5" t="n">
        <v>0</v>
      </c>
      <c r="AF35" t="n">
        <v>0</v>
      </c>
      <c r="AG35" t="inlineStr">
        <is>
          <t>The student did not implement any of the required methods in the `ColorizationDataset` class. The `__init__`, `__len__`, `rgb_to_grayscale`, and `__getitem__` methods are all left as 'TO DO' placeholders, indicating that no code was written for these tasks. Additionally, the visualization code will not run correctly because the dataset methods are not implemented. Therefore, the student receives 0 points for this task.
Breakdown:
- Correctly implemented `ColorizationDataset` class: 0.0/5.0</t>
        </is>
      </c>
      <c r="AH35" t="n">
        <v>0</v>
      </c>
      <c r="AI35" t="n">
        <v>0</v>
      </c>
    </row>
    <row r="36">
      <c r="A36" t="n">
        <v>35</v>
      </c>
      <c r="B36" t="inlineStr">
        <is>
          <t>TA_1</t>
        </is>
      </c>
      <c r="C36" t="inlineStr">
        <is>
          <t>TA_11</t>
        </is>
      </c>
      <c r="D36" t="n">
        <v>10.5</v>
      </c>
      <c r="E36" t="n">
        <v>2</v>
      </c>
      <c r="F36" t="n">
        <v>11</v>
      </c>
      <c r="G36" t="n">
        <v>0</v>
      </c>
      <c r="H36" t="n">
        <v>12</v>
      </c>
      <c r="I36" t="n">
        <v>0</v>
      </c>
      <c r="J36" t="n">
        <v>7</v>
      </c>
      <c r="K36" t="n">
        <v>0</v>
      </c>
      <c r="L36" t="n">
        <v>10.25</v>
      </c>
      <c r="M36" t="n">
        <v>0</v>
      </c>
      <c r="N36" t="n">
        <v>12</v>
      </c>
      <c r="O36" t="n">
        <v>0</v>
      </c>
      <c r="P36">
        <f>Table1[[#This Row],[TA 1 - Q1 Score]]+Table1[[#This Row],[TA 1 - Q2 Score]]+Table1[[#This Row],[TA 1 - Q3 Score]]</f>
        <v/>
      </c>
      <c r="Q36">
        <f>Table1[[#This Row],[TA 1 - Q1 Bonus]]+Table1[[#This Row],[TA 1 - Q2 Bonus]]+Table1[[#This Row],[TA 1 - Q4 Bonus]]</f>
        <v/>
      </c>
      <c r="R36">
        <f>Table1[[#This Row],[TA 2 - Q1 Score]]+Table1[[#This Row],[TA 2 - Q2 Score]]+Table1[[#This Row],[TA 2 - Q3 Score]]</f>
        <v/>
      </c>
      <c r="S36">
        <f>Table1[[#This Row],[TA 2 - Q1 Bonus]]+Table1[[#This Row],[TA 2 - Q2 Bonus]]+Table1[[#This Row],[TA 2 - Q4 Bonus]]</f>
        <v/>
      </c>
      <c r="T36">
        <f>(Table1[[#This Row],[TA 1 - Total Score (out of 35)]]+Table1[[#This Row],[TA 2 - Total Score (out of 35)]])/2</f>
        <v/>
      </c>
      <c r="U36">
        <f>(Table1[[#This Row],[TA 1 - Total Bonus (out of 13)]]+Table1[[#This Row],[TA 2 - Total Bonus (out of 13)]])/2</f>
        <v/>
      </c>
      <c r="V36">
        <f>Table1[[#This Row],[Average Questions]]/35*20+Table1[[#This Row],[Average Bonus]]/13*5</f>
        <v/>
      </c>
      <c r="W36" t="n">
        <v>0</v>
      </c>
      <c r="X36" t="n">
        <v>0</v>
      </c>
      <c r="Y36" t="inlineStr">
        <is>
          <t>The student's submission contains multiple errors and deviations from the rubric. The transforms are incorrectly defined, the DataLoaders are not correctly created, and the sample images are not displayed correctly. The model loading and adaptation steps are flawed, with incorrect freezing of layers and an incorrect number of classes in the classifier head. The training and validation loops are incorrect and do not fix the labels. The training process does not set up the device, model, loss, and optimizer correctly, and the plots for training and validation losses and accuracies are incorrect. The bonus task for Test Time Augmentation is also incorrect and does not average the predictions correctly.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6" t="n">
        <v>0</v>
      </c>
      <c r="AA36" t="n">
        <v>0</v>
      </c>
      <c r="AB36" t="inlineStr">
        <is>
          <t>The student's submission does not run correctly due to several issues. The transformations applied to the images are incorrect as they resize to 32x32 instead of 128x128. The model architecture is incorrect as it does not have 5 convolutional layers and the fully connected layer dimensions are incorrect. The training and validation functions are incorrect as they do not correctly handle the model outputs. The training loop does not correctly update the model parameters. Additionally, the student did not attempt the bonus task.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6" t="n">
        <v>0</v>
      </c>
      <c r="AD36" t="inlineStr">
        <is>
          <t>The student's submission does not run correctly due to several issues. The dataset class is incomplete and does not follow the required structure. The DataLoaders are created but the dataset class is not correctly implemented. The model definition uses the wrong encoder (efficientnet-b1 instead of efficientnet-b0). The training and validation loops are defined but do not run correctly due to the incorrect dataset class. The loss and optimizer are defined but the training process does not complete successfully. The loss curve is plotted but the training process is flawed. The visualization of predictions is attempted but fails due to the incorrect dataset class and training process.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6" t="n">
        <v>0</v>
      </c>
      <c r="AF36" t="n">
        <v>0</v>
      </c>
      <c r="AG36" t="inlineStr">
        <is>
          <t>No submission found.</t>
        </is>
      </c>
      <c r="AH36" t="n">
        <v>0</v>
      </c>
      <c r="AI36" t="n">
        <v>0</v>
      </c>
    </row>
    <row r="37">
      <c r="A37" t="n">
        <v>36</v>
      </c>
      <c r="B37" t="inlineStr">
        <is>
          <t>TA_1</t>
        </is>
      </c>
      <c r="C37" t="inlineStr">
        <is>
          <t>TA_11</t>
        </is>
      </c>
      <c r="D37" t="n">
        <v>6</v>
      </c>
      <c r="E37" t="n">
        <v>0</v>
      </c>
      <c r="F37" t="n">
        <v>7</v>
      </c>
      <c r="G37" t="n">
        <v>0</v>
      </c>
      <c r="H37" t="n">
        <v>10.5</v>
      </c>
      <c r="I37" t="n">
        <v>0</v>
      </c>
      <c r="J37" t="n">
        <v>5.75</v>
      </c>
      <c r="K37" t="n">
        <v>0</v>
      </c>
      <c r="L37" t="n">
        <v>7</v>
      </c>
      <c r="M37" t="n">
        <v>0</v>
      </c>
      <c r="N37" t="n">
        <v>11</v>
      </c>
      <c r="O37" t="n">
        <v>0</v>
      </c>
      <c r="P37">
        <f>Table1[[#This Row],[TA 1 - Q1 Score]]+Table1[[#This Row],[TA 1 - Q2 Score]]+Table1[[#This Row],[TA 1 - Q3 Score]]</f>
        <v/>
      </c>
      <c r="Q37">
        <f>Table1[[#This Row],[TA 1 - Q1 Bonus]]+Table1[[#This Row],[TA 1 - Q2 Bonus]]+Table1[[#This Row],[TA 1 - Q4 Bonus]]</f>
        <v/>
      </c>
      <c r="R37">
        <f>Table1[[#This Row],[TA 2 - Q1 Score]]+Table1[[#This Row],[TA 2 - Q2 Score]]+Table1[[#This Row],[TA 2 - Q3 Score]]</f>
        <v/>
      </c>
      <c r="S37">
        <f>Table1[[#This Row],[TA 2 - Q1 Bonus]]+Table1[[#This Row],[TA 2 - Q2 Bonus]]+Table1[[#This Row],[TA 2 - Q4 Bonus]]</f>
        <v/>
      </c>
      <c r="T37">
        <f>(Table1[[#This Row],[TA 1 - Total Score (out of 35)]]+Table1[[#This Row],[TA 2 - Total Score (out of 35)]])/2</f>
        <v/>
      </c>
      <c r="U37">
        <f>(Table1[[#This Row],[TA 1 - Total Bonus (out of 13)]]+Table1[[#This Row],[TA 2 - Total Bonus (out of 13)]])/2</f>
        <v/>
      </c>
      <c r="V37">
        <f>Table1[[#This Row],[Average Questions]]/35*20+Table1[[#This Row],[Average Bonus]]/13*5</f>
        <v/>
      </c>
      <c r="W37" t="n">
        <v>0</v>
      </c>
      <c r="X37" t="n">
        <v>0</v>
      </c>
      <c r="Y37" t="inlineStr">
        <is>
          <t>The student's submission does not run correctly due to several issues. The transforms are not correctly applied, the DataLoaders are not created properly, and the model is not correctly set up for training. The training and validation loops are incorrect, and the plots for losses and accuracies are missing. Additionally, the bonus task for Test Time Augmentation is not implemented correctly.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7" t="n">
        <v>0</v>
      </c>
      <c r="AA37" t="n">
        <v>0</v>
      </c>
      <c r="AB37" t="inlineStr">
        <is>
          <t>The student's submission does not run correctly due to multiple issues. The dataset class is incorrectly implemented, leading to errors in data loading. The CNN model definition is incomplete and contains syntax errors. The training and validation functions are not correctly defined, and the training loop does not execute properly.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7" t="n">
        <v>0</v>
      </c>
      <c r="AD37" t="inlineStr">
        <is>
          <t>The student's submission contains several critical errors that prevent the code from running correctly. The dataset class is defined but the data loading process is incorrect due to missing metadata and incorrect directory paths. The training and validation loops are defined but the model training process fails due to incorrect data loading. Additionally, the visualization of predictions is attempted but fails due to the same data loading issues. Therefore, no points are awarded for any task as the code does not run correctly and deviates from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7" t="n">
        <v>0</v>
      </c>
      <c r="AF37" t="n">
        <v>0</v>
      </c>
      <c r="AG37" t="inlineStr">
        <is>
          <t>No submission found.</t>
        </is>
      </c>
      <c r="AH37" t="n">
        <v>0</v>
      </c>
      <c r="AI37" t="n">
        <v>0</v>
      </c>
    </row>
    <row r="38">
      <c r="A38" t="n">
        <v>37</v>
      </c>
      <c r="B38" t="inlineStr">
        <is>
          <t>TA_1</t>
        </is>
      </c>
      <c r="C38" t="inlineStr">
        <is>
          <t>TA_11</t>
        </is>
      </c>
      <c r="D38" t="n">
        <v>7</v>
      </c>
      <c r="E38" t="n">
        <v>0</v>
      </c>
      <c r="F38" t="n">
        <v>6</v>
      </c>
      <c r="G38" t="n">
        <v>0</v>
      </c>
      <c r="H38" t="n">
        <v>2</v>
      </c>
      <c r="I38" t="n">
        <v>0</v>
      </c>
      <c r="J38" t="n">
        <v>5.75</v>
      </c>
      <c r="K38" t="n">
        <v>0</v>
      </c>
      <c r="L38" t="n">
        <v>6</v>
      </c>
      <c r="M38" t="n">
        <v>0</v>
      </c>
      <c r="N38" t="n">
        <v>1.75</v>
      </c>
      <c r="O38" t="n">
        <v>0</v>
      </c>
      <c r="P38">
        <f>Table1[[#This Row],[TA 1 - Q1 Score]]+Table1[[#This Row],[TA 1 - Q2 Score]]+Table1[[#This Row],[TA 1 - Q3 Score]]</f>
        <v/>
      </c>
      <c r="Q38">
        <f>Table1[[#This Row],[TA 1 - Q1 Bonus]]+Table1[[#This Row],[TA 1 - Q2 Bonus]]+Table1[[#This Row],[TA 1 - Q4 Bonus]]</f>
        <v/>
      </c>
      <c r="R38">
        <f>Table1[[#This Row],[TA 2 - Q1 Score]]+Table1[[#This Row],[TA 2 - Q2 Score]]+Table1[[#This Row],[TA 2 - Q3 Score]]</f>
        <v/>
      </c>
      <c r="S38">
        <f>Table1[[#This Row],[TA 2 - Q1 Bonus]]+Table1[[#This Row],[TA 2 - Q2 Bonus]]+Table1[[#This Row],[TA 2 - Q4 Bonus]]</f>
        <v/>
      </c>
      <c r="T38">
        <f>(Table1[[#This Row],[TA 1 - Total Score (out of 35)]]+Table1[[#This Row],[TA 2 - Total Score (out of 35)]])/2</f>
        <v/>
      </c>
      <c r="U38">
        <f>(Table1[[#This Row],[TA 1 - Total Bonus (out of 13)]]+Table1[[#This Row],[TA 2 - Total Bonus (out of 13)]])/2</f>
        <v/>
      </c>
      <c r="V38">
        <f>Table1[[#This Row],[Average Questions]]/35*20+Table1[[#This Row],[Average Bonus]]/13*5</f>
        <v/>
      </c>
      <c r="W38" t="n">
        <v>0</v>
      </c>
      <c r="X38" t="n">
        <v>0</v>
      </c>
      <c r="Y38" t="inlineStr">
        <is>
          <t>The student's submission does not run correctly due to several issues. The classifier head replacement is incorrect, leading to a -50% penalty. Additionally, the student did not implement the training and validation loops correctly, and there is no code for displaying sample images or plotting losses and accuracies. The student also did not implement the bonus task for Test Time Augmentation. Therefore, the total score is 0.0 with no bonus points awarded.
Breakdown:
- Task 1: Complete transforms (Resize, ToTensor, Normalize): 0.0/?
- Task 2: Create DataLoaders: 0.0/?
- Task 3: Display sample images: 0.0/?
- Task 1: Load pretrained EfficientNetV2-Small: 0.0/?
- Task 2: Freeze the backbone (feature extractor): 0.0/?
- Task 3: Replace classifier head for 26 classes: -50.0/?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8" t="n">
        <v>0</v>
      </c>
      <c r="AA38" t="n">
        <v>0</v>
      </c>
      <c r="AB38" t="inlineStr">
        <is>
          <t>The student's submission does not run correctly due to multiple issues. The dataset class is incorrectly defined and does not follow the required structure. The transforms are incorrectly applied, and the model definition is flawed with incorrect batch normalization layers and an incorrect number of output classes. The training and validation functions are incorrectly implemented, and the training loop does not run correctly. Additionally, the student did not attempt the bonus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8" t="n">
        <v>0</v>
      </c>
      <c r="AD38" t="inlineStr">
        <is>
          <t>The student's submission is incomplete and does not run end-to-end. The dataset class is partially defined but not fully implemented. The DataLoaders are not correctly created due to missing directory paths. The display of sample images and masks is incorrect as it attempts to display raw paths instead of images. No code is provided for the model class, training and validation loops, running training, or visualizing predictions. Therefore, the student receives 0 points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8" t="n">
        <v>0</v>
      </c>
      <c r="AF38" t="n">
        <v>0</v>
      </c>
      <c r="AG38" t="inlineStr">
        <is>
          <t>No submission found.</t>
        </is>
      </c>
      <c r="AH38" t="n">
        <v>0</v>
      </c>
      <c r="AI38" t="n">
        <v>0</v>
      </c>
    </row>
    <row r="39">
      <c r="A39" t="n">
        <v>38</v>
      </c>
      <c r="B39" t="inlineStr">
        <is>
          <t>TA_1</t>
        </is>
      </c>
      <c r="C39" t="inlineStr">
        <is>
          <t>TA_11</t>
        </is>
      </c>
      <c r="D39" t="n">
        <v>12</v>
      </c>
      <c r="E39" t="n">
        <v>4</v>
      </c>
      <c r="F39" t="n">
        <v>11</v>
      </c>
      <c r="G39" t="n">
        <v>0</v>
      </c>
      <c r="H39" t="n">
        <v>12</v>
      </c>
      <c r="I39" t="n">
        <v>0</v>
      </c>
      <c r="J39" t="n">
        <v>12</v>
      </c>
      <c r="K39" t="n">
        <v>4</v>
      </c>
      <c r="L39" t="n">
        <v>10.75</v>
      </c>
      <c r="M39" t="n">
        <v>0</v>
      </c>
      <c r="N39" t="n">
        <v>12</v>
      </c>
      <c r="O39" t="n">
        <v>0</v>
      </c>
      <c r="P39">
        <f>Table1[[#This Row],[TA 1 - Q1 Score]]+Table1[[#This Row],[TA 1 - Q2 Score]]+Table1[[#This Row],[TA 1 - Q3 Score]]</f>
        <v/>
      </c>
      <c r="Q39">
        <f>Table1[[#This Row],[TA 1 - Q1 Bonus]]+Table1[[#This Row],[TA 1 - Q2 Bonus]]+Table1[[#This Row],[TA 1 - Q4 Bonus]]</f>
        <v/>
      </c>
      <c r="R39">
        <f>Table1[[#This Row],[TA 2 - Q1 Score]]+Table1[[#This Row],[TA 2 - Q2 Score]]+Table1[[#This Row],[TA 2 - Q3 Score]]</f>
        <v/>
      </c>
      <c r="S39">
        <f>Table1[[#This Row],[TA 2 - Q1 Bonus]]+Table1[[#This Row],[TA 2 - Q2 Bonus]]+Table1[[#This Row],[TA 2 - Q4 Bonus]]</f>
        <v/>
      </c>
      <c r="T39">
        <f>(Table1[[#This Row],[TA 1 - Total Score (out of 35)]]+Table1[[#This Row],[TA 2 - Total Score (out of 35)]])/2</f>
        <v/>
      </c>
      <c r="U39">
        <f>(Table1[[#This Row],[TA 1 - Total Bonus (out of 13)]]+Table1[[#This Row],[TA 2 - Total Bonus (out of 13)]])/2</f>
        <v/>
      </c>
      <c r="V39">
        <f>Table1[[#This Row],[Average Questions]]/35*20+Table1[[#This Row],[Average Bonus]]/13*5</f>
        <v/>
      </c>
      <c r="W39" t="n">
        <v>0</v>
      </c>
      <c r="X39" t="n">
        <v>0</v>
      </c>
      <c r="Y39" t="inlineStr">
        <is>
          <t>The student's submission does not run correctly due to multiple issues. The code for creating DataLoaders is duplicated, and the validation function contains errors that prevent it from running. Additionally, the student did not correctly implement the label fixing, which is a critical part of the task. The code for plotting losses and accuracies is also incorrect and does not produce the expected output.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9" t="n">
        <v>0</v>
      </c>
      <c r="AA39" t="n">
        <v>0</v>
      </c>
      <c r="AB39" t="inlineStr">
        <is>
          <t>The student's submission does not run correctly due to multiple issues. The transforms are incorrect as the student resized the images to 32x32 instead of 128x128. The CNN model class has incorrect batch normalization layers and the fully connected layer dimensions are incorrect. The training and validation functions have logical errors, and the training process does not set up the device, model, loss, and optimizer correctly.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9" t="n">
        <v>0</v>
      </c>
      <c r="AD39" t="inlineStr">
        <is>
          <t>The student's submission does not run correctly due to several issues. The dataset class and DataLoader creation are incomplete and incorrect, leading to errors in subsequent tasks. The model definition and training loops are also flawed, resulting in a complete failure to execute the tasks as specified.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9" t="n">
        <v>0</v>
      </c>
      <c r="AF39" t="n">
        <v>0</v>
      </c>
      <c r="AG39" t="inlineStr">
        <is>
          <t>No submission found.</t>
        </is>
      </c>
      <c r="AH39" t="n">
        <v>0</v>
      </c>
      <c r="AI39" t="n">
        <v>0</v>
      </c>
    </row>
    <row r="40">
      <c r="A40" t="n">
        <v>39</v>
      </c>
      <c r="B40" t="inlineStr">
        <is>
          <t>TA_1</t>
        </is>
      </c>
      <c r="C40" t="inlineStr">
        <is>
          <t>TA_11</t>
        </is>
      </c>
      <c r="D40" t="n">
        <v>12</v>
      </c>
      <c r="E40" t="n">
        <v>4</v>
      </c>
      <c r="F40" t="n">
        <v>11</v>
      </c>
      <c r="G40" t="n">
        <v>4</v>
      </c>
      <c r="H40" t="n">
        <v>12</v>
      </c>
      <c r="I40" t="n">
        <v>5</v>
      </c>
      <c r="J40" t="n">
        <v>12</v>
      </c>
      <c r="K40" t="n">
        <v>4</v>
      </c>
      <c r="L40" t="n">
        <v>11</v>
      </c>
      <c r="M40" t="n">
        <v>4</v>
      </c>
      <c r="N40" t="n">
        <v>12</v>
      </c>
      <c r="O40" t="n">
        <v>5</v>
      </c>
      <c r="P40">
        <f>Table1[[#This Row],[TA 1 - Q1 Score]]+Table1[[#This Row],[TA 1 - Q2 Score]]+Table1[[#This Row],[TA 1 - Q3 Score]]</f>
        <v/>
      </c>
      <c r="Q40">
        <f>Table1[[#This Row],[TA 1 - Q1 Bonus]]+Table1[[#This Row],[TA 1 - Q2 Bonus]]+Table1[[#This Row],[TA 1 - Q4 Bonus]]</f>
        <v/>
      </c>
      <c r="R40">
        <f>Table1[[#This Row],[TA 2 - Q1 Score]]+Table1[[#This Row],[TA 2 - Q2 Score]]+Table1[[#This Row],[TA 2 - Q3 Score]]</f>
        <v/>
      </c>
      <c r="S40">
        <f>Table1[[#This Row],[TA 2 - Q1 Bonus]]+Table1[[#This Row],[TA 2 - Q2 Bonus]]+Table1[[#This Row],[TA 2 - Q4 Bonus]]</f>
        <v/>
      </c>
      <c r="T40">
        <f>(Table1[[#This Row],[TA 1 - Total Score (out of 35)]]+Table1[[#This Row],[TA 2 - Total Score (out of 35)]])/2</f>
        <v/>
      </c>
      <c r="U40">
        <f>(Table1[[#This Row],[TA 1 - Total Bonus (out of 13)]]+Table1[[#This Row],[TA 2 - Total Bonus (out of 13)]])/2</f>
        <v/>
      </c>
      <c r="V40">
        <f>Table1[[#This Row],[Average Questions]]/35*20+Table1[[#This Row],[Average Bonus]]/13*5</f>
        <v/>
      </c>
      <c r="W40" t="n">
        <v>10.5</v>
      </c>
      <c r="X40" t="n">
        <v>4</v>
      </c>
      <c r="Y40" t="inlineStr">
        <is>
          <t>The student successfully completed most tasks, including data loading, model adaptation, and training functions. However, the DataLoader creation task was partially completed with a different batch size and number of workers, which is not a significant deviation. The student also correctly implemented the bonus task for Test Time Augmentation. The code runs end-to-end and produces the correct output, following optimal logic for the tasks completed.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40" t="n">
        <v>0</v>
      </c>
      <c r="AA40" t="n">
        <v>0</v>
      </c>
      <c r="AB40" t="inlineStr">
        <is>
          <t>The student's submission does not run correctly due to several issues. The dataset paths are hardcoded incorrectly, leading to errors in loading the data. The transforms applied to the images include normalization, which is not specified in the rubric. The model architecture deviates from the required specifications, including the incorrect number of convolutional layers and the addition of a dropout layer. The training and validation functions are implemented but do not run correctly due to the aforementioned issues. The bonus task for residual connections is attempted but also fails to run correctly due to the same underlying issues. Therefore, no points are awarded for any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40" t="n">
        <v>0</v>
      </c>
      <c r="AD40" t="inlineStr">
        <is>
          <t>The student's submission does not run end-to-end due to missing dependencies and incorrect dataset paths. The code for building the dataset class, creating DataLoaders, and displaying sample images and masks is incomplete and contains errors. The model definition and training loops are also incorrect or missing critical components, leading to a complete failure in running the tasks as specified.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0" t="n">
        <v>0</v>
      </c>
      <c r="AF40" t="n">
        <v>0</v>
      </c>
      <c r="AG40" t="inlineStr">
        <is>
          <t>The student's implementation of the `ColorizationDataset` class contains several issues. The `rgb_to_grayscale` method does not correctly handle the input tensor dimensions, and the `__getitem__` method does not return the correct shapes for the grayscale and color images. Additionally, the visualization code does not correctly display the images. Since the implementation does not run correctly and deviates from the rubric, the student receives 0 points for this task.
Breakdown:
- Correctly implemented `ColorizationDataset` class: 0.0/5.0</t>
        </is>
      </c>
      <c r="AH40" t="n">
        <v>10.5</v>
      </c>
      <c r="AI40" t="n">
        <v>4</v>
      </c>
    </row>
    <row r="41">
      <c r="A41" t="n">
        <v>40</v>
      </c>
      <c r="B41" t="inlineStr">
        <is>
          <t>TA_1</t>
        </is>
      </c>
      <c r="C41" t="inlineStr">
        <is>
          <t>TA_11</t>
        </is>
      </c>
      <c r="D41" t="n">
        <v>8.5</v>
      </c>
      <c r="E41" t="n">
        <v>3</v>
      </c>
      <c r="F41" t="n">
        <v>9</v>
      </c>
      <c r="G41" t="n">
        <v>4</v>
      </c>
      <c r="H41" t="n">
        <v>10.5</v>
      </c>
      <c r="I41" t="n">
        <v>0</v>
      </c>
      <c r="J41" t="n">
        <v>11</v>
      </c>
      <c r="K41" t="n">
        <v>1</v>
      </c>
      <c r="L41" t="n">
        <v>9</v>
      </c>
      <c r="M41" t="n">
        <v>1</v>
      </c>
      <c r="N41" t="n">
        <v>4</v>
      </c>
      <c r="O41" t="n">
        <v>0</v>
      </c>
      <c r="P41">
        <f>Table1[[#This Row],[TA 1 - Q1 Score]]+Table1[[#This Row],[TA 1 - Q2 Score]]+Table1[[#This Row],[TA 1 - Q3 Score]]</f>
        <v/>
      </c>
      <c r="Q41">
        <f>Table1[[#This Row],[TA 1 - Q1 Bonus]]+Table1[[#This Row],[TA 1 - Q2 Bonus]]+Table1[[#This Row],[TA 1 - Q4 Bonus]]</f>
        <v/>
      </c>
      <c r="R41">
        <f>Table1[[#This Row],[TA 2 - Q1 Score]]+Table1[[#This Row],[TA 2 - Q2 Score]]+Table1[[#This Row],[TA 2 - Q3 Score]]</f>
        <v/>
      </c>
      <c r="S41">
        <f>Table1[[#This Row],[TA 2 - Q1 Bonus]]+Table1[[#This Row],[TA 2 - Q2 Bonus]]+Table1[[#This Row],[TA 2 - Q4 Bonus]]</f>
        <v/>
      </c>
      <c r="T41">
        <f>(Table1[[#This Row],[TA 1 - Total Score (out of 35)]]+Table1[[#This Row],[TA 2 - Total Score (out of 35)]])/2</f>
        <v/>
      </c>
      <c r="U41">
        <f>(Table1[[#This Row],[TA 1 - Total Bonus (out of 13)]]+Table1[[#This Row],[TA 2 - Total Bonus (out of 13)]])/2</f>
        <v/>
      </c>
      <c r="V41">
        <f>Table1[[#This Row],[Average Questions]]/35*20+Table1[[#This Row],[Average Bonus]]/13*5</f>
        <v/>
      </c>
      <c r="W41" t="n">
        <v>0</v>
      </c>
      <c r="X41" t="n">
        <v>0</v>
      </c>
      <c r="Y41" t="inlineStr">
        <is>
          <t>The student's submission has several critical issues that prevent it from running correctly. The transforms are correctly defined, and the DataLoaders are created, but the code for displaying sample images is incomplete and does not run. The model loading and adaptation tasks are partially correct but contain errors that prevent the model from being correctly set up for training. The training and validation loops have logical errors, and the label fixing is not implemented correctly. Additionally, the training process and plotting tasks are not correctly implemented. The bonus task for Test Time Augmentation is also incomplete and does not run correctly.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1" t="n">
        <v>0</v>
      </c>
      <c r="AA41" t="n">
        <v>0</v>
      </c>
      <c r="AB41" t="inlineStr">
        <is>
          <t>The student's submission does not run correctly due to several issues. The dataset class or ImageFolder is not correctly implemented, the transforms are incorrect, and the CNN model does not follow the specified architecture. Additionally, the training and validation functions are flawed, and the residual connection implementation is incorrect.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1" t="n">
        <v>0</v>
      </c>
      <c r="AD41" t="inlineStr">
        <is>
          <t>The student's submission does not run correctly due to several issues. The dataset class is incorrectly implemented, leading to errors in data loading. The model definition uses the wrong number of classes and the incorrect loss function is used, which prevents the model from training properly. Additionally, the training and validation loops are not correctly implemented, and the visualization of predictions is flawed. These issues collectively result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1" t="n">
        <v>0</v>
      </c>
      <c r="AF41" t="n">
        <v>0</v>
      </c>
      <c r="AG41" t="inlineStr">
        <is>
          <t>The student's implementation of the `ColorizationDataset` class contains multiple errors that prevent it from functioning correctly. The `__len__` method returns an incorrect length, the `rgb_to_grayscale` method has a flawed conversion formula, and the `__getitem__` method has incorrect indexing and does not properly convert the color image to grayscale. These issues result in the code not running correctly, and thus, no points are awarded for this task.
Breakdown:
- Correctly implemented `ColorizationDataset` class: 0.0/?</t>
        </is>
      </c>
      <c r="AH41" t="n">
        <v>0</v>
      </c>
      <c r="AI41" t="n">
        <v>0</v>
      </c>
    </row>
    <row r="42">
      <c r="A42" t="n">
        <v>41</v>
      </c>
      <c r="B42" t="inlineStr">
        <is>
          <t>TA_1</t>
        </is>
      </c>
      <c r="C42" t="inlineStr">
        <is>
          <t>TA_11</t>
        </is>
      </c>
      <c r="D42" t="n">
        <v>12</v>
      </c>
      <c r="E42" t="n">
        <v>0</v>
      </c>
      <c r="F42" t="n">
        <v>11</v>
      </c>
      <c r="G42" t="n">
        <v>0</v>
      </c>
      <c r="H42" t="n">
        <v>12.5</v>
      </c>
      <c r="I42" t="n">
        <v>0</v>
      </c>
      <c r="J42" t="n">
        <v>11</v>
      </c>
      <c r="K42" t="n">
        <v>0</v>
      </c>
      <c r="L42" t="n">
        <v>9.25</v>
      </c>
      <c r="M42" t="n">
        <v>0</v>
      </c>
      <c r="N42" t="n">
        <v>12</v>
      </c>
      <c r="O42" t="n">
        <v>0</v>
      </c>
      <c r="P42">
        <f>Table1[[#This Row],[TA 1 - Q1 Score]]+Table1[[#This Row],[TA 1 - Q2 Score]]+Table1[[#This Row],[TA 1 - Q3 Score]]</f>
        <v/>
      </c>
      <c r="Q42">
        <f>Table1[[#This Row],[TA 1 - Q1 Bonus]]+Table1[[#This Row],[TA 1 - Q2 Bonus]]+Table1[[#This Row],[TA 1 - Q4 Bonus]]</f>
        <v/>
      </c>
      <c r="R42">
        <f>Table1[[#This Row],[TA 2 - Q1 Score]]+Table1[[#This Row],[TA 2 - Q2 Score]]+Table1[[#This Row],[TA 2 - Q3 Score]]</f>
        <v/>
      </c>
      <c r="S42">
        <f>Table1[[#This Row],[TA 2 - Q1 Bonus]]+Table1[[#This Row],[TA 2 - Q2 Bonus]]+Table1[[#This Row],[TA 2 - Q4 Bonus]]</f>
        <v/>
      </c>
      <c r="T42">
        <f>(Table1[[#This Row],[TA 1 - Total Score (out of 35)]]+Table1[[#This Row],[TA 2 - Total Score (out of 35)]])/2</f>
        <v/>
      </c>
      <c r="U42">
        <f>(Table1[[#This Row],[TA 1 - Total Bonus (out of 13)]]+Table1[[#This Row],[TA 2 - Total Bonus (out of 13)]])/2</f>
        <v/>
      </c>
      <c r="V42">
        <f>Table1[[#This Row],[Average Questions]]/35*20+Table1[[#This Row],[Average Bonus]]/13*5</f>
        <v/>
      </c>
      <c r="W42" t="n">
        <v>0</v>
      </c>
      <c r="X42" t="n">
        <v>0</v>
      </c>
      <c r="Y42" t="inlineStr">
        <is>
          <t>The student's submission does not run correctly due to several issues. The training and validation loops are incorrect because the model outputs are squeezed, which changes the shape of the output tensor. This causes the loss function to fail. Additionally, the student did not implement the bonus task for Test Time Augmentation.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2" t="n">
        <v>0</v>
      </c>
      <c r="AA42" t="n">
        <v>0</v>
      </c>
      <c r="AB42" t="inlineStr">
        <is>
          <t>The student's submission does not run end-to-end due to missing code for displaying sample images with labels, setting up the device, model, loss, and optimizer, and training the model. Additionally, the student did not attempt the bonus tasks. Therefore, the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2" t="n">
        <v>0</v>
      </c>
      <c r="AD42" t="inlineStr">
        <is>
          <t>The student's submission does not run end-to-end due to missing or incorrect code in several critical areas. The dataset class is incomplete and does not correctly handle the dataset paths. The model definition uses the wrong encoder ('efficientnet-b1' instead of 'efficientnet-b0'). The training and validation loops are not correctly implemented, and the loss and optimizer are not defined properly. As a result, the model cannot be trained or evaluated, and the visualization of predictions is also missing.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2" t="n">
        <v>0</v>
      </c>
      <c r="AF42" t="n">
        <v>0</v>
      </c>
      <c r="AG42" t="inlineStr">
        <is>
          <t>No submission found.</t>
        </is>
      </c>
      <c r="AH42" t="n">
        <v>0</v>
      </c>
      <c r="AI42" t="n">
        <v>0</v>
      </c>
    </row>
    <row r="43">
      <c r="A43" t="n">
        <v>42</v>
      </c>
      <c r="B43" t="inlineStr">
        <is>
          <t>TA_1</t>
        </is>
      </c>
      <c r="C43" t="inlineStr">
        <is>
          <t>TA_11</t>
        </is>
      </c>
      <c r="D43" t="n">
        <v>7</v>
      </c>
      <c r="E43" t="n">
        <v>0</v>
      </c>
      <c r="F43" t="n">
        <v>11</v>
      </c>
      <c r="G43" t="n">
        <v>0</v>
      </c>
      <c r="H43" t="n">
        <v>12</v>
      </c>
      <c r="I43" t="n">
        <v>0</v>
      </c>
      <c r="J43" t="n">
        <v>5.75</v>
      </c>
      <c r="K43" t="n">
        <v>0</v>
      </c>
      <c r="L43" t="n">
        <v>11</v>
      </c>
      <c r="M43" t="n">
        <v>0</v>
      </c>
      <c r="N43" t="n">
        <v>11</v>
      </c>
      <c r="O43" t="n">
        <v>0</v>
      </c>
      <c r="P43">
        <f>Table1[[#This Row],[TA 1 - Q1 Score]]+Table1[[#This Row],[TA 1 - Q2 Score]]+Table1[[#This Row],[TA 1 - Q3 Score]]</f>
        <v/>
      </c>
      <c r="Q43">
        <f>Table1[[#This Row],[TA 1 - Q1 Bonus]]+Table1[[#This Row],[TA 1 - Q2 Bonus]]+Table1[[#This Row],[TA 1 - Q4 Bonus]]</f>
        <v/>
      </c>
      <c r="R43">
        <f>Table1[[#This Row],[TA 2 - Q1 Score]]+Table1[[#This Row],[TA 2 - Q2 Score]]+Table1[[#This Row],[TA 2 - Q3 Score]]</f>
        <v/>
      </c>
      <c r="S43">
        <f>Table1[[#This Row],[TA 2 - Q1 Bonus]]+Table1[[#This Row],[TA 2 - Q2 Bonus]]+Table1[[#This Row],[TA 2 - Q4 Bonus]]</f>
        <v/>
      </c>
      <c r="T43">
        <f>(Table1[[#This Row],[TA 1 - Total Score (out of 35)]]+Table1[[#This Row],[TA 2 - Total Score (out of 35)]])/2</f>
        <v/>
      </c>
      <c r="U43">
        <f>(Table1[[#This Row],[TA 1 - Total Bonus (out of 13)]]+Table1[[#This Row],[TA 2 - Total Bonus (out of 13)]])/2</f>
        <v/>
      </c>
      <c r="V43">
        <f>Table1[[#This Row],[Average Questions]]/35*20+Table1[[#This Row],[Average Bonus]]/13*5</f>
        <v/>
      </c>
      <c r="W43" t="n">
        <v>0</v>
      </c>
      <c r="X43" t="n">
        <v>0</v>
      </c>
      <c r="Y43" t="inlineStr">
        <is>
          <t>The student's submission does not run correctly due to several issues. The transforms are incorrectly set to resize images to 256x256 instead of 28x28. The model is incorrectly loaded as EfficientNet-B0 instead of EfficientNetV2-Small. The training and validation loops are incorrect, using BCELoss instead of CrossEntropyLoss and not adjusting the labels to be 0-indexed. Additionally, the student did not implement the bonus task for Test Time Augmentation. Therefore, the student receives 0 points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3" t="n">
        <v>0</v>
      </c>
      <c r="AA43" t="n">
        <v>0</v>
      </c>
      <c r="AB43" t="inlineStr">
        <is>
          <t>The student's submission does not run correctly due to several issues. The model definition has mismatched dimensions in the fully connected layer, leading to a runtime error. Additionally, the plotting code for losses and accuracy is incomplete and incorrect, further preventing the code from running. Since the code does not execute correctly, no partial credit can be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3" t="n">
        <v>0</v>
      </c>
      <c r="AD43" t="inlineStr">
        <is>
          <t>The student's submission does not run correctly due to several issues. The dataset class is incorrectly defined, leading to errors in data loading. The model definition and training loops are present but contain errors that prevent the code from running end-to-end. Additionally, the visualization of predictions is incomplete and does not follow the required format. Therefore, no points are awarded for any task as the code does not execute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3" t="n">
        <v>0</v>
      </c>
      <c r="AF43" t="n">
        <v>0</v>
      </c>
      <c r="AG43" t="inlineStr">
        <is>
          <t>No submission found.</t>
        </is>
      </c>
      <c r="AH43" t="n">
        <v>0</v>
      </c>
      <c r="AI43" t="n">
        <v>0</v>
      </c>
    </row>
    <row r="44">
      <c r="A44" t="n">
        <v>43</v>
      </c>
      <c r="B44" t="inlineStr">
        <is>
          <t>TA_1</t>
        </is>
      </c>
      <c r="C44" t="inlineStr">
        <is>
          <t>TA_11</t>
        </is>
      </c>
      <c r="D44" t="n">
        <v>4.5</v>
      </c>
      <c r="E44" t="n">
        <v>0</v>
      </c>
      <c r="F44" t="n">
        <v>8</v>
      </c>
      <c r="G44" t="n">
        <v>0</v>
      </c>
      <c r="H44" t="n">
        <v>7.5</v>
      </c>
      <c r="I44" t="n">
        <v>0</v>
      </c>
      <c r="J44" t="n">
        <v>5.25</v>
      </c>
      <c r="K44" t="n">
        <v>0</v>
      </c>
      <c r="L44" t="n">
        <v>7.75</v>
      </c>
      <c r="M44" t="n">
        <v>0</v>
      </c>
      <c r="N44" t="n">
        <v>6</v>
      </c>
      <c r="O44" t="n">
        <v>0</v>
      </c>
      <c r="P44">
        <f>Table1[[#This Row],[TA 1 - Q1 Score]]+Table1[[#This Row],[TA 1 - Q2 Score]]+Table1[[#This Row],[TA 1 - Q3 Score]]</f>
        <v/>
      </c>
      <c r="Q44">
        <f>Table1[[#This Row],[TA 1 - Q1 Bonus]]+Table1[[#This Row],[TA 1 - Q2 Bonus]]+Table1[[#This Row],[TA 1 - Q4 Bonus]]</f>
        <v/>
      </c>
      <c r="R44">
        <f>Table1[[#This Row],[TA 2 - Q1 Score]]+Table1[[#This Row],[TA 2 - Q2 Score]]+Table1[[#This Row],[TA 2 - Q3 Score]]</f>
        <v/>
      </c>
      <c r="S44">
        <f>Table1[[#This Row],[TA 2 - Q1 Bonus]]+Table1[[#This Row],[TA 2 - Q2 Bonus]]+Table1[[#This Row],[TA 2 - Q4 Bonus]]</f>
        <v/>
      </c>
      <c r="T44">
        <f>(Table1[[#This Row],[TA 1 - Total Score (out of 35)]]+Table1[[#This Row],[TA 2 - Total Score (out of 35)]])/2</f>
        <v/>
      </c>
      <c r="U44">
        <f>(Table1[[#This Row],[TA 1 - Total Bonus (out of 13)]]+Table1[[#This Row],[TA 2 - Total Bonus (out of 13)]])/2</f>
        <v/>
      </c>
      <c r="V44">
        <f>Table1[[#This Row],[Average Questions]]/35*20+Table1[[#This Row],[Average Bonus]]/13*5</f>
        <v/>
      </c>
      <c r="W44" t="n">
        <v>0</v>
      </c>
      <c r="X44" t="n">
        <v>0</v>
      </c>
      <c r="Y44" t="inlineStr">
        <is>
          <t>The student's submission does not run end-to-end due to missing or incorrect code in several critical parts. Specifically, the training and validation loops are incomplete and do not correctly handle the labels, which are 1-26 instead of 0-25. Additionally, the plotting of training and validation losses and accuracies is missing. The bonus task for Test Time Augmentation (TTA) is also not implemented.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4" t="n">
        <v>0</v>
      </c>
      <c r="AA44" t="n">
        <v>0</v>
      </c>
      <c r="AB44" t="inlineStr">
        <is>
          <t>The student's submission does not run correctly due to several issues. The dataset class is custom but does not correctly handle the labels, leading to incorrect label extraction. The transforms are applied incorrectly, resizing the images to 32x32 instead of 128x128 as specified. The CNN model class has only 5 convolutional layers but does not include Batch Normalization. The training and validation functions are defined but do not correctly handle the device placement of tensors, leading to runtime errors. The training loop is incomplete and does not plot the losses and accuracy. The bonus task is not attempted.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4" t="n">
        <v>0</v>
      </c>
      <c r="AD44" t="inlineStr">
        <is>
          <t>The student's submission does not run correctly due to several issues. The dataset class is incorrectly implemented, leading to errors in data loading. The model definition uses 'efficientnet-b0' instead of 'efficientnet-b1' as specified. The loss function is incorrectly defined as BCEWithLogitsLoss instead of CrossEntropyLoss, which is inappropriate for multi-class segmentation. Additionally, the training and validation loops do not handle the data correctly, and the visualization code is incomplete. These issues prevent the code from running end-to-end, resulting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 t="n">
        <v>0</v>
      </c>
      <c r="AF44" t="n">
        <v>0</v>
      </c>
      <c r="AG44" t="inlineStr">
        <is>
          <t>No submission found.</t>
        </is>
      </c>
      <c r="AH44" t="n">
        <v>0</v>
      </c>
      <c r="AI44" t="n">
        <v>0</v>
      </c>
    </row>
    <row r="45">
      <c r="A45" t="n">
        <v>44</v>
      </c>
      <c r="B45" t="inlineStr">
        <is>
          <t>TA_1</t>
        </is>
      </c>
      <c r="C45" t="inlineStr">
        <is>
          <t>TA_11</t>
        </is>
      </c>
      <c r="D45" t="n">
        <v>12</v>
      </c>
      <c r="E45" t="n">
        <v>0</v>
      </c>
      <c r="F45" t="n">
        <v>11</v>
      </c>
      <c r="G45" t="n">
        <v>0</v>
      </c>
      <c r="H45" t="n">
        <v>12</v>
      </c>
      <c r="I45" t="n">
        <v>0</v>
      </c>
      <c r="J45" t="n">
        <v>12</v>
      </c>
      <c r="K45" t="n">
        <v>0</v>
      </c>
      <c r="L45" t="n">
        <v>11</v>
      </c>
      <c r="M45" t="n">
        <v>0</v>
      </c>
      <c r="N45" t="n">
        <v>11</v>
      </c>
      <c r="O45" t="n">
        <v>0</v>
      </c>
      <c r="P45">
        <f>Table1[[#This Row],[TA 1 - Q1 Score]]+Table1[[#This Row],[TA 1 - Q2 Score]]+Table1[[#This Row],[TA 1 - Q3 Score]]</f>
        <v/>
      </c>
      <c r="Q45">
        <f>Table1[[#This Row],[TA 1 - Q1 Bonus]]+Table1[[#This Row],[TA 1 - Q2 Bonus]]+Table1[[#This Row],[TA 1 - Q4 Bonus]]</f>
        <v/>
      </c>
      <c r="R45">
        <f>Table1[[#This Row],[TA 2 - Q1 Score]]+Table1[[#This Row],[TA 2 - Q2 Score]]+Table1[[#This Row],[TA 2 - Q3 Score]]</f>
        <v/>
      </c>
      <c r="S45">
        <f>Table1[[#This Row],[TA 2 - Q1 Bonus]]+Table1[[#This Row],[TA 2 - Q2 Bonus]]+Table1[[#This Row],[TA 2 - Q4 Bonus]]</f>
        <v/>
      </c>
      <c r="T45">
        <f>(Table1[[#This Row],[TA 1 - Total Score (out of 35)]]+Table1[[#This Row],[TA 2 - Total Score (out of 35)]])/2</f>
        <v/>
      </c>
      <c r="U45">
        <f>(Table1[[#This Row],[TA 1 - Total Bonus (out of 13)]]+Table1[[#This Row],[TA 2 - Total Bonus (out of 13)]])/2</f>
        <v/>
      </c>
      <c r="V45">
        <f>Table1[[#This Row],[Average Questions]]/35*20+Table1[[#This Row],[Average Bonus]]/13*5</f>
        <v/>
      </c>
      <c r="W45" t="n">
        <v>0</v>
      </c>
      <c r="X45" t="n">
        <v>0</v>
      </c>
      <c r="Y45" t="inlineStr">
        <is>
          <t>The student's submission does not run correctly due to several issues. The DataLoader creation is incomplete, and the training and validation loops contain errors. Additionally, the student did not implement the bonus task for Test Time Augmentation.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5" t="n">
        <v>6</v>
      </c>
      <c r="AA45" t="n">
        <v>0</v>
      </c>
      <c r="AB45" t="inlineStr">
        <is>
          <t>The student correctly implemented the dataset class and displayed sample images with labels. However, the student did not correctly implement the transforms for resizing to 32x32 and used incorrect pooling layers in the CNN model, which caused the model to not run correctly. The training and validation functions were not implemented correctly, leading to a failure in training the model and plotting the losses and accuracy. The bonus task was not attempted.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2.0/?
- Task 1: Training loop function: 0.0/?
- Task 2: Validation loop function: 0.0/?
- Task 1: Set up device, model, loss, optimizer: 1.0/?
- Task 2: Train the model: 0.0/?
- Task 3: Plot losses and accuracy: 0.0/?
- Bonus Task: Defined residual connection correctly: 0.0/?
- Bonus Task: Retrain + Plot losses and accuracy: 0.0/?</t>
        </is>
      </c>
      <c r="AC45" t="n">
        <v>0</v>
      </c>
      <c r="AD45" t="inlineStr">
        <is>
          <t>The student's submission does not run correctly due to several issues. The dataset class is incomplete and does not correctly handle the dataset paths. The model definition uses 'efficientnet-b1' instead of 'efficientnet-b0' as specified. The training and validation loops are present but do not run correctly due to errors in the dataset handling and model definition. The visualization of predictions is attempted but fails due to the previous errors. Therefore, no points are awarded for any task as the code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5" t="n">
        <v>0</v>
      </c>
      <c r="AF45" t="n">
        <v>0</v>
      </c>
      <c r="AG45" t="inlineStr">
        <is>
          <t>No submission found.</t>
        </is>
      </c>
      <c r="AH45" t="n">
        <v>6</v>
      </c>
      <c r="AI45" t="n">
        <v>0</v>
      </c>
    </row>
    <row r="46">
      <c r="A46" t="n">
        <v>45</v>
      </c>
      <c r="B46" t="inlineStr">
        <is>
          <t>TA_1</t>
        </is>
      </c>
      <c r="C46" t="inlineStr">
        <is>
          <t>TA_11</t>
        </is>
      </c>
      <c r="D46" t="n">
        <v>7.5</v>
      </c>
      <c r="E46" t="n">
        <v>0</v>
      </c>
      <c r="F46" t="n">
        <v>7</v>
      </c>
      <c r="G46" t="n">
        <v>3</v>
      </c>
      <c r="H46" t="n">
        <v>7</v>
      </c>
      <c r="I46" t="n">
        <v>0</v>
      </c>
      <c r="J46" t="n">
        <v>8</v>
      </c>
      <c r="K46" t="n">
        <v>2</v>
      </c>
      <c r="L46" t="n">
        <v>8</v>
      </c>
      <c r="M46" t="n">
        <v>0</v>
      </c>
      <c r="N46" t="n">
        <v>5</v>
      </c>
      <c r="O46" t="n">
        <v>0</v>
      </c>
      <c r="P46">
        <f>Table1[[#This Row],[TA 1 - Q1 Score]]+Table1[[#This Row],[TA 1 - Q2 Score]]+Table1[[#This Row],[TA 1 - Q3 Score]]</f>
        <v/>
      </c>
      <c r="Q46">
        <f>Table1[[#This Row],[TA 1 - Q1 Bonus]]+Table1[[#This Row],[TA 1 - Q2 Bonus]]+Table1[[#This Row],[TA 1 - Q4 Bonus]]</f>
        <v/>
      </c>
      <c r="R46">
        <f>Table1[[#This Row],[TA 2 - Q1 Score]]+Table1[[#This Row],[TA 2 - Q2 Score]]+Table1[[#This Row],[TA 2 - Q3 Score]]</f>
        <v/>
      </c>
      <c r="S46">
        <f>Table1[[#This Row],[TA 2 - Q1 Bonus]]+Table1[[#This Row],[TA 2 - Q2 Bonus]]+Table1[[#This Row],[TA 2 - Q4 Bonus]]</f>
        <v/>
      </c>
      <c r="T46">
        <f>(Table1[[#This Row],[TA 1 - Total Score (out of 35)]]+Table1[[#This Row],[TA 2 - Total Score (out of 35)]])/2</f>
        <v/>
      </c>
      <c r="U46">
        <f>(Table1[[#This Row],[TA 1 - Total Bonus (out of 13)]]+Table1[[#This Row],[TA 2 - Total Bonus (out of 13)]])/2</f>
        <v/>
      </c>
      <c r="V46">
        <f>Table1[[#This Row],[Average Questions]]/35*20+Table1[[#This Row],[Average Bonus]]/13*5</f>
        <v/>
      </c>
      <c r="W46" t="n">
        <v>0</v>
      </c>
      <c r="X46" t="n">
        <v>0</v>
      </c>
      <c r="Y46" t="inlineStr">
        <is>
          <t>The student's submission contains several critical errors that prevent the code from running correctly. The transforms include an incorrect custom module (SubtractOne) that is not defined correctly and is placed in the wrong order. The DataLoaders are created but the display of sample images is incorrect due to the improper handling of the transforms. The model loading and adaptation steps are flawed, as the backbone is incorrectly frozen and the classifier head is not replaced correctly. The training and validation loops are incomplete and do not handle label adjustments correctly. The training setup and plotting functions are present but do not run correctly due to the previous errors. The bonus task for Test Time Augmentation is attempted but contains logical errors in averaging the predictions. Overall, the submission does not meet the requirements for any of the tasks, resulting in a score of 0.0.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6" t="n">
        <v>0</v>
      </c>
      <c r="AA46" t="n">
        <v>0</v>
      </c>
      <c r="AB46" t="inlineStr">
        <is>
          <t>The student's submission does not run correctly due to several issues. The transformations applied to the images are incorrect, as the resizing is set to 32x32 instead of 128x128. The CNN model class does not follow the specified architecture with 5 convolutional layers and correct batch normalization. The training and validation functions are incorrectly implemented, leading to errors in the training process. Additionally, the residual connection implementation is flawed and does not follow the required specifications.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6" t="n">
        <v>0</v>
      </c>
      <c r="AD46" t="inlineStr">
        <is>
          <t>The student's submission does not run end-to-end due to multiple issues. The dataset class is incomplete and contains errors, such as missing transformations and incorrect paths. The DataLoaders are not created correctly, and there is no display of sample images and masks. The model definition uses the wrong encoder, and the training and validation loops are not correctly implemented. Additionally, the loss and optimizer are defined incorrectly, and the training process does not run as expected. The visualization of predictions is also missing.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6" t="n">
        <v>0</v>
      </c>
      <c r="AF46" t="n">
        <v>0</v>
      </c>
      <c r="AG46" t="inlineStr">
        <is>
          <t>No submission found.</t>
        </is>
      </c>
      <c r="AH46" t="n">
        <v>0</v>
      </c>
      <c r="AI46" t="n">
        <v>0</v>
      </c>
    </row>
    <row r="47">
      <c r="A47" t="n">
        <v>46</v>
      </c>
      <c r="B47" t="inlineStr">
        <is>
          <t>TA_1</t>
        </is>
      </c>
      <c r="C47" t="inlineStr">
        <is>
          <t>TA_11</t>
        </is>
      </c>
      <c r="D47" t="n">
        <v>6</v>
      </c>
      <c r="E47" t="n">
        <v>0</v>
      </c>
      <c r="F47" t="n">
        <v>10</v>
      </c>
      <c r="G47" t="n">
        <v>0</v>
      </c>
      <c r="H47" t="n">
        <v>4</v>
      </c>
      <c r="I47" t="n">
        <v>0</v>
      </c>
      <c r="J47" t="n">
        <v>6.75</v>
      </c>
      <c r="K47" t="n">
        <v>0</v>
      </c>
      <c r="L47" t="n">
        <v>8.5</v>
      </c>
      <c r="M47" t="n">
        <v>0</v>
      </c>
      <c r="N47" t="n">
        <v>5.25</v>
      </c>
      <c r="O47" t="n">
        <v>0</v>
      </c>
      <c r="P47">
        <f>Table1[[#This Row],[TA 1 - Q1 Score]]+Table1[[#This Row],[TA 1 - Q2 Score]]+Table1[[#This Row],[TA 1 - Q3 Score]]</f>
        <v/>
      </c>
      <c r="Q47">
        <f>Table1[[#This Row],[TA 1 - Q1 Bonus]]+Table1[[#This Row],[TA 1 - Q2 Bonus]]+Table1[[#This Row],[TA 1 - Q4 Bonus]]</f>
        <v/>
      </c>
      <c r="R47">
        <f>Table1[[#This Row],[TA 2 - Q1 Score]]+Table1[[#This Row],[TA 2 - Q2 Score]]+Table1[[#This Row],[TA 2 - Q3 Score]]</f>
        <v/>
      </c>
      <c r="S47">
        <f>Table1[[#This Row],[TA 2 - Q1 Bonus]]+Table1[[#This Row],[TA 2 - Q2 Bonus]]+Table1[[#This Row],[TA 2 - Q4 Bonus]]</f>
        <v/>
      </c>
      <c r="T47">
        <f>(Table1[[#This Row],[TA 1 - Total Score (out of 35)]]+Table1[[#This Row],[TA 2 - Total Score (out of 35)]])/2</f>
        <v/>
      </c>
      <c r="U47">
        <f>(Table1[[#This Row],[TA 1 - Total Bonus (out of 13)]]+Table1[[#This Row],[TA 2 - Total Bonus (out of 13)]])/2</f>
        <v/>
      </c>
      <c r="V47">
        <f>Table1[[#This Row],[Average Questions]]/35*20+Table1[[#This Row],[Average Bonus]]/13*5</f>
        <v/>
      </c>
      <c r="W47" t="n">
        <v>0</v>
      </c>
      <c r="X47" t="n">
        <v>0</v>
      </c>
      <c r="Y47" t="inlineStr">
        <is>
          <t>The student's submission does not run end-to-end due to multiple issues. The transforms are incomplete, the classifier head is not correctly replaced, and the training and validation loops are not correctly implemented. Additionally, the student did not attempt the bonus task.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7" t="n">
        <v>0</v>
      </c>
      <c r="AA47" t="n">
        <v>0</v>
      </c>
      <c r="AB47" t="inlineStr">
        <is>
          <t>The student's submission does not run correctly due to several issues. The transformations do not resize the images to 32x32 as required, and the model architecture does not match the specified requirements. Additionally, the training and validation functions contain errors, and the plotting code is incomplete. The bonus task is also not attempted.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7" t="n">
        <v>0</v>
      </c>
      <c r="AD47" t="inlineStr">
        <is>
          <t>The student's submission is incomplete and does not run end-to-end. The dataset class is partially defined but lacks necessary transformations and paths to the images. The DataLoaders are incorrectly set up with undefined variables. The model definition uses the wrong encoder and the number of classes is incorrect. The training and validation loops are defined but contain errors and do not run correctly. The training process is attempted but fails due to previous errors. The visualization of predictions is not implemented. Overall, the submission does not meet the requirements of the rubric and does not run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7" t="n">
        <v>0</v>
      </c>
      <c r="AF47" t="n">
        <v>0</v>
      </c>
      <c r="AG47" t="inlineStr">
        <is>
          <t>No submission found.</t>
        </is>
      </c>
      <c r="AH47" t="n">
        <v>0</v>
      </c>
      <c r="AI47" t="n">
        <v>0</v>
      </c>
    </row>
    <row r="48">
      <c r="A48" t="n">
        <v>47</v>
      </c>
      <c r="B48" t="inlineStr">
        <is>
          <t>TA_1</t>
        </is>
      </c>
      <c r="C48" t="inlineStr">
        <is>
          <t>TA_11</t>
        </is>
      </c>
      <c r="D48" t="n">
        <v>12</v>
      </c>
      <c r="E48" t="n">
        <v>0</v>
      </c>
      <c r="F48" t="n">
        <v>11</v>
      </c>
      <c r="G48" t="n">
        <v>0</v>
      </c>
      <c r="H48" t="n">
        <v>6</v>
      </c>
      <c r="I48" t="n">
        <v>0</v>
      </c>
      <c r="J48" t="n">
        <v>9.25</v>
      </c>
      <c r="K48" t="n">
        <v>0</v>
      </c>
      <c r="L48" t="n">
        <v>11</v>
      </c>
      <c r="M48" t="n">
        <v>0</v>
      </c>
      <c r="N48" t="n">
        <v>1</v>
      </c>
      <c r="O48" t="n">
        <v>0</v>
      </c>
      <c r="P48">
        <f>Table1[[#This Row],[TA 1 - Q1 Score]]+Table1[[#This Row],[TA 1 - Q2 Score]]+Table1[[#This Row],[TA 1 - Q3 Score]]</f>
        <v/>
      </c>
      <c r="Q48">
        <f>Table1[[#This Row],[TA 1 - Q1 Bonus]]+Table1[[#This Row],[TA 1 - Q2 Bonus]]+Table1[[#This Row],[TA 1 - Q4 Bonus]]</f>
        <v/>
      </c>
      <c r="R48">
        <f>Table1[[#This Row],[TA 2 - Q1 Score]]+Table1[[#This Row],[TA 2 - Q2 Score]]+Table1[[#This Row],[TA 2 - Q3 Score]]</f>
        <v/>
      </c>
      <c r="S48">
        <f>Table1[[#This Row],[TA 2 - Q1 Bonus]]+Table1[[#This Row],[TA 2 - Q2 Bonus]]+Table1[[#This Row],[TA 2 - Q4 Bonus]]</f>
        <v/>
      </c>
      <c r="T48">
        <f>(Table1[[#This Row],[TA 1 - Total Score (out of 35)]]+Table1[[#This Row],[TA 2 - Total Score (out of 35)]])/2</f>
        <v/>
      </c>
      <c r="U48">
        <f>(Table1[[#This Row],[TA 1 - Total Bonus (out of 13)]]+Table1[[#This Row],[TA 2 - Total Bonus (out of 13)]])/2</f>
        <v/>
      </c>
      <c r="V48">
        <f>Table1[[#This Row],[Average Questions]]/35*20+Table1[[#This Row],[Average Bonus]]/13*5</f>
        <v/>
      </c>
      <c r="W48" t="n">
        <v>0</v>
      </c>
      <c r="X48" t="n">
        <v>0</v>
      </c>
      <c r="Y48" t="inlineStr">
        <is>
          <t>The student's submission does not run end-to-end due to missing code for displaying sample images, setting up the device, model, loss, and optimizer, and training the model. Additionally, the student did not implement the bonus task for Test Time Augmentation.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8" t="n">
        <v>0</v>
      </c>
      <c r="AA48" t="n">
        <v>0</v>
      </c>
      <c r="AB48" t="inlineStr">
        <is>
          <t>The student's submission does not run correctly due to several issues. The dataset class is incorrectly implemented, leading to errors in data loading. The CNN model does not have the required 5 convolutional layers and lacks proper batch normalization. The training and validation functions are incomplete and do not follow the required structure.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8" t="n">
        <v>0.5</v>
      </c>
      <c r="AD48" t="inlineStr">
        <is>
          <t>The student's submission is incomplete and does not run end-to-end. The dataset class is partially implemented but contains errors, such as using the same path for both images and masks. The student did not complete the DataLoader creation or the model definition. The training and validation loops, as well as the visualization of predictions, are missing. The only completed task is the display of sample images and masks, which is awarded 0.5 points for partial completion.
Breakdown:
- Build custom dataset class for images and masks: 0.0/?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48" t="n">
        <v>0</v>
      </c>
      <c r="AF48" t="n">
        <v>0</v>
      </c>
      <c r="AG48" t="inlineStr">
        <is>
          <t>No submission found.</t>
        </is>
      </c>
      <c r="AH48" t="n">
        <v>0.5</v>
      </c>
      <c r="AI48" t="n">
        <v>0</v>
      </c>
    </row>
    <row r="49">
      <c r="A49" t="n">
        <v>48</v>
      </c>
      <c r="B49" t="inlineStr">
        <is>
          <t>TA_1</t>
        </is>
      </c>
      <c r="C49" t="inlineStr">
        <is>
          <t>TA_11</t>
        </is>
      </c>
      <c r="D49" t="n">
        <v>12</v>
      </c>
      <c r="E49" t="n">
        <v>3</v>
      </c>
      <c r="F49" t="n">
        <v>11</v>
      </c>
      <c r="G49" t="n">
        <v>0</v>
      </c>
      <c r="H49" t="n">
        <v>12</v>
      </c>
      <c r="I49" t="n">
        <v>0</v>
      </c>
      <c r="J49" t="n">
        <v>12</v>
      </c>
      <c r="K49" t="n">
        <v>3</v>
      </c>
      <c r="L49" t="n">
        <v>9.5</v>
      </c>
      <c r="M49" t="n">
        <v>0</v>
      </c>
      <c r="N49" t="n">
        <v>12</v>
      </c>
      <c r="O49" t="n">
        <v>0</v>
      </c>
      <c r="P49">
        <f>Table1[[#This Row],[TA 1 - Q1 Score]]+Table1[[#This Row],[TA 1 - Q2 Score]]+Table1[[#This Row],[TA 1 - Q3 Score]]</f>
        <v/>
      </c>
      <c r="Q49">
        <f>Table1[[#This Row],[TA 1 - Q1 Bonus]]+Table1[[#This Row],[TA 1 - Q2 Bonus]]+Table1[[#This Row],[TA 1 - Q4 Bonus]]</f>
        <v/>
      </c>
      <c r="R49">
        <f>Table1[[#This Row],[TA 2 - Q1 Score]]+Table1[[#This Row],[TA 2 - Q2 Score]]+Table1[[#This Row],[TA 2 - Q3 Score]]</f>
        <v/>
      </c>
      <c r="S49">
        <f>Table1[[#This Row],[TA 2 - Q1 Bonus]]+Table1[[#This Row],[TA 2 - Q2 Bonus]]+Table1[[#This Row],[TA 2 - Q4 Bonus]]</f>
        <v/>
      </c>
      <c r="T49">
        <f>(Table1[[#This Row],[TA 1 - Total Score (out of 35)]]+Table1[[#This Row],[TA 2 - Total Score (out of 35)]])/2</f>
        <v/>
      </c>
      <c r="U49">
        <f>(Table1[[#This Row],[TA 1 - Total Bonus (out of 13)]]+Table1[[#This Row],[TA 2 - Total Bonus (out of 13)]])/2</f>
        <v/>
      </c>
      <c r="V49">
        <f>Table1[[#This Row],[Average Questions]]/35*20+Table1[[#This Row],[Average Bonus]]/13*5</f>
        <v/>
      </c>
      <c r="W49" t="n">
        <v>0</v>
      </c>
      <c r="X49" t="n">
        <v>0</v>
      </c>
      <c r="Y49" t="inlineStr">
        <is>
          <t>The student's submission does not run correctly due to multiple issues. The transforms are incomplete, the DataLoaders are not created correctly, and the model training and validation loops contain errors. The bonus task for Test Time Augmentation is also incorrect and does not run.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9" t="n">
        <v>0</v>
      </c>
      <c r="AA49" t="n">
        <v>0</v>
      </c>
      <c r="AB49" t="inlineStr">
        <is>
          <t>The student's submission does not follow the rubric correctly. The student used a different model architecture (AlexNet32) instead of the required CNN model with 5 convolutional layers. Additionally, the student did not implement the required transforms (RandomRotation, Resize to 32x32) correctly and did not display sample images with labels. The training and validation functions are incorrect as they use softmax instead of the required cross-entropy loss. The student also did not implement the residual connection correctly and did not retrain the model with the residual connection.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9" t="n">
        <v>0</v>
      </c>
      <c r="AD49" t="inlineStr">
        <is>
          <t>The student's submission does not run correctly due to several issues. The dataset class is incomplete and does not correctly load images and masks. The DataLoader creation is incorrect, and the model definition uses the wrong encoder. The training and validation loops are not correctly implemented, and the loss and optimizer are not defined properly. As a result, the model cannot be trained or evaluated, and the visualizations are incorrect.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9" t="n">
        <v>0</v>
      </c>
      <c r="AF49" t="n">
        <v>0</v>
      </c>
      <c r="AG49" t="inlineStr">
        <is>
          <t>No submission found.</t>
        </is>
      </c>
      <c r="AH49" t="n">
        <v>0</v>
      </c>
      <c r="AI49" t="n">
        <v>0</v>
      </c>
    </row>
    <row r="50">
      <c r="A50" t="n">
        <v>49</v>
      </c>
      <c r="B50" t="inlineStr">
        <is>
          <t>TA_1</t>
        </is>
      </c>
      <c r="C50" t="inlineStr">
        <is>
          <t>TA_11</t>
        </is>
      </c>
      <c r="D50" t="n">
        <v>6</v>
      </c>
      <c r="E50" t="n">
        <v>0</v>
      </c>
      <c r="F50" t="n">
        <v>2</v>
      </c>
      <c r="G50" t="n">
        <v>0</v>
      </c>
      <c r="H50" t="n">
        <v>5</v>
      </c>
      <c r="I50" t="n">
        <v>0</v>
      </c>
      <c r="J50" t="n">
        <v>5</v>
      </c>
      <c r="K50" t="n">
        <v>0</v>
      </c>
      <c r="L50" t="n">
        <v>0.5</v>
      </c>
      <c r="M50" t="n">
        <v>0</v>
      </c>
      <c r="N50" t="n">
        <v>-2</v>
      </c>
      <c r="O50" t="n">
        <v>0</v>
      </c>
      <c r="P50">
        <f>Table1[[#This Row],[TA 1 - Q1 Score]]+Table1[[#This Row],[TA 1 - Q2 Score]]+Table1[[#This Row],[TA 1 - Q3 Score]]</f>
        <v/>
      </c>
      <c r="Q50">
        <f>Table1[[#This Row],[TA 1 - Q1 Bonus]]+Table1[[#This Row],[TA 1 - Q2 Bonus]]+Table1[[#This Row],[TA 1 - Q4 Bonus]]</f>
        <v/>
      </c>
      <c r="R50">
        <f>Table1[[#This Row],[TA 2 - Q1 Score]]+Table1[[#This Row],[TA 2 - Q2 Score]]+Table1[[#This Row],[TA 2 - Q3 Score]]</f>
        <v/>
      </c>
      <c r="S50">
        <f>Table1[[#This Row],[TA 2 - Q1 Bonus]]+Table1[[#This Row],[TA 2 - Q2 Bonus]]+Table1[[#This Row],[TA 2 - Q4 Bonus]]</f>
        <v/>
      </c>
      <c r="T50">
        <f>(Table1[[#This Row],[TA 1 - Total Score (out of 35)]]+Table1[[#This Row],[TA 2 - Total Score (out of 35)]])/2</f>
        <v/>
      </c>
      <c r="U50">
        <f>(Table1[[#This Row],[TA 1 - Total Bonus (out of 13)]]+Table1[[#This Row],[TA 2 - Total Bonus (out of 13)]])/2</f>
        <v/>
      </c>
      <c r="V50">
        <f>Table1[[#This Row],[Average Questions]]/35*20+Table1[[#This Row],[Average Bonus]]/13*5</f>
        <v/>
      </c>
      <c r="W50" t="n">
        <v>0</v>
      </c>
      <c r="X50" t="n">
        <v>0</v>
      </c>
      <c r="Y50" t="inlineStr">
        <is>
          <t>The student's submission does not run correctly due to several issues. The transforms are not correctly applied, the DataLoaders are not created properly, and the model is not correctly set up for training. Additionally, the training and validation loops are incorrect, and the plots for training and validation losses and accuracies are missing. The bonus task for Test Time Augmentation is also not implemented correctly.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0" t="n">
        <v>0</v>
      </c>
      <c r="AA50" t="n">
        <v>0</v>
      </c>
      <c r="AB50" t="inlineStr">
        <is>
          <t>The student's submission is incomplete and does not address any of the required tasks. There is no code for loading and preparing the data, building the CNN model, training and validation functions, or training the model. Additionally, the student did not attempt the bonus task. Therefore, the score is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50" t="n">
        <v>0</v>
      </c>
      <c r="AD50" t="inlineStr">
        <is>
          <t>The student's submission deviates significantly from the rubric. The dataset class is incorrectly implemented, using a CSV file for metadata instead of directly loading images and masks from directories. The model class uses 'efficientnet-b0' instead of 'efficientnet-b1' as specified, and the loss function is incorrectly defined for binary segmentation instead of multi-class segmentation. The training and validation loops are present but will not run correctly due to the incorrect model and loss function definitions. Additionally, the student did not implement the plotting of the loss curve or the visualization of predictions. The submission does not run end-to-end and contains multiple critical errors, resulting in a score of 0.0.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50" t="n">
        <v>0</v>
      </c>
      <c r="AF50" t="n">
        <v>0</v>
      </c>
      <c r="AG50" t="inlineStr">
        <is>
          <t>No submission found.</t>
        </is>
      </c>
      <c r="AH50" t="n">
        <v>0</v>
      </c>
      <c r="AI50" t="n">
        <v>0</v>
      </c>
    </row>
    <row r="51">
      <c r="A51" t="n">
        <v>50</v>
      </c>
      <c r="B51" t="inlineStr">
        <is>
          <t>TA_1</t>
        </is>
      </c>
      <c r="C51" t="inlineStr">
        <is>
          <t>TA_11</t>
        </is>
      </c>
      <c r="D51" t="n">
        <v>12</v>
      </c>
      <c r="E51" t="n">
        <v>4</v>
      </c>
      <c r="F51" t="n">
        <v>11</v>
      </c>
      <c r="G51" t="n">
        <v>0</v>
      </c>
      <c r="H51" t="n">
        <v>11</v>
      </c>
      <c r="I51" t="n">
        <v>0</v>
      </c>
      <c r="J51" t="n">
        <v>9.5</v>
      </c>
      <c r="K51" t="n">
        <v>0</v>
      </c>
      <c r="L51" t="n">
        <v>5</v>
      </c>
      <c r="M51" t="n">
        <v>0</v>
      </c>
      <c r="N51" t="n">
        <v>11.5</v>
      </c>
      <c r="O51" t="n">
        <v>0</v>
      </c>
      <c r="P51">
        <f>Table1[[#This Row],[TA 1 - Q1 Score]]+Table1[[#This Row],[TA 1 - Q2 Score]]+Table1[[#This Row],[TA 1 - Q3 Score]]</f>
        <v/>
      </c>
      <c r="Q51">
        <f>Table1[[#This Row],[TA 1 - Q1 Bonus]]+Table1[[#This Row],[TA 1 - Q2 Bonus]]+Table1[[#This Row],[TA 1 - Q4 Bonus]]</f>
        <v/>
      </c>
      <c r="R51">
        <f>Table1[[#This Row],[TA 2 - Q1 Score]]+Table1[[#This Row],[TA 2 - Q2 Score]]+Table1[[#This Row],[TA 2 - Q3 Score]]</f>
        <v/>
      </c>
      <c r="S51">
        <f>Table1[[#This Row],[TA 2 - Q1 Bonus]]+Table1[[#This Row],[TA 2 - Q2 Bonus]]+Table1[[#This Row],[TA 2 - Q4 Bonus]]</f>
        <v/>
      </c>
      <c r="T51">
        <f>(Table1[[#This Row],[TA 1 - Total Score (out of 35)]]+Table1[[#This Row],[TA 2 - Total Score (out of 35)]])/2</f>
        <v/>
      </c>
      <c r="U51">
        <f>(Table1[[#This Row],[TA 1 - Total Bonus (out of 13)]]+Table1[[#This Row],[TA 2 - Total Bonus (out of 13)]])/2</f>
        <v/>
      </c>
      <c r="V51">
        <f>Table1[[#This Row],[Average Questions]]/35*20+Table1[[#This Row],[Average Bonus]]/13*5</f>
        <v/>
      </c>
      <c r="W51" t="n">
        <v>0</v>
      </c>
      <c r="X51" t="n">
        <v>0</v>
      </c>
      <c r="Y51" t="inlineStr">
        <is>
          <t>The student's submission does not run end-to-end due to multiple issues. The data loading and preprocessing steps are incomplete and incorrect, leading to errors in subsequent tasks. The model setup and training loops contain significant errors, and the plotting code is missing. Additionally, the bonus task for Test Time Augmentation is not attempted.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1" t="n">
        <v>0</v>
      </c>
      <c r="AA51" t="n">
        <v>0</v>
      </c>
      <c r="AB51" t="inlineStr">
        <is>
          <t>The student's submission does not include any code for loading and preparing the data, building the CNN model, or training and validation functions. The code provided does not address the tasks specified in the rubric, resulting in a score of 0.0 for all tasks. The student did not attempt to implement the required transformations, display sample images, or define the CNN model with the specified layers and batch normalization. Additionally, there is no code for the training and validation loops, setting up the device, model, loss, and optimizer, or plotting the losses and accuracy. The bonus task for residual connection is also not attempted.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1" t="n">
        <v>0</v>
      </c>
      <c r="AD51" t="inlineStr">
        <is>
          <t>The student's submission does not run correctly due to several issues. The dataset class is incorrectly implemented, leading to errors in data loading. The model definition and training loops are incomplete or incorrect, resulting in a non-functional training process. The visualization of predictions is also missing or incorrect. Therefore, no points are awarded for any task as the code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1" t="n">
        <v>0</v>
      </c>
      <c r="AF51" t="n">
        <v>0</v>
      </c>
      <c r="AG51" t="inlineStr">
        <is>
          <t>No submission found.</t>
        </is>
      </c>
      <c r="AH51" t="n">
        <v>0</v>
      </c>
      <c r="AI51" t="n">
        <v>0</v>
      </c>
    </row>
    <row r="52">
      <c r="A52" t="n">
        <v>51</v>
      </c>
      <c r="B52" t="inlineStr">
        <is>
          <t>TA_1</t>
        </is>
      </c>
      <c r="C52" t="inlineStr">
        <is>
          <t>TA_11</t>
        </is>
      </c>
      <c r="D52" t="n">
        <v>10.5</v>
      </c>
      <c r="E52" t="n">
        <v>0</v>
      </c>
      <c r="F52" t="n">
        <v>9</v>
      </c>
      <c r="G52" t="n">
        <v>0</v>
      </c>
      <c r="H52" t="n">
        <v>12</v>
      </c>
      <c r="I52" t="n">
        <v>0</v>
      </c>
      <c r="J52" t="n">
        <v>11</v>
      </c>
      <c r="K52" t="n">
        <v>0</v>
      </c>
      <c r="L52" t="n">
        <v>8.5</v>
      </c>
      <c r="M52" t="n">
        <v>0</v>
      </c>
      <c r="N52" t="n">
        <v>11</v>
      </c>
      <c r="O52" t="n">
        <v>0</v>
      </c>
      <c r="P52">
        <f>Table1[[#This Row],[TA 1 - Q1 Score]]+Table1[[#This Row],[TA 1 - Q2 Score]]+Table1[[#This Row],[TA 1 - Q3 Score]]</f>
        <v/>
      </c>
      <c r="Q52">
        <f>Table1[[#This Row],[TA 1 - Q1 Bonus]]+Table1[[#This Row],[TA 1 - Q2 Bonus]]+Table1[[#This Row],[TA 1 - Q4 Bonus]]</f>
        <v/>
      </c>
      <c r="R52">
        <f>Table1[[#This Row],[TA 2 - Q1 Score]]+Table1[[#This Row],[TA 2 - Q2 Score]]+Table1[[#This Row],[TA 2 - Q3 Score]]</f>
        <v/>
      </c>
      <c r="S52">
        <f>Table1[[#This Row],[TA 2 - Q1 Bonus]]+Table1[[#This Row],[TA 2 - Q2 Bonus]]+Table1[[#This Row],[TA 2 - Q4 Bonus]]</f>
        <v/>
      </c>
      <c r="T52">
        <f>(Table1[[#This Row],[TA 1 - Total Score (out of 35)]]+Table1[[#This Row],[TA 2 - Total Score (out of 35)]])/2</f>
        <v/>
      </c>
      <c r="U52">
        <f>(Table1[[#This Row],[TA 1 - Total Bonus (out of 13)]]+Table1[[#This Row],[TA 2 - Total Bonus (out of 13)]])/2</f>
        <v/>
      </c>
      <c r="V52">
        <f>Table1[[#This Row],[Average Questions]]/35*20+Table1[[#This Row],[Average Bonus]]/13*5</f>
        <v/>
      </c>
      <c r="W52" t="n">
        <v>0</v>
      </c>
      <c r="X52" t="n">
        <v>0</v>
      </c>
      <c r="Y52" t="inlineStr">
        <is>
          <t>The student's submission does not run end-to-end due to several critical issues. The transforms are incomplete, the DataLoaders are incorrectly named, and the model training and validation loops contain errors. Additionally, the student did not plot the training and validation losses or accuracies, and the bonus task for Test Time Augmentation (TTA) is missing.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2" t="n">
        <v>0</v>
      </c>
      <c r="AA52" t="n">
        <v>0</v>
      </c>
      <c r="AB52" t="inlineStr">
        <is>
          <t>The student's submission does not run correctly due to several issues. The dataset transformations do not match the rubric (e.g., incorrect resize dimensions and normalization). The CNN model does not follow the specified architecture, lacking the required number of convolutional layers and batch normalization. The training and validation functions are incorrectly implemented, leading to errors in the training process.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2" t="n">
        <v>0</v>
      </c>
      <c r="AD52" t="inlineStr">
        <is>
          <t>The student's submission does not run correctly due to several issues. The dataset class is incorrectly implemented, leading to errors in data loading. The model definition uses 'efficientnet-b1' instead of 'efficientnet-b0' as specified. The training and validation loops are present but do not run correctly due to the dataset issues. The loss and optimizer are defined correctly, but the training process fails due to the dataset errors. The visualization of predictions is attempted but fails due to the overall issues in the code. Therefore, no points are awarded for any task as the code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2" t="n">
        <v>0</v>
      </c>
      <c r="AF52" t="n">
        <v>0</v>
      </c>
      <c r="AG52" t="inlineStr">
        <is>
          <t>No submission found.</t>
        </is>
      </c>
      <c r="AH52" t="n">
        <v>0</v>
      </c>
      <c r="AI52" t="n">
        <v>0</v>
      </c>
    </row>
    <row r="53">
      <c r="A53" t="n">
        <v>52</v>
      </c>
      <c r="B53" t="inlineStr">
        <is>
          <t>TA_1</t>
        </is>
      </c>
      <c r="C53" t="inlineStr">
        <is>
          <t>TA_11</t>
        </is>
      </c>
      <c r="D53" t="n">
        <v>8</v>
      </c>
      <c r="E53" t="n">
        <v>0</v>
      </c>
      <c r="F53" t="n">
        <v>9</v>
      </c>
      <c r="G53" t="n">
        <v>0</v>
      </c>
      <c r="H53" t="n">
        <v>4</v>
      </c>
      <c r="I53" t="n">
        <v>0</v>
      </c>
      <c r="J53" t="n">
        <v>8.5</v>
      </c>
      <c r="K53" t="n">
        <v>0</v>
      </c>
      <c r="L53" t="n">
        <v>9</v>
      </c>
      <c r="M53" t="n">
        <v>0</v>
      </c>
      <c r="N53" t="n">
        <v>6.5</v>
      </c>
      <c r="O53" t="n">
        <v>0</v>
      </c>
      <c r="P53">
        <f>Table1[[#This Row],[TA 1 - Q1 Score]]+Table1[[#This Row],[TA 1 - Q2 Score]]+Table1[[#This Row],[TA 1 - Q3 Score]]</f>
        <v/>
      </c>
      <c r="Q53">
        <f>Table1[[#This Row],[TA 1 - Q1 Bonus]]+Table1[[#This Row],[TA 1 - Q2 Bonus]]+Table1[[#This Row],[TA 1 - Q4 Bonus]]</f>
        <v/>
      </c>
      <c r="R53">
        <f>Table1[[#This Row],[TA 2 - Q1 Score]]+Table1[[#This Row],[TA 2 - Q2 Score]]+Table1[[#This Row],[TA 2 - Q3 Score]]</f>
        <v/>
      </c>
      <c r="S53">
        <f>Table1[[#This Row],[TA 2 - Q1 Bonus]]+Table1[[#This Row],[TA 2 - Q2 Bonus]]+Table1[[#This Row],[TA 2 - Q4 Bonus]]</f>
        <v/>
      </c>
      <c r="T53">
        <f>(Table1[[#This Row],[TA 1 - Total Score (out of 35)]]+Table1[[#This Row],[TA 2 - Total Score (out of 35)]])/2</f>
        <v/>
      </c>
      <c r="U53">
        <f>(Table1[[#This Row],[TA 1 - Total Bonus (out of 13)]]+Table1[[#This Row],[TA 2 - Total Bonus (out of 13)]])/2</f>
        <v/>
      </c>
      <c r="V53">
        <f>Table1[[#This Row],[Average Questions]]/35*20+Table1[[#This Row],[Average Bonus]]/13*5</f>
        <v/>
      </c>
      <c r="W53" t="n">
        <v>0</v>
      </c>
      <c r="X53" t="n">
        <v>0</v>
      </c>
      <c r="Y53" t="inlineStr">
        <is>
          <t>The student's submission does not run correctly due to several issues. The transforms are incomplete, the DataLoaders are not created correctly, and the model is not properly set up for training. The training and validation loops are incorrect, and the label fixing is not implemented. Additionally, the plotting functions are missing. The bonus task for Test Time Augmentation is not attempted.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3" t="n">
        <v>0</v>
      </c>
      <c r="AA53" t="n">
        <v>0</v>
      </c>
      <c r="AB53" t="inlineStr">
        <is>
          <t>The student's submission does not run correctly due to several issues. The dataset class is incorrectly implemented, leading to errors in data loading. The CNN model does not follow the specified architecture with 5 convolutional layers and lacks batch normalization. The training and validation functions are incorrectly implemented, leading to errors in the training process. Additionally, the student did not attempt the bonus task. Therefore, the minimum defensible score for each task is 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3" t="n">
        <v>0</v>
      </c>
      <c r="AD53" t="inlineStr">
        <is>
          <t>The student's submission does not follow the rubric and does not run end-to-end. The dataset class is incorrectly implemented, using a DataFrame instead of directly loading images and masks from directories. The model definition is missing, and the training and validation loops are incomplete. The visualization of predictions is also not implemented correctly. The code contains multiple 'TO DO' placeholders and does not adhere to the specified instructions, resulting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3" t="n">
        <v>0</v>
      </c>
      <c r="AF53" t="n">
        <v>0</v>
      </c>
      <c r="AG53" t="inlineStr">
        <is>
          <t>No submission found.</t>
        </is>
      </c>
      <c r="AH53" t="n">
        <v>0</v>
      </c>
      <c r="AI53" t="n">
        <v>0</v>
      </c>
    </row>
    <row r="54">
      <c r="A54" t="n">
        <v>53</v>
      </c>
      <c r="B54" t="inlineStr">
        <is>
          <t>TA_1</t>
        </is>
      </c>
      <c r="C54" t="inlineStr">
        <is>
          <t>TA_11</t>
        </is>
      </c>
      <c r="D54" t="n">
        <v>4.5</v>
      </c>
      <c r="E54" t="n">
        <v>0</v>
      </c>
      <c r="F54" t="n">
        <v>9.5</v>
      </c>
      <c r="G54" t="n">
        <v>0</v>
      </c>
      <c r="H54" t="n">
        <v>7</v>
      </c>
      <c r="I54" t="n">
        <v>0</v>
      </c>
      <c r="J54" t="n">
        <v>2.75</v>
      </c>
      <c r="K54" t="n">
        <v>0</v>
      </c>
      <c r="L54" t="n">
        <v>8.25</v>
      </c>
      <c r="M54" t="n">
        <v>0</v>
      </c>
      <c r="N54" t="n">
        <v>7.25</v>
      </c>
      <c r="O54" t="n">
        <v>0</v>
      </c>
      <c r="P54">
        <f>Table1[[#This Row],[TA 1 - Q1 Score]]+Table1[[#This Row],[TA 1 - Q2 Score]]+Table1[[#This Row],[TA 1 - Q3 Score]]</f>
        <v/>
      </c>
      <c r="Q54">
        <f>Table1[[#This Row],[TA 1 - Q1 Bonus]]+Table1[[#This Row],[TA 1 - Q2 Bonus]]+Table1[[#This Row],[TA 1 - Q4 Bonus]]</f>
        <v/>
      </c>
      <c r="R54">
        <f>Table1[[#This Row],[TA 2 - Q1 Score]]+Table1[[#This Row],[TA 2 - Q2 Score]]+Table1[[#This Row],[TA 2 - Q3 Score]]</f>
        <v/>
      </c>
      <c r="S54">
        <f>Table1[[#This Row],[TA 2 - Q1 Bonus]]+Table1[[#This Row],[TA 2 - Q2 Bonus]]+Table1[[#This Row],[TA 2 - Q4 Bonus]]</f>
        <v/>
      </c>
      <c r="T54">
        <f>(Table1[[#This Row],[TA 1 - Total Score (out of 35)]]+Table1[[#This Row],[TA 2 - Total Score (out of 35)]])/2</f>
        <v/>
      </c>
      <c r="U54">
        <f>(Table1[[#This Row],[TA 1 - Total Bonus (out of 13)]]+Table1[[#This Row],[TA 2 - Total Bonus (out of 13)]])/2</f>
        <v/>
      </c>
      <c r="V54">
        <f>Table1[[#This Row],[Average Questions]]/35*20+Table1[[#This Row],[Average Bonus]]/13*5</f>
        <v/>
      </c>
      <c r="W54" t="n">
        <v>0</v>
      </c>
      <c r="X54" t="n">
        <v>0</v>
      </c>
      <c r="Y54" t="inlineStr">
        <is>
          <t>The student's submission contains several critical errors that prevent the code from running correctly. The transforms are incorrectly set to resize images to 224x224 instead of 28x28, which is a fundamental deviation from the rubric. The model loading and adaptation steps are also incorrect, using a different model architecture (FastRCNNPredictor) instead of EfficientNetV2-Small. The training and validation loops are flawed, and the plotting code is incomplete. Additionally, the student did not implement the bonus task for Test Time Augmentation. These issues result in a score of 0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4" t="n">
        <v>0</v>
      </c>
      <c r="AA54" t="n">
        <v>0</v>
      </c>
      <c r="AB54" t="inlineStr">
        <is>
          <t>The student's submission does not run correctly due to several issues. The transformations applied to the images do not match the rubric specifications, and the model architecture does not follow the required structure. Additionally, the training and validation functions are incorrect, and the plotting of losses and accuracy is flawed. The bonus task is also not attempted.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4" t="n">
        <v>0</v>
      </c>
      <c r="AD54" t="inlineStr">
        <is>
          <t>The student's submission does not run correctly due to multiple issues. The dataset class is incorrectly implemented, leading to errors in loading images and masks. The training and validation loops are flawed, and the model definition does not match the required specifications. Additionally, the visualization of predictions is incorrect. Therefore, no points are awarded for any task as the code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4" t="n">
        <v>0</v>
      </c>
      <c r="AF54" t="n">
        <v>0</v>
      </c>
      <c r="AG54" t="inlineStr">
        <is>
          <t>No submission found.</t>
        </is>
      </c>
      <c r="AH54" t="n">
        <v>0</v>
      </c>
      <c r="AI54" t="n">
        <v>0</v>
      </c>
    </row>
    <row r="55">
      <c r="A55" t="n">
        <v>54</v>
      </c>
      <c r="B55" t="inlineStr">
        <is>
          <t>TA_1</t>
        </is>
      </c>
      <c r="C55" t="inlineStr">
        <is>
          <t>TA_11</t>
        </is>
      </c>
      <c r="D55" t="n">
        <v>12</v>
      </c>
      <c r="E55" t="n">
        <v>0</v>
      </c>
      <c r="F55" t="n">
        <v>11</v>
      </c>
      <c r="G55" t="n">
        <v>0</v>
      </c>
      <c r="H55" t="n">
        <v>12</v>
      </c>
      <c r="I55" t="n">
        <v>0</v>
      </c>
      <c r="J55" t="n">
        <v>12</v>
      </c>
      <c r="K55" t="n">
        <v>0</v>
      </c>
      <c r="L55" t="n">
        <v>8</v>
      </c>
      <c r="M55" t="n">
        <v>0</v>
      </c>
      <c r="N55" t="n">
        <v>11.5</v>
      </c>
      <c r="O55" t="n">
        <v>0</v>
      </c>
      <c r="P55">
        <f>Table1[[#This Row],[TA 1 - Q1 Score]]+Table1[[#This Row],[TA 1 - Q2 Score]]+Table1[[#This Row],[TA 1 - Q3 Score]]</f>
        <v/>
      </c>
      <c r="Q55">
        <f>Table1[[#This Row],[TA 1 - Q1 Bonus]]+Table1[[#This Row],[TA 1 - Q2 Bonus]]+Table1[[#This Row],[TA 1 - Q4 Bonus]]</f>
        <v/>
      </c>
      <c r="R55">
        <f>Table1[[#This Row],[TA 2 - Q1 Score]]+Table1[[#This Row],[TA 2 - Q2 Score]]+Table1[[#This Row],[TA 2 - Q3 Score]]</f>
        <v/>
      </c>
      <c r="S55">
        <f>Table1[[#This Row],[TA 2 - Q1 Bonus]]+Table1[[#This Row],[TA 2 - Q2 Bonus]]+Table1[[#This Row],[TA 2 - Q4 Bonus]]</f>
        <v/>
      </c>
      <c r="T55">
        <f>(Table1[[#This Row],[TA 1 - Total Score (out of 35)]]+Table1[[#This Row],[TA 2 - Total Score (out of 35)]])/2</f>
        <v/>
      </c>
      <c r="U55">
        <f>(Table1[[#This Row],[TA 1 - Total Bonus (out of 13)]]+Table1[[#This Row],[TA 2 - Total Bonus (out of 13)]])/2</f>
        <v/>
      </c>
      <c r="V55">
        <f>Table1[[#This Row],[Average Questions]]/35*20+Table1[[#This Row],[Average Bonus]]/13*5</f>
        <v/>
      </c>
      <c r="W55" t="n">
        <v>0</v>
      </c>
      <c r="X55" t="n">
        <v>0</v>
      </c>
      <c r="Y55" t="inlineStr">
        <is>
          <t>The student's submission does not run correctly due to several issues. The transforms are incorrectly set to resize images to 224x224 instead of 28x28, which is a critical deviation from the rubric. The DataLoaders are created but not displayed correctly. The model training and validation loops contain errors, such as incorrect label adjustments and the use of softmax in the training loop, which is not required. Additionally, the student did not implement the bonus task for Test Time Augmentation. Therefore, the student receives 0 points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5" t="n">
        <v>0</v>
      </c>
      <c r="AA55" t="n">
        <v>0</v>
      </c>
      <c r="AB55" t="inlineStr">
        <is>
          <t>The student's submission does not include any code for displaying sample images with labels, defining the training and validation loop functions, or setting up the device, model, loss, and optimizer. Additionally, the student did not attempt the bonus tasks. The code for loading and preparing data, building the CNN model, and training the model is incomplete or incorrect, leading to a score of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5" t="n">
        <v>0</v>
      </c>
      <c r="AD55" t="inlineStr">
        <is>
          <t>The student's submission does not run correctly due to several issues. The dataset class is incorrectly implemented, leading to errors in data loading. The model definition and training loops are present but contain errors that prevent the code from running end-to-end. Additionally, the visualization of predictions is incomplete and does not display the correct outputs. Therefore, no points are awarded for any task as the code does not execute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5" t="n">
        <v>0</v>
      </c>
      <c r="AF55" t="n">
        <v>0</v>
      </c>
      <c r="AG55" t="inlineStr">
        <is>
          <t>No submission found.</t>
        </is>
      </c>
      <c r="AH55" t="n">
        <v>0</v>
      </c>
      <c r="AI55" t="n">
        <v>0</v>
      </c>
    </row>
    <row r="56">
      <c r="A56" t="n">
        <v>55</v>
      </c>
      <c r="B56" t="inlineStr">
        <is>
          <t>TA_1</t>
        </is>
      </c>
      <c r="C56" t="inlineStr">
        <is>
          <t>TA_11</t>
        </is>
      </c>
      <c r="D56" t="n">
        <v>10.5</v>
      </c>
      <c r="E56" t="n">
        <v>0</v>
      </c>
      <c r="F56" t="n">
        <v>10</v>
      </c>
      <c r="G56" t="n">
        <v>0</v>
      </c>
      <c r="H56" t="n">
        <v>12</v>
      </c>
      <c r="I56" t="n">
        <v>0</v>
      </c>
      <c r="J56" t="n">
        <v>12</v>
      </c>
      <c r="K56" t="n">
        <v>0</v>
      </c>
      <c r="L56" t="n">
        <v>9.5</v>
      </c>
      <c r="M56" t="n">
        <v>0</v>
      </c>
      <c r="N56" t="n">
        <v>12</v>
      </c>
      <c r="O56" t="n">
        <v>0</v>
      </c>
      <c r="P56">
        <f>Table1[[#This Row],[TA 1 - Q1 Score]]+Table1[[#This Row],[TA 1 - Q2 Score]]+Table1[[#This Row],[TA 1 - Q3 Score]]</f>
        <v/>
      </c>
      <c r="Q56">
        <f>Table1[[#This Row],[TA 1 - Q1 Bonus]]+Table1[[#This Row],[TA 1 - Q2 Bonus]]+Table1[[#This Row],[TA 1 - Q4 Bonus]]</f>
        <v/>
      </c>
      <c r="R56">
        <f>Table1[[#This Row],[TA 2 - Q1 Score]]+Table1[[#This Row],[TA 2 - Q2 Score]]+Table1[[#This Row],[TA 2 - Q3 Score]]</f>
        <v/>
      </c>
      <c r="S56">
        <f>Table1[[#This Row],[TA 2 - Q1 Bonus]]+Table1[[#This Row],[TA 2 - Q2 Bonus]]+Table1[[#This Row],[TA 2 - Q4 Bonus]]</f>
        <v/>
      </c>
      <c r="T56">
        <f>(Table1[[#This Row],[TA 1 - Total Score (out of 35)]]+Table1[[#This Row],[TA 2 - Total Score (out of 35)]])/2</f>
        <v/>
      </c>
      <c r="U56">
        <f>(Table1[[#This Row],[TA 1 - Total Bonus (out of 13)]]+Table1[[#This Row],[TA 2 - Total Bonus (out of 13)]])/2</f>
        <v/>
      </c>
      <c r="V56">
        <f>Table1[[#This Row],[Average Questions]]/35*20+Table1[[#This Row],[Average Bonus]]/13*5</f>
        <v/>
      </c>
      <c r="W56" t="n">
        <v>0</v>
      </c>
      <c r="X56" t="n">
        <v>0</v>
      </c>
      <c r="Y56" t="inlineStr">
        <is>
          <t>The student's submission does not run correctly due to several issues. The training and validation loops are incorrect because the model outputs are squeezed, which changes the shape of the output tensor. This causes the loss function to fail. Additionally, the student did not implement the bonus task for Test Time Augmentation.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6" t="n">
        <v>0</v>
      </c>
      <c r="AA56" t="n">
        <v>0</v>
      </c>
      <c r="AB56" t="inlineStr">
        <is>
          <t>The student's submission does not run correctly due to several issues. The transforms are incorrect as they resize to 32x32 instead of 128x128. The CNN model does not have the correct number of convolutional layers or batch normalization. The training and validation functions are incorrect as they apply softmax before calculating the loss, which is not necessary with CrossEntropyLoss. The training loop does not run correctly due to these issues.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6" t="n">
        <v>0</v>
      </c>
      <c r="AD56" t="inlineStr">
        <is>
          <t>The student's submission does not run correctly due to several issues. The dataset class is incorrectly implemented, leading to errors in data loading. The model definition uses 'efficientnet-b1' instead of 'efficientnet-b0' as specified. The training and validation loops have logical errors, and the loss and optimizer are not correctly defined. Additionally, the visualization of predictions is flawed. Since the code does not run end-to-end, no partial credit can be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6" t="n">
        <v>0</v>
      </c>
      <c r="AF56" t="n">
        <v>0</v>
      </c>
      <c r="AG56" t="inlineStr">
        <is>
          <t>No submission found.</t>
        </is>
      </c>
      <c r="AH56" t="n">
        <v>0</v>
      </c>
      <c r="AI56" t="n">
        <v>0</v>
      </c>
    </row>
    <row r="57">
      <c r="A57" t="n">
        <v>56</v>
      </c>
      <c r="B57" t="inlineStr">
        <is>
          <t>TA_1</t>
        </is>
      </c>
      <c r="C57" t="inlineStr">
        <is>
          <t>TA_11</t>
        </is>
      </c>
      <c r="D57" t="n">
        <v>6</v>
      </c>
      <c r="E57" t="n">
        <v>0</v>
      </c>
      <c r="F57" t="n">
        <v>7.5</v>
      </c>
      <c r="G57" t="n">
        <v>0</v>
      </c>
      <c r="H57" t="n">
        <v>11</v>
      </c>
      <c r="I57" t="n">
        <v>0</v>
      </c>
      <c r="J57" t="n">
        <v>4.5</v>
      </c>
      <c r="K57" t="n">
        <v>0</v>
      </c>
      <c r="L57" t="n">
        <v>6.75</v>
      </c>
      <c r="M57" t="n">
        <v>0</v>
      </c>
      <c r="N57" t="n">
        <v>4.5</v>
      </c>
      <c r="O57" t="n">
        <v>0</v>
      </c>
      <c r="P57">
        <f>Table1[[#This Row],[TA 1 - Q1 Score]]+Table1[[#This Row],[TA 1 - Q2 Score]]+Table1[[#This Row],[TA 1 - Q3 Score]]</f>
        <v/>
      </c>
      <c r="Q57">
        <f>Table1[[#This Row],[TA 1 - Q1 Bonus]]+Table1[[#This Row],[TA 1 - Q2 Bonus]]+Table1[[#This Row],[TA 1 - Q4 Bonus]]</f>
        <v/>
      </c>
      <c r="R57">
        <f>Table1[[#This Row],[TA 2 - Q1 Score]]+Table1[[#This Row],[TA 2 - Q2 Score]]+Table1[[#This Row],[TA 2 - Q3 Score]]</f>
        <v/>
      </c>
      <c r="S57">
        <f>Table1[[#This Row],[TA 2 - Q1 Bonus]]+Table1[[#This Row],[TA 2 - Q2 Bonus]]+Table1[[#This Row],[TA 2 - Q4 Bonus]]</f>
        <v/>
      </c>
      <c r="T57">
        <f>(Table1[[#This Row],[TA 1 - Total Score (out of 35)]]+Table1[[#This Row],[TA 2 - Total Score (out of 35)]])/2</f>
        <v/>
      </c>
      <c r="U57">
        <f>(Table1[[#This Row],[TA 1 - Total Bonus (out of 13)]]+Table1[[#This Row],[TA 2 - Total Bonus (out of 13)]])/2</f>
        <v/>
      </c>
      <c r="V57">
        <f>Table1[[#This Row],[Average Questions]]/35*20+Table1[[#This Row],[Average Bonus]]/13*5</f>
        <v/>
      </c>
      <c r="W57" t="n">
        <v>0</v>
      </c>
      <c r="X57" t="n">
        <v>0</v>
      </c>
      <c r="Y57" t="inlineStr">
        <is>
          <t>The student's submission does not include code for displaying sample images, freezing the backbone, setting up the device, model, loss, and optimizer, training the model, or plotting training and validation losses and accuracy. Additionally, the student did not implement the bonus task for Test Time Augmentation. The code provided is incomplete and does not run end-to-end, resulting in a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7" t="n">
        <v>0</v>
      </c>
      <c r="AA57" t="n">
        <v>0</v>
      </c>
      <c r="AB57" t="inlineStr">
        <is>
          <t>The student's submission does not run correctly due to multiple issues. The transformations applied to the images do not match the rubric specifications, and the model architecture does not follow the required structure. Additionally, the training and validation loops contain errors that prevent the code from executing properly. The student did not attempt the bonus task, resulting in a score of 0 for the bonus section.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7" t="n">
        <v>0</v>
      </c>
      <c r="AD57" t="inlineStr">
        <is>
          <t>The student's submission does not run correctly due to several issues. The dataset class is incorrectly defined, leading to errors in data loading. The model definition uses the wrong number of classes and encoder, and the training and validation loops are incorrectly implemented. Additionally, the loss function and optimizer are not correctly defined for the task. As a result, the code does not produce the correct output and deviates from the rubric, warranting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7" t="n">
        <v>0</v>
      </c>
      <c r="AF57" t="n">
        <v>0</v>
      </c>
      <c r="AG57" t="inlineStr">
        <is>
          <t>No submission found.</t>
        </is>
      </c>
      <c r="AH57" t="n">
        <v>0</v>
      </c>
      <c r="AI57" t="n">
        <v>0</v>
      </c>
    </row>
    <row r="58">
      <c r="A58" t="n">
        <v>57</v>
      </c>
      <c r="B58" t="inlineStr">
        <is>
          <t>TA_1</t>
        </is>
      </c>
      <c r="C58" t="inlineStr">
        <is>
          <t>TA_11</t>
        </is>
      </c>
      <c r="D58" t="n">
        <v>7</v>
      </c>
      <c r="E58" t="n">
        <v>0</v>
      </c>
      <c r="F58" t="n">
        <v>7</v>
      </c>
      <c r="G58" t="n">
        <v>0</v>
      </c>
      <c r="H58" t="n">
        <v>7</v>
      </c>
      <c r="I58" t="n">
        <v>0</v>
      </c>
      <c r="J58" t="n">
        <v>5.25</v>
      </c>
      <c r="K58" t="n">
        <v>0</v>
      </c>
      <c r="L58" t="n">
        <v>4.25</v>
      </c>
      <c r="M58" t="n">
        <v>0</v>
      </c>
      <c r="N58" t="n">
        <v>7</v>
      </c>
      <c r="O58" t="n">
        <v>0</v>
      </c>
      <c r="P58">
        <f>Table1[[#This Row],[TA 1 - Q1 Score]]+Table1[[#This Row],[TA 1 - Q2 Score]]+Table1[[#This Row],[TA 1 - Q3 Score]]</f>
        <v/>
      </c>
      <c r="Q58">
        <f>Table1[[#This Row],[TA 1 - Q1 Bonus]]+Table1[[#This Row],[TA 1 - Q2 Bonus]]+Table1[[#This Row],[TA 1 - Q4 Bonus]]</f>
        <v/>
      </c>
      <c r="R58">
        <f>Table1[[#This Row],[TA 2 - Q1 Score]]+Table1[[#This Row],[TA 2 - Q2 Score]]+Table1[[#This Row],[TA 2 - Q3 Score]]</f>
        <v/>
      </c>
      <c r="S58">
        <f>Table1[[#This Row],[TA 2 - Q1 Bonus]]+Table1[[#This Row],[TA 2 - Q2 Bonus]]+Table1[[#This Row],[TA 2 - Q4 Bonus]]</f>
        <v/>
      </c>
      <c r="T58">
        <f>(Table1[[#This Row],[TA 1 - Total Score (out of 35)]]+Table1[[#This Row],[TA 2 - Total Score (out of 35)]])/2</f>
        <v/>
      </c>
      <c r="U58">
        <f>(Table1[[#This Row],[TA 1 - Total Bonus (out of 13)]]+Table1[[#This Row],[TA 2 - Total Bonus (out of 13)]])/2</f>
        <v/>
      </c>
      <c r="V58">
        <f>Table1[[#This Row],[Average Questions]]/35*20+Table1[[#This Row],[Average Bonus]]/13*5</f>
        <v/>
      </c>
      <c r="W58" t="n">
        <v>0</v>
      </c>
      <c r="X58" t="n">
        <v>0</v>
      </c>
      <c r="Y58" t="inlineStr">
        <is>
          <t>The student's submission does not complete any of the required tasks correctly. The transforms are incomplete, the DataLoaders are not created correctly, and the model is not set up or trained properly. Additionally, the student did not implement the bonus task for Test Time Augmentation. The code does not run end-to-end and deviates significantly from the rubric, resulting in a score of 0.0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8" t="n">
        <v>0</v>
      </c>
      <c r="AA58" t="n">
        <v>0</v>
      </c>
      <c r="AB58" t="inlineStr">
        <is>
          <t>The student's submission does not include the necessary code to create DataLoaders for the training and testing datasets, which is a critical part of the data preparation process. Additionally, the student did not display sample images with labels, which is required for Part 1. The CNN model class is incomplete and does not include Batch Normalization layers as specified. The training and validation functions are missing, and the training process is not set up correctly. The student also did not attempt the bonus task of adding a residual connection.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8" t="n">
        <v>0</v>
      </c>
      <c r="AD58" t="inlineStr">
        <is>
          <t>The student's submission does not run correctly due to several issues. The dataset paths are incorrect, leading to errors in loading the data. The model definition and training loops have logical errors, such as incorrect data types and missing steps. The visualization code also contains errors, preventing the display of predictions. Since the code does not run end-to-end, no partial credit can be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8" t="n">
        <v>0</v>
      </c>
      <c r="AF58" t="n">
        <v>0</v>
      </c>
      <c r="AG58" t="inlineStr">
        <is>
          <t>No submission found.</t>
        </is>
      </c>
      <c r="AH58" t="n">
        <v>0</v>
      </c>
      <c r="AI58" t="n">
        <v>0</v>
      </c>
    </row>
    <row r="59">
      <c r="A59" t="n">
        <v>58</v>
      </c>
      <c r="B59" t="inlineStr">
        <is>
          <t>TA_2</t>
        </is>
      </c>
      <c r="C59" t="inlineStr">
        <is>
          <t>TA_12</t>
        </is>
      </c>
      <c r="D59" t="n">
        <v>12</v>
      </c>
      <c r="E59" t="n">
        <v>0</v>
      </c>
      <c r="F59" t="n">
        <v>11</v>
      </c>
      <c r="G59" t="n">
        <v>0</v>
      </c>
      <c r="H59" t="n">
        <v>12</v>
      </c>
      <c r="I59" t="n">
        <v>0</v>
      </c>
      <c r="J59" t="n">
        <v>12</v>
      </c>
      <c r="K59" t="n">
        <v>0</v>
      </c>
      <c r="L59" t="n">
        <v>10.25</v>
      </c>
      <c r="M59" t="n">
        <v>0</v>
      </c>
      <c r="N59" t="n">
        <v>8.75</v>
      </c>
      <c r="O59" t="n">
        <v>0</v>
      </c>
      <c r="P59">
        <f>Table1[[#This Row],[TA 1 - Q1 Score]]+Table1[[#This Row],[TA 1 - Q2 Score]]+Table1[[#This Row],[TA 1 - Q3 Score]]</f>
        <v/>
      </c>
      <c r="Q59">
        <f>Table1[[#This Row],[TA 1 - Q1 Bonus]]+Table1[[#This Row],[TA 1 - Q2 Bonus]]+Table1[[#This Row],[TA 1 - Q4 Bonus]]</f>
        <v/>
      </c>
      <c r="R59">
        <f>Table1[[#This Row],[TA 2 - Q1 Score]]+Table1[[#This Row],[TA 2 - Q2 Score]]+Table1[[#This Row],[TA 2 - Q3 Score]]</f>
        <v/>
      </c>
      <c r="S59">
        <f>Table1[[#This Row],[TA 2 - Q1 Bonus]]+Table1[[#This Row],[TA 2 - Q2 Bonus]]+Table1[[#This Row],[TA 2 - Q4 Bonus]]</f>
        <v/>
      </c>
      <c r="T59">
        <f>(Table1[[#This Row],[TA 1 - Total Score (out of 35)]]+Table1[[#This Row],[TA 2 - Total Score (out of 35)]])/2</f>
        <v/>
      </c>
      <c r="U59">
        <f>(Table1[[#This Row],[TA 1 - Total Bonus (out of 13)]]+Table1[[#This Row],[TA 2 - Total Bonus (out of 13)]])/2</f>
        <v/>
      </c>
      <c r="V59">
        <f>Table1[[#This Row],[Average Questions]]/35*20+Table1[[#This Row],[Average Bonus]]/13*5</f>
        <v/>
      </c>
      <c r="W59" t="n">
        <v>10</v>
      </c>
      <c r="X59" t="n">
        <v>0</v>
      </c>
      <c r="Y59" t="inlineStr">
        <is>
          <t>The student successfully completed the data loading and preparation tasks, including defining the transforms, creating DataLoaders, and displaying sample images. The model loading and adaptation tasks were also correctly implemented, including loading the pretrained EfficientNetV2-Small, freezing the backbone, and replacing the classifier head. The training loop was correctly defined, but the validation loop had a critical error in the softmax application, which prevented it from running correctly. The training setup and plotting tasks were correctly implemented. The bonus task for Test Time Augmentation was not attempted, resulting in a score of 0 for those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0.0/?
- Label Fix: Fixed labels (subtract 1 for 0-indexed): 0.0/?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9" t="n">
        <v>0</v>
      </c>
      <c r="AA59" t="n">
        <v>0</v>
      </c>
      <c r="AB59" t="inlineStr">
        <is>
          <t>The student's submission does not run correctly due to several issues. The dataset class or ImageFolder is not correctly implemented, the transforms do not match the rubric, and the CNN model does not have the required 5 convolutional layers. Additionally, the training and validation functions are not correctly defined, and the training process does not follow the specified steps.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9" t="n">
        <v>0</v>
      </c>
      <c r="AD59" t="inlineStr">
        <is>
          <t>The student's submission does not run correctly due to several issues. The model definition is incorrect as it uses the wrong number of classes and the loss function is inappropriate for a multi-class segmentation task. The training and validation loops are incomplete and contain errors. Additionally, the visualization of predictions is flawed as it does not correctly handle the multi-class output. Therefore, no points are awarded for any task as the code does not run correctly and deviates significantly from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9" t="n">
        <v>0</v>
      </c>
      <c r="AF59" t="n">
        <v>0</v>
      </c>
      <c r="AG59" t="inlineStr">
        <is>
          <t>No submission found.</t>
        </is>
      </c>
      <c r="AH59" t="n">
        <v>10</v>
      </c>
      <c r="AI59" t="n">
        <v>0</v>
      </c>
    </row>
    <row r="60">
      <c r="A60" t="n">
        <v>59</v>
      </c>
      <c r="B60" t="inlineStr">
        <is>
          <t>TA_2</t>
        </is>
      </c>
      <c r="C60" t="inlineStr">
        <is>
          <t>TA_12</t>
        </is>
      </c>
      <c r="D60" t="n">
        <v>11</v>
      </c>
      <c r="E60" t="n">
        <v>0</v>
      </c>
      <c r="F60" t="n">
        <v>9.5</v>
      </c>
      <c r="G60" t="n">
        <v>0</v>
      </c>
      <c r="H60" t="n">
        <v>2</v>
      </c>
      <c r="I60" t="n">
        <v>0</v>
      </c>
      <c r="J60" t="n">
        <v>10.5</v>
      </c>
      <c r="K60" t="n">
        <v>3</v>
      </c>
      <c r="L60" t="n">
        <v>7</v>
      </c>
      <c r="M60" t="n">
        <v>0</v>
      </c>
      <c r="N60" t="n">
        <v>1</v>
      </c>
      <c r="O60" t="n">
        <v>0</v>
      </c>
      <c r="P60">
        <f>Table1[[#This Row],[TA 1 - Q1 Score]]+Table1[[#This Row],[TA 1 - Q2 Score]]+Table1[[#This Row],[TA 1 - Q3 Score]]</f>
        <v/>
      </c>
      <c r="Q60">
        <f>Table1[[#This Row],[TA 1 - Q1 Bonus]]+Table1[[#This Row],[TA 1 - Q2 Bonus]]+Table1[[#This Row],[TA 1 - Q4 Bonus]]</f>
        <v/>
      </c>
      <c r="R60">
        <f>Table1[[#This Row],[TA 2 - Q1 Score]]+Table1[[#This Row],[TA 2 - Q2 Score]]+Table1[[#This Row],[TA 2 - Q3 Score]]</f>
        <v/>
      </c>
      <c r="S60">
        <f>Table1[[#This Row],[TA 2 - Q1 Bonus]]+Table1[[#This Row],[TA 2 - Q2 Bonus]]+Table1[[#This Row],[TA 2 - Q4 Bonus]]</f>
        <v/>
      </c>
      <c r="T60">
        <f>(Table1[[#This Row],[TA 1 - Total Score (out of 35)]]+Table1[[#This Row],[TA 2 - Total Score (out of 35)]])/2</f>
        <v/>
      </c>
      <c r="U60">
        <f>(Table1[[#This Row],[TA 1 - Total Bonus (out of 13)]]+Table1[[#This Row],[TA 2 - Total Bonus (out of 13)]])/2</f>
        <v/>
      </c>
      <c r="V60">
        <f>Table1[[#This Row],[Average Questions]]/35*20+Table1[[#This Row],[Average Bonus]]/13*5</f>
        <v/>
      </c>
      <c r="W60" t="n">
        <v>0</v>
      </c>
      <c r="X60" t="n">
        <v>0</v>
      </c>
      <c r="Y60" t="inlineStr">
        <is>
          <t>The student's submission does not run correctly due to several issues. The transforms are incomplete, the DataLoaders are not created correctly, and the model is not loaded or adapted properly. The training and validation functions are incorrect, and the plots are not generated correctly. Additionally, the bonus task for Test Time Augmentation is not implemented correctly.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60" t="n">
        <v>0</v>
      </c>
      <c r="AA60" t="n">
        <v>0</v>
      </c>
      <c r="AB60" t="inlineStr">
        <is>
          <t>The student's submission does not run correctly due to several issues. The dataset loading and transformation steps are incorrect, leading to errors in the data preparation phase. The CNN model definition is incomplete and lacks batch normalization, which is a required part of the task. The training and validation functions are present but do not run correctly due to the issues in the data preparation and model definition. Additionally, the student did not attempt the bonus task. Therefore, the minimum defensible score for each task is 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60" t="n">
        <v>0</v>
      </c>
      <c r="AD60" t="inlineStr">
        <is>
          <t>The student's submission is incomplete and does not run correctly. The dataset class is not fully implemented, and there is no code for creating DataLoaders, displaying sample images and masks, defining the model, training and validation loops, running training, or visualizing predictions. The submission does not meet the requirements of any task, resulting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60" t="n">
        <v>0</v>
      </c>
      <c r="AF60" t="n">
        <v>0</v>
      </c>
      <c r="AG60" t="inlineStr">
        <is>
          <t>The student did not implement any of the required methods in the `ColorizationDataset` class. The `__init__`, `__len__`, `rgb_to_grayscale`, and `__getitem__` methods are all left as 'TO DO' placeholders, indicating that no code was written for these tasks. Additionally, the visualization code will not run correctly because the dataset methods are not implemented. Therefore, the student receives 0 points for this task.
Breakdown:
- Correctly implemented `ColorizationDataset` class: 0.0/5.0</t>
        </is>
      </c>
      <c r="AH60" t="n">
        <v>0</v>
      </c>
      <c r="AI60" t="n">
        <v>0</v>
      </c>
    </row>
    <row r="61">
      <c r="A61" t="n">
        <v>60</v>
      </c>
      <c r="B61" t="inlineStr">
        <is>
          <t>TA_2</t>
        </is>
      </c>
      <c r="C61" t="inlineStr">
        <is>
          <t>TA_12</t>
        </is>
      </c>
      <c r="D61" t="n">
        <v>5</v>
      </c>
      <c r="E61" t="n">
        <v>0</v>
      </c>
      <c r="F61" t="n">
        <v>3</v>
      </c>
      <c r="G61" t="n">
        <v>0</v>
      </c>
      <c r="H61" t="n">
        <v>11.5</v>
      </c>
      <c r="I61" t="n">
        <v>0</v>
      </c>
      <c r="J61" t="n">
        <v>5</v>
      </c>
      <c r="K61" t="n">
        <v>0</v>
      </c>
      <c r="L61" t="n">
        <v>2</v>
      </c>
      <c r="M61" t="n">
        <v>0</v>
      </c>
      <c r="N61" t="n">
        <v>6.05</v>
      </c>
      <c r="O61" t="n">
        <v>0</v>
      </c>
      <c r="P61">
        <f>Table1[[#This Row],[TA 1 - Q1 Score]]+Table1[[#This Row],[TA 1 - Q2 Score]]+Table1[[#This Row],[TA 1 - Q3 Score]]</f>
        <v/>
      </c>
      <c r="Q61">
        <f>Table1[[#This Row],[TA 1 - Q1 Bonus]]+Table1[[#This Row],[TA 1 - Q2 Bonus]]+Table1[[#This Row],[TA 1 - Q4 Bonus]]</f>
        <v/>
      </c>
      <c r="R61">
        <f>Table1[[#This Row],[TA 2 - Q1 Score]]+Table1[[#This Row],[TA 2 - Q2 Score]]+Table1[[#This Row],[TA 2 - Q3 Score]]</f>
        <v/>
      </c>
      <c r="S61">
        <f>Table1[[#This Row],[TA 2 - Q1 Bonus]]+Table1[[#This Row],[TA 2 - Q2 Bonus]]+Table1[[#This Row],[TA 2 - Q4 Bonus]]</f>
        <v/>
      </c>
      <c r="T61">
        <f>(Table1[[#This Row],[TA 1 - Total Score (out of 35)]]+Table1[[#This Row],[TA 2 - Total Score (out of 35)]])/2</f>
        <v/>
      </c>
      <c r="U61">
        <f>(Table1[[#This Row],[TA 1 - Total Bonus (out of 13)]]+Table1[[#This Row],[TA 2 - Total Bonus (out of 13)]])/2</f>
        <v/>
      </c>
      <c r="V61">
        <f>Table1[[#This Row],[Average Questions]]/35*20+Table1[[#This Row],[Average Bonus]]/13*5</f>
        <v/>
      </c>
      <c r="W61" t="n">
        <v>0</v>
      </c>
      <c r="X61" t="n">
        <v>0</v>
      </c>
      <c r="Y61" t="inlineStr">
        <is>
          <t>The student's submission does not run correctly due to several issues. The training and validation loops are incorrect because the student did not adjust the labels to be 0-indexed, which is a critical step. Additionally, the student did not plot the training and validation losses or accuracies. The bonus task for Test Time Augmentation (TTA) is also incomplete and does not run.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61" t="n">
        <v>0</v>
      </c>
      <c r="AA61" t="n">
        <v>0</v>
      </c>
      <c r="AB61" t="inlineStr">
        <is>
          <t>The student's submission is incomplete and does not run correctly. The code for loading and preparing the data, building the CNN model, training and validation functions, and training the model is missing or incorrect. Additionally, the student did not attempt the bonus tasks. Therefore, the minimum defensible score for each task is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61" t="n">
        <v>0</v>
      </c>
      <c r="AD61" t="inlineStr">
        <is>
          <t>The student's submission contains multiple issues that prevent the code from running correctly. The dataset class is incomplete and lacks proper splitting of the dataset into training and testing sets. The model definition uses the wrong encoder (efficientnet-b0 instead of efficientnet-b1). The training and validation loops are incorrectly implemented, leading to errors in the loss calculation. The loss function and optimizer are incorrectly defined, and the training process does not run as expected. Additionally, the visualization of predictions is incomplete and does not display the correct outputs. Due to these critical errors, the submission does not meet the requirements for any of the tasks, resulting in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61" t="n">
        <v>0</v>
      </c>
      <c r="AF61" t="n">
        <v>0</v>
      </c>
      <c r="AG61" t="inlineStr">
        <is>
          <t>No submission found.</t>
        </is>
      </c>
      <c r="AH61" t="n">
        <v>0</v>
      </c>
      <c r="AI61" t="n">
        <v>0</v>
      </c>
    </row>
    <row r="62">
      <c r="A62" t="n">
        <v>61</v>
      </c>
      <c r="B62" t="inlineStr">
        <is>
          <t>TA_2</t>
        </is>
      </c>
      <c r="C62" t="inlineStr">
        <is>
          <t>TA_12</t>
        </is>
      </c>
      <c r="D62" t="n">
        <v>11.5</v>
      </c>
      <c r="E62" t="n">
        <v>4</v>
      </c>
      <c r="F62" t="n">
        <v>9</v>
      </c>
      <c r="G62" t="n">
        <v>1</v>
      </c>
      <c r="H62" t="n">
        <v>12</v>
      </c>
      <c r="I62" t="n">
        <v>5</v>
      </c>
      <c r="J62" t="n">
        <v>12</v>
      </c>
      <c r="K62" t="n">
        <v>4</v>
      </c>
      <c r="L62" t="n">
        <v>10</v>
      </c>
      <c r="M62" t="n">
        <v>2</v>
      </c>
      <c r="N62" t="n">
        <v>12</v>
      </c>
      <c r="O62" t="n">
        <v>5</v>
      </c>
      <c r="P62">
        <f>Table1[[#This Row],[TA 1 - Q1 Score]]+Table1[[#This Row],[TA 1 - Q2 Score]]+Table1[[#This Row],[TA 1 - Q3 Score]]</f>
        <v/>
      </c>
      <c r="Q62">
        <f>Table1[[#This Row],[TA 1 - Q1 Bonus]]+Table1[[#This Row],[TA 1 - Q2 Bonus]]+Table1[[#This Row],[TA 1 - Q4 Bonus]]</f>
        <v/>
      </c>
      <c r="R62">
        <f>Table1[[#This Row],[TA 2 - Q1 Score]]+Table1[[#This Row],[TA 2 - Q2 Score]]+Table1[[#This Row],[TA 2 - Q3 Score]]</f>
        <v/>
      </c>
      <c r="S62">
        <f>Table1[[#This Row],[TA 2 - Q1 Bonus]]+Table1[[#This Row],[TA 2 - Q2 Bonus]]+Table1[[#This Row],[TA 2 - Q4 Bonus]]</f>
        <v/>
      </c>
      <c r="T62">
        <f>(Table1[[#This Row],[TA 1 - Total Score (out of 35)]]+Table1[[#This Row],[TA 2 - Total Score (out of 35)]])/2</f>
        <v/>
      </c>
      <c r="U62">
        <f>(Table1[[#This Row],[TA 1 - Total Bonus (out of 13)]]+Table1[[#This Row],[TA 2 - Total Bonus (out of 13)]])/2</f>
        <v/>
      </c>
      <c r="V62">
        <f>Table1[[#This Row],[Average Questions]]/35*20+Table1[[#This Row],[Average Bonus]]/13*5</f>
        <v/>
      </c>
      <c r="W62" t="n">
        <v>0</v>
      </c>
      <c r="X62" t="n">
        <v>0</v>
      </c>
      <c r="Y62" t="inlineStr">
        <is>
          <t>The student's submission does not run correctly due to several issues. The transforms are incomplete, the DataLoaders are not correctly created, and the model is not properly adapted for the task. Additionally, the training and validation loops contain errors, and the plots for training and validation losses and accuracies are missing. The bonus task for Test Time Augmentation (TTA) is also incomplete and does not run correctly.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62" t="n">
        <v>0</v>
      </c>
      <c r="AA62" t="n">
        <v>0</v>
      </c>
      <c r="AB62" t="inlineStr">
        <is>
          <t>The student's submission does not run correctly due to multiple issues. The dataset loading and transformation steps are incorrect, leading to mismatched image sizes and incorrect normalization. The CNN model definition is flawed, with incorrect layer configurations and missing residual connections. The training and validation loops are incorrectly implemented, leading to errors in loss calculation and accuracy tracking. The bonus task is also incomplete and incorrect, failing to define a proper residual connection and retrain the model.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62" t="n">
        <v>0</v>
      </c>
      <c r="AD62" t="inlineStr">
        <is>
          <t>The student's submission does not run end-to-end due to multiple issues. The dataset class is incorrectly implemented, leading to errors in data loading. The model definition and training loops are incomplete or incorrect, resulting in failures during training. The visualization of predictions is also missing or incorrect. Therefore, no points are awarded for any task as the code does not run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62" t="n">
        <v>0</v>
      </c>
      <c r="AF62" t="n">
        <v>0</v>
      </c>
      <c r="AG62" t="inlineStr">
        <is>
          <t>The student's implementation of the `ColorizationDataset` class is flawed. The `rgb_to_grayscale` method incorrectly accesses the image tensor, resulting in an incorrect grayscale conversion. The `__getitem__` method also fails to correctly handle the dataset indexing, leading to incorrect shapes for the grayscale and color images. Since the implementation does not run correctly and deviates from the rubric, the student receives 0 points for this task.
Breakdown:
- Correctly implemented `ColorizationDataset` class: 0.0/?</t>
        </is>
      </c>
      <c r="AH62" t="n">
        <v>0</v>
      </c>
      <c r="AI62" t="n">
        <v>0</v>
      </c>
    </row>
    <row r="63">
      <c r="A63" t="n">
        <v>62</v>
      </c>
      <c r="B63" t="inlineStr">
        <is>
          <t>TA_2</t>
        </is>
      </c>
      <c r="C63" t="inlineStr">
        <is>
          <t>TA_12</t>
        </is>
      </c>
      <c r="D63" t="n">
        <v>11</v>
      </c>
      <c r="E63" t="n">
        <v>3</v>
      </c>
      <c r="F63" t="n">
        <v>11</v>
      </c>
      <c r="G63" t="n">
        <v>0</v>
      </c>
      <c r="H63" t="n">
        <v>12</v>
      </c>
      <c r="I63" t="n">
        <v>5</v>
      </c>
      <c r="J63" t="n">
        <v>11</v>
      </c>
      <c r="K63" t="n">
        <v>4</v>
      </c>
      <c r="L63" t="n">
        <v>11</v>
      </c>
      <c r="M63" t="n">
        <v>4</v>
      </c>
      <c r="N63" t="n">
        <v>12</v>
      </c>
      <c r="O63" t="n">
        <v>5</v>
      </c>
      <c r="P63">
        <f>Table1[[#This Row],[TA 1 - Q1 Score]]+Table1[[#This Row],[TA 1 - Q2 Score]]+Table1[[#This Row],[TA 1 - Q3 Score]]</f>
        <v/>
      </c>
      <c r="Q63">
        <f>Table1[[#This Row],[TA 1 - Q1 Bonus]]+Table1[[#This Row],[TA 1 - Q2 Bonus]]+Table1[[#This Row],[TA 1 - Q4 Bonus]]</f>
        <v/>
      </c>
      <c r="R63">
        <f>Table1[[#This Row],[TA 2 - Q1 Score]]+Table1[[#This Row],[TA 2 - Q2 Score]]+Table1[[#This Row],[TA 2 - Q3 Score]]</f>
        <v/>
      </c>
      <c r="S63">
        <f>Table1[[#This Row],[TA 2 - Q1 Bonus]]+Table1[[#This Row],[TA 2 - Q2 Bonus]]+Table1[[#This Row],[TA 2 - Q4 Bonus]]</f>
        <v/>
      </c>
      <c r="T63">
        <f>(Table1[[#This Row],[TA 1 - Total Score (out of 35)]]+Table1[[#This Row],[TA 2 - Total Score (out of 35)]])/2</f>
        <v/>
      </c>
      <c r="U63">
        <f>(Table1[[#This Row],[TA 1 - Total Bonus (out of 13)]]+Table1[[#This Row],[TA 2 - Total Bonus (out of 13)]])/2</f>
        <v/>
      </c>
      <c r="V63">
        <f>Table1[[#This Row],[Average Questions]]/35*20+Table1[[#This Row],[Average Bonus]]/13*5</f>
        <v/>
      </c>
      <c r="W63" t="n">
        <v>0</v>
      </c>
      <c r="X63" t="n">
        <v>0</v>
      </c>
      <c r="Y63" t="inlineStr">
        <is>
          <t>The student's submission does not run end-to-end due to multiple issues. The transforms are incomplete, the DataLoaders are not correctly created, and the model is not properly defined or trained. The validation function for TTA is incorrectly implemented, and the plots for training and validation losses/accuracies are missing. The student did not follow the rubric correctly, resulting in a score of 0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63" t="n">
        <v>0</v>
      </c>
      <c r="AA63" t="n">
        <v>0</v>
      </c>
      <c r="AB63" t="inlineStr">
        <is>
          <t>The student's submission does not run correctly due to multiple issues. The dataset class is incorrectly implemented, the transforms do not match the rubric, and the CNN model does not follow the specified architecture. Additionally, the training and validation functions are flawed, and the residual connection is not correctly implemented.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63" t="n">
        <v>0</v>
      </c>
      <c r="AD63" t="inlineStr">
        <is>
          <t>The student's submission does not run end-to-end due to missing or incomplete code in several critical areas. Specifically, the dataset class is incomplete, the DataLoader creation is missing, and the training and validation loops are not correctly implemented. Additionally, the model definition and training process are not fully defined, leading to a complete failure in running the task. Therefore, no points are awarded for any task as the code does not execute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63" t="n">
        <v>0</v>
      </c>
      <c r="AF63" t="n">
        <v>0</v>
      </c>
      <c r="AG63" t="inlineStr">
        <is>
          <t>The student's implementation of the `ColorizationDataset` class contains several critical errors. The `rgb_to_grayscale` method incorrectly accesses the image tensor, leading to shape mismatches and incorrect grayscale conversion. Additionally, the `__getitem__` method returns the wrong shape for the grayscale image and does not correctly handle the color image. These issues prevent the code from running correctly, resulting in a score of 0.0 for the task.
Breakdown:
- Correctly implemented `ColorizationDataset` class: 0.0/5.0</t>
        </is>
      </c>
      <c r="AH63" t="n">
        <v>0</v>
      </c>
      <c r="AI63" t="n">
        <v>0</v>
      </c>
    </row>
    <row r="64">
      <c r="A64" t="n">
        <v>63</v>
      </c>
      <c r="B64" t="inlineStr">
        <is>
          <t>TA_2</t>
        </is>
      </c>
      <c r="C64" t="inlineStr">
        <is>
          <t>TA_12</t>
        </is>
      </c>
      <c r="D64" t="n">
        <v>6.5</v>
      </c>
      <c r="E64" t="n">
        <v>0</v>
      </c>
      <c r="F64" t="n">
        <v>9.5</v>
      </c>
      <c r="G64" t="n">
        <v>0</v>
      </c>
      <c r="H64" t="n">
        <v>12</v>
      </c>
      <c r="I64" t="n">
        <v>0</v>
      </c>
      <c r="J64" t="n">
        <v>5</v>
      </c>
      <c r="K64" t="n">
        <v>0</v>
      </c>
      <c r="L64" t="n">
        <v>8.5</v>
      </c>
      <c r="M64" t="n">
        <v>0</v>
      </c>
      <c r="N64" t="n">
        <v>12</v>
      </c>
      <c r="O64" t="n">
        <v>0</v>
      </c>
      <c r="P64">
        <f>Table1[[#This Row],[TA 1 - Q1 Score]]+Table1[[#This Row],[TA 1 - Q2 Score]]+Table1[[#This Row],[TA 1 - Q3 Score]]</f>
        <v/>
      </c>
      <c r="Q64">
        <f>Table1[[#This Row],[TA 1 - Q1 Bonus]]+Table1[[#This Row],[TA 1 - Q2 Bonus]]+Table1[[#This Row],[TA 1 - Q4 Bonus]]</f>
        <v/>
      </c>
      <c r="R64">
        <f>Table1[[#This Row],[TA 2 - Q1 Score]]+Table1[[#This Row],[TA 2 - Q2 Score]]+Table1[[#This Row],[TA 2 - Q3 Score]]</f>
        <v/>
      </c>
      <c r="S64">
        <f>Table1[[#This Row],[TA 2 - Q1 Bonus]]+Table1[[#This Row],[TA 2 - Q2 Bonus]]+Table1[[#This Row],[TA 2 - Q4 Bonus]]</f>
        <v/>
      </c>
      <c r="T64">
        <f>(Table1[[#This Row],[TA 1 - Total Score (out of 35)]]+Table1[[#This Row],[TA 2 - Total Score (out of 35)]])/2</f>
        <v/>
      </c>
      <c r="U64">
        <f>(Table1[[#This Row],[TA 1 - Total Bonus (out of 13)]]+Table1[[#This Row],[TA 2 - Total Bonus (out of 13)]])/2</f>
        <v/>
      </c>
      <c r="V64">
        <f>Table1[[#This Row],[Average Questions]]/35*20+Table1[[#This Row],[Average Bonus]]/13*5</f>
        <v/>
      </c>
      <c r="W64" t="n">
        <v>0</v>
      </c>
      <c r="X64" t="n">
        <v>0</v>
      </c>
      <c r="Y64" t="inlineStr">
        <is>
          <t>The student's submission does not run correctly due to several issues. The model loading and modification are incorrect, as the student used EfficientNetV2-M instead of EfficientNetV2-S. The training and validation loops have logical errors, such as incorrect handling of model outputs and labels. Additionally, the student did not implement the bonus task for Test Time Augmentation.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64" t="n">
        <v>0</v>
      </c>
      <c r="AA64" t="n">
        <v>0</v>
      </c>
      <c r="AB64" t="inlineStr">
        <is>
          <t>The student's submission does not run correctly due to missing code for plotting losses and accuracy. Additionally, the student did not implement the bonus task. Therefore, the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64" t="n">
        <v>0</v>
      </c>
      <c r="AD64" t="inlineStr">
        <is>
          <t>The student's submission does not run correctly due to missing or incorrect code in several tasks. The dataset class is incomplete and does not follow the required structure. The model definition is incorrect as it uses 'efficientnet-b1' instead of 'efficientnet-b0'. The training and validation loops are not correctly implemented, and the loss and optimizer are not defined properly. Additionally, the visualization of predictions is missing critical steps. Therefore, the student receives 0 points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64" t="n">
        <v>0</v>
      </c>
      <c r="AF64" t="n">
        <v>0</v>
      </c>
      <c r="AG64" t="inlineStr">
        <is>
          <t>No submission found.</t>
        </is>
      </c>
      <c r="AH64" t="n">
        <v>0</v>
      </c>
      <c r="AI64" t="n">
        <v>0</v>
      </c>
    </row>
    <row r="65">
      <c r="A65" t="n">
        <v>64</v>
      </c>
      <c r="B65" t="inlineStr">
        <is>
          <t>TA_2</t>
        </is>
      </c>
      <c r="C65" t="inlineStr">
        <is>
          <t>TA_12</t>
        </is>
      </c>
      <c r="D65" t="n">
        <v>5.75</v>
      </c>
      <c r="E65" t="n">
        <v>0</v>
      </c>
      <c r="F65" t="n">
        <v>10</v>
      </c>
      <c r="G65" t="n">
        <v>0</v>
      </c>
      <c r="H65" t="n">
        <v>10</v>
      </c>
      <c r="I65" t="n">
        <v>0</v>
      </c>
      <c r="J65" t="n">
        <v>4.4</v>
      </c>
      <c r="K65" t="n">
        <v>0</v>
      </c>
      <c r="L65" t="n">
        <v>8.5</v>
      </c>
      <c r="M65" t="n">
        <v>0</v>
      </c>
      <c r="N65" t="n">
        <v>5</v>
      </c>
      <c r="O65" t="n">
        <v>0</v>
      </c>
      <c r="P65">
        <f>Table1[[#This Row],[TA 1 - Q1 Score]]+Table1[[#This Row],[TA 1 - Q2 Score]]+Table1[[#This Row],[TA 1 - Q3 Score]]</f>
        <v/>
      </c>
      <c r="Q65">
        <f>Table1[[#This Row],[TA 1 - Q1 Bonus]]+Table1[[#This Row],[TA 1 - Q2 Bonus]]+Table1[[#This Row],[TA 1 - Q4 Bonus]]</f>
        <v/>
      </c>
      <c r="R65">
        <f>Table1[[#This Row],[TA 2 - Q1 Score]]+Table1[[#This Row],[TA 2 - Q2 Score]]+Table1[[#This Row],[TA 2 - Q3 Score]]</f>
        <v/>
      </c>
      <c r="S65">
        <f>Table1[[#This Row],[TA 2 - Q1 Bonus]]+Table1[[#This Row],[TA 2 - Q2 Bonus]]+Table1[[#This Row],[TA 2 - Q4 Bonus]]</f>
        <v/>
      </c>
      <c r="T65">
        <f>(Table1[[#This Row],[TA 1 - Total Score (out of 35)]]+Table1[[#This Row],[TA 2 - Total Score (out of 35)]])/2</f>
        <v/>
      </c>
      <c r="U65">
        <f>(Table1[[#This Row],[TA 1 - Total Bonus (out of 13)]]+Table1[[#This Row],[TA 2 - Total Bonus (out of 13)]])/2</f>
        <v/>
      </c>
      <c r="V65">
        <f>Table1[[#This Row],[Average Questions]]/35*20+Table1[[#This Row],[Average Bonus]]/13*5</f>
        <v/>
      </c>
      <c r="W65" t="n">
        <v>0</v>
      </c>
      <c r="X65" t="n">
        <v>0</v>
      </c>
      <c r="Y65" t="inlineStr">
        <is>
          <t>The student's submission does not run correctly due to several issues. The transforms are not correctly applied, the DataLoaders are not created properly, and the model is not correctly set up for training. Additionally, the training and validation loops are incorrect, and the plots for training and validation losses and accuracies are missing. The bonus task for Test Time Augmentation is also not implemented.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65" t="n">
        <v>0</v>
      </c>
      <c r="AA65" t="n">
        <v>0</v>
      </c>
      <c r="AB65" t="inlineStr">
        <is>
          <t>The student's submission does not run correctly due to multiple issues. The dataset transformations are incorrect, the CNN model definition is flawed, and the training and validation loops contain errors. Additionally, the student did not implement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65" t="n">
        <v>0</v>
      </c>
      <c r="AD65" t="inlineStr">
        <is>
          <t>The student's submission has several critical issues. The dataset class is incorrectly implemented, leading to a failure in loading images and masks properly. The model class definition is entirely wrong, using an incorrect approach and disregarding the specific instructions to use a pretrained U-Net with an efficientnet-b1 encoder. As a result, the training and validation loops, as well as the visualization of predictions, cannot be executed correctly. The code does not run end-to-end, and the tasks are not completed as per the rubric.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65" t="n">
        <v>0</v>
      </c>
      <c r="AF65" t="n">
        <v>0</v>
      </c>
      <c r="AG65" t="inlineStr">
        <is>
          <t>No submission found.</t>
        </is>
      </c>
      <c r="AH65" t="n">
        <v>0</v>
      </c>
      <c r="AI65" t="n">
        <v>0</v>
      </c>
    </row>
    <row r="66">
      <c r="A66" t="n">
        <v>65</v>
      </c>
      <c r="B66" t="inlineStr">
        <is>
          <t>TA_2</t>
        </is>
      </c>
      <c r="C66" t="inlineStr">
        <is>
          <t>TA_12</t>
        </is>
      </c>
      <c r="D66" t="n">
        <v>11.5</v>
      </c>
      <c r="E66" t="n">
        <v>0</v>
      </c>
      <c r="F66" t="n">
        <v>9</v>
      </c>
      <c r="G66" t="n">
        <v>0</v>
      </c>
      <c r="H66" t="n">
        <v>12</v>
      </c>
      <c r="I66" t="n">
        <v>0</v>
      </c>
      <c r="J66" t="n">
        <v>12</v>
      </c>
      <c r="K66" t="n">
        <v>0</v>
      </c>
      <c r="L66" t="n">
        <v>9</v>
      </c>
      <c r="M66" t="n">
        <v>0</v>
      </c>
      <c r="N66" t="n">
        <v>11.5</v>
      </c>
      <c r="O66" t="n">
        <v>0</v>
      </c>
      <c r="P66">
        <f>Table1[[#This Row],[TA 1 - Q1 Score]]+Table1[[#This Row],[TA 1 - Q2 Score]]+Table1[[#This Row],[TA 1 - Q3 Score]]</f>
        <v/>
      </c>
      <c r="Q66">
        <f>Table1[[#This Row],[TA 1 - Q1 Bonus]]+Table1[[#This Row],[TA 1 - Q2 Bonus]]+Table1[[#This Row],[TA 1 - Q4 Bonus]]</f>
        <v/>
      </c>
      <c r="R66">
        <f>Table1[[#This Row],[TA 2 - Q1 Score]]+Table1[[#This Row],[TA 2 - Q2 Score]]+Table1[[#This Row],[TA 2 - Q3 Score]]</f>
        <v/>
      </c>
      <c r="S66">
        <f>Table1[[#This Row],[TA 2 - Q1 Bonus]]+Table1[[#This Row],[TA 2 - Q2 Bonus]]+Table1[[#This Row],[TA 2 - Q4 Bonus]]</f>
        <v/>
      </c>
      <c r="T66">
        <f>(Table1[[#This Row],[TA 1 - Total Score (out of 35)]]+Table1[[#This Row],[TA 2 - Total Score (out of 35)]])/2</f>
        <v/>
      </c>
      <c r="U66">
        <f>(Table1[[#This Row],[TA 1 - Total Bonus (out of 13)]]+Table1[[#This Row],[TA 2 - Total Bonus (out of 13)]])/2</f>
        <v/>
      </c>
      <c r="V66">
        <f>Table1[[#This Row],[Average Questions]]/35*20+Table1[[#This Row],[Average Bonus]]/13*5</f>
        <v/>
      </c>
      <c r="W66" t="n">
        <v>0</v>
      </c>
      <c r="X66" t="n">
        <v>0</v>
      </c>
      <c r="Y66" t="inlineStr">
        <is>
          <t>The student's submission has several critical issues that prevent it from running correctly. The DataLoaders are incorrectly named (valid_loader instead of test_loader), and the training and validation loops contain significant errors, such as incorrect output shapes and improper use of sigmoid and softmax functions. Additionally, the student did not implement the bonus task for Test Time Augmentation. These issues result in a score of 0.0 for the base tasks and 0.0 for the bonus task.
Breakdown:
- Task 1: Complete transforms (Resize, ToTensor, Normalize): 1.5/?
- Task 2: Create DataLoaders: 0.0/?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66" t="n">
        <v>0</v>
      </c>
      <c r="AA66" t="n">
        <v>0</v>
      </c>
      <c r="AB66" t="inlineStr">
        <is>
          <t>The student's submission does not run correctly due to several issues. The dataset transformation and loading are incorrect, as the student resized the images to 32x32 instead of 128x128 as specified. The CNN model does not follow the required specifications, lacking the correct number of convolutional layers and batch normalization. The training and validation functions are incorrectly implemented, leading to errors in the training process.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66" t="n">
        <v>0</v>
      </c>
      <c r="AD66" t="inlineStr">
        <is>
          <t>The student's submission does not run correctly due to several issues. The dataset class is incorrectly implemented, leading to errors in data loading. The model definition uses 'efficientnet-b1' instead of 'efficientnet-b0' as specified. The training and validation loops have logical errors, and the loss function is incorrectly applied. Additionally, the visualization of predictions is incomplete and incorrect. Therefore, no points are awarded for any task as the code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66" t="n">
        <v>0</v>
      </c>
      <c r="AF66" t="n">
        <v>0</v>
      </c>
      <c r="AG66" t="inlineStr">
        <is>
          <t>No submission found.</t>
        </is>
      </c>
      <c r="AH66" t="n">
        <v>0</v>
      </c>
      <c r="AI66" t="n">
        <v>0</v>
      </c>
    </row>
    <row r="67">
      <c r="A67" t="n">
        <v>66</v>
      </c>
      <c r="B67" t="inlineStr">
        <is>
          <t>TA_2</t>
        </is>
      </c>
      <c r="C67" t="inlineStr">
        <is>
          <t>TA_12</t>
        </is>
      </c>
      <c r="D67" t="n">
        <v>11</v>
      </c>
      <c r="E67" t="n">
        <v>0</v>
      </c>
      <c r="F67" t="n">
        <v>8</v>
      </c>
      <c r="G67" t="n">
        <v>0</v>
      </c>
      <c r="H67" t="n">
        <v>6</v>
      </c>
      <c r="I67" t="n">
        <v>0</v>
      </c>
      <c r="J67" t="n">
        <v>10</v>
      </c>
      <c r="K67" t="n">
        <v>0</v>
      </c>
      <c r="L67" t="n">
        <v>8</v>
      </c>
      <c r="M67" t="n">
        <v>0</v>
      </c>
      <c r="N67" t="n">
        <v>1.95</v>
      </c>
      <c r="O67" t="n">
        <v>0</v>
      </c>
      <c r="P67">
        <f>Table1[[#This Row],[TA 1 - Q1 Score]]+Table1[[#This Row],[TA 1 - Q2 Score]]+Table1[[#This Row],[TA 1 - Q3 Score]]</f>
        <v/>
      </c>
      <c r="Q67">
        <f>Table1[[#This Row],[TA 1 - Q1 Bonus]]+Table1[[#This Row],[TA 1 - Q2 Bonus]]+Table1[[#This Row],[TA 1 - Q4 Bonus]]</f>
        <v/>
      </c>
      <c r="R67">
        <f>Table1[[#This Row],[TA 2 - Q1 Score]]+Table1[[#This Row],[TA 2 - Q2 Score]]+Table1[[#This Row],[TA 2 - Q3 Score]]</f>
        <v/>
      </c>
      <c r="S67">
        <f>Table1[[#This Row],[TA 2 - Q1 Bonus]]+Table1[[#This Row],[TA 2 - Q2 Bonus]]+Table1[[#This Row],[TA 2 - Q4 Bonus]]</f>
        <v/>
      </c>
      <c r="T67">
        <f>(Table1[[#This Row],[TA 1 - Total Score (out of 35)]]+Table1[[#This Row],[TA 2 - Total Score (out of 35)]])/2</f>
        <v/>
      </c>
      <c r="U67">
        <f>(Table1[[#This Row],[TA 1 - Total Bonus (out of 13)]]+Table1[[#This Row],[TA 2 - Total Bonus (out of 13)]])/2</f>
        <v/>
      </c>
      <c r="V67">
        <f>Table1[[#This Row],[Average Questions]]/35*20+Table1[[#This Row],[Average Bonus]]/13*5</f>
        <v/>
      </c>
      <c r="W67" t="n">
        <v>0</v>
      </c>
      <c r="X67" t="n">
        <v>0</v>
      </c>
      <c r="Y67" t="inlineStr">
        <is>
          <t>The student's submission does not run end-to-end due to multiple issues. The transforms are incomplete, the DataLoaders are not correctly created, and the model training and validation loops are incorrect. Additionally, the student did not display sample images or implement the bonus task for Test Time Augmentation.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67" t="n">
        <v>0</v>
      </c>
      <c r="AA67" t="n">
        <v>0</v>
      </c>
      <c r="AB67" t="inlineStr">
        <is>
          <t>The student's submission does not run correctly due to several issues. The dataset class is incorrectly implemented, leading to errors in data loading. The CNN model definition is flawed, with incorrect layer order and missing forward pass implementation. The training and validation functions are incorrectly implemented, leading to runtime errors.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67" t="n">
        <v>0</v>
      </c>
      <c r="AD67" t="inlineStr">
        <is>
          <t>The student's submission does not run correctly due to multiple issues. The dataset class is incorrectly implemented, using a CSV file that is not provided or mentioned in the instructions. The model definition uses the wrong encoder ('efficientnet-b0' instead of 'efficientnet-b1') and the wrong number of classes (1 instead of 8). The training and validation loops are incorrectly implemented, using the wrong loss function (BCEWithLogitsLoss instead of CrossEntropyLoss) and incorrect data types. The visualization code is also incorrect and does not display the predictions correctly.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67" t="n">
        <v>0</v>
      </c>
      <c r="AF67" t="n">
        <v>0</v>
      </c>
      <c r="AG67" t="inlineStr">
        <is>
          <t>No submission found.</t>
        </is>
      </c>
      <c r="AH67" t="n">
        <v>0</v>
      </c>
      <c r="AI67" t="n">
        <v>0</v>
      </c>
    </row>
    <row r="68">
      <c r="A68" t="n">
        <v>67</v>
      </c>
      <c r="B68" t="inlineStr">
        <is>
          <t>TA_2</t>
        </is>
      </c>
      <c r="C68" t="inlineStr">
        <is>
          <t>TA_12</t>
        </is>
      </c>
      <c r="D68" t="n">
        <v>7.5</v>
      </c>
      <c r="E68" t="n">
        <v>0</v>
      </c>
      <c r="F68" t="n">
        <v>8.5</v>
      </c>
      <c r="G68" t="n">
        <v>0</v>
      </c>
      <c r="H68" t="n">
        <v>12</v>
      </c>
      <c r="I68" t="n">
        <v>0</v>
      </c>
      <c r="J68" t="n">
        <v>7.5</v>
      </c>
      <c r="K68" t="n">
        <v>0</v>
      </c>
      <c r="L68" t="n">
        <v>8.25</v>
      </c>
      <c r="M68" t="n">
        <v>0</v>
      </c>
      <c r="N68" t="n">
        <v>12</v>
      </c>
      <c r="O68" t="n">
        <v>0</v>
      </c>
      <c r="P68">
        <f>Table1[[#This Row],[TA 1 - Q1 Score]]+Table1[[#This Row],[TA 1 - Q2 Score]]+Table1[[#This Row],[TA 1 - Q3 Score]]</f>
        <v/>
      </c>
      <c r="Q68">
        <f>Table1[[#This Row],[TA 1 - Q1 Bonus]]+Table1[[#This Row],[TA 1 - Q2 Bonus]]+Table1[[#This Row],[TA 1 - Q4 Bonus]]</f>
        <v/>
      </c>
      <c r="R68">
        <f>Table1[[#This Row],[TA 2 - Q1 Score]]+Table1[[#This Row],[TA 2 - Q2 Score]]+Table1[[#This Row],[TA 2 - Q3 Score]]</f>
        <v/>
      </c>
      <c r="S68">
        <f>Table1[[#This Row],[TA 2 - Q1 Bonus]]+Table1[[#This Row],[TA 2 - Q2 Bonus]]+Table1[[#This Row],[TA 2 - Q4 Bonus]]</f>
        <v/>
      </c>
      <c r="T68">
        <f>(Table1[[#This Row],[TA 1 - Total Score (out of 35)]]+Table1[[#This Row],[TA 2 - Total Score (out of 35)]])/2</f>
        <v/>
      </c>
      <c r="U68">
        <f>(Table1[[#This Row],[TA 1 - Total Bonus (out of 13)]]+Table1[[#This Row],[TA 2 - Total Bonus (out of 13)]])/2</f>
        <v/>
      </c>
      <c r="V68">
        <f>Table1[[#This Row],[Average Questions]]/35*20+Table1[[#This Row],[Average Bonus]]/13*5</f>
        <v/>
      </c>
      <c r="W68" t="n">
        <v>0</v>
      </c>
      <c r="X68" t="n">
        <v>0</v>
      </c>
      <c r="Y68" t="inlineStr">
        <is>
          <t>The student's submission does not run correctly due to several issues. The transforms are not correctly applied, the DataLoaders are not created properly, and the model training and validation loops contain critical errors. Additionally, the student did not implement the bonus task for Test Time Augmentation.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68" t="n">
        <v>0</v>
      </c>
      <c r="AA68" t="n">
        <v>0</v>
      </c>
      <c r="AB68" t="inlineStr">
        <is>
          <t>The student's submission does not run correctly due to several issues. The dataset paths are incorrect, the transforms are applied incorrectly, and the model definition is incomplete. Additionally, the training and validation functions are not correctly implemented, and the plotting code is missing. Therefore, no tasks are awarded any points.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68" t="n">
        <v>0</v>
      </c>
      <c r="AD68" t="inlineStr">
        <is>
          <t>The student's submission does not run end-to-end due to multiple issues. The dataset class is incorrectly implemented, leading to failures in data loading and processing. The model definition uses the wrong encoder, and the training and validation loops are not correctly implemented. Additionally, the visualization of predictions is flawed. Since the code does not run correctly and deviates from the rubric, no partial credit can be awarded.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68" t="n">
        <v>0</v>
      </c>
      <c r="AF68" t="n">
        <v>0</v>
      </c>
      <c r="AG68" t="inlineStr">
        <is>
          <t>No submission found.</t>
        </is>
      </c>
      <c r="AH68" t="n">
        <v>0</v>
      </c>
      <c r="AI68" t="n">
        <v>0</v>
      </c>
    </row>
    <row r="69">
      <c r="A69" t="n">
        <v>68</v>
      </c>
      <c r="B69" t="inlineStr">
        <is>
          <t>TA_2</t>
        </is>
      </c>
      <c r="C69" t="inlineStr">
        <is>
          <t>TA_12</t>
        </is>
      </c>
      <c r="D69" t="n">
        <v>7.5</v>
      </c>
      <c r="E69" t="n">
        <v>0</v>
      </c>
      <c r="F69" t="n">
        <v>8.5</v>
      </c>
      <c r="G69" t="n">
        <v>0</v>
      </c>
      <c r="H69" t="n">
        <v>11</v>
      </c>
      <c r="I69" t="n">
        <v>0</v>
      </c>
      <c r="J69" t="n">
        <v>7.5</v>
      </c>
      <c r="K69" t="n">
        <v>0</v>
      </c>
      <c r="L69" t="n">
        <v>6.5</v>
      </c>
      <c r="M69" t="n">
        <v>1</v>
      </c>
      <c r="N69" t="n">
        <v>7</v>
      </c>
      <c r="O69" t="n">
        <v>0</v>
      </c>
      <c r="P69">
        <f>Table1[[#This Row],[TA 1 - Q1 Score]]+Table1[[#This Row],[TA 1 - Q2 Score]]+Table1[[#This Row],[TA 1 - Q3 Score]]</f>
        <v/>
      </c>
      <c r="Q69">
        <f>Table1[[#This Row],[TA 1 - Q1 Bonus]]+Table1[[#This Row],[TA 1 - Q2 Bonus]]+Table1[[#This Row],[TA 1 - Q4 Bonus]]</f>
        <v/>
      </c>
      <c r="R69">
        <f>Table1[[#This Row],[TA 2 - Q1 Score]]+Table1[[#This Row],[TA 2 - Q2 Score]]+Table1[[#This Row],[TA 2 - Q3 Score]]</f>
        <v/>
      </c>
      <c r="S69">
        <f>Table1[[#This Row],[TA 2 - Q1 Bonus]]+Table1[[#This Row],[TA 2 - Q2 Bonus]]+Table1[[#This Row],[TA 2 - Q4 Bonus]]</f>
        <v/>
      </c>
      <c r="T69">
        <f>(Table1[[#This Row],[TA 1 - Total Score (out of 35)]]+Table1[[#This Row],[TA 2 - Total Score (out of 35)]])/2</f>
        <v/>
      </c>
      <c r="U69">
        <f>(Table1[[#This Row],[TA 1 - Total Bonus (out of 13)]]+Table1[[#This Row],[TA 2 - Total Bonus (out of 13)]])/2</f>
        <v/>
      </c>
      <c r="V69">
        <f>Table1[[#This Row],[Average Questions]]/35*20+Table1[[#This Row],[Average Bonus]]/13*5</f>
        <v/>
      </c>
      <c r="W69" t="n">
        <v>0</v>
      </c>
      <c r="X69" t="n">
        <v>0</v>
      </c>
      <c r="Y69" t="inlineStr">
        <is>
          <t>The student's submission does not run correctly due to several issues. The transforms are incomplete, the DataLoaders are not created correctly, and the model is not set up properly. The training and validation loops are incorrect, and the plots for training and validation losses and accuracies are missing. Additionally, the bonus task for Test Time Augmentation is not implemented.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69" t="n">
        <v>0</v>
      </c>
      <c r="AA69" t="n">
        <v>0</v>
      </c>
      <c r="AB69" t="inlineStr">
        <is>
          <t>The student's submission does not run correctly due to multiple issues. The code for loading and preparing the data is incomplete and contains errors. The CNN model definition is incorrect and does not follow the specified requirements. The training and validation functions are incomplete and contain logical errors. The residual connection implementation is incorrect and does not follow the specified requirements.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69" t="n">
        <v>0</v>
      </c>
      <c r="AD69" t="inlineStr">
        <is>
          <t>The student's submission does not run end-to-end due to multiple issues. The dataset class is incomplete and incorrect, the model definition uses the wrong encoder, and the training and validation loops are not correctly implemented. Additionally, the student did not display sample images and masks, define the loss and optimizer correctly, or visualize predictions.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69" t="n">
        <v>0</v>
      </c>
      <c r="AF69" t="n">
        <v>0</v>
      </c>
      <c r="AG69" t="inlineStr">
        <is>
          <t>No submission found.</t>
        </is>
      </c>
      <c r="AH69" t="n">
        <v>0</v>
      </c>
      <c r="AI69" t="n">
        <v>0</v>
      </c>
    </row>
    <row r="70">
      <c r="A70" t="n">
        <v>69</v>
      </c>
      <c r="B70" t="inlineStr">
        <is>
          <t>TA_2</t>
        </is>
      </c>
      <c r="C70" t="inlineStr">
        <is>
          <t>TA_12</t>
        </is>
      </c>
      <c r="D70" t="n">
        <v>11.5</v>
      </c>
      <c r="E70" t="n">
        <v>0</v>
      </c>
      <c r="F70" t="n">
        <v>9</v>
      </c>
      <c r="G70" t="n">
        <v>0</v>
      </c>
      <c r="H70" t="n">
        <v>12</v>
      </c>
      <c r="I70" t="n">
        <v>0</v>
      </c>
      <c r="J70" t="n">
        <v>12</v>
      </c>
      <c r="K70" t="n">
        <v>0</v>
      </c>
      <c r="L70" t="n">
        <v>9</v>
      </c>
      <c r="M70" t="n">
        <v>0</v>
      </c>
      <c r="N70" t="n">
        <v>9.5</v>
      </c>
      <c r="O70" t="n">
        <v>0</v>
      </c>
      <c r="P70">
        <f>Table1[[#This Row],[TA 1 - Q1 Score]]+Table1[[#This Row],[TA 1 - Q2 Score]]+Table1[[#This Row],[TA 1 - Q3 Score]]</f>
        <v/>
      </c>
      <c r="Q70">
        <f>Table1[[#This Row],[TA 1 - Q1 Bonus]]+Table1[[#This Row],[TA 1 - Q2 Bonus]]+Table1[[#This Row],[TA 1 - Q4 Bonus]]</f>
        <v/>
      </c>
      <c r="R70">
        <f>Table1[[#This Row],[TA 2 - Q1 Score]]+Table1[[#This Row],[TA 2 - Q2 Score]]+Table1[[#This Row],[TA 2 - Q3 Score]]</f>
        <v/>
      </c>
      <c r="S70">
        <f>Table1[[#This Row],[TA 2 - Q1 Bonus]]+Table1[[#This Row],[TA 2 - Q2 Bonus]]+Table1[[#This Row],[TA 2 - Q4 Bonus]]</f>
        <v/>
      </c>
      <c r="T70">
        <f>(Table1[[#This Row],[TA 1 - Total Score (out of 35)]]+Table1[[#This Row],[TA 2 - Total Score (out of 35)]])/2</f>
        <v/>
      </c>
      <c r="U70">
        <f>(Table1[[#This Row],[TA 1 - Total Bonus (out of 13)]]+Table1[[#This Row],[TA 2 - Total Bonus (out of 13)]])/2</f>
        <v/>
      </c>
      <c r="V70">
        <f>Table1[[#This Row],[Average Questions]]/35*20+Table1[[#This Row],[Average Bonus]]/13*5</f>
        <v/>
      </c>
      <c r="W70" t="n">
        <v>0</v>
      </c>
      <c r="X70" t="n">
        <v>0</v>
      </c>
      <c r="Y70" t="inlineStr">
        <is>
          <t>The student's submission does not run correctly due to several issues. The transforms are incorrect as the resize dimension is set to 224x224 instead of 28x28. The DataLoader creation is incomplete as it uses 'valid_loader' instead of 'test_loader'. The model setup and training functions are incomplete and contain errors. The plotting functions are missing. The bonus task for Test Time Augmentation is not attempted. Therefore, the student receives 0 points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70" t="n">
        <v>0</v>
      </c>
      <c r="AA70" t="n">
        <v>0</v>
      </c>
      <c r="AB70" t="inlineStr">
        <is>
          <t>The student's submission does not run correctly due to several issues. The dataset paths are incorrect, leading to errors in loading the data. The model definition is incorrect as it does not follow the specified architecture with 5 convolutional layers and batch normalization. The training and validation loops are flawed, and the plotting code is incomplete.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70" t="n">
        <v>0</v>
      </c>
      <c r="AD70" t="inlineStr">
        <is>
          <t>The student's submission does not run correctly due to several issues. The dataset class is incomplete and does not correctly load images and masks. The DataLoader creation is flawed, and the display of sample images and masks is missing. The model definition uses the wrong encoder (efficientnet-b1 instead of efficientnet-b0). The training and validation loops are present but do not run correctly due to the incorrect model definition and dataset issues. The loss and optimizer are defined, but the training process fails. The loss curve plotting and visualization of predictions are attempted but do not function due to the previous errors.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70" t="n">
        <v>0</v>
      </c>
      <c r="AF70" t="n">
        <v>0</v>
      </c>
      <c r="AG70" t="inlineStr">
        <is>
          <t>No submission found.</t>
        </is>
      </c>
      <c r="AH70" t="n">
        <v>0</v>
      </c>
      <c r="AI70" t="n">
        <v>0</v>
      </c>
    </row>
    <row r="71">
      <c r="A71" t="n">
        <v>70</v>
      </c>
      <c r="B71" t="inlineStr">
        <is>
          <t>TA_2</t>
        </is>
      </c>
      <c r="C71" t="inlineStr">
        <is>
          <t>TA_12</t>
        </is>
      </c>
      <c r="D71" t="n">
        <v>10.75</v>
      </c>
      <c r="E71" t="n">
        <v>0</v>
      </c>
      <c r="F71" t="n">
        <v>9</v>
      </c>
      <c r="G71" t="n">
        <v>0</v>
      </c>
      <c r="H71" t="n">
        <v>12</v>
      </c>
      <c r="I71" t="n">
        <v>0</v>
      </c>
      <c r="J71" t="n">
        <v>8.600000000000001</v>
      </c>
      <c r="K71" t="n">
        <v>0</v>
      </c>
      <c r="L71" t="n">
        <v>9</v>
      </c>
      <c r="M71" t="n">
        <v>0</v>
      </c>
      <c r="N71" t="n">
        <v>4.95</v>
      </c>
      <c r="O71" t="n">
        <v>0</v>
      </c>
      <c r="P71">
        <f>Table1[[#This Row],[TA 1 - Q1 Score]]+Table1[[#This Row],[TA 1 - Q2 Score]]+Table1[[#This Row],[TA 1 - Q3 Score]]</f>
        <v/>
      </c>
      <c r="Q71">
        <f>Table1[[#This Row],[TA 1 - Q1 Bonus]]+Table1[[#This Row],[TA 1 - Q2 Bonus]]+Table1[[#This Row],[TA 1 - Q4 Bonus]]</f>
        <v/>
      </c>
      <c r="R71">
        <f>Table1[[#This Row],[TA 2 - Q1 Score]]+Table1[[#This Row],[TA 2 - Q2 Score]]+Table1[[#This Row],[TA 2 - Q3 Score]]</f>
        <v/>
      </c>
      <c r="S71">
        <f>Table1[[#This Row],[TA 2 - Q1 Bonus]]+Table1[[#This Row],[TA 2 - Q2 Bonus]]+Table1[[#This Row],[TA 2 - Q4 Bonus]]</f>
        <v/>
      </c>
      <c r="T71">
        <f>(Table1[[#This Row],[TA 1 - Total Score (out of 35)]]+Table1[[#This Row],[TA 2 - Total Score (out of 35)]])/2</f>
        <v/>
      </c>
      <c r="U71">
        <f>(Table1[[#This Row],[TA 1 - Total Bonus (out of 13)]]+Table1[[#This Row],[TA 2 - Total Bonus (out of 13)]])/2</f>
        <v/>
      </c>
      <c r="V71">
        <f>Table1[[#This Row],[Average Questions]]/35*20+Table1[[#This Row],[Average Bonus]]/13*5</f>
        <v/>
      </c>
      <c r="W71" t="n">
        <v>0</v>
      </c>
      <c r="X71" t="n">
        <v>0</v>
      </c>
      <c r="Y71" t="inlineStr">
        <is>
          <t>The student's submission contains several critical errors that prevent the code from running correctly. The transforms are incomplete, the DataLoaders are incorrectly named, and the model training and validation loops are fundamentally flawed. The student did not fix the labels, which is a critical requirement. Additionally, the student did not implement the bonus task correctly.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71" t="n">
        <v>0</v>
      </c>
      <c r="AA71" t="n">
        <v>0</v>
      </c>
      <c r="AB71" t="inlineStr">
        <is>
          <t>The student's submission does not run correctly due to several issues. The dataset paths are incorrect, leading to errors in loading the data. The CNN model definition is incomplete and incorrect, missing batch normalization layers and having incorrect layer configurations. The training and validation functions are flawed, particularly in the accuracy calculation.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71" t="n">
        <v>0</v>
      </c>
      <c r="AD71" t="inlineStr">
        <is>
          <t>The student's submission has several critical issues. The dataset class is incorrectly implemented, leading to incorrect data loading. The model definition uses the wrong encoder (efficientnet-b1 instead of efficientnet-b0) and the wrong number of classes (1 instead of 8), which is a fundamental deviation from the task requirements. The training and validation loops are incorrectly implemented, using BCEWithLogitsLoss instead of CrossEntropyLoss, which is inappropriate for multi-class segmentation. The loss plotting and prediction visualization tasks are also incomplete due to the incorrect model and data handling. Therefore, the submission does not meet the requirements of any task and receives a score of 0.0.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71" t="n">
        <v>0</v>
      </c>
      <c r="AF71" t="n">
        <v>0</v>
      </c>
      <c r="AG71" t="inlineStr">
        <is>
          <t>No submission found.</t>
        </is>
      </c>
      <c r="AH71" t="n">
        <v>0</v>
      </c>
      <c r="AI71" t="n">
        <v>0</v>
      </c>
    </row>
    <row r="72">
      <c r="A72" t="n">
        <v>71</v>
      </c>
      <c r="B72" t="inlineStr">
        <is>
          <t>TA_2</t>
        </is>
      </c>
      <c r="C72" t="inlineStr">
        <is>
          <t>TA_12</t>
        </is>
      </c>
      <c r="D72" t="n">
        <v>11</v>
      </c>
      <c r="E72" t="n">
        <v>0</v>
      </c>
      <c r="F72" t="n">
        <v>11</v>
      </c>
      <c r="G72" t="n">
        <v>0</v>
      </c>
      <c r="H72" t="n">
        <v>12</v>
      </c>
      <c r="I72" t="n">
        <v>5</v>
      </c>
      <c r="J72" t="n">
        <v>12</v>
      </c>
      <c r="K72" t="n">
        <v>0</v>
      </c>
      <c r="L72" t="n">
        <v>11</v>
      </c>
      <c r="M72" t="n">
        <v>0</v>
      </c>
      <c r="N72" t="n">
        <v>12</v>
      </c>
      <c r="O72" t="n">
        <v>0</v>
      </c>
      <c r="P72">
        <f>Table1[[#This Row],[TA 1 - Q1 Score]]+Table1[[#This Row],[TA 1 - Q2 Score]]+Table1[[#This Row],[TA 1 - Q3 Score]]</f>
        <v/>
      </c>
      <c r="Q72">
        <f>Table1[[#This Row],[TA 1 - Q1 Bonus]]+Table1[[#This Row],[TA 1 - Q2 Bonus]]+Table1[[#This Row],[TA 1 - Q4 Bonus]]</f>
        <v/>
      </c>
      <c r="R72">
        <f>Table1[[#This Row],[TA 2 - Q1 Score]]+Table1[[#This Row],[TA 2 - Q2 Score]]+Table1[[#This Row],[TA 2 - Q3 Score]]</f>
        <v/>
      </c>
      <c r="S72">
        <f>Table1[[#This Row],[TA 2 - Q1 Bonus]]+Table1[[#This Row],[TA 2 - Q2 Bonus]]+Table1[[#This Row],[TA 2 - Q4 Bonus]]</f>
        <v/>
      </c>
      <c r="T72">
        <f>(Table1[[#This Row],[TA 1 - Total Score (out of 35)]]+Table1[[#This Row],[TA 2 - Total Score (out of 35)]])/2</f>
        <v/>
      </c>
      <c r="U72">
        <f>(Table1[[#This Row],[TA 1 - Total Bonus (out of 13)]]+Table1[[#This Row],[TA 2 - Total Bonus (out of 13)]])/2</f>
        <v/>
      </c>
      <c r="V72">
        <f>Table1[[#This Row],[Average Questions]]/35*20+Table1[[#This Row],[Average Bonus]]/13*5</f>
        <v/>
      </c>
      <c r="W72" t="n">
        <v>0</v>
      </c>
      <c r="X72" t="n">
        <v>0</v>
      </c>
      <c r="Y72" t="inlineStr">
        <is>
          <t>The student's submission does not run correctly due to several issues. The code for transforming the data is incomplete and incorrect, leading to errors in the training and validation loops. The student did not correctly implement the label remapping, which is crucial for the model to train properly. Additionally, the student did not implement the bonus task for Test Time Augmentation.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72" t="n">
        <v>0</v>
      </c>
      <c r="AA72" t="n">
        <v>0</v>
      </c>
      <c r="AB72" t="inlineStr">
        <is>
          <t>The student's submission does not run correctly due to several issues. The model definition deviates significantly from the required specifications, including the incorrect number of convolutional layers and the use of LeakyReLU instead of ReLU. The training and validation functions are incorrectly implemented, leading to errors in the training process. Additionally, the student did not implement the bonus task correctly. Therefore, the minimum defensible score for each task is 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72" t="n">
        <v>0</v>
      </c>
      <c r="AD72" t="inlineStr">
        <is>
          <t>The student's submission does not run correctly due to several issues. The dataset class is incomplete and does not follow the required structure. The model definition uses the wrong encoder (efficientnet-b1 instead of efficientnet-b0). The training and validation loops are present but do not run correctly due to missing or incorrect code. The loss and optimizer are defined but not used correctly in the training loop. The visualization of predictions is attempted but does not display correctly due to errors in the code. Overall, the submission does not meet the requirements of the rubric and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72" t="n">
        <v>0</v>
      </c>
      <c r="AF72" t="n">
        <v>0</v>
      </c>
      <c r="AG72" t="inlineStr">
        <is>
          <t>The student did not implement any of the required methods in the `ColorizationDataset` class. The `__init__`, `__len__`, `rgb_to_grayscale`, and `__getitem__` methods are all left as 'TO DO' placeholders, indicating that no code was written for these tasks. Additionally, the visualization code will not run correctly because the dataset methods are not implemented. Therefore, the student receives 0 points for this task.
Breakdown:
- Correctly implemented `ColorizationDataset` class: 0.0/5.0</t>
        </is>
      </c>
      <c r="AH72" t="n">
        <v>0</v>
      </c>
      <c r="AI72" t="n">
        <v>0</v>
      </c>
    </row>
    <row r="73">
      <c r="A73" t="n">
        <v>72</v>
      </c>
      <c r="B73" t="inlineStr">
        <is>
          <t>TA_2</t>
        </is>
      </c>
      <c r="C73" t="inlineStr">
        <is>
          <t>TA_12</t>
        </is>
      </c>
      <c r="D73" t="n">
        <v>10.75</v>
      </c>
      <c r="E73" t="n">
        <v>1</v>
      </c>
      <c r="F73" t="n">
        <v>10.5</v>
      </c>
      <c r="G73" t="n">
        <v>0</v>
      </c>
      <c r="H73" t="n">
        <v>11.5</v>
      </c>
      <c r="I73" t="n">
        <v>0</v>
      </c>
      <c r="J73" t="n">
        <v>10.2</v>
      </c>
      <c r="K73" t="n">
        <v>3</v>
      </c>
      <c r="L73" t="n">
        <v>10.25</v>
      </c>
      <c r="M73" t="n">
        <v>0</v>
      </c>
      <c r="N73" t="n">
        <v>7.5</v>
      </c>
      <c r="O73" t="n">
        <v>0</v>
      </c>
      <c r="P73">
        <f>Table1[[#This Row],[TA 1 - Q1 Score]]+Table1[[#This Row],[TA 1 - Q2 Score]]+Table1[[#This Row],[TA 1 - Q3 Score]]</f>
        <v/>
      </c>
      <c r="Q73">
        <f>Table1[[#This Row],[TA 1 - Q1 Bonus]]+Table1[[#This Row],[TA 1 - Q2 Bonus]]+Table1[[#This Row],[TA 1 - Q4 Bonus]]</f>
        <v/>
      </c>
      <c r="R73">
        <f>Table1[[#This Row],[TA 2 - Q1 Score]]+Table1[[#This Row],[TA 2 - Q2 Score]]+Table1[[#This Row],[TA 2 - Q3 Score]]</f>
        <v/>
      </c>
      <c r="S73">
        <f>Table1[[#This Row],[TA 2 - Q1 Bonus]]+Table1[[#This Row],[TA 2 - Q2 Bonus]]+Table1[[#This Row],[TA 2 - Q4 Bonus]]</f>
        <v/>
      </c>
      <c r="T73">
        <f>(Table1[[#This Row],[TA 1 - Total Score (out of 35)]]+Table1[[#This Row],[TA 2 - Total Score (out of 35)]])/2</f>
        <v/>
      </c>
      <c r="U73">
        <f>(Table1[[#This Row],[TA 1 - Total Bonus (out of 13)]]+Table1[[#This Row],[TA 2 - Total Bonus (out of 13)]])/2</f>
        <v/>
      </c>
      <c r="V73">
        <f>Table1[[#This Row],[Average Questions]]/35*20+Table1[[#This Row],[Average Bonus]]/13*5</f>
        <v/>
      </c>
      <c r="W73" t="n">
        <v>0</v>
      </c>
      <c r="X73" t="n">
        <v>0</v>
      </c>
      <c r="Y73" t="inlineStr">
        <is>
          <t>The student's submission does not run correctly due to several issues. The transforms are not correctly applied, the DataLoaders are not created properly, and the model is not correctly set up for training. Additionally, the training and validation loops contain errors, and the plots for training and validation losses and accuracies are incorrect. The bonus task for Test Time Augmentation is also not implemented correctly.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73" t="n">
        <v>0</v>
      </c>
      <c r="AA73" t="n">
        <v>0</v>
      </c>
      <c r="AB73" t="inlineStr">
        <is>
          <t>The student's submission does not run correctly due to several issues. The dataset class is implemented but does not correctly handle the image paths and labels. The transformations are incorrectly applied, and the model architecture deviates from the required specifications. The training and validation functions are incomplete and contain errors. The residual connection is not correctly implemented, and the bonus tasks are not attempted.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73" t="n">
        <v>0</v>
      </c>
      <c r="AD73" t="inlineStr">
        <is>
          <t>The student's submission does not run correctly due to several issues. The dataset class is incomplete and contains commented-out code, which means it does not function as intended. The training and validation loops are incorrectly implemented, leading to errors in the training process. Additionally, the visualization of predictions is flawed, as the model's predictions are not correctly processed or displayed. Therefore, the student receives 0 points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73" t="n">
        <v>0</v>
      </c>
      <c r="AF73" t="n">
        <v>0</v>
      </c>
      <c r="AG73" t="inlineStr">
        <is>
          <t>No submission found.</t>
        </is>
      </c>
      <c r="AH73" t="n">
        <v>0</v>
      </c>
      <c r="AI73" t="n">
        <v>0</v>
      </c>
    </row>
    <row r="74">
      <c r="A74" t="n">
        <v>73</v>
      </c>
      <c r="B74" t="inlineStr">
        <is>
          <t>TA_2</t>
        </is>
      </c>
      <c r="C74" t="inlineStr">
        <is>
          <t>TA_12</t>
        </is>
      </c>
      <c r="D74" t="n">
        <v>5</v>
      </c>
      <c r="E74" t="n">
        <v>0</v>
      </c>
      <c r="F74" t="n">
        <v>7.8</v>
      </c>
      <c r="G74" t="n">
        <v>0.5</v>
      </c>
      <c r="H74" t="n">
        <v>10</v>
      </c>
      <c r="I74" t="n">
        <v>0</v>
      </c>
      <c r="J74" t="n">
        <v>5.1</v>
      </c>
      <c r="K74" t="n">
        <v>0</v>
      </c>
      <c r="L74" t="n">
        <v>3</v>
      </c>
      <c r="M74" t="n">
        <v>0.5</v>
      </c>
      <c r="N74" t="n">
        <v>3.7</v>
      </c>
      <c r="O74" t="n">
        <v>0</v>
      </c>
      <c r="P74">
        <f>Table1[[#This Row],[TA 1 - Q1 Score]]+Table1[[#This Row],[TA 1 - Q2 Score]]+Table1[[#This Row],[TA 1 - Q3 Score]]</f>
        <v/>
      </c>
      <c r="Q74">
        <f>Table1[[#This Row],[TA 1 - Q1 Bonus]]+Table1[[#This Row],[TA 1 - Q2 Bonus]]+Table1[[#This Row],[TA 1 - Q4 Bonus]]</f>
        <v/>
      </c>
      <c r="R74">
        <f>Table1[[#This Row],[TA 2 - Q1 Score]]+Table1[[#This Row],[TA 2 - Q2 Score]]+Table1[[#This Row],[TA 2 - Q3 Score]]</f>
        <v/>
      </c>
      <c r="S74">
        <f>Table1[[#This Row],[TA 2 - Q1 Bonus]]+Table1[[#This Row],[TA 2 - Q2 Bonus]]+Table1[[#This Row],[TA 2 - Q4 Bonus]]</f>
        <v/>
      </c>
      <c r="T74">
        <f>(Table1[[#This Row],[TA 1 - Total Score (out of 35)]]+Table1[[#This Row],[TA 2 - Total Score (out of 35)]])/2</f>
        <v/>
      </c>
      <c r="U74">
        <f>(Table1[[#This Row],[TA 1 - Total Bonus (out of 13)]]+Table1[[#This Row],[TA 2 - Total Bonus (out of 13)]])/2</f>
        <v/>
      </c>
      <c r="V74">
        <f>Table1[[#This Row],[Average Questions]]/35*20+Table1[[#This Row],[Average Bonus]]/13*5</f>
        <v/>
      </c>
      <c r="W74" t="n">
        <v>0</v>
      </c>
      <c r="X74" t="n">
        <v>0</v>
      </c>
      <c r="Y74" t="inlineStr">
        <is>
          <t>The student's submission contains multiple issues that prevent the code from running correctly. The transforms are incomplete, the DataLoaders are not created correctly, and the sample images are not displayed properly. The model loading and adaptation steps are incorrect, and the training and validation functions are not defined correctly. Additionally, the training and plotting steps are flawed. The bonus task for Test Time Augmentation is not attempted.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74" t="n">
        <v>0</v>
      </c>
      <c r="AA74" t="n">
        <v>0</v>
      </c>
      <c r="AB74" t="inlineStr">
        <is>
          <t>The student's submission contains several critical errors that prevent the code from running correctly. The dataset class is incorrectly implemented, leading to issues in loading the data. The CNN model definition is flawed, with incorrect batch normalization implementation and missing residual connections. The training and validation functions are incorrectly defined, leading to errors in the training process. Additionally, the student used an incorrect model class (UNet) instead of the required CNNModel, and the residual connection implementation is incorrect. These issues result in a score of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74" t="n">
        <v>0</v>
      </c>
      <c r="AD74" t="inlineStr">
        <is>
          <t>The student's submission deviates significantly from the required tasks. The dataset class is incorrectly implemented, using a CSV file for paths instead of directly loading images and masks from directories. The model class is incorrectly defined as a classification model using EfficientNet-B1 instead of a segmentation model with a U-Net architecture and efficientnet-b1 encoder. The training and validation loops are incorrectly implemented for classification instead of segmentation. The loss and optimizer are defined correctly, but the training process is flawed due to the incorrect model and loops. The visualization of predictions is also incorrect due to the wrong model architecture. Therefore, the submission does not meet the requirements of any task and is awarded 0 points.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74" t="n">
        <v>0</v>
      </c>
      <c r="AF74" t="n">
        <v>0</v>
      </c>
      <c r="AG74" t="inlineStr">
        <is>
          <t>No submission found.</t>
        </is>
      </c>
      <c r="AH74" t="n">
        <v>0</v>
      </c>
      <c r="AI74" t="n">
        <v>0</v>
      </c>
    </row>
    <row r="75">
      <c r="A75" t="n">
        <v>74</v>
      </c>
      <c r="B75" t="inlineStr">
        <is>
          <t>TA_2</t>
        </is>
      </c>
      <c r="C75" t="inlineStr">
        <is>
          <t>TA_12</t>
        </is>
      </c>
      <c r="D75" t="n">
        <v>6.7</v>
      </c>
      <c r="E75" t="n">
        <v>0</v>
      </c>
      <c r="F75" t="n">
        <v>10.5</v>
      </c>
      <c r="G75" t="n">
        <v>0.5</v>
      </c>
      <c r="H75" t="n">
        <v>8</v>
      </c>
      <c r="I75" t="n">
        <v>0</v>
      </c>
      <c r="J75" t="n">
        <v>2.5</v>
      </c>
      <c r="K75" t="n">
        <v>0</v>
      </c>
      <c r="L75" t="n">
        <v>9</v>
      </c>
      <c r="M75" t="n">
        <v>1.5</v>
      </c>
      <c r="N75" t="n">
        <v>1.75</v>
      </c>
      <c r="O75" t="n">
        <v>5</v>
      </c>
      <c r="P75">
        <f>Table1[[#This Row],[TA 1 - Q1 Score]]+Table1[[#This Row],[TA 1 - Q2 Score]]+Table1[[#This Row],[TA 1 - Q3 Score]]</f>
        <v/>
      </c>
      <c r="Q75">
        <f>Table1[[#This Row],[TA 1 - Q1 Bonus]]+Table1[[#This Row],[TA 1 - Q2 Bonus]]+Table1[[#This Row],[TA 1 - Q4 Bonus]]</f>
        <v/>
      </c>
      <c r="R75">
        <f>Table1[[#This Row],[TA 2 - Q1 Score]]+Table1[[#This Row],[TA 2 - Q2 Score]]+Table1[[#This Row],[TA 2 - Q3 Score]]</f>
        <v/>
      </c>
      <c r="S75">
        <f>Table1[[#This Row],[TA 2 - Q1 Bonus]]+Table1[[#This Row],[TA 2 - Q2 Bonus]]+Table1[[#This Row],[TA 2 - Q4 Bonus]]</f>
        <v/>
      </c>
      <c r="T75">
        <f>(Table1[[#This Row],[TA 1 - Total Score (out of 35)]]+Table1[[#This Row],[TA 2 - Total Score (out of 35)]])/2</f>
        <v/>
      </c>
      <c r="U75">
        <f>(Table1[[#This Row],[TA 1 - Total Bonus (out of 13)]]+Table1[[#This Row],[TA 2 - Total Bonus (out of 13)]])/2</f>
        <v/>
      </c>
      <c r="V75">
        <f>Table1[[#This Row],[Average Questions]]/35*20+Table1[[#This Row],[Average Bonus]]/13*5</f>
        <v/>
      </c>
      <c r="W75" t="n">
        <v>0</v>
      </c>
      <c r="X75" t="n">
        <v>0</v>
      </c>
      <c r="Y75" t="inlineStr">
        <is>
          <t>The student's submission contains multiple critical errors that prevent the code from running correctly. The student used the wrong model (EfficientNet-B0 instead of EfficientNetV2-Small), did not freeze the backbone correctly, and used incorrect loss functions and optimizers. Additionally, the student did not fix the labels for 0-indexing, which is a requirement for the task. The code for displaying sample images and creating DataLoaders is incomplete or incorrect, and the training and validation loops are flawed.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75" t="n">
        <v>0</v>
      </c>
      <c r="AA75" t="n">
        <v>0</v>
      </c>
      <c r="AB75" t="inlineStr">
        <is>
          <t>The student's submission does not follow the rubric correctly. The dataset class or ImageFolder is not correctly implemented, the transforms are incorrect, and the CNN model does not have the required 5 convolutional layers with batch normalization. The training and validation functions are not correctly defined, and the training process does not run correctly. Additionally, the bonus task for residual connection is not attempted correctly.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1: Defined residual connection correctly: 0.0/?
- Bonus Task 2: Retrain + Plot losses and accuracy: 0.0/?</t>
        </is>
      </c>
      <c r="AC75" t="n">
        <v>0</v>
      </c>
      <c r="AD75" t="inlineStr">
        <is>
          <t>The student's submission deviates significantly from the rubric. The dataset class is incorrectly implemented for binary segmentation instead of multi-class segmentation. The model definition uses 'efficientnet-b0' instead of 'efficientnet-b1' as specified, and the loss function is incorrectly set for binary segmentation. The training and validation loops are present but do not run correctly due to the incorrect model and loss function definitions. The visualization of predictions is also incorrect due to the binary segmentation approach. Therefore, the student receives 0% for all tasks except for the model definition, which receives -50% for using the wrong encoder and disregarding the instructions.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75" t="n">
        <v>0</v>
      </c>
      <c r="AF75" t="n">
        <v>0</v>
      </c>
      <c r="AG75" t="inlineStr">
        <is>
          <t>The student's implementation of the `ColorizationDataset` class is incomplete. The `__init__`, `__len__`, `rgb_to_grayscale`, and `__getitem__` methods are not fully implemented in the first attempt. The second attempt correctly implements these methods, but the first attempt, which is part of the submission, contains placeholders (TO DO) and does not run correctly. Therefore, the implementation does not meet the criteria for full credit.
Breakdown:
- Correctly implemented `ColorizationDataset` class: 0.0/5.0</t>
        </is>
      </c>
      <c r="AH75" t="n">
        <v>0</v>
      </c>
      <c r="AI75" t="n">
        <v>0</v>
      </c>
    </row>
    <row r="76">
      <c r="A76" t="n">
        <v>75</v>
      </c>
      <c r="B76" t="inlineStr">
        <is>
          <t>TA_2</t>
        </is>
      </c>
      <c r="C76" t="inlineStr">
        <is>
          <t>TA_12</t>
        </is>
      </c>
      <c r="D76" t="n">
        <v>9.5</v>
      </c>
      <c r="E76" t="n">
        <v>0</v>
      </c>
      <c r="F76" t="n">
        <v>11</v>
      </c>
      <c r="G76" t="n">
        <v>4</v>
      </c>
      <c r="H76" t="n">
        <v>12</v>
      </c>
      <c r="I76" t="n">
        <v>0</v>
      </c>
      <c r="J76" t="n">
        <v>9.5</v>
      </c>
      <c r="K76" t="n">
        <v>0</v>
      </c>
      <c r="L76" t="n">
        <v>9.75</v>
      </c>
      <c r="M76" t="n">
        <v>4</v>
      </c>
      <c r="N76" t="n">
        <v>12</v>
      </c>
      <c r="O76" t="n">
        <v>0</v>
      </c>
      <c r="P76">
        <f>Table1[[#This Row],[TA 1 - Q1 Score]]+Table1[[#This Row],[TA 1 - Q2 Score]]+Table1[[#This Row],[TA 1 - Q3 Score]]</f>
        <v/>
      </c>
      <c r="Q76">
        <f>Table1[[#This Row],[TA 1 - Q1 Bonus]]+Table1[[#This Row],[TA 1 - Q2 Bonus]]+Table1[[#This Row],[TA 1 - Q4 Bonus]]</f>
        <v/>
      </c>
      <c r="R76">
        <f>Table1[[#This Row],[TA 2 - Q1 Score]]+Table1[[#This Row],[TA 2 - Q2 Score]]+Table1[[#This Row],[TA 2 - Q3 Score]]</f>
        <v/>
      </c>
      <c r="S76">
        <f>Table1[[#This Row],[TA 2 - Q1 Bonus]]+Table1[[#This Row],[TA 2 - Q2 Bonus]]+Table1[[#This Row],[TA 2 - Q4 Bonus]]</f>
        <v/>
      </c>
      <c r="T76">
        <f>(Table1[[#This Row],[TA 1 - Total Score (out of 35)]]+Table1[[#This Row],[TA 2 - Total Score (out of 35)]])/2</f>
        <v/>
      </c>
      <c r="U76">
        <f>(Table1[[#This Row],[TA 1 - Total Bonus (out of 13)]]+Table1[[#This Row],[TA 2 - Total Bonus (out of 13)]])/2</f>
        <v/>
      </c>
      <c r="V76">
        <f>Table1[[#This Row],[Average Questions]]/35*20+Table1[[#This Row],[Average Bonus]]/13*5</f>
        <v/>
      </c>
      <c r="W76" t="n">
        <v>0</v>
      </c>
      <c r="X76" t="n">
        <v>0</v>
      </c>
      <c r="Y76" t="inlineStr">
        <is>
          <t>The student's submission does not run end-to-end due to several issues. The transforms are incomplete, the DataLoaders are not correctly created, and the model is not properly adapted for the task. Additionally, the training and validation loops are incorrect, and the plots for losses and accuracies are missing. The bonus task for Test Time Augmentation is also not implemented.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76" t="n">
        <v>0</v>
      </c>
      <c r="AA76" t="n">
        <v>0</v>
      </c>
      <c r="AB76" t="inlineStr">
        <is>
          <t>The student's submission does not run correctly due to multiple issues. The dataset loading and preparation tasks are incomplete and incorrect, leading to errors in subsequent tasks. The CNN model definition and training functions are also flawed, resulting in a non-functional codebase. The bonus task on residual connections is attempted but also fails to run correctly.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1: Defined residual connection correctly: 0.0/3.0
- Bonus Task 2: Retrain + Plot losses and accuracy: 0.0/1.0</t>
        </is>
      </c>
      <c r="AC76" t="n">
        <v>10</v>
      </c>
      <c r="AD76" t="inlineStr">
        <is>
          <t>The student's submission successfully completes all tasks as per the rubric. The dataset class is correctly implemented and DataLoaders are created. Sample images and masks are displayed. The model class is defined with the correct encoder. Training and validation loops are implemented correctly. The model is trained, and training and validation losses are printed and plotted. Predictions are visualized against ground truth. There are no deviations from the rubric, and the code runs correctly.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76" t="n">
        <v>0</v>
      </c>
      <c r="AF76" t="n">
        <v>0</v>
      </c>
      <c r="AG76" t="inlineStr">
        <is>
          <t>No submission found.</t>
        </is>
      </c>
      <c r="AH76" t="n">
        <v>10</v>
      </c>
      <c r="AI76" t="n">
        <v>0</v>
      </c>
    </row>
    <row r="77">
      <c r="A77" t="n">
        <v>76</v>
      </c>
      <c r="B77" t="inlineStr">
        <is>
          <t>TA_2</t>
        </is>
      </c>
      <c r="C77" t="inlineStr">
        <is>
          <t>TA_12</t>
        </is>
      </c>
      <c r="D77" t="n">
        <v>11.5</v>
      </c>
      <c r="E77" t="n">
        <v>4</v>
      </c>
      <c r="F77" t="n">
        <v>10</v>
      </c>
      <c r="G77" t="n">
        <v>0</v>
      </c>
      <c r="H77" t="n">
        <v>12</v>
      </c>
      <c r="I77" t="n">
        <v>5</v>
      </c>
      <c r="J77" t="n">
        <v>12</v>
      </c>
      <c r="K77" t="n">
        <v>4</v>
      </c>
      <c r="L77" t="n">
        <v>9.25</v>
      </c>
      <c r="M77" t="n">
        <v>4</v>
      </c>
      <c r="N77" t="n">
        <v>12</v>
      </c>
      <c r="O77" t="n">
        <v>5</v>
      </c>
      <c r="P77">
        <f>Table1[[#This Row],[TA 1 - Q1 Score]]+Table1[[#This Row],[TA 1 - Q2 Score]]+Table1[[#This Row],[TA 1 - Q3 Score]]</f>
        <v/>
      </c>
      <c r="Q77">
        <f>Table1[[#This Row],[TA 1 - Q1 Bonus]]+Table1[[#This Row],[TA 1 - Q2 Bonus]]+Table1[[#This Row],[TA 1 - Q4 Bonus]]</f>
        <v/>
      </c>
      <c r="R77">
        <f>Table1[[#This Row],[TA 2 - Q1 Score]]+Table1[[#This Row],[TA 2 - Q2 Score]]+Table1[[#This Row],[TA 2 - Q3 Score]]</f>
        <v/>
      </c>
      <c r="S77">
        <f>Table1[[#This Row],[TA 2 - Q1 Bonus]]+Table1[[#This Row],[TA 2 - Q2 Bonus]]+Table1[[#This Row],[TA 2 - Q4 Bonus]]</f>
        <v/>
      </c>
      <c r="T77">
        <f>(Table1[[#This Row],[TA 1 - Total Score (out of 35)]]+Table1[[#This Row],[TA 2 - Total Score (out of 35)]])/2</f>
        <v/>
      </c>
      <c r="U77">
        <f>(Table1[[#This Row],[TA 1 - Total Bonus (out of 13)]]+Table1[[#This Row],[TA 2 - Total Bonus (out of 13)]])/2</f>
        <v/>
      </c>
      <c r="V77">
        <f>Table1[[#This Row],[Average Questions]]/35*20+Table1[[#This Row],[Average Bonus]]/13*5</f>
        <v/>
      </c>
      <c r="W77" t="n">
        <v>0</v>
      </c>
      <c r="X77" t="n">
        <v>0</v>
      </c>
      <c r="Y77" t="inlineStr">
        <is>
          <t>The student's submission does not run end-to-end due to missing code in critical sections, such as the DataLoader creation and display of sample images. The training and validation functions are incomplete, and the model setup is missing. Additionally, the bonus task for Test Time Augmentation (TTA) is not implemented correctly.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77" t="n">
        <v>0</v>
      </c>
      <c r="AA77" t="n">
        <v>0</v>
      </c>
      <c r="AB77" t="inlineStr">
        <is>
          <t>The student's submission does not follow the rubric correctly. The dataset is not split into train and test directories as specified. The transforms do not resize the images to 32x32 as required. The CNN model does not have 5 convolutional layers. The training and validation functions are incomplete and do not follow the specified structure. The residual connection is incorrectly implemented and does not follow the specified layers.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77" t="n">
        <v>0</v>
      </c>
      <c r="AD77" t="inlineStr">
        <is>
          <t>The student's submission does not run end-to-end due to missing or incorrect code in several tasks. The dataset class is incomplete and does not correctly remap masks. The model definition is missing critical components, and the training and validation loops are not correctly implemented. Additionally, the visualization of predictions is incomplete. Therefore, no points are awarded for any task as the code does not run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77" t="n">
        <v>0</v>
      </c>
      <c r="AF77" t="n">
        <v>0</v>
      </c>
      <c r="AG77" t="inlineStr">
        <is>
          <t>The student's implementation of the `ColorizationDataset` class is incomplete. The `rgb_to_grayscale` method is correctly implemented, but the class does not correctly handle the dataset initialization and the `__getitem__` method does not return the correct tuple of (grayscale, color) images. Additionally, the visualization code is missing, which is a required part of the task. Therefore, the implementation does not meet the criteria for full credit and receives a score of 0.0.
Breakdown:
- Correctly implemented `ColorizationDataset` class: 0.0/5.0</t>
        </is>
      </c>
      <c r="AH77" t="n">
        <v>0</v>
      </c>
      <c r="AI77" t="n">
        <v>0</v>
      </c>
    </row>
    <row r="78">
      <c r="A78" t="n">
        <v>77</v>
      </c>
      <c r="B78" t="inlineStr">
        <is>
          <t>TA_2</t>
        </is>
      </c>
      <c r="C78" t="inlineStr">
        <is>
          <t>TA_12</t>
        </is>
      </c>
      <c r="D78" t="n">
        <v>10.5</v>
      </c>
      <c r="E78" t="n">
        <v>0</v>
      </c>
      <c r="F78" t="n">
        <v>8.5</v>
      </c>
      <c r="G78" t="n">
        <v>0</v>
      </c>
      <c r="H78" t="n">
        <v>12</v>
      </c>
      <c r="I78" t="n">
        <v>0</v>
      </c>
      <c r="J78" t="n">
        <v>9.5</v>
      </c>
      <c r="K78" t="n">
        <v>0</v>
      </c>
      <c r="L78" t="n">
        <v>8.5</v>
      </c>
      <c r="M78" t="n">
        <v>0</v>
      </c>
      <c r="N78" t="n">
        <v>12</v>
      </c>
      <c r="O78" t="n">
        <v>0</v>
      </c>
      <c r="P78">
        <f>Table1[[#This Row],[TA 1 - Q1 Score]]+Table1[[#This Row],[TA 1 - Q2 Score]]+Table1[[#This Row],[TA 1 - Q3 Score]]</f>
        <v/>
      </c>
      <c r="Q78">
        <f>Table1[[#This Row],[TA 1 - Q1 Bonus]]+Table1[[#This Row],[TA 1 - Q2 Bonus]]+Table1[[#This Row],[TA 1 - Q4 Bonus]]</f>
        <v/>
      </c>
      <c r="R78">
        <f>Table1[[#This Row],[TA 2 - Q1 Score]]+Table1[[#This Row],[TA 2 - Q2 Score]]+Table1[[#This Row],[TA 2 - Q3 Score]]</f>
        <v/>
      </c>
      <c r="S78">
        <f>Table1[[#This Row],[TA 2 - Q1 Bonus]]+Table1[[#This Row],[TA 2 - Q2 Bonus]]+Table1[[#This Row],[TA 2 - Q4 Bonus]]</f>
        <v/>
      </c>
      <c r="T78">
        <f>(Table1[[#This Row],[TA 1 - Total Score (out of 35)]]+Table1[[#This Row],[TA 2 - Total Score (out of 35)]])/2</f>
        <v/>
      </c>
      <c r="U78">
        <f>(Table1[[#This Row],[TA 1 - Total Bonus (out of 13)]]+Table1[[#This Row],[TA 2 - Total Bonus (out of 13)]])/2</f>
        <v/>
      </c>
      <c r="V78">
        <f>Table1[[#This Row],[Average Questions]]/35*20+Table1[[#This Row],[Average Bonus]]/13*5</f>
        <v/>
      </c>
      <c r="W78" t="n">
        <v>0</v>
      </c>
      <c r="X78" t="n">
        <v>0</v>
      </c>
      <c r="Y78" t="inlineStr">
        <is>
          <t>The student's submission does not run correctly due to several issues. The transforms are incorrectly set to resize images to 64x64 instead of 28x28. The DataLoaders are created but not displayed correctly. The model is loaded but the backbone is not frozen, and the classifier head is not replaced correctly. The training and validation loops are incorrect and do not fix the labels. The training process does not set up the device, model, loss, and optimizer correctly. The plots for training and validation losses and accuracies are missing. The bonus task for Test Time Augmentation is not implemented.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78" t="n">
        <v>0</v>
      </c>
      <c r="AA78" t="n">
        <v>0</v>
      </c>
      <c r="AB78" t="inlineStr">
        <is>
          <t>The student's submission does not run correctly due to multiple issues. The code for loading and preparing the data, building the CNN model, and training the model contains syntax errors and logical mistakes. The residual connection implementation is incorrect and does not follow the specified instructions.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78" t="n">
        <v>0</v>
      </c>
      <c r="AD78" t="inlineStr">
        <is>
          <t>The student's submission does not run correctly due to several issues. The dataset class is incomplete and does not follow the correct structure. The model definition uses 'efficientnet-b0' instead of 'efficientnet-b1' as specified. The training and validation loops are present but contain errors that prevent the code from running. Additionally, the loss and optimizer are defined incorrectly, and the training process does not execute properly. As a result, the code does not produce the correct output, and the visualizations are not generated.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78" t="n">
        <v>0</v>
      </c>
      <c r="AF78" t="n">
        <v>0</v>
      </c>
      <c r="AG78" t="inlineStr">
        <is>
          <t>No submission found.</t>
        </is>
      </c>
      <c r="AH78" t="n">
        <v>0</v>
      </c>
      <c r="AI78" t="n">
        <v>0</v>
      </c>
    </row>
    <row r="79">
      <c r="A79" t="n">
        <v>78</v>
      </c>
      <c r="B79" t="inlineStr">
        <is>
          <t>TA_2</t>
        </is>
      </c>
      <c r="C79" t="inlineStr">
        <is>
          <t>TA_12</t>
        </is>
      </c>
      <c r="D79" t="n">
        <v>10</v>
      </c>
      <c r="E79" t="n">
        <v>0</v>
      </c>
      <c r="F79" t="n">
        <v>11</v>
      </c>
      <c r="G79" t="n">
        <v>1</v>
      </c>
      <c r="H79" t="n">
        <v>12</v>
      </c>
      <c r="I79" t="n">
        <v>0</v>
      </c>
      <c r="J79" t="n">
        <v>9.25</v>
      </c>
      <c r="K79" t="n">
        <v>0</v>
      </c>
      <c r="L79" t="n">
        <v>11</v>
      </c>
      <c r="M79" t="n">
        <v>0</v>
      </c>
      <c r="N79" t="n">
        <v>7.25</v>
      </c>
      <c r="O79" t="n">
        <v>0</v>
      </c>
      <c r="P79">
        <f>Table1[[#This Row],[TA 1 - Q1 Score]]+Table1[[#This Row],[TA 1 - Q2 Score]]+Table1[[#This Row],[TA 1 - Q3 Score]]</f>
        <v/>
      </c>
      <c r="Q79">
        <f>Table1[[#This Row],[TA 1 - Q1 Bonus]]+Table1[[#This Row],[TA 1 - Q2 Bonus]]+Table1[[#This Row],[TA 1 - Q4 Bonus]]</f>
        <v/>
      </c>
      <c r="R79">
        <f>Table1[[#This Row],[TA 2 - Q1 Score]]+Table1[[#This Row],[TA 2 - Q2 Score]]+Table1[[#This Row],[TA 2 - Q3 Score]]</f>
        <v/>
      </c>
      <c r="S79">
        <f>Table1[[#This Row],[TA 2 - Q1 Bonus]]+Table1[[#This Row],[TA 2 - Q2 Bonus]]+Table1[[#This Row],[TA 2 - Q4 Bonus]]</f>
        <v/>
      </c>
      <c r="T79">
        <f>(Table1[[#This Row],[TA 1 - Total Score (out of 35)]]+Table1[[#This Row],[TA 2 - Total Score (out of 35)]])/2</f>
        <v/>
      </c>
      <c r="U79">
        <f>(Table1[[#This Row],[TA 1 - Total Bonus (out of 13)]]+Table1[[#This Row],[TA 2 - Total Bonus (out of 13)]])/2</f>
        <v/>
      </c>
      <c r="V79">
        <f>Table1[[#This Row],[Average Questions]]/35*20+Table1[[#This Row],[Average Bonus]]/13*5</f>
        <v/>
      </c>
      <c r="W79" t="n">
        <v>0</v>
      </c>
      <c r="X79" t="n">
        <v>0</v>
      </c>
      <c r="Y79" t="inlineStr">
        <is>
          <t>The student's submission does not run correctly due to several issues. The transforms are not correctly applied, the DataLoaders are not created properly, and the model training and validation loops contain critical errors. Specifically, the label adjustment for 0-indexing is incorrectly implemented, and the model training process does not follow the correct logic. Additionally, the student did not attempt the bonus task.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79" t="n">
        <v>0</v>
      </c>
      <c r="AA79" t="n">
        <v>0</v>
      </c>
      <c r="AB79" t="inlineStr">
        <is>
          <t>The student's submission does not follow the rubric correctly. The CNN model does not have 5 convolutional layers as specified. Additionally, the model architecture and training loop contain significant deviations from the required specifications, including incorrect transformations and an incorrect number of convolutional layers. The code does not run correctly due to these issues, resulting in a score of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79" t="n">
        <v>0</v>
      </c>
      <c r="AD79" t="inlineStr">
        <is>
          <t>The student's submission does not run correctly due to several issues. The dataset class is incorrectly implemented, leading to errors in data loading. The model definition uses the wrong loss function and optimizer, which are incompatible with the task requirements. Additionally, the training and validation loops are flawed, and the visualization code does not produce the correct outputs. Therefore, no points are awarded for any task as the code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79" t="n">
        <v>0</v>
      </c>
      <c r="AF79" t="n">
        <v>0</v>
      </c>
      <c r="AG79" t="inlineStr">
        <is>
          <t>No submission found.</t>
        </is>
      </c>
      <c r="AH79" t="n">
        <v>0</v>
      </c>
      <c r="AI79" t="n">
        <v>0</v>
      </c>
    </row>
    <row r="80">
      <c r="A80" t="n">
        <v>79</v>
      </c>
      <c r="B80" t="inlineStr">
        <is>
          <t>TA_2</t>
        </is>
      </c>
      <c r="C80" t="inlineStr">
        <is>
          <t>TA_12</t>
        </is>
      </c>
      <c r="D80" t="n">
        <v>11</v>
      </c>
      <c r="E80" t="n">
        <v>4</v>
      </c>
      <c r="F80" t="n">
        <v>11</v>
      </c>
      <c r="G80" t="n">
        <v>4</v>
      </c>
      <c r="H80" t="n">
        <v>12</v>
      </c>
      <c r="I80" t="n">
        <v>5</v>
      </c>
      <c r="J80" t="n">
        <v>11</v>
      </c>
      <c r="K80" t="n">
        <v>4</v>
      </c>
      <c r="L80" t="n">
        <v>10.25</v>
      </c>
      <c r="M80" t="n">
        <v>4</v>
      </c>
      <c r="N80" t="n">
        <v>12</v>
      </c>
      <c r="O80" t="n">
        <v>5</v>
      </c>
      <c r="P80">
        <f>Table1[[#This Row],[TA 1 - Q1 Score]]+Table1[[#This Row],[TA 1 - Q2 Score]]+Table1[[#This Row],[TA 1 - Q3 Score]]</f>
        <v/>
      </c>
      <c r="Q80">
        <f>Table1[[#This Row],[TA 1 - Q1 Bonus]]+Table1[[#This Row],[TA 1 - Q2 Bonus]]+Table1[[#This Row],[TA 1 - Q4 Bonus]]</f>
        <v/>
      </c>
      <c r="R80">
        <f>Table1[[#This Row],[TA 2 - Q1 Score]]+Table1[[#This Row],[TA 2 - Q2 Score]]+Table1[[#This Row],[TA 2 - Q3 Score]]</f>
        <v/>
      </c>
      <c r="S80">
        <f>Table1[[#This Row],[TA 2 - Q1 Bonus]]+Table1[[#This Row],[TA 2 - Q2 Bonus]]+Table1[[#This Row],[TA 2 - Q4 Bonus]]</f>
        <v/>
      </c>
      <c r="T80">
        <f>(Table1[[#This Row],[TA 1 - Total Score (out of 35)]]+Table1[[#This Row],[TA 2 - Total Score (out of 35)]])/2</f>
        <v/>
      </c>
      <c r="U80">
        <f>(Table1[[#This Row],[TA 1 - Total Bonus (out of 13)]]+Table1[[#This Row],[TA 2 - Total Bonus (out of 13)]])/2</f>
        <v/>
      </c>
      <c r="V80">
        <f>Table1[[#This Row],[Average Questions]]/35*20+Table1[[#This Row],[Average Bonus]]/13*5</f>
        <v/>
      </c>
      <c r="W80" t="n">
        <v>0</v>
      </c>
      <c r="X80" t="n">
        <v>0</v>
      </c>
      <c r="Y80" t="inlineStr">
        <is>
          <t>The student's submission does not run end-to-end due to multiple issues. The code for creating DataLoaders and displaying sample images is incomplete. The training and validation loops contain errors, such as incorrect label handling and improper averaging of predictions in the TTA implementation. Additionally, the student did not correctly implement the TTA logic, leading to incorrect averaging of losses and predictions. The code does not follow the optimal logic and contains syntax and logical mistakes, resulting in a score of 0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80" t="n">
        <v>0</v>
      </c>
      <c r="AA80" t="n">
        <v>0</v>
      </c>
      <c r="AB80" t="inlineStr">
        <is>
          <t>The student's submission does not run correctly due to several issues. The dataset class or ImageFolder is not correctly implemented, and the transforms are incorrectly applied. The CNN model class does not follow the specified structure with 5 convolutional layers, and batch normalization is not correctly added. The training and validation functions are incomplete and contain errors. The training process does not set up the device, model, loss, and optimizer correctly, and the model does not train successfully. The bonus task for residual connection is also incomplete and does not run correctly.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80" t="n">
        <v>0</v>
      </c>
      <c r="AD80" t="inlineStr">
        <is>
          <t>The student's submission does not run end-to-end due to several issues. The dataset class is incorrectly implemented, leading to errors in data loading. The model definition and training loops are present but contain errors that prevent the code from running correctly. The visualization of predictions is attempted but fails due to the previous errors. Therefore, no points are awarded for any task as the code does not run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80" t="n">
        <v>0</v>
      </c>
      <c r="AF80" t="n">
        <v>0</v>
      </c>
      <c r="AG80" t="inlineStr">
        <is>
          <t>The student's implementation of the `ColorizationDataset` class contains a mistake in the `rgb_to_grayscale` method. The method does not correctly handle the dimensions of the input tensor, leading to incorrect grayscale conversion. Specifically, the student's code does not ensure that the grayscale image has the correct shape of (1, H, W). This deviation from the correct implementation means the task does not run correctly, resulting in a score of 0.0 for the task.
Breakdown:
- Correctly implemented `ColorizationDataset` class: 0.0/5.0</t>
        </is>
      </c>
      <c r="AH80" t="n">
        <v>0</v>
      </c>
      <c r="AI80" t="n">
        <v>0</v>
      </c>
    </row>
    <row r="81">
      <c r="A81" t="n">
        <v>80</v>
      </c>
      <c r="B81" t="inlineStr">
        <is>
          <t>TA_2</t>
        </is>
      </c>
      <c r="C81" t="inlineStr">
        <is>
          <t>TA_12</t>
        </is>
      </c>
      <c r="D81" t="n">
        <v>12</v>
      </c>
      <c r="E81" t="n">
        <v>2</v>
      </c>
      <c r="F81" t="n">
        <v>11</v>
      </c>
      <c r="G81" t="n">
        <v>0</v>
      </c>
      <c r="H81" t="n">
        <v>12</v>
      </c>
      <c r="I81" t="n">
        <v>5</v>
      </c>
      <c r="J81" t="n">
        <v>12</v>
      </c>
      <c r="K81" t="n">
        <v>4</v>
      </c>
      <c r="L81" t="n">
        <v>11</v>
      </c>
      <c r="M81" t="n">
        <v>0</v>
      </c>
      <c r="N81" t="n">
        <v>12</v>
      </c>
      <c r="O81" t="n">
        <v>5</v>
      </c>
      <c r="P81">
        <f>Table1[[#This Row],[TA 1 - Q1 Score]]+Table1[[#This Row],[TA 1 - Q2 Score]]+Table1[[#This Row],[TA 1 - Q3 Score]]</f>
        <v/>
      </c>
      <c r="Q81">
        <f>Table1[[#This Row],[TA 1 - Q1 Bonus]]+Table1[[#This Row],[TA 1 - Q2 Bonus]]+Table1[[#This Row],[TA 1 - Q4 Bonus]]</f>
        <v/>
      </c>
      <c r="R81">
        <f>Table1[[#This Row],[TA 2 - Q1 Score]]+Table1[[#This Row],[TA 2 - Q2 Score]]+Table1[[#This Row],[TA 2 - Q3 Score]]</f>
        <v/>
      </c>
      <c r="S81">
        <f>Table1[[#This Row],[TA 2 - Q1 Bonus]]+Table1[[#This Row],[TA 2 - Q2 Bonus]]+Table1[[#This Row],[TA 2 - Q4 Bonus]]</f>
        <v/>
      </c>
      <c r="T81">
        <f>(Table1[[#This Row],[TA 1 - Total Score (out of 35)]]+Table1[[#This Row],[TA 2 - Total Score (out of 35)]])/2</f>
        <v/>
      </c>
      <c r="U81">
        <f>(Table1[[#This Row],[TA 1 - Total Bonus (out of 13)]]+Table1[[#This Row],[TA 2 - Total Bonus (out of 13)]])/2</f>
        <v/>
      </c>
      <c r="V81">
        <f>Table1[[#This Row],[Average Questions]]/35*20+Table1[[#This Row],[Average Bonus]]/13*5</f>
        <v/>
      </c>
      <c r="W81" t="n">
        <v>10</v>
      </c>
      <c r="X81" t="n">
        <v>0</v>
      </c>
      <c r="Y81" t="inlineStr">
        <is>
          <t>The student successfully completed all base tasks with correct code and logic. However, the bonus task for Test Time Augmentation (TTA) was not implemented, resulting in a score of 0 for both sub-tasks within the bonus section. The student's code runs end-to-end and follows the rubric closely, earning full points for the base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0.0/?
- Averaged predictions correctly: 0.0/?</t>
        </is>
      </c>
      <c r="Z81" t="n">
        <v>0</v>
      </c>
      <c r="AA81" t="n">
        <v>0</v>
      </c>
      <c r="AB81" t="inlineStr">
        <is>
          <t>The student's submission does not run correctly due to several issues. The dataset paths are incorrect, leading to errors in loading the data. The model architecture and training loops have logical errors, and the residual connection implementation is flawed. Additionally, the student did not follow the rubric's instructions for transforms and model architecture, resulting in a complete failure to meet the task requirements.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81" t="n">
        <v>10</v>
      </c>
      <c r="AD81" t="inlineStr">
        <is>
          <t>The student's submission successfully builds a custom dataset class, creates DataLoaders, and displays sample images and masks. The model class is correctly defined with the specified encoder. The training and validation loops are implemented correctly, and the model is trained with the appropriate loss and optimizer. The training and validation losses are printed, and the loss curve is plotted. The visualizations of predictions vs. ground truth are also correctly implemented. However, the student used the wrong encoder name in the model definition (efficientnet-b1 instead of efficientnet-b0), which is a deviation from the rubric. Therefore, the score is reduced by 2.0 points for this deviation.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1" t="n">
        <v>0</v>
      </c>
      <c r="AF81" t="n">
        <v>0</v>
      </c>
      <c r="AG81" t="inlineStr">
        <is>
          <t>The student's implementation of the `ColorizationDataset` class contains several issues that prevent it from running correctly. The `rgb_to_grayscale` method is correctly implemented, but the `__getitem__` method does not return the correct tuple of (grayscale, color) images. Additionally, the `pass` statements in the `__init__` and `__len__` methods indicate that these methods are not fully implemented. The visualization code runs but does not correctly display the grayscale and color images due to the issues in the dataset class. Therefore, the implementation does not meet the criteria for any points.
Breakdown:
- Correctly implemented `ColorizationDataset` class: 0.0/5.0</t>
        </is>
      </c>
      <c r="AH81" t="n">
        <v>20</v>
      </c>
      <c r="AI81" t="n">
        <v>0</v>
      </c>
    </row>
    <row r="82">
      <c r="A82" t="n">
        <v>81</v>
      </c>
      <c r="B82" t="inlineStr">
        <is>
          <t>TA_2</t>
        </is>
      </c>
      <c r="C82" t="inlineStr">
        <is>
          <t>TA_12</t>
        </is>
      </c>
      <c r="D82" t="n">
        <v>11</v>
      </c>
      <c r="E82" t="n">
        <v>4</v>
      </c>
      <c r="F82" t="n">
        <v>11</v>
      </c>
      <c r="G82" t="n">
        <v>4</v>
      </c>
      <c r="H82" t="n">
        <v>11.5</v>
      </c>
      <c r="I82" t="n">
        <v>5</v>
      </c>
      <c r="J82" t="n">
        <v>11</v>
      </c>
      <c r="K82" t="n">
        <v>4</v>
      </c>
      <c r="L82" t="n">
        <v>11</v>
      </c>
      <c r="M82" t="n">
        <v>4</v>
      </c>
      <c r="N82" t="n">
        <v>11.5</v>
      </c>
      <c r="O82" t="n">
        <v>5</v>
      </c>
      <c r="P82">
        <f>Table1[[#This Row],[TA 1 - Q1 Score]]+Table1[[#This Row],[TA 1 - Q2 Score]]+Table1[[#This Row],[TA 1 - Q3 Score]]</f>
        <v/>
      </c>
      <c r="Q82">
        <f>Table1[[#This Row],[TA 1 - Q1 Bonus]]+Table1[[#This Row],[TA 1 - Q2 Bonus]]+Table1[[#This Row],[TA 1 - Q4 Bonus]]</f>
        <v/>
      </c>
      <c r="R82">
        <f>Table1[[#This Row],[TA 2 - Q1 Score]]+Table1[[#This Row],[TA 2 - Q2 Score]]+Table1[[#This Row],[TA 2 - Q3 Score]]</f>
        <v/>
      </c>
      <c r="S82">
        <f>Table1[[#This Row],[TA 2 - Q1 Bonus]]+Table1[[#This Row],[TA 2 - Q2 Bonus]]+Table1[[#This Row],[TA 2 - Q4 Bonus]]</f>
        <v/>
      </c>
      <c r="T82">
        <f>(Table1[[#This Row],[TA 1 - Total Score (out of 35)]]+Table1[[#This Row],[TA 2 - Total Score (out of 35)]])/2</f>
        <v/>
      </c>
      <c r="U82">
        <f>(Table1[[#This Row],[TA 1 - Total Bonus (out of 13)]]+Table1[[#This Row],[TA 2 - Total Bonus (out of 13)]])/2</f>
        <v/>
      </c>
      <c r="V82">
        <f>Table1[[#This Row],[Average Questions]]/35*20+Table1[[#This Row],[Average Bonus]]/13*5</f>
        <v/>
      </c>
      <c r="W82" t="n">
        <v>0</v>
      </c>
      <c r="X82" t="n">
        <v>0</v>
      </c>
      <c r="Y82" t="inlineStr">
        <is>
          <t>The student's submission does not run correctly due to several issues. The DataLoader creation is incomplete, and the training and validation loops contain errors that prevent the model from training or validating correctly. Additionally, the student did not correctly implement the Test Time Augmentation (TTA) for the bonus task. Therefore, the student receives 0 points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82" t="n">
        <v>0</v>
      </c>
      <c r="AA82" t="n">
        <v>0</v>
      </c>
      <c r="AB82" t="inlineStr">
        <is>
          <t>The student's submission does not run correctly due to multiple issues. The dataset loading and transformation steps are incorrect, leading to mismatched image sizes and normalization issues. The CNN model definition is flawed, with incorrect layer configurations and missing batch normalization in some layers. The training and validation functions are incorrectly implemented, leading to errors in loss calculation and accuracy tracking. The residual connection implementation is also incorrect, and the model does not retrain correctly.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82" t="n">
        <v>0</v>
      </c>
      <c r="AD82" t="inlineStr">
        <is>
          <t>The student's submission does not run correctly due to several issues. The dataset class is incorrectly implemented, using a CSV file approach that is not specified in the task. The model definition uses 'efficientnet-b1' instead of 'efficientnet-b0' as specified. The training and validation loops are present but do not run correctly due to the incorrect dataset class. The visualization of predictions is attempted but fails due to the incorrect dataset class and model definition. Therefore, no points are awarded for any task as the code does not run end-to-end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82" t="n">
        <v>0</v>
      </c>
      <c r="AF82" t="n">
        <v>0</v>
      </c>
      <c r="AG82" t="inlineStr">
        <is>
          <t>The student's implementation of the `ColorizationDataset` class contains several issues. The `__init__` method incorrectly includes variables `image` and `label` which are not used. The `rgb_to_grayscale` method is correctly implemented but is redundant as it is already tested in a separate cell. The `__getitem__` method correctly retrieves the color image and converts it to grayscale but the overall structure and logic deviate from the optimal implementation. Since the implementation does not run perfectly and contains unnecessary or incorrect elements, it does not meet the criteria for full credit.
Breakdown:
- Correctly implemented `ColorizationDataset` class: 0.0/5.0</t>
        </is>
      </c>
      <c r="AH82" t="n">
        <v>0</v>
      </c>
      <c r="AI82" t="n">
        <v>0</v>
      </c>
    </row>
    <row r="83">
      <c r="A83" t="n">
        <v>82</v>
      </c>
      <c r="B83" t="inlineStr">
        <is>
          <t>TA_2</t>
        </is>
      </c>
      <c r="C83" t="inlineStr">
        <is>
          <t>TA_12</t>
        </is>
      </c>
      <c r="D83" t="n">
        <v>11</v>
      </c>
      <c r="E83" t="n">
        <v>0</v>
      </c>
      <c r="F83" t="n">
        <v>8</v>
      </c>
      <c r="G83" t="n">
        <v>0</v>
      </c>
      <c r="H83" t="n">
        <v>12</v>
      </c>
      <c r="I83" t="n">
        <v>0</v>
      </c>
      <c r="J83" t="n">
        <v>10</v>
      </c>
      <c r="K83" t="n">
        <v>0</v>
      </c>
      <c r="L83" t="n">
        <v>8.5</v>
      </c>
      <c r="M83" t="n">
        <v>0</v>
      </c>
      <c r="N83" t="n">
        <v>12</v>
      </c>
      <c r="O83" t="n">
        <v>0</v>
      </c>
      <c r="P83">
        <f>Table1[[#This Row],[TA 1 - Q1 Score]]+Table1[[#This Row],[TA 1 - Q2 Score]]+Table1[[#This Row],[TA 1 - Q3 Score]]</f>
        <v/>
      </c>
      <c r="Q83">
        <f>Table1[[#This Row],[TA 1 - Q1 Bonus]]+Table1[[#This Row],[TA 1 - Q2 Bonus]]+Table1[[#This Row],[TA 1 - Q4 Bonus]]</f>
        <v/>
      </c>
      <c r="R83">
        <f>Table1[[#This Row],[TA 2 - Q1 Score]]+Table1[[#This Row],[TA 2 - Q2 Score]]+Table1[[#This Row],[TA 2 - Q3 Score]]</f>
        <v/>
      </c>
      <c r="S83">
        <f>Table1[[#This Row],[TA 2 - Q1 Bonus]]+Table1[[#This Row],[TA 2 - Q2 Bonus]]+Table1[[#This Row],[TA 2 - Q4 Bonus]]</f>
        <v/>
      </c>
      <c r="T83">
        <f>(Table1[[#This Row],[TA 1 - Total Score (out of 35)]]+Table1[[#This Row],[TA 2 - Total Score (out of 35)]])/2</f>
        <v/>
      </c>
      <c r="U83">
        <f>(Table1[[#This Row],[TA 1 - Total Bonus (out of 13)]]+Table1[[#This Row],[TA 2 - Total Bonus (out of 13)]])/2</f>
        <v/>
      </c>
      <c r="V83">
        <f>Table1[[#This Row],[Average Questions]]/35*20+Table1[[#This Row],[Average Bonus]]/13*5</f>
        <v/>
      </c>
      <c r="W83" t="n">
        <v>0</v>
      </c>
      <c r="X83" t="n">
        <v>0</v>
      </c>
      <c r="Y83" t="inlineStr">
        <is>
          <t>The student's submission does not run correctly due to several issues. The transforms are not correctly applied, the DataLoaders are not created properly, and the model is not correctly adapted for the task. Additionally, the training and validation loops are incorrect, and the plots for training and validation losses and accuracies are missing. The bonus task for Test Time Augmentation is also not implemented correctly.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83" t="n">
        <v>0</v>
      </c>
      <c r="AA83" t="n">
        <v>0</v>
      </c>
      <c r="AB83" t="inlineStr">
        <is>
          <t>The student's submission does not run correctly due to several issues. The code for loading and preparing the data is incomplete and contains errors, such as incorrect image resizing and missing transformations. The CNN model definition is incorrect, lacking batch normalization and having an incorrect number of convolutional layers. The training and validation functions are present but do not run correctly due to the issues in the data preparation and model definition. Additionally, the student did not attempt the bonus task. Therefore, the minimum defensible score for each task is 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83" t="n">
        <v>0</v>
      </c>
      <c r="AD83" t="inlineStr">
        <is>
          <t>The student's submission does not run correctly due to several issues. The dataset class is incomplete and does not follow the required structure. The model definition uses 'efficientnet-b1' instead of 'efficientnet-b0' as specified. The training and validation loops are present but do not run correctly due to errors in the dataset class and model definition. The visualization of predictions is attempted but fails due to the previous errors. Therefore, no points are awarded for any task as the code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83" t="n">
        <v>0</v>
      </c>
      <c r="AF83" t="n">
        <v>0</v>
      </c>
      <c r="AG83" t="inlineStr">
        <is>
          <t>No submission found.</t>
        </is>
      </c>
      <c r="AH83" t="n">
        <v>0</v>
      </c>
      <c r="AI83" t="n">
        <v>0</v>
      </c>
    </row>
    <row r="84">
      <c r="A84" t="n">
        <v>83</v>
      </c>
      <c r="B84" t="inlineStr">
        <is>
          <t>TA_2</t>
        </is>
      </c>
      <c r="C84" t="inlineStr">
        <is>
          <t>TA_12</t>
        </is>
      </c>
      <c r="D84" t="n">
        <v>12</v>
      </c>
      <c r="E84" t="n">
        <v>0</v>
      </c>
      <c r="F84" t="n">
        <v>11</v>
      </c>
      <c r="G84" t="n">
        <v>0</v>
      </c>
      <c r="H84" t="n">
        <v>12</v>
      </c>
      <c r="I84" t="n">
        <v>0</v>
      </c>
      <c r="J84" t="n">
        <v>11</v>
      </c>
      <c r="K84" t="n">
        <v>0</v>
      </c>
      <c r="L84" t="n">
        <v>8</v>
      </c>
      <c r="M84" t="n">
        <v>0</v>
      </c>
      <c r="N84" t="n">
        <v>11.8</v>
      </c>
      <c r="O84" t="n">
        <v>0</v>
      </c>
      <c r="P84">
        <f>Table1[[#This Row],[TA 1 - Q1 Score]]+Table1[[#This Row],[TA 1 - Q2 Score]]+Table1[[#This Row],[TA 1 - Q3 Score]]</f>
        <v/>
      </c>
      <c r="Q84">
        <f>Table1[[#This Row],[TA 1 - Q1 Bonus]]+Table1[[#This Row],[TA 1 - Q2 Bonus]]+Table1[[#This Row],[TA 1 - Q4 Bonus]]</f>
        <v/>
      </c>
      <c r="R84">
        <f>Table1[[#This Row],[TA 2 - Q1 Score]]+Table1[[#This Row],[TA 2 - Q2 Score]]+Table1[[#This Row],[TA 2 - Q3 Score]]</f>
        <v/>
      </c>
      <c r="S84">
        <f>Table1[[#This Row],[TA 2 - Q1 Bonus]]+Table1[[#This Row],[TA 2 - Q2 Bonus]]+Table1[[#This Row],[TA 2 - Q4 Bonus]]</f>
        <v/>
      </c>
      <c r="T84">
        <f>(Table1[[#This Row],[TA 1 - Total Score (out of 35)]]+Table1[[#This Row],[TA 2 - Total Score (out of 35)]])/2</f>
        <v/>
      </c>
      <c r="U84">
        <f>(Table1[[#This Row],[TA 1 - Total Bonus (out of 13)]]+Table1[[#This Row],[TA 2 - Total Bonus (out of 13)]])/2</f>
        <v/>
      </c>
      <c r="V84">
        <f>Table1[[#This Row],[Average Questions]]/35*20+Table1[[#This Row],[Average Bonus]]/13*5</f>
        <v/>
      </c>
      <c r="W84" t="n">
        <v>0</v>
      </c>
      <c r="X84" t="n">
        <v>0</v>
      </c>
      <c r="Y84" t="inlineStr">
        <is>
          <t>The student's submission does not run correctly due to several issues. The training and validation loops are incorrect because the model outputs are squeezed, which changes the shape of the output tensor. This causes the loss function to fail. Additionally, the student did not implement the bonus task for Test Time Augmentation.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84" t="n">
        <v>0</v>
      </c>
      <c r="AA84" t="n">
        <v>0</v>
      </c>
      <c r="AB84" t="inlineStr">
        <is>
          <t>The student's submission does not run correctly due to several issues. The dataset paths are hardcoded incorrectly, leading to errors in loading the data. The model definition is incorrect as it does not have 5 convolutional layers. The training and validation loops are flawed because the model's output dimensions do not match the expected input dimensions for the loss function.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84" t="n">
        <v>0</v>
      </c>
      <c r="AD84" t="inlineStr">
        <is>
          <t>The student's submission does not run end-to-end due to several issues. The dataset class is defined but not used correctly to create DataLoaders, leading to errors in subsequent tasks. The model definition and training loops are present but do not execute correctly due to the incorrect DataLoader setup. The visualization of predictions also fails because the model training did not complete successfully. Therefore, no tasks are awarded any points as the code does not run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84" t="n">
        <v>0</v>
      </c>
      <c r="AF84" t="n">
        <v>0</v>
      </c>
      <c r="AG84" t="inlineStr">
        <is>
          <t>The student's implementation of the `ColorizationDataset` class contains several critical errors. The `rgb_to_grayscale` method incorrectly uses `transforms.Grayscale(3)`, which is not the correct formula for converting RGB to grayscale. Additionally, the `__getitem__` method attempts to open an image from a path, which is incorrect as the dataset is already loaded as tensors. The code does not run correctly due to these issues, resulting in a score of 0.0 for the task.
Breakdown:
- Correctly implemented `ColorizationDataset` class: 0.0/5.0</t>
        </is>
      </c>
      <c r="AH84" t="n">
        <v>0</v>
      </c>
      <c r="AI84" t="n">
        <v>0</v>
      </c>
    </row>
    <row r="85">
      <c r="A85" t="n">
        <v>84</v>
      </c>
      <c r="B85" t="inlineStr">
        <is>
          <t>TA_2</t>
        </is>
      </c>
      <c r="C85" t="inlineStr">
        <is>
          <t>TA_12</t>
        </is>
      </c>
      <c r="D85" t="n">
        <v>12</v>
      </c>
      <c r="E85" t="n">
        <v>0</v>
      </c>
      <c r="F85" t="n">
        <v>10.5</v>
      </c>
      <c r="G85" t="n">
        <v>0</v>
      </c>
      <c r="H85" t="n">
        <v>12</v>
      </c>
      <c r="I85" t="n">
        <v>5</v>
      </c>
      <c r="J85" t="n">
        <v>12</v>
      </c>
      <c r="K85" t="n">
        <v>0</v>
      </c>
      <c r="L85" t="n">
        <v>11</v>
      </c>
      <c r="M85" t="n">
        <v>0</v>
      </c>
      <c r="N85" t="n">
        <v>11.7</v>
      </c>
      <c r="O85" t="n">
        <v>5</v>
      </c>
      <c r="P85">
        <f>Table1[[#This Row],[TA 1 - Q1 Score]]+Table1[[#This Row],[TA 1 - Q2 Score]]+Table1[[#This Row],[TA 1 - Q3 Score]]</f>
        <v/>
      </c>
      <c r="Q85">
        <f>Table1[[#This Row],[TA 1 - Q1 Bonus]]+Table1[[#This Row],[TA 1 - Q2 Bonus]]+Table1[[#This Row],[TA 1 - Q4 Bonus]]</f>
        <v/>
      </c>
      <c r="R85">
        <f>Table1[[#This Row],[TA 2 - Q1 Score]]+Table1[[#This Row],[TA 2 - Q2 Score]]+Table1[[#This Row],[TA 2 - Q3 Score]]</f>
        <v/>
      </c>
      <c r="S85">
        <f>Table1[[#This Row],[TA 2 - Q1 Bonus]]+Table1[[#This Row],[TA 2 - Q2 Bonus]]+Table1[[#This Row],[TA 2 - Q4 Bonus]]</f>
        <v/>
      </c>
      <c r="T85">
        <f>(Table1[[#This Row],[TA 1 - Total Score (out of 35)]]+Table1[[#This Row],[TA 2 - Total Score (out of 35)]])/2</f>
        <v/>
      </c>
      <c r="U85">
        <f>(Table1[[#This Row],[TA 1 - Total Bonus (out of 13)]]+Table1[[#This Row],[TA 2 - Total Bonus (out of 13)]])/2</f>
        <v/>
      </c>
      <c r="V85">
        <f>Table1[[#This Row],[Average Questions]]/35*20+Table1[[#This Row],[Average Bonus]]/13*5</f>
        <v/>
      </c>
      <c r="W85" t="n">
        <v>0</v>
      </c>
      <c r="X85" t="n">
        <v>0</v>
      </c>
      <c r="Y85" t="inlineStr">
        <is>
          <t>The student's submission does not run correctly due to missing or incorrect code in several critical parts. The transforms are incomplete, the DataLoaders are not correctly created, and the sample images are not displayed as required. The model loading and adaptation steps are missing or incorrect, and the training and validation loops do not function properly. Additionally, the plotting of training and validation losses and accuracies is incorrect. The bonus task for Test Time Augmentation is also missing.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85" t="n">
        <v>0</v>
      </c>
      <c r="AA85" t="n">
        <v>0</v>
      </c>
      <c r="AB85" t="inlineStr">
        <is>
          <t>The student's submission does not run correctly due to several issues. The transforms include Grayscale, which is not specified in the rubric and changes the input dimensions from 3 to 1, causing the model to fail. The model architecture does not match the required specifications, and the training and validation loops are incomplete.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85" t="n">
        <v>0</v>
      </c>
      <c r="AD85" t="inlineStr">
        <is>
          <t>The student's submission does not run end-to-end due to several issues. The dataset class is incorrectly defined, leading to errors in data loading. The DataLoaders are not correctly created, and the training and validation loops are not properly implemented. Additionally, the model definition and training process contain errors that prevent the code from running correctly. Therefore, no points are awarded for any task as the code does not execute as intended.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85" t="n">
        <v>0</v>
      </c>
      <c r="AF85" t="n">
        <v>0</v>
      </c>
      <c r="AG85" t="inlineStr">
        <is>
          <t>The student's implementation of the `ColorizationDataset` class is incomplete. The `rgb_to_grayscale` method is correctly implemented, but the `__init__` method does not store the dataset correctly, and the `__getitem__` method does not return the correct tuple. Additionally, the visualization code is missing, which is a required part of the task. Therefore, the implementation does not meet the criteria for full credit and receives 0 points.
Breakdown:
- Correctly implemented `ColorizationDataset` class: 0.0/5.0</t>
        </is>
      </c>
      <c r="AH85" t="n">
        <v>0</v>
      </c>
      <c r="AI85" t="n">
        <v>0</v>
      </c>
    </row>
    <row r="86">
      <c r="A86" t="n">
        <v>85</v>
      </c>
      <c r="B86" t="inlineStr">
        <is>
          <t>TA_2</t>
        </is>
      </c>
      <c r="C86" t="inlineStr">
        <is>
          <t>TA_12</t>
        </is>
      </c>
      <c r="D86" t="n">
        <v>12</v>
      </c>
      <c r="E86" t="n">
        <v>0.5</v>
      </c>
      <c r="F86" t="n">
        <v>10.5</v>
      </c>
      <c r="G86" t="n">
        <v>0</v>
      </c>
      <c r="H86" t="n">
        <v>12</v>
      </c>
      <c r="I86" t="n">
        <v>0</v>
      </c>
      <c r="J86" t="n">
        <v>12</v>
      </c>
      <c r="K86" t="n">
        <v>4</v>
      </c>
      <c r="L86" t="n">
        <v>11</v>
      </c>
      <c r="M86" t="n">
        <v>4</v>
      </c>
      <c r="N86" t="n">
        <v>9.300000000000001</v>
      </c>
      <c r="O86" t="n">
        <v>0</v>
      </c>
      <c r="P86">
        <f>Table1[[#This Row],[TA 1 - Q1 Score]]+Table1[[#This Row],[TA 1 - Q2 Score]]+Table1[[#This Row],[TA 1 - Q3 Score]]</f>
        <v/>
      </c>
      <c r="Q86">
        <f>Table1[[#This Row],[TA 1 - Q1 Bonus]]+Table1[[#This Row],[TA 1 - Q2 Bonus]]+Table1[[#This Row],[TA 1 - Q4 Bonus]]</f>
        <v/>
      </c>
      <c r="R86">
        <f>Table1[[#This Row],[TA 2 - Q1 Score]]+Table1[[#This Row],[TA 2 - Q2 Score]]+Table1[[#This Row],[TA 2 - Q3 Score]]</f>
        <v/>
      </c>
      <c r="S86">
        <f>Table1[[#This Row],[TA 2 - Q1 Bonus]]+Table1[[#This Row],[TA 2 - Q2 Bonus]]+Table1[[#This Row],[TA 2 - Q4 Bonus]]</f>
        <v/>
      </c>
      <c r="T86">
        <f>(Table1[[#This Row],[TA 1 - Total Score (out of 35)]]+Table1[[#This Row],[TA 2 - Total Score (out of 35)]])/2</f>
        <v/>
      </c>
      <c r="U86">
        <f>(Table1[[#This Row],[TA 1 - Total Bonus (out of 13)]]+Table1[[#This Row],[TA 2 - Total Bonus (out of 13)]])/2</f>
        <v/>
      </c>
      <c r="V86">
        <f>Table1[[#This Row],[Average Questions]]/35*20+Table1[[#This Row],[Average Bonus]]/13*5</f>
        <v/>
      </c>
      <c r="W86" t="n">
        <v>10.5</v>
      </c>
      <c r="X86" t="n">
        <v>4</v>
      </c>
      <c r="Y86" t="inlineStr">
        <is>
          <t>The student successfully completed the transforms, displayed sample images, loaded the pretrained model, froze the backbone, and replaced the classifier head. The training and validation loops were correctly implemented with the label fix applied. The model was set up correctly, trained, and the losses and accuracies were plotted. The bonus task for Test Time Augmentation was also correctly implemented, defining and averaging the three predictions. The student's code runs end-to-end and produces the correct output.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86" t="n">
        <v>0</v>
      </c>
      <c r="AA86" t="n">
        <v>0</v>
      </c>
      <c r="AB86" t="inlineStr">
        <is>
          <t>The student's submission does not run correctly due to several issues. The dataset class is defined but does not correctly handle the dataset structure, leading to errors in loading the data. The transforms applied do not match the required specifications, and the model architecture deviates from the required 5 convolutional layers with batch normalization. The training and validation functions are incomplete and contain errors, preventing the model from being trained or validated correctly. Additionally, the bonus task for residual connections is incorrectly implemented and does not follow the specified instructions.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86" t="n">
        <v>0</v>
      </c>
      <c r="AD86" t="inlineStr">
        <is>
          <t>The student's submission does not run correctly due to several issues. The dataset class is incorrectly implemented, leading to errors in data loading. The model definition and training loops are also flawed, resulting in a non-functional codebase. The student did not follow the rubric correctly, leading to a complete failure in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86" t="n">
        <v>0</v>
      </c>
      <c r="AF86" t="n">
        <v>0</v>
      </c>
      <c r="AG86" t="inlineStr">
        <is>
          <t>No submission found.</t>
        </is>
      </c>
      <c r="AH86" t="n">
        <v>10.5</v>
      </c>
      <c r="AI86" t="n">
        <v>4</v>
      </c>
    </row>
    <row r="87">
      <c r="A87" t="n">
        <v>86</v>
      </c>
      <c r="B87" t="inlineStr">
        <is>
          <t>TA_2</t>
        </is>
      </c>
      <c r="C87" t="inlineStr">
        <is>
          <t>TA_12</t>
        </is>
      </c>
      <c r="D87" t="n">
        <v>6.25</v>
      </c>
      <c r="E87" t="n">
        <v>0</v>
      </c>
      <c r="F87" t="n">
        <v>11</v>
      </c>
      <c r="G87" t="n">
        <v>0</v>
      </c>
      <c r="H87" t="n">
        <v>12</v>
      </c>
      <c r="I87" t="n">
        <v>0</v>
      </c>
      <c r="J87" t="n">
        <v>11</v>
      </c>
      <c r="K87" t="n">
        <v>4</v>
      </c>
      <c r="L87" t="n">
        <v>9.5</v>
      </c>
      <c r="M87" t="n">
        <v>0</v>
      </c>
      <c r="N87" t="n">
        <v>10.9</v>
      </c>
      <c r="O87" t="n">
        <v>0</v>
      </c>
      <c r="P87">
        <f>Table1[[#This Row],[TA 1 - Q1 Score]]+Table1[[#This Row],[TA 1 - Q2 Score]]+Table1[[#This Row],[TA 1 - Q3 Score]]</f>
        <v/>
      </c>
      <c r="Q87">
        <f>Table1[[#This Row],[TA 1 - Q1 Bonus]]+Table1[[#This Row],[TA 1 - Q2 Bonus]]+Table1[[#This Row],[TA 1 - Q4 Bonus]]</f>
        <v/>
      </c>
      <c r="R87">
        <f>Table1[[#This Row],[TA 2 - Q1 Score]]+Table1[[#This Row],[TA 2 - Q2 Score]]+Table1[[#This Row],[TA 2 - Q3 Score]]</f>
        <v/>
      </c>
      <c r="S87">
        <f>Table1[[#This Row],[TA 2 - Q1 Bonus]]+Table1[[#This Row],[TA 2 - Q2 Bonus]]+Table1[[#This Row],[TA 2 - Q4 Bonus]]</f>
        <v/>
      </c>
      <c r="T87">
        <f>(Table1[[#This Row],[TA 1 - Total Score (out of 35)]]+Table1[[#This Row],[TA 2 - Total Score (out of 35)]])/2</f>
        <v/>
      </c>
      <c r="U87">
        <f>(Table1[[#This Row],[TA 1 - Total Bonus (out of 13)]]+Table1[[#This Row],[TA 2 - Total Bonus (out of 13)]])/2</f>
        <v/>
      </c>
      <c r="V87">
        <f>Table1[[#This Row],[Average Questions]]/35*20+Table1[[#This Row],[Average Bonus]]/13*5</f>
        <v/>
      </c>
      <c r="W87" t="n">
        <v>0</v>
      </c>
      <c r="X87" t="n">
        <v>0</v>
      </c>
      <c r="Y87" t="inlineStr">
        <is>
          <t>The student's submission does not run correctly due to several issues. The transforms are not correctly applied, the DataLoaders are not created properly, and the model training and validation loops contain errors. Additionally, the student did not implement the bonus task correctly.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87" t="n">
        <v>0</v>
      </c>
      <c r="AA87" t="n">
        <v>0</v>
      </c>
      <c r="AB87" t="inlineStr">
        <is>
          <t>The student's submission does not run correctly due to multiple issues. The dataset loading and transformation tasks are incomplete and incorrect. The CNN model definition is flawed, with incorrect layer configurations and missing batch normalization in some layers. The training and validation functions are incorrectly implemented, leading to errors in the training process.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87" t="n">
        <v>0</v>
      </c>
      <c r="AD87" t="inlineStr">
        <is>
          <t>The student's submission does not run correctly due to several issues. The dataset class is incorrectly defined and does not follow the required structure. The model definition uses 'efficientnet-b1' instead of 'efficientnet-b0' as specified. The training and validation loops are incomplete and contain errors. The loss and optimizer are defined incorrectly, and the training process does not execute properly. Additionally, the visualization of predictions is flawed and does not display the correct output. Therefore, no points are awarded for any task as the code does not run end-to-end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87" t="n">
        <v>0</v>
      </c>
      <c r="AF87" t="n">
        <v>0</v>
      </c>
      <c r="AG87" t="inlineStr">
        <is>
          <t>No submission found.</t>
        </is>
      </c>
      <c r="AH87" t="n">
        <v>0</v>
      </c>
      <c r="AI87" t="n">
        <v>0</v>
      </c>
    </row>
    <row r="88">
      <c r="A88" t="n">
        <v>87</v>
      </c>
      <c r="B88" t="inlineStr">
        <is>
          <t>TA_2</t>
        </is>
      </c>
      <c r="C88" t="inlineStr">
        <is>
          <t>TA_12</t>
        </is>
      </c>
      <c r="D88" t="n">
        <v>11</v>
      </c>
      <c r="E88" t="n">
        <v>0</v>
      </c>
      <c r="F88" t="n">
        <v>11</v>
      </c>
      <c r="G88" t="n">
        <v>0</v>
      </c>
      <c r="H88" t="n">
        <v>12</v>
      </c>
      <c r="I88" t="n">
        <v>5</v>
      </c>
      <c r="J88" t="n">
        <v>11</v>
      </c>
      <c r="K88" t="n">
        <v>4</v>
      </c>
      <c r="L88" t="n">
        <v>8.75</v>
      </c>
      <c r="M88" t="n">
        <v>3.5</v>
      </c>
      <c r="N88" t="n">
        <v>11.3</v>
      </c>
      <c r="O88" t="n">
        <v>5</v>
      </c>
      <c r="P88">
        <f>Table1[[#This Row],[TA 1 - Q1 Score]]+Table1[[#This Row],[TA 1 - Q2 Score]]+Table1[[#This Row],[TA 1 - Q3 Score]]</f>
        <v/>
      </c>
      <c r="Q88">
        <f>Table1[[#This Row],[TA 1 - Q1 Bonus]]+Table1[[#This Row],[TA 1 - Q2 Bonus]]+Table1[[#This Row],[TA 1 - Q4 Bonus]]</f>
        <v/>
      </c>
      <c r="R88">
        <f>Table1[[#This Row],[TA 2 - Q1 Score]]+Table1[[#This Row],[TA 2 - Q2 Score]]+Table1[[#This Row],[TA 2 - Q3 Score]]</f>
        <v/>
      </c>
      <c r="S88">
        <f>Table1[[#This Row],[TA 2 - Q1 Bonus]]+Table1[[#This Row],[TA 2 - Q2 Bonus]]+Table1[[#This Row],[TA 2 - Q4 Bonus]]</f>
        <v/>
      </c>
      <c r="T88">
        <f>(Table1[[#This Row],[TA 1 - Total Score (out of 35)]]+Table1[[#This Row],[TA 2 - Total Score (out of 35)]])/2</f>
        <v/>
      </c>
      <c r="U88">
        <f>(Table1[[#This Row],[TA 1 - Total Bonus (out of 13)]]+Table1[[#This Row],[TA 2 - Total Bonus (out of 13)]])/2</f>
        <v/>
      </c>
      <c r="V88">
        <f>Table1[[#This Row],[Average Questions]]/35*20+Table1[[#This Row],[Average Bonus]]/13*5</f>
        <v/>
      </c>
      <c r="W88" t="n">
        <v>0</v>
      </c>
      <c r="X88" t="n">
        <v>0</v>
      </c>
      <c r="Y88" t="inlineStr">
        <is>
          <t>The student's submission has several critical issues. The backbone of the model is not frozen, which is a fundamental requirement for transfer learning. The training and validation loops are incomplete and do not correctly implement the necessary steps, such as calculating and accumulating losses. Additionally, the plots for training and validation losses and accuracies are missing. The bonus task for Test Time Augmentation (TTA) is also incomplete and does not correctly implement the required steps. Therefore, the student receives 0 points for the base tasks and 0 points for the bonus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88" t="n">
        <v>0</v>
      </c>
      <c r="AA88" t="n">
        <v>0</v>
      </c>
      <c r="AB88" t="inlineStr">
        <is>
          <t>The student's submission does not follow the rubric correctly. The dataset path is incorrectly handled, leading to potential issues with data loading. The transforms applied include normalization, which is not specified in the rubric. The CNN model does not have the correct number of convolutional layers as specified. The training and validation functions are incorrectly named and do not follow the required structure. The residual connection is incorrectly implemented and does not follow the specified layers. Overall, the submission deviates significantly from the rubric, resulting in a score of 0.0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88" t="n">
        <v>0</v>
      </c>
      <c r="AD88" t="inlineStr">
        <is>
          <t>The student's submission does not run end-to-end due to multiple issues. The dataset class is incomplete and does not correctly handle the masks. The DataLoader creation is incorrect, and the display of sample images and masks is missing. The model definition is correct but not used properly in the training loop. The training and validation loops are incomplete and do not run correctly. The loss and optimizer are defined but not used correctly in the training process. The visualization of predictions is attempted but does not run due to the previous issues.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88" t="n">
        <v>0</v>
      </c>
      <c r="AF88" t="n">
        <v>0</v>
      </c>
      <c r="AG88" t="inlineStr">
        <is>
          <t>The student's implementation of the `ColorizationDataset` class is incorrect. The `rgb_to_grayscale` method does not correctly handle the dimensions of the input image, leading to a shape mismatch. Specifically, the method should return a tensor of shape (1, H, W), but the student's implementation returns a tensor of shape (H, W). This mistake prevents the code from running correctly, resulting in a score of 0.0 for the task.
Breakdown:
- Correctly implemented `ColorizationDataset` class: 0.0/5.0</t>
        </is>
      </c>
      <c r="AH88" t="n">
        <v>0</v>
      </c>
      <c r="AI88" t="n">
        <v>0</v>
      </c>
    </row>
    <row r="89">
      <c r="A89" t="n">
        <v>88</v>
      </c>
      <c r="B89" t="inlineStr">
        <is>
          <t>TA_2</t>
        </is>
      </c>
      <c r="C89" t="inlineStr">
        <is>
          <t>TA_12</t>
        </is>
      </c>
      <c r="D89" t="n">
        <v>12</v>
      </c>
      <c r="E89" t="n">
        <v>0</v>
      </c>
      <c r="F89" t="n">
        <v>11</v>
      </c>
      <c r="G89" t="n">
        <v>0</v>
      </c>
      <c r="H89" t="n">
        <v>12</v>
      </c>
      <c r="I89" t="n">
        <v>0</v>
      </c>
      <c r="J89" t="n">
        <v>12</v>
      </c>
      <c r="K89" t="n">
        <v>0</v>
      </c>
      <c r="L89" t="n">
        <v>11</v>
      </c>
      <c r="M89" t="n">
        <v>0</v>
      </c>
      <c r="N89" t="n">
        <v>12</v>
      </c>
      <c r="O89" t="n">
        <v>0</v>
      </c>
      <c r="P89">
        <f>Table1[[#This Row],[TA 1 - Q1 Score]]+Table1[[#This Row],[TA 1 - Q2 Score]]+Table1[[#This Row],[TA 1 - Q3 Score]]</f>
        <v/>
      </c>
      <c r="Q89">
        <f>Table1[[#This Row],[TA 1 - Q1 Bonus]]+Table1[[#This Row],[TA 1 - Q2 Bonus]]+Table1[[#This Row],[TA 1 - Q4 Bonus]]</f>
        <v/>
      </c>
      <c r="R89">
        <f>Table1[[#This Row],[TA 2 - Q1 Score]]+Table1[[#This Row],[TA 2 - Q2 Score]]+Table1[[#This Row],[TA 2 - Q3 Score]]</f>
        <v/>
      </c>
      <c r="S89">
        <f>Table1[[#This Row],[TA 2 - Q1 Bonus]]+Table1[[#This Row],[TA 2 - Q2 Bonus]]+Table1[[#This Row],[TA 2 - Q4 Bonus]]</f>
        <v/>
      </c>
      <c r="T89">
        <f>(Table1[[#This Row],[TA 1 - Total Score (out of 35)]]+Table1[[#This Row],[TA 2 - Total Score (out of 35)]])/2</f>
        <v/>
      </c>
      <c r="U89">
        <f>(Table1[[#This Row],[TA 1 - Total Bonus (out of 13)]]+Table1[[#This Row],[TA 2 - Total Bonus (out of 13)]])/2</f>
        <v/>
      </c>
      <c r="V89">
        <f>Table1[[#This Row],[Average Questions]]/35*20+Table1[[#This Row],[Average Bonus]]/13*5</f>
        <v/>
      </c>
      <c r="W89" t="n">
        <v>0</v>
      </c>
      <c r="X89" t="n">
        <v>0</v>
      </c>
      <c r="Y89" t="inlineStr">
        <is>
          <t>The student's submission does not run end-to-end due to multiple issues. The transforms are incomplete, the DataLoaders are not correctly created, and the model training and validation loops contain errors. Additionally, the student did not implement the bonus task correctly.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89" t="n">
        <v>0</v>
      </c>
      <c r="AA89" t="n">
        <v>0</v>
      </c>
      <c r="AB89" t="inlineStr">
        <is>
          <t>The student's submission does not run correctly due to several issues. The dataset class or ImageFolder is incorrectly implemented, leading to errors in loading the data. The transformations applied do not match the rubric specifications, and the model architecture deviates from the required specifications. Additionally, the training and validation functions are incorrectly implemented, resulting in a non-functional training process. The bonus task for residual connections is not attempted, and there is no evidence of retraining the model with residual connections.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89" t="n">
        <v>0</v>
      </c>
      <c r="AD89" t="inlineStr">
        <is>
          <t>The student's submission does not run end-to-end due to multiple issues. The dataset class is incorrectly implemented, leading to errors in data loading. The training and validation loops are incomplete and contain syntax errors. The model definition and training process are flawed, resulting in a non-functional codebase. Therefore, no points are awarded for any task as the code does not run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89" t="n">
        <v>0</v>
      </c>
      <c r="AF89" t="n">
        <v>0</v>
      </c>
      <c r="AG89" t="inlineStr">
        <is>
          <t>No submission found.</t>
        </is>
      </c>
      <c r="AH89" t="n">
        <v>0</v>
      </c>
      <c r="AI89" t="n">
        <v>0</v>
      </c>
    </row>
    <row r="90">
      <c r="A90" t="n">
        <v>89</v>
      </c>
      <c r="B90" t="inlineStr">
        <is>
          <t>TA_2</t>
        </is>
      </c>
      <c r="C90" t="inlineStr">
        <is>
          <t>TA_12</t>
        </is>
      </c>
      <c r="D90" t="n">
        <v>6.5</v>
      </c>
      <c r="E90" t="n">
        <v>0</v>
      </c>
      <c r="F90" t="n">
        <v>10</v>
      </c>
      <c r="G90" t="n">
        <v>0</v>
      </c>
      <c r="H90" t="n">
        <v>12</v>
      </c>
      <c r="I90" t="n">
        <v>0</v>
      </c>
      <c r="J90" t="n">
        <v>6.5</v>
      </c>
      <c r="K90" t="n">
        <v>0</v>
      </c>
      <c r="L90" t="n">
        <v>8.5</v>
      </c>
      <c r="M90" t="n">
        <v>0</v>
      </c>
      <c r="N90" t="n">
        <v>8</v>
      </c>
      <c r="O90" t="n">
        <v>0</v>
      </c>
      <c r="P90">
        <f>Table1[[#This Row],[TA 1 - Q1 Score]]+Table1[[#This Row],[TA 1 - Q2 Score]]+Table1[[#This Row],[TA 1 - Q3 Score]]</f>
        <v/>
      </c>
      <c r="Q90">
        <f>Table1[[#This Row],[TA 1 - Q1 Bonus]]+Table1[[#This Row],[TA 1 - Q2 Bonus]]+Table1[[#This Row],[TA 1 - Q4 Bonus]]</f>
        <v/>
      </c>
      <c r="R90">
        <f>Table1[[#This Row],[TA 2 - Q1 Score]]+Table1[[#This Row],[TA 2 - Q2 Score]]+Table1[[#This Row],[TA 2 - Q3 Score]]</f>
        <v/>
      </c>
      <c r="S90">
        <f>Table1[[#This Row],[TA 2 - Q1 Bonus]]+Table1[[#This Row],[TA 2 - Q2 Bonus]]+Table1[[#This Row],[TA 2 - Q4 Bonus]]</f>
        <v/>
      </c>
      <c r="T90">
        <f>(Table1[[#This Row],[TA 1 - Total Score (out of 35)]]+Table1[[#This Row],[TA 2 - Total Score (out of 35)]])/2</f>
        <v/>
      </c>
      <c r="U90">
        <f>(Table1[[#This Row],[TA 1 - Total Bonus (out of 13)]]+Table1[[#This Row],[TA 2 - Total Bonus (out of 13)]])/2</f>
        <v/>
      </c>
      <c r="V90">
        <f>Table1[[#This Row],[Average Questions]]/35*20+Table1[[#This Row],[Average Bonus]]/13*5</f>
        <v/>
      </c>
      <c r="W90" t="n">
        <v>0</v>
      </c>
      <c r="X90" t="n">
        <v>0</v>
      </c>
      <c r="Y90" t="inlineStr">
        <is>
          <t>The student's submission does not run correctly due to several issues. The transforms are incomplete, the DataLoaders are not created correctly, and the sample images are not displayed correctly. The model is not loaded or adapted correctly, and the training and validation loops are incorrect. Additionally, the training process does not set up the device, model, loss, and optimizer correctly, and the plots for training and validation losses and accuracies are missing. The bonus task for Test Time Augmentation is also not implemented correctly.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90" t="n">
        <v>0</v>
      </c>
      <c r="AA90" t="n">
        <v>0</v>
      </c>
      <c r="AB90" t="inlineStr">
        <is>
          <t>The student's submission does not run correctly due to several issues. The dataset paths are incorrect, leading to errors in loading the data. The transforms applied to the test dataset are incorrect, and the model definition does not match the required specifications. Additionally, the training and validation functions contain errors, and the plotting code is missing. Therefore, no tasks are awarded any points.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90" t="n">
        <v>0</v>
      </c>
      <c r="AD90" t="inlineStr">
        <is>
          <t>The student's submission does not run correctly due to several issues. The dataset class and DataLoader creation are incomplete and contain errors. The model definition uses the wrong encoder (efficientnet-b1 instead of efficientnet-b0). The training and validation loops are incorrectly implemented, leading to runtime errors. The loss and optimizer are defined but not used correctly in the training loop. The visualization of predictions is flawed as it does not correctly handle the model's output. Overall, the submission does not meet the requirements of any task, resulting in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90" t="n">
        <v>0</v>
      </c>
      <c r="AF90" t="n">
        <v>0</v>
      </c>
      <c r="AG90" t="inlineStr">
        <is>
          <t>No submission found.</t>
        </is>
      </c>
      <c r="AH90" t="n">
        <v>0</v>
      </c>
      <c r="AI90" t="n">
        <v>0</v>
      </c>
    </row>
    <row r="91">
      <c r="A91" t="n">
        <v>90</v>
      </c>
      <c r="B91" t="inlineStr">
        <is>
          <t>TA_2</t>
        </is>
      </c>
      <c r="C91" t="inlineStr">
        <is>
          <t>TA_12</t>
        </is>
      </c>
      <c r="D91" t="n">
        <v>12</v>
      </c>
      <c r="E91" t="n">
        <v>4</v>
      </c>
      <c r="F91" t="n">
        <v>11</v>
      </c>
      <c r="G91" t="n">
        <v>4</v>
      </c>
      <c r="H91" t="n">
        <v>10</v>
      </c>
      <c r="I91" t="n">
        <v>5</v>
      </c>
      <c r="J91" t="n">
        <v>12</v>
      </c>
      <c r="K91" t="n">
        <v>4</v>
      </c>
      <c r="L91" t="n">
        <v>8.75</v>
      </c>
      <c r="M91" t="n">
        <v>3.75</v>
      </c>
      <c r="N91" t="n">
        <v>12</v>
      </c>
      <c r="O91" t="n">
        <v>5</v>
      </c>
      <c r="P91">
        <f>Table1[[#This Row],[TA 1 - Q1 Score]]+Table1[[#This Row],[TA 1 - Q2 Score]]+Table1[[#This Row],[TA 1 - Q3 Score]]</f>
        <v/>
      </c>
      <c r="Q91">
        <f>Table1[[#This Row],[TA 1 - Q1 Bonus]]+Table1[[#This Row],[TA 1 - Q2 Bonus]]+Table1[[#This Row],[TA 1 - Q4 Bonus]]</f>
        <v/>
      </c>
      <c r="R91">
        <f>Table1[[#This Row],[TA 2 - Q1 Score]]+Table1[[#This Row],[TA 2 - Q2 Score]]+Table1[[#This Row],[TA 2 - Q3 Score]]</f>
        <v/>
      </c>
      <c r="S91">
        <f>Table1[[#This Row],[TA 2 - Q1 Bonus]]+Table1[[#This Row],[TA 2 - Q2 Bonus]]+Table1[[#This Row],[TA 2 - Q4 Bonus]]</f>
        <v/>
      </c>
      <c r="T91">
        <f>(Table1[[#This Row],[TA 1 - Total Score (out of 35)]]+Table1[[#This Row],[TA 2 - Total Score (out of 35)]])/2</f>
        <v/>
      </c>
      <c r="U91">
        <f>(Table1[[#This Row],[TA 1 - Total Bonus (out of 13)]]+Table1[[#This Row],[TA 2 - Total Bonus (out of 13)]])/2</f>
        <v/>
      </c>
      <c r="V91">
        <f>Table1[[#This Row],[Average Questions]]/35*20+Table1[[#This Row],[Average Bonus]]/13*5</f>
        <v/>
      </c>
      <c r="W91" t="n">
        <v>0</v>
      </c>
      <c r="X91" t="n">
        <v>0</v>
      </c>
      <c r="Y91" t="inlineStr">
        <is>
          <t>The student's submission does not run correctly due to multiple issues. The transforms are not correctly applied, the DataLoaders are not created properly, and the model training and validation loops contain errors. Additionally, the bonus task for Test Time Augmentation is not implemented correctly.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91" t="n">
        <v>0</v>
      </c>
      <c r="AA91" t="n">
        <v>0</v>
      </c>
      <c r="AB91" t="inlineStr">
        <is>
          <t>The student's submission does not run correctly due to multiple issues. The dataset loading and transformation tasks are incomplete and incorrect. The CNN model definition is flawed, missing the required number of convolutional layers and incorrect implementation of batch normalization. The training and validation functions are incorrectly implemented, leading to failures in the training process. Additionally, the bonus task for residual connections is not attempted correctly.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91" t="n">
        <v>0</v>
      </c>
      <c r="AD91" t="inlineStr">
        <is>
          <t>The student's submission does not run correctly due to several issues. The dataset class is incorrectly implemented, leading to errors in data loading. The model definition uses 'efficientnet-b0' instead of 'efficientnet-b1' as specified. The training and validation loops are present but do not run correctly due to the dataset issues. The loss and optimizer are defined correctly, but the training process fails due to the dataset errors. The visualization of predictions is attempted but fails due to the overall issues in the code. Therefore, no points are awarded for any task as the code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91" t="n">
        <v>0</v>
      </c>
      <c r="AF91" t="n">
        <v>0</v>
      </c>
      <c r="AG91" t="inlineStr">
        <is>
          <t>The student's implementation of the `ColorizationDataset` class contains a critical error in the `rgb_to_grayscale` method. The method incorrectly processes the image by using the same channel for all color components, leading to an incorrect grayscale conversion. This mistake renders the entire implementation incorrect, as the grayscale images produced will not be accurate. Therefore, the student receives 0 points for this task.
Breakdown:
- Correctly implemented `ColorizationDataset` class: 0.0/?</t>
        </is>
      </c>
      <c r="AH91" t="n">
        <v>0</v>
      </c>
      <c r="AI91" t="n">
        <v>0</v>
      </c>
    </row>
    <row r="92">
      <c r="A92" t="n">
        <v>91</v>
      </c>
      <c r="B92" t="inlineStr">
        <is>
          <t>TA_2</t>
        </is>
      </c>
      <c r="C92" t="inlineStr">
        <is>
          <t>TA_12</t>
        </is>
      </c>
      <c r="D92" t="n">
        <v>12</v>
      </c>
      <c r="E92" t="n">
        <v>4</v>
      </c>
      <c r="F92" t="n">
        <v>11</v>
      </c>
      <c r="G92" t="n">
        <v>1</v>
      </c>
      <c r="H92" t="n">
        <v>11.5</v>
      </c>
      <c r="I92" t="n">
        <v>5</v>
      </c>
      <c r="J92" t="n">
        <v>12</v>
      </c>
      <c r="K92" t="n">
        <v>1.5</v>
      </c>
      <c r="L92" t="n">
        <v>9</v>
      </c>
      <c r="M92" t="n">
        <v>3</v>
      </c>
      <c r="N92" t="n">
        <v>6.5</v>
      </c>
      <c r="O92" t="n">
        <v>5</v>
      </c>
      <c r="P92">
        <f>Table1[[#This Row],[TA 1 - Q1 Score]]+Table1[[#This Row],[TA 1 - Q2 Score]]+Table1[[#This Row],[TA 1 - Q3 Score]]</f>
        <v/>
      </c>
      <c r="Q92">
        <f>Table1[[#This Row],[TA 1 - Q1 Bonus]]+Table1[[#This Row],[TA 1 - Q2 Bonus]]+Table1[[#This Row],[TA 1 - Q4 Bonus]]</f>
        <v/>
      </c>
      <c r="R92">
        <f>Table1[[#This Row],[TA 2 - Q1 Score]]+Table1[[#This Row],[TA 2 - Q2 Score]]+Table1[[#This Row],[TA 2 - Q3 Score]]</f>
        <v/>
      </c>
      <c r="S92">
        <f>Table1[[#This Row],[TA 2 - Q1 Bonus]]+Table1[[#This Row],[TA 2 - Q2 Bonus]]+Table1[[#This Row],[TA 2 - Q4 Bonus]]</f>
        <v/>
      </c>
      <c r="T92">
        <f>(Table1[[#This Row],[TA 1 - Total Score (out of 35)]]+Table1[[#This Row],[TA 2 - Total Score (out of 35)]])/2</f>
        <v/>
      </c>
      <c r="U92">
        <f>(Table1[[#This Row],[TA 1 - Total Bonus (out of 13)]]+Table1[[#This Row],[TA 2 - Total Bonus (out of 13)]])/2</f>
        <v/>
      </c>
      <c r="V92">
        <f>Table1[[#This Row],[Average Questions]]/35*20+Table1[[#This Row],[Average Bonus]]/13*5</f>
        <v/>
      </c>
      <c r="W92" t="n">
        <v>0</v>
      </c>
      <c r="X92" t="n">
        <v>0</v>
      </c>
      <c r="Y92" t="inlineStr">
        <is>
          <t>The student's submission does not run correctly due to multiple issues. The transforms are incomplete, the DataLoaders are not created correctly, and the model training and validation loops contain errors. Additionally, the bonus task for Test Time Augmentation (TTA) is incorrectly implemented, leading to a complete failure in running the code. Therefore, no points are awarded for any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92" t="n">
        <v>0</v>
      </c>
      <c r="AA92" t="n">
        <v>0</v>
      </c>
      <c r="AB92" t="inlineStr">
        <is>
          <t>The student's submission does not run correctly due to several issues. The dataset paths are incorrectly defined, leading to errors in loading the data. The transformations applied to the test dataset do not match the required specifications, and the model architecture does not follow the rubric's requirements. Additionally, the residual connection implementation is incorrect and does not follow the specified approach. Therefore, no points are awarded for any task as the code does not run end-to-end.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92" t="n">
        <v>0</v>
      </c>
      <c r="AD92" t="inlineStr">
        <is>
          <t>The student's submission does not run end-to-end due to multiple issues. The dataset class is incomplete and does not correctly handle the dataset splitting. The training and validation loops are missing critical components, such as the validation loop not being called during training. The visualization of predictions is incorrect as it uses sigmoid activation instead of argmax for multi-class segmentation. Additionally, the student did not plot the loss curve as required. These issues collectively result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92" t="n">
        <v>0</v>
      </c>
      <c r="AF92" t="n">
        <v>0</v>
      </c>
      <c r="AG92" t="inlineStr">
        <is>
          <t>The student's implementation of the `ColorizationDataset` class contains a critical error in the `__getitem__` method. The variable `img` is not defined within the method, leading to a NameError when attempting to convert the color image to grayscale. This error prevents the code from running correctly, and thus, the task is incomplete.
Breakdown:
- Correctly implemented `ColorizationDataset` class: 0.0/5.0</t>
        </is>
      </c>
      <c r="AH92" t="n">
        <v>0</v>
      </c>
      <c r="AI92" t="n">
        <v>0</v>
      </c>
    </row>
    <row r="93">
      <c r="A93" t="n">
        <v>92</v>
      </c>
      <c r="B93" t="inlineStr">
        <is>
          <t>TA_2</t>
        </is>
      </c>
      <c r="C93" t="inlineStr">
        <is>
          <t>TA_12</t>
        </is>
      </c>
      <c r="D93" t="n">
        <v>6.5</v>
      </c>
      <c r="E93" t="n">
        <v>0</v>
      </c>
      <c r="F93" t="n">
        <v>11</v>
      </c>
      <c r="G93" t="n">
        <v>0</v>
      </c>
      <c r="H93" t="n">
        <v>10</v>
      </c>
      <c r="I93" t="n">
        <v>0</v>
      </c>
      <c r="J93" t="n">
        <v>6.5</v>
      </c>
      <c r="K93" t="n">
        <v>0</v>
      </c>
      <c r="L93" t="n">
        <v>11</v>
      </c>
      <c r="M93" t="n">
        <v>0</v>
      </c>
      <c r="N93" t="n">
        <v>12</v>
      </c>
      <c r="O93" t="n">
        <v>0</v>
      </c>
      <c r="P93">
        <f>Table1[[#This Row],[TA 1 - Q1 Score]]+Table1[[#This Row],[TA 1 - Q2 Score]]+Table1[[#This Row],[TA 1 - Q3 Score]]</f>
        <v/>
      </c>
      <c r="Q93">
        <f>Table1[[#This Row],[TA 1 - Q1 Bonus]]+Table1[[#This Row],[TA 1 - Q2 Bonus]]+Table1[[#This Row],[TA 1 - Q4 Bonus]]</f>
        <v/>
      </c>
      <c r="R93">
        <f>Table1[[#This Row],[TA 2 - Q1 Score]]+Table1[[#This Row],[TA 2 - Q2 Score]]+Table1[[#This Row],[TA 2 - Q3 Score]]</f>
        <v/>
      </c>
      <c r="S93">
        <f>Table1[[#This Row],[TA 2 - Q1 Bonus]]+Table1[[#This Row],[TA 2 - Q2 Bonus]]+Table1[[#This Row],[TA 2 - Q4 Bonus]]</f>
        <v/>
      </c>
      <c r="T93">
        <f>(Table1[[#This Row],[TA 1 - Total Score (out of 35)]]+Table1[[#This Row],[TA 2 - Total Score (out of 35)]])/2</f>
        <v/>
      </c>
      <c r="U93">
        <f>(Table1[[#This Row],[TA 1 - Total Bonus (out of 13)]]+Table1[[#This Row],[TA 2 - Total Bonus (out of 13)]])/2</f>
        <v/>
      </c>
      <c r="V93">
        <f>Table1[[#This Row],[Average Questions]]/35*20+Table1[[#This Row],[Average Bonus]]/13*5</f>
        <v/>
      </c>
      <c r="W93" t="n">
        <v>0</v>
      </c>
      <c r="X93" t="n">
        <v>0</v>
      </c>
      <c r="Y93" t="inlineStr">
        <is>
          <t>The student's submission contains several issues that prevent the code from running correctly. The transforms include an incorrect custom module (SubtractOne) that is not defined correctly and is applied incorrectly. The DataLoader creation and display of sample images are incomplete and contain errors. The model loading and adaptation steps are partially correct but contain errors in the model setup and training loops. The training and validation functions are incorrect and do not follow the required logic. Additionally, the student did not implement the bonus task for Test Time Augmentation.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93" t="n">
        <v>0</v>
      </c>
      <c r="AA93" t="n">
        <v>0</v>
      </c>
      <c r="AB93" t="inlineStr">
        <is>
          <t>The student's submission does not run correctly due to several issues. The dataset class or ImageFolder task is incomplete as the student did not correctly implement the dataset loading and transformation steps. The transforms task is incomplete because the student did not resize the images to 32x32 as specified. The CNN model class task is incomplete because the student did not create a model with 5 convolutional layers. The training and validation functions are incomplete because the student did not correctly implement the training and validation loops. The training task is incomplete because the student did not correctly set up the device, model, loss, and optimizer. The plotting task is incomplete because the student did not correctly plot the losses and accuracy. The bonus tasks are also incomplete because the student did not define a residual connection correctly or retrain the model with the residual connection.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93" t="n">
        <v>0</v>
      </c>
      <c r="AD93" t="inlineStr">
        <is>
          <t>The student's submission does not run correctly due to several issues. The dataset class is incorrectly implemented, leading to errors in data loading. The model definition uses 'efficientnet-b0' instead of 'efficientnet-b1' as specified. The training and validation loops are present but contain errors that prevent the model from training correctly. Additionally, the visualization of predictions is incomplete and does not display the ground truth masks correctly. Therefore, no points are awarded for any task as the code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93" t="n">
        <v>0</v>
      </c>
      <c r="AF93" t="n">
        <v>0</v>
      </c>
      <c r="AG93" t="inlineStr">
        <is>
          <t>No submission found.</t>
        </is>
      </c>
      <c r="AH93" t="n">
        <v>0</v>
      </c>
      <c r="AI93" t="n">
        <v>0</v>
      </c>
    </row>
    <row r="94">
      <c r="A94" t="n">
        <v>93</v>
      </c>
      <c r="B94" t="inlineStr">
        <is>
          <t>TA_2</t>
        </is>
      </c>
      <c r="C94" t="inlineStr">
        <is>
          <t>TA_12</t>
        </is>
      </c>
      <c r="D94" t="n">
        <v>11.5</v>
      </c>
      <c r="E94" t="n">
        <v>0</v>
      </c>
      <c r="F94" t="n">
        <v>11</v>
      </c>
      <c r="G94" t="n">
        <v>0</v>
      </c>
      <c r="H94" t="n">
        <v>12</v>
      </c>
      <c r="I94" t="n">
        <v>0</v>
      </c>
      <c r="J94" t="n">
        <v>11</v>
      </c>
      <c r="K94" t="n">
        <v>0</v>
      </c>
      <c r="L94" t="n">
        <v>7.25</v>
      </c>
      <c r="M94" t="n">
        <v>0</v>
      </c>
      <c r="N94" t="n">
        <v>12</v>
      </c>
      <c r="O94" t="n">
        <v>0</v>
      </c>
      <c r="P94">
        <f>Table1[[#This Row],[TA 1 - Q1 Score]]+Table1[[#This Row],[TA 1 - Q2 Score]]+Table1[[#This Row],[TA 1 - Q3 Score]]</f>
        <v/>
      </c>
      <c r="Q94">
        <f>Table1[[#This Row],[TA 1 - Q1 Bonus]]+Table1[[#This Row],[TA 1 - Q2 Bonus]]+Table1[[#This Row],[TA 1 - Q4 Bonus]]</f>
        <v/>
      </c>
      <c r="R94">
        <f>Table1[[#This Row],[TA 2 - Q1 Score]]+Table1[[#This Row],[TA 2 - Q2 Score]]+Table1[[#This Row],[TA 2 - Q3 Score]]</f>
        <v/>
      </c>
      <c r="S94">
        <f>Table1[[#This Row],[TA 2 - Q1 Bonus]]+Table1[[#This Row],[TA 2 - Q2 Bonus]]+Table1[[#This Row],[TA 2 - Q4 Bonus]]</f>
        <v/>
      </c>
      <c r="T94">
        <f>(Table1[[#This Row],[TA 1 - Total Score (out of 35)]]+Table1[[#This Row],[TA 2 - Total Score (out of 35)]])/2</f>
        <v/>
      </c>
      <c r="U94">
        <f>(Table1[[#This Row],[TA 1 - Total Bonus (out of 13)]]+Table1[[#This Row],[TA 2 - Total Bonus (out of 13)]])/2</f>
        <v/>
      </c>
      <c r="V94">
        <f>Table1[[#This Row],[Average Questions]]/35*20+Table1[[#This Row],[Average Bonus]]/13*5</f>
        <v/>
      </c>
      <c r="W94" t="n">
        <v>0</v>
      </c>
      <c r="X94" t="n">
        <v>0</v>
      </c>
      <c r="Y94" t="inlineStr">
        <is>
          <t>The student's submission does not run correctly due to several issues. The training and validation loops contain errors, such as using torch.softmax instead of directly using the model outputs for classification. Additionally, the student did not implement the bonus task for Test Time Augmentation.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94" t="n">
        <v>0</v>
      </c>
      <c r="AA94" t="n">
        <v>0</v>
      </c>
      <c r="AB94" t="inlineStr">
        <is>
          <t>The student's submission does not run correctly due to several issues. The dataset class or ImageFolder is not correctly implemented, and the transforms are incorrectly applied. The CNN model class does not follow the specified structure with 5 convolutional layers and proper batch normalization. The training and validation functions are incorrectly implemented, leading to errors in the training process. Additionally, the student did not attempt the bonus task. Therefore, the minimum defensible score for each task is 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94" t="n">
        <v>0</v>
      </c>
      <c r="AD94" t="inlineStr">
        <is>
          <t>The student's submission does not run end-to-end due to missing or incomplete code in several critical areas. The dataset class is incomplete and does not correctly load images and masks. The DataLoader creation is flawed, and the model definition is incorrect. The training and validation loops are not correctly implemented, and the loss and optimizer are not defined. Additionally, the visualization of predictions is missing. Therefore, the submission does not meet the requirements for any of the tasks, resulting in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94" t="n">
        <v>0</v>
      </c>
      <c r="AF94" t="n">
        <v>0</v>
      </c>
      <c r="AG94" t="inlineStr">
        <is>
          <t>No submission found.</t>
        </is>
      </c>
      <c r="AH94" t="n">
        <v>0</v>
      </c>
      <c r="AI94" t="n">
        <v>0</v>
      </c>
    </row>
    <row r="95">
      <c r="A95" t="n">
        <v>94</v>
      </c>
      <c r="B95" t="inlineStr">
        <is>
          <t>TA_2</t>
        </is>
      </c>
      <c r="C95" t="inlineStr">
        <is>
          <t>TA_12</t>
        </is>
      </c>
      <c r="D95" t="n">
        <v>12</v>
      </c>
      <c r="E95" t="n">
        <v>0</v>
      </c>
      <c r="F95" t="n">
        <v>10.5</v>
      </c>
      <c r="G95" t="n">
        <v>0</v>
      </c>
      <c r="H95" t="n">
        <v>12</v>
      </c>
      <c r="I95" t="n">
        <v>0</v>
      </c>
      <c r="J95" t="n">
        <v>12</v>
      </c>
      <c r="K95" t="n">
        <v>0</v>
      </c>
      <c r="L95" t="n">
        <v>11</v>
      </c>
      <c r="M95" t="n">
        <v>0</v>
      </c>
      <c r="N95" t="n">
        <v>12</v>
      </c>
      <c r="O95" t="n">
        <v>0</v>
      </c>
      <c r="P95">
        <f>Table1[[#This Row],[TA 1 - Q1 Score]]+Table1[[#This Row],[TA 1 - Q2 Score]]+Table1[[#This Row],[TA 1 - Q3 Score]]</f>
        <v/>
      </c>
      <c r="Q95">
        <f>Table1[[#This Row],[TA 1 - Q1 Bonus]]+Table1[[#This Row],[TA 1 - Q2 Bonus]]+Table1[[#This Row],[TA 1 - Q4 Bonus]]</f>
        <v/>
      </c>
      <c r="R95">
        <f>Table1[[#This Row],[TA 2 - Q1 Score]]+Table1[[#This Row],[TA 2 - Q2 Score]]+Table1[[#This Row],[TA 2 - Q3 Score]]</f>
        <v/>
      </c>
      <c r="S95">
        <f>Table1[[#This Row],[TA 2 - Q1 Bonus]]+Table1[[#This Row],[TA 2 - Q2 Bonus]]+Table1[[#This Row],[TA 2 - Q4 Bonus]]</f>
        <v/>
      </c>
      <c r="T95">
        <f>(Table1[[#This Row],[TA 1 - Total Score (out of 35)]]+Table1[[#This Row],[TA 2 - Total Score (out of 35)]])/2</f>
        <v/>
      </c>
      <c r="U95">
        <f>(Table1[[#This Row],[TA 1 - Total Bonus (out of 13)]]+Table1[[#This Row],[TA 2 - Total Bonus (out of 13)]])/2</f>
        <v/>
      </c>
      <c r="V95">
        <f>Table1[[#This Row],[Average Questions]]/35*20+Table1[[#This Row],[Average Bonus]]/13*5</f>
        <v/>
      </c>
      <c r="W95" t="n">
        <v>0</v>
      </c>
      <c r="X95" t="n">
        <v>0</v>
      </c>
      <c r="Y95" t="inlineStr">
        <is>
          <t>The student's submission does not run end-to-end due to missing code in the final cell. The code for the bonus task is also missing, resulting in a score of 0 for the bonus tasks. The student attempted to complete the tasks but did not provide the necessary code to run the training and validation loops, resulting in a score of 0 for the base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95" t="n">
        <v>0</v>
      </c>
      <c r="AA95" t="n">
        <v>0</v>
      </c>
      <c r="AB95" t="inlineStr">
        <is>
          <t>The student's submission has several critical issues that prevent it from running correctly. The dataset paths are incorrectly set, with the training and testing paths swapped. The transformations applied to the images do not match the required specifications, and the model architecture deviates significantly from the required 5 convolutional layers with batch normalization. Additionally, the training and validation loops contain errors, and the plotting code is incomplete. These issues collectively result in a score of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95" t="n">
        <v>0</v>
      </c>
      <c r="AD95" t="inlineStr">
        <is>
          <t>The student's submission does not run correctly due to several issues. The dataset class is incomplete and does not follow the required structure. The model definition uses 'efficientnet-b1' instead of 'efficientnet-b0' as specified. The training and validation loops are present but do not run correctly due to missing or incorrect implementations. The loss and optimizer are defined but the training process does not complete successfully. The visualization of predictions is attempted but fails due to the overall issues in the code. Therefore, no points are awarded for any task as the code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95" t="n">
        <v>0</v>
      </c>
      <c r="AF95" t="n">
        <v>0</v>
      </c>
      <c r="AG95" t="inlineStr">
        <is>
          <t>No submission found.</t>
        </is>
      </c>
      <c r="AH95" t="n">
        <v>0</v>
      </c>
      <c r="AI95" t="n">
        <v>0</v>
      </c>
    </row>
    <row r="96">
      <c r="A96" t="n">
        <v>95</v>
      </c>
      <c r="B96" t="inlineStr">
        <is>
          <t>TA_2</t>
        </is>
      </c>
      <c r="C96" t="inlineStr">
        <is>
          <t>TA_12</t>
        </is>
      </c>
      <c r="D96" t="n">
        <v>12</v>
      </c>
      <c r="E96" t="n">
        <v>0</v>
      </c>
      <c r="F96" t="n">
        <v>11</v>
      </c>
      <c r="G96" t="n">
        <v>4</v>
      </c>
      <c r="H96" t="n">
        <v>12</v>
      </c>
      <c r="I96" t="n">
        <v>0</v>
      </c>
      <c r="J96" t="n">
        <v>11</v>
      </c>
      <c r="K96" t="n">
        <v>4</v>
      </c>
      <c r="L96" t="n">
        <v>10.65</v>
      </c>
      <c r="M96" t="n">
        <v>2.25</v>
      </c>
      <c r="N96" t="n">
        <v>12</v>
      </c>
      <c r="O96" t="n">
        <v>0</v>
      </c>
      <c r="P96">
        <f>Table1[[#This Row],[TA 1 - Q1 Score]]+Table1[[#This Row],[TA 1 - Q2 Score]]+Table1[[#This Row],[TA 1 - Q3 Score]]</f>
        <v/>
      </c>
      <c r="Q96">
        <f>Table1[[#This Row],[TA 1 - Q1 Bonus]]+Table1[[#This Row],[TA 1 - Q2 Bonus]]+Table1[[#This Row],[TA 1 - Q4 Bonus]]</f>
        <v/>
      </c>
      <c r="R96">
        <f>Table1[[#This Row],[TA 2 - Q1 Score]]+Table1[[#This Row],[TA 2 - Q2 Score]]+Table1[[#This Row],[TA 2 - Q3 Score]]</f>
        <v/>
      </c>
      <c r="S96">
        <f>Table1[[#This Row],[TA 2 - Q1 Bonus]]+Table1[[#This Row],[TA 2 - Q2 Bonus]]+Table1[[#This Row],[TA 2 - Q4 Bonus]]</f>
        <v/>
      </c>
      <c r="T96">
        <f>(Table1[[#This Row],[TA 1 - Total Score (out of 35)]]+Table1[[#This Row],[TA 2 - Total Score (out of 35)]])/2</f>
        <v/>
      </c>
      <c r="U96">
        <f>(Table1[[#This Row],[TA 1 - Total Bonus (out of 13)]]+Table1[[#This Row],[TA 2 - Total Bonus (out of 13)]])/2</f>
        <v/>
      </c>
      <c r="V96">
        <f>Table1[[#This Row],[Average Questions]]/35*20+Table1[[#This Row],[Average Bonus]]/13*5</f>
        <v/>
      </c>
      <c r="W96" t="n">
        <v>0</v>
      </c>
      <c r="X96" t="n">
        <v>0</v>
      </c>
      <c r="Y96" t="inlineStr">
        <is>
          <t>The student's submission does not run correctly due to several issues. The transforms are not correctly applied, the DataLoaders are not created properly, and the model training and validation loops contain significant errors. The student also did not correctly implement the label fixing for 0-indexed labels, which results in a penalty. Additionally, the bonus task for Test Time Augmentation (TTA) is not implemented correctly.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96" t="n">
        <v>0</v>
      </c>
      <c r="AA96" t="n">
        <v>0</v>
      </c>
      <c r="AB96" t="inlineStr">
        <is>
          <t>The student's submission does not follow the rubric correctly. The dataset paths are incorrectly set to the test directory for both training and testing, which is a critical deviation from the instructions. Additionally, the transformations applied to the images do not match the required specifications (e.g., resizing to 32x32). The CNN model does not have the correct number of convolutional layers as specified in the rubric. The training and validation functions are incorrectly named and do not follow the required structure. The training process does not set up the device, model, loss, and optimizer correctly. The bonus task is attempted but does not correctly implement the residual connection or retrain the model.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96" t="n">
        <v>0</v>
      </c>
      <c r="AD96" t="inlineStr">
        <is>
          <t>The student's submission does not run correctly due to several issues. The dataset class is incomplete and does not follow the required structure. The model definition uses 'efficientnet-b1' instead of 'efficientnet-b0' as specified. The training and validation loops are present but do not run correctly due to missing or incorrect code. The loss and optimizer are defined but the training process is not correctly implemented. The visualization of predictions is attempted but does not run due to errors in the code. Overall, the submission does not meet the requirements of the rubric and thus receives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96" t="n">
        <v>0</v>
      </c>
      <c r="AF96" t="n">
        <v>0</v>
      </c>
      <c r="AG96" t="inlineStr">
        <is>
          <t>The student's implementation of the `ColorizationDataset` class contains several critical errors. The `rgb_to_grayscale` method incorrectly uses a convolutional layer to convert RGB to grayscale, which is not the correct approach. Additionally, the `img_transforms` are incorrectly defined and not used. The `rgb_to_grayscale` method does not follow the correct formula for grayscale conversion, and the `__getitem__` method does not correctly return the grayscale and color image tuple. These issues prevent the code from running correctly, resulting in a score of 0.0 for the task.
Breakdown:
- Correctly implemented `ColorizationDataset` class: 0.0/5.0</t>
        </is>
      </c>
      <c r="AH96" t="n">
        <v>0</v>
      </c>
      <c r="AI96" t="n">
        <v>0</v>
      </c>
    </row>
    <row r="97">
      <c r="A97" t="n">
        <v>96</v>
      </c>
      <c r="B97" t="inlineStr">
        <is>
          <t>TA_2</t>
        </is>
      </c>
      <c r="C97" t="inlineStr">
        <is>
          <t>TA_12</t>
        </is>
      </c>
      <c r="D97" t="n">
        <v>6.5</v>
      </c>
      <c r="E97" t="n">
        <v>0</v>
      </c>
      <c r="F97" t="n">
        <v>6.65</v>
      </c>
      <c r="G97" t="n">
        <v>0</v>
      </c>
      <c r="H97" t="n">
        <v>7</v>
      </c>
      <c r="I97" t="n">
        <v>0</v>
      </c>
      <c r="J97" t="n">
        <v>2.75</v>
      </c>
      <c r="K97" t="n">
        <v>0</v>
      </c>
      <c r="L97" t="n">
        <v>6.75</v>
      </c>
      <c r="M97" t="n">
        <v>0</v>
      </c>
      <c r="N97" t="n">
        <v>3.9</v>
      </c>
      <c r="O97" t="n">
        <v>0</v>
      </c>
      <c r="P97">
        <f>Table1[[#This Row],[TA 1 - Q1 Score]]+Table1[[#This Row],[TA 1 - Q2 Score]]+Table1[[#This Row],[TA 1 - Q3 Score]]</f>
        <v/>
      </c>
      <c r="Q97">
        <f>Table1[[#This Row],[TA 1 - Q1 Bonus]]+Table1[[#This Row],[TA 1 - Q2 Bonus]]+Table1[[#This Row],[TA 1 - Q4 Bonus]]</f>
        <v/>
      </c>
      <c r="R97">
        <f>Table1[[#This Row],[TA 2 - Q1 Score]]+Table1[[#This Row],[TA 2 - Q2 Score]]+Table1[[#This Row],[TA 2 - Q3 Score]]</f>
        <v/>
      </c>
      <c r="S97">
        <f>Table1[[#This Row],[TA 2 - Q1 Bonus]]+Table1[[#This Row],[TA 2 - Q2 Bonus]]+Table1[[#This Row],[TA 2 - Q4 Bonus]]</f>
        <v/>
      </c>
      <c r="T97">
        <f>(Table1[[#This Row],[TA 1 - Total Score (out of 35)]]+Table1[[#This Row],[TA 2 - Total Score (out of 35)]])/2</f>
        <v/>
      </c>
      <c r="U97">
        <f>(Table1[[#This Row],[TA 1 - Total Bonus (out of 13)]]+Table1[[#This Row],[TA 2 - Total Bonus (out of 13)]])/2</f>
        <v/>
      </c>
      <c r="V97">
        <f>Table1[[#This Row],[Average Questions]]/35*20+Table1[[#This Row],[Average Bonus]]/13*5</f>
        <v/>
      </c>
      <c r="W97" t="n">
        <v>0</v>
      </c>
      <c r="X97" t="n">
        <v>0</v>
      </c>
      <c r="Y97" t="inlineStr">
        <is>
          <t>The student's submission does not run correctly due to several issues. The training and validation loops are incorrect, as they use sigmoid activation and binary classification logic instead of softmax and multi-class classification. The model is not frozen correctly, and the labels are not adjusted for 0-indexing. Additionally, the plotting code has errors, and the bonus task for Test Time Augmentation is not implemented.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97" t="n">
        <v>0</v>
      </c>
      <c r="AA97" t="n">
        <v>0</v>
      </c>
      <c r="AB97" t="inlineStr">
        <is>
          <t>The student's submission does not follow the rubric correctly. The dataset class is incorrectly implemented, and the transformations do not match the required specifications. The CNN model class is not correctly defined as per the task requirements, and the training and validation functions are incomplete and incorrect. The training setup and plotting functions are also missing or incorrect. Additionally, the bonus task is not attempted.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97" t="n">
        <v>0</v>
      </c>
      <c r="AD97" t="inlineStr">
        <is>
          <t>The student did not complete any of the tasks as required. The dataset class, DataLoaders, and display of sample images and masks were not implemented. The model class was incorrectly defined using a custom U-Net instead of the required pretrained U-Net with efficientnet-b1 encoder. The training and validation loops, loss and optimizer definition, model training, and visualization of predictions were also missing or incorrect. Therefore, no points were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97" t="n">
        <v>0</v>
      </c>
      <c r="AF97" t="n">
        <v>0</v>
      </c>
      <c r="AG97" t="inlineStr">
        <is>
          <t>No submission found.</t>
        </is>
      </c>
      <c r="AH97" t="n">
        <v>0</v>
      </c>
      <c r="AI97" t="n">
        <v>0</v>
      </c>
    </row>
    <row r="98">
      <c r="A98" t="n">
        <v>97</v>
      </c>
      <c r="B98" t="inlineStr">
        <is>
          <t>TA_2</t>
        </is>
      </c>
      <c r="C98" t="inlineStr">
        <is>
          <t>TA_12</t>
        </is>
      </c>
      <c r="D98" t="n">
        <v>12</v>
      </c>
      <c r="E98" t="n">
        <v>3</v>
      </c>
      <c r="F98" t="n">
        <v>11</v>
      </c>
      <c r="G98" t="n">
        <v>1</v>
      </c>
      <c r="H98" t="n">
        <v>11.5</v>
      </c>
      <c r="I98" t="n">
        <v>0</v>
      </c>
      <c r="J98" t="n">
        <v>12</v>
      </c>
      <c r="K98" t="n">
        <v>3.5</v>
      </c>
      <c r="L98" t="n">
        <v>10.5</v>
      </c>
      <c r="M98" t="n">
        <v>0</v>
      </c>
      <c r="N98" t="n">
        <v>11</v>
      </c>
      <c r="O98" t="n">
        <v>0</v>
      </c>
      <c r="P98">
        <f>Table1[[#This Row],[TA 1 - Q1 Score]]+Table1[[#This Row],[TA 1 - Q2 Score]]+Table1[[#This Row],[TA 1 - Q3 Score]]</f>
        <v/>
      </c>
      <c r="Q98">
        <f>Table1[[#This Row],[TA 1 - Q1 Bonus]]+Table1[[#This Row],[TA 1 - Q2 Bonus]]+Table1[[#This Row],[TA 1 - Q4 Bonus]]</f>
        <v/>
      </c>
      <c r="R98">
        <f>Table1[[#This Row],[TA 2 - Q1 Score]]+Table1[[#This Row],[TA 2 - Q2 Score]]+Table1[[#This Row],[TA 2 - Q3 Score]]</f>
        <v/>
      </c>
      <c r="S98">
        <f>Table1[[#This Row],[TA 2 - Q1 Bonus]]+Table1[[#This Row],[TA 2 - Q2 Bonus]]+Table1[[#This Row],[TA 2 - Q4 Bonus]]</f>
        <v/>
      </c>
      <c r="T98">
        <f>(Table1[[#This Row],[TA 1 - Total Score (out of 35)]]+Table1[[#This Row],[TA 2 - Total Score (out of 35)]])/2</f>
        <v/>
      </c>
      <c r="U98">
        <f>(Table1[[#This Row],[TA 1 - Total Bonus (out of 13)]]+Table1[[#This Row],[TA 2 - Total Bonus (out of 13)]])/2</f>
        <v/>
      </c>
      <c r="V98">
        <f>Table1[[#This Row],[Average Questions]]/35*20+Table1[[#This Row],[Average Bonus]]/13*5</f>
        <v/>
      </c>
      <c r="W98" t="n">
        <v>0</v>
      </c>
      <c r="X98" t="n">
        <v>0</v>
      </c>
      <c r="Y98" t="inlineStr">
        <is>
          <t>The student's submission does not run correctly due to several issues. The transforms are incomplete, the DataLoaders are not created correctly, and the model is not set up properly. The training and validation loops are incorrect, and the label fixing is not implemented. Additionally, the bonus task for Test Time Augmentation (TTA) is not correctly implemented. Therefore, the student receives 0 points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98" t="n">
        <v>0</v>
      </c>
      <c r="AA98" t="n">
        <v>0</v>
      </c>
      <c r="AB98" t="inlineStr">
        <is>
          <t>The student's submission does not run correctly due to multiple issues. The dataset loading and transformation steps are incorrect, leading to errors in subsequent tasks. The CNN model definition is incomplete and contains errors, and the training and validation functions are not correctly implemented. Additionally, the bonus task for residual connections is not attempted correctly.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98" t="n">
        <v>0</v>
      </c>
      <c r="AD98" t="inlineStr">
        <is>
          <t>The student's submission does not run end-to-end due to several issues. The dataset class is incorrectly implemented, leading to errors in data loading. The model definition uses 'efficientnet-b1' instead of 'efficientnet-b0' as specified. The training and validation loops are present but do not run correctly due to the dataset issues. The visualization code is incomplete and does not display the predictions correctly. Therefore, no tasks are awarded any points.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98" t="n">
        <v>0</v>
      </c>
      <c r="AF98" t="n">
        <v>0</v>
      </c>
      <c r="AG98" t="inlineStr">
        <is>
          <t>No submission found.</t>
        </is>
      </c>
      <c r="AH98" t="n">
        <v>0</v>
      </c>
      <c r="AI98" t="n">
        <v>0</v>
      </c>
    </row>
    <row r="99">
      <c r="A99" t="n">
        <v>98</v>
      </c>
      <c r="B99" t="inlineStr">
        <is>
          <t>TA_2</t>
        </is>
      </c>
      <c r="C99" t="inlineStr">
        <is>
          <t>TA_12</t>
        </is>
      </c>
      <c r="D99" t="n">
        <v>6</v>
      </c>
      <c r="E99" t="n">
        <v>0</v>
      </c>
      <c r="F99" t="n">
        <v>4.5</v>
      </c>
      <c r="G99" t="n">
        <v>0</v>
      </c>
      <c r="H99" t="n">
        <v>3.5</v>
      </c>
      <c r="I99" t="n">
        <v>0</v>
      </c>
      <c r="J99" t="n">
        <v>3.25</v>
      </c>
      <c r="K99" t="n">
        <v>0</v>
      </c>
      <c r="L99" t="n">
        <v>2.75</v>
      </c>
      <c r="M99" t="n">
        <v>0</v>
      </c>
      <c r="N99" t="n">
        <v>0.4</v>
      </c>
      <c r="O99" t="n">
        <v>0</v>
      </c>
      <c r="P99">
        <f>Table1[[#This Row],[TA 1 - Q1 Score]]+Table1[[#This Row],[TA 1 - Q2 Score]]+Table1[[#This Row],[TA 1 - Q3 Score]]</f>
        <v/>
      </c>
      <c r="Q99">
        <f>Table1[[#This Row],[TA 1 - Q1 Bonus]]+Table1[[#This Row],[TA 1 - Q2 Bonus]]+Table1[[#This Row],[TA 1 - Q4 Bonus]]</f>
        <v/>
      </c>
      <c r="R99">
        <f>Table1[[#This Row],[TA 2 - Q1 Score]]+Table1[[#This Row],[TA 2 - Q2 Score]]+Table1[[#This Row],[TA 2 - Q3 Score]]</f>
        <v/>
      </c>
      <c r="S99">
        <f>Table1[[#This Row],[TA 2 - Q1 Bonus]]+Table1[[#This Row],[TA 2 - Q2 Bonus]]+Table1[[#This Row],[TA 2 - Q4 Bonus]]</f>
        <v/>
      </c>
      <c r="T99">
        <f>(Table1[[#This Row],[TA 1 - Total Score (out of 35)]]+Table1[[#This Row],[TA 2 - Total Score (out of 35)]])/2</f>
        <v/>
      </c>
      <c r="U99">
        <f>(Table1[[#This Row],[TA 1 - Total Bonus (out of 13)]]+Table1[[#This Row],[TA 2 - Total Bonus (out of 13)]])/2</f>
        <v/>
      </c>
      <c r="V99">
        <f>Table1[[#This Row],[Average Questions]]/35*20+Table1[[#This Row],[Average Bonus]]/13*5</f>
        <v/>
      </c>
      <c r="W99" t="n">
        <v>0</v>
      </c>
      <c r="X99" t="n">
        <v>0</v>
      </c>
      <c r="Y99" t="inlineStr">
        <is>
          <t>The student's submission does not run correctly due to several issues. The transforms include an incorrect custom module that subtracts one from the labels, which is not part of the transform pipeline. The DataLoaders are created but there is no code to display sample images. The model is loaded and the classifier head is replaced, but the backbone is not frozen. The training and validation loops are incorrect and do not handle the labels correctly. The training process is incomplete and does not plot the losses or accuracies. The bonus task for Test Time Augmentation is not attempted.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99" t="n">
        <v>0</v>
      </c>
      <c r="AA99" t="n">
        <v>0</v>
      </c>
      <c r="AB99" t="inlineStr">
        <is>
          <t>The student's submission does not follow the rubric correctly. The dataset class is incorrectly implemented, the transformations are not applied correctly, and the CNN model does not meet the specifications. Additionally, the training and validation functions are not correctly defined, and the training process is flawed. The bonus task is also not attempted correctly. Therefore, no points are awarded for any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99" t="n">
        <v>0</v>
      </c>
      <c r="AD99" t="inlineStr">
        <is>
          <t>The student's submission does not run end-to-end due to missing or incomplete code in several critical areas. The dataset class is incorrectly implemented, the model definition is missing, and the training and validation loops are not correctly set up. Additionally, the student did not provide code for defining the loss and optimizer, training the model, printing losses, plotting the loss curve, or visualizing predictions. Therefore, the student receives 0 points for all tasks.
Breakdown:
- Build custom dataset class for images and masks: 0.0/2.0
- Create DataLoaders: 0.0/0.5
- Display sample images and masks: 0.0/0.5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99" t="n">
        <v>0</v>
      </c>
      <c r="AF99" t="n">
        <v>0</v>
      </c>
      <c r="AG99" t="inlineStr">
        <is>
          <t>The student did not implement any of the required methods in the `ColorizationDataset` class. The `__init__`, `__len__`, `rgb_to_grayscale`, and `__getitem__` methods are all left as 'TO DO' placeholders, indicating that no code was written for these tasks. Additionally, the visualization code will not run correctly because the dataset methods are not implemented. Therefore, the student receives 0.0 points for this task.
Breakdown:
- Correctly implemented `ColorizationDataset` class: 0.0/5.0</t>
        </is>
      </c>
      <c r="AH99" t="n">
        <v>0</v>
      </c>
      <c r="AI99" t="n">
        <v>0</v>
      </c>
    </row>
    <row r="100">
      <c r="A100" t="n">
        <v>99</v>
      </c>
      <c r="B100" t="inlineStr">
        <is>
          <t>TA_2</t>
        </is>
      </c>
      <c r="C100" t="inlineStr">
        <is>
          <t>TA_12</t>
        </is>
      </c>
      <c r="D100" t="n">
        <v>10</v>
      </c>
      <c r="E100" t="n">
        <v>0</v>
      </c>
      <c r="F100" t="n">
        <v>11</v>
      </c>
      <c r="G100" t="n">
        <v>0</v>
      </c>
      <c r="H100" t="n">
        <v>2</v>
      </c>
      <c r="I100" t="n">
        <v>5</v>
      </c>
      <c r="J100" t="n">
        <v>11</v>
      </c>
      <c r="K100" t="n">
        <v>4</v>
      </c>
      <c r="L100" t="n">
        <v>10</v>
      </c>
      <c r="M100" t="n">
        <v>0</v>
      </c>
      <c r="N100" t="n">
        <v>0</v>
      </c>
      <c r="O100" t="n">
        <v>5</v>
      </c>
      <c r="P100">
        <f>Table1[[#This Row],[TA 1 - Q1 Score]]+Table1[[#This Row],[TA 1 - Q2 Score]]+Table1[[#This Row],[TA 1 - Q3 Score]]</f>
        <v/>
      </c>
      <c r="Q100">
        <f>Table1[[#This Row],[TA 1 - Q1 Bonus]]+Table1[[#This Row],[TA 1 - Q2 Bonus]]+Table1[[#This Row],[TA 1 - Q4 Bonus]]</f>
        <v/>
      </c>
      <c r="R100">
        <f>Table1[[#This Row],[TA 2 - Q1 Score]]+Table1[[#This Row],[TA 2 - Q2 Score]]+Table1[[#This Row],[TA 2 - Q3 Score]]</f>
        <v/>
      </c>
      <c r="S100">
        <f>Table1[[#This Row],[TA 2 - Q1 Bonus]]+Table1[[#This Row],[TA 2 - Q2 Bonus]]+Table1[[#This Row],[TA 2 - Q4 Bonus]]</f>
        <v/>
      </c>
      <c r="T100">
        <f>(Table1[[#This Row],[TA 1 - Total Score (out of 35)]]+Table1[[#This Row],[TA 2 - Total Score (out of 35)]])/2</f>
        <v/>
      </c>
      <c r="U100">
        <f>(Table1[[#This Row],[TA 1 - Total Bonus (out of 13)]]+Table1[[#This Row],[TA 2 - Total Bonus (out of 13)]])/2</f>
        <v/>
      </c>
      <c r="V100">
        <f>Table1[[#This Row],[Average Questions]]/35*20+Table1[[#This Row],[Average Bonus]]/13*5</f>
        <v/>
      </c>
      <c r="W100" t="n">
        <v>0</v>
      </c>
      <c r="X100" t="n">
        <v>0</v>
      </c>
      <c r="Y100" t="inlineStr">
        <is>
          <t>The student's submission does not include code for displaying sample images, setting up the device, model, loss, and optimizer, training the model, plotting training and validation losses, and plotting training and validation accuracy. Additionally, the code for creating DataLoaders, loading the pretrained model, freezing the backbone, and replacing the classifier head is incomplete or incorrect. The student did not attempt the bonus task. Therefore, the score is 0.0 for the base tasks and 0.0 for the bonus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00" t="n">
        <v>0</v>
      </c>
      <c r="AA100" t="n">
        <v>0</v>
      </c>
      <c r="AB100" t="inlineStr">
        <is>
          <t>The student's submission does not run correctly due to several issues. The code for loading and preparing the data, building the CNN model, and training the model contains errors that prevent it from executing successfully. Specifically, the model architecture is incorrect, and the training loop does not function as intended.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00" t="n">
        <v>0</v>
      </c>
      <c r="AD100" t="inlineStr">
        <is>
          <t>The student's submission is incomplete and does not run end-to-end. The dataset class is partially defined but lacks critical components such as the DataLoader creation and display of sample images and masks. The model definition, training, and validation loops are missing entirely. Therefore, no points are awarded for any task as the code does not run correctly and deviates significantly from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00" t="n">
        <v>0</v>
      </c>
      <c r="AF100" t="n">
        <v>0</v>
      </c>
      <c r="AG100" t="inlineStr">
        <is>
          <t>The student's implementation of the `ColorizationDataset` class is incomplete. The `rgb_to_grayscale` method correctly converts an RGB image to grayscale, but the `__getitem__` method does not return the correct tuple of (grayscale_image, color_image). Additionally, the visualization code is missing, which is a required part of the task. Therefore, the implementation does not meet the criteria for full credit and receives a score of 0.0.
Breakdown:
- Correctly implemented `ColorizationDataset` class: 0.0/5.0</t>
        </is>
      </c>
      <c r="AH100" t="n">
        <v>0</v>
      </c>
      <c r="AI100" t="n">
        <v>0</v>
      </c>
    </row>
    <row r="101">
      <c r="A101" t="n">
        <v>100</v>
      </c>
      <c r="B101" t="inlineStr">
        <is>
          <t>TA_2</t>
        </is>
      </c>
      <c r="C101" t="inlineStr">
        <is>
          <t>TA_12</t>
        </is>
      </c>
      <c r="D101" t="n">
        <v>8.5</v>
      </c>
      <c r="E101" t="n">
        <v>1</v>
      </c>
      <c r="F101" t="n">
        <v>10.5</v>
      </c>
      <c r="G101" t="n">
        <v>1</v>
      </c>
      <c r="H101" t="n">
        <v>12</v>
      </c>
      <c r="I101" t="n">
        <v>0</v>
      </c>
      <c r="J101" t="n">
        <v>5.5</v>
      </c>
      <c r="K101" t="n">
        <v>0.5</v>
      </c>
      <c r="L101" t="n">
        <v>10</v>
      </c>
      <c r="M101" t="n">
        <v>0</v>
      </c>
      <c r="N101" t="n">
        <v>11.9</v>
      </c>
      <c r="O101" t="n">
        <v>0</v>
      </c>
      <c r="P101">
        <f>Table1[[#This Row],[TA 1 - Q1 Score]]+Table1[[#This Row],[TA 1 - Q2 Score]]+Table1[[#This Row],[TA 1 - Q3 Score]]</f>
        <v/>
      </c>
      <c r="Q101">
        <f>Table1[[#This Row],[TA 1 - Q1 Bonus]]+Table1[[#This Row],[TA 1 - Q2 Bonus]]+Table1[[#This Row],[TA 1 - Q4 Bonus]]</f>
        <v/>
      </c>
      <c r="R101">
        <f>Table1[[#This Row],[TA 2 - Q1 Score]]+Table1[[#This Row],[TA 2 - Q2 Score]]+Table1[[#This Row],[TA 2 - Q3 Score]]</f>
        <v/>
      </c>
      <c r="S101">
        <f>Table1[[#This Row],[TA 2 - Q1 Bonus]]+Table1[[#This Row],[TA 2 - Q2 Bonus]]+Table1[[#This Row],[TA 2 - Q4 Bonus]]</f>
        <v/>
      </c>
      <c r="T101">
        <f>(Table1[[#This Row],[TA 1 - Total Score (out of 35)]]+Table1[[#This Row],[TA 2 - Total Score (out of 35)]])/2</f>
        <v/>
      </c>
      <c r="U101">
        <f>(Table1[[#This Row],[TA 1 - Total Bonus (out of 13)]]+Table1[[#This Row],[TA 2 - Total Bonus (out of 13)]])/2</f>
        <v/>
      </c>
      <c r="V101">
        <f>Table1[[#This Row],[Average Questions]]/35*20+Table1[[#This Row],[Average Bonus]]/13*5</f>
        <v/>
      </c>
      <c r="W101" t="n">
        <v>0</v>
      </c>
      <c r="X101" t="n">
        <v>0</v>
      </c>
      <c r="Y101" t="inlineStr">
        <is>
          <t>The student's submission does not run correctly due to several issues. The transforms are not correctly defined, the DataLoaders are not created properly, and the model is not correctly adapted for the task. Additionally, the training and validation loops are incorrect, and the label fixing is not implemented. The bonus task for Test Time Augmentation is also not correctly implemented.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01" t="n">
        <v>0</v>
      </c>
      <c r="AA101" t="n">
        <v>0</v>
      </c>
      <c r="AB101" t="inlineStr">
        <is>
          <t>The student's submission does not run correctly due to multiple issues. The dataset class or ImageFolder is not correctly implemented, the transforms are incorrect, and the CNN model class does not follow the specified requirements. Additionally, the training and validation functions are not correctly defined, and the training process does not set up the device, model, loss, and optimizer correctly. The bonus task for residual connections is also not attempted correctly.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01" t="n">
        <v>0</v>
      </c>
      <c r="AD101" t="inlineStr">
        <is>
          <t>The student's submission does not run correctly due to several issues. The dataset class is incomplete and does not remap masks correctly. The DataLoader creation is flawed, and the model definition is incorrect as it uses 'efficientnet-b1' instead of 'efficientnet-b0'. The training and validation loops are not correctly implemented, and the loss and optimizer are not defined properly. Additionally, the visualization of predictions is missing critical steps. Therefore, the student receives 0 points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01" t="n">
        <v>0</v>
      </c>
      <c r="AF101" t="n">
        <v>0</v>
      </c>
      <c r="AG101" t="inlineStr">
        <is>
          <t>The student did not implement any of the required methods in the `ColorizationDataset` class. The `__init__`, `__len__`, `rgb_to_grayscale`, and `__getitem__` methods are all left as 'TO DO' placeholders, indicating that no code was written for these tasks. Additionally, the visualization code will not run correctly because the dataset methods are not implemented. Therefore, the student receives 0 points for this task.
Breakdown:
- Correctly implemented `ColorizationDataset` class: 0.0/5.0</t>
        </is>
      </c>
      <c r="AH101" t="n">
        <v>0</v>
      </c>
      <c r="AI101" t="n">
        <v>0</v>
      </c>
    </row>
    <row r="102">
      <c r="A102" t="n">
        <v>101</v>
      </c>
      <c r="B102" t="inlineStr">
        <is>
          <t>TA_2</t>
        </is>
      </c>
      <c r="C102" t="inlineStr">
        <is>
          <t>TA_12</t>
        </is>
      </c>
      <c r="D102" t="n">
        <v>6.7</v>
      </c>
      <c r="E102" t="n">
        <v>0</v>
      </c>
      <c r="F102" t="n">
        <v>8</v>
      </c>
      <c r="G102" t="n">
        <v>0</v>
      </c>
      <c r="H102" t="n">
        <v>12</v>
      </c>
      <c r="I102" t="n">
        <v>0</v>
      </c>
      <c r="J102" t="n">
        <v>6.5</v>
      </c>
      <c r="K102" t="n">
        <v>0</v>
      </c>
      <c r="L102" t="n">
        <v>3.6</v>
      </c>
      <c r="M102" t="n">
        <v>0</v>
      </c>
      <c r="N102" t="n">
        <v>11.8</v>
      </c>
      <c r="O102" t="n">
        <v>0</v>
      </c>
      <c r="P102">
        <f>Table1[[#This Row],[TA 1 - Q1 Score]]+Table1[[#This Row],[TA 1 - Q2 Score]]+Table1[[#This Row],[TA 1 - Q3 Score]]</f>
        <v/>
      </c>
      <c r="Q102">
        <f>Table1[[#This Row],[TA 1 - Q1 Bonus]]+Table1[[#This Row],[TA 1 - Q2 Bonus]]+Table1[[#This Row],[TA 1 - Q4 Bonus]]</f>
        <v/>
      </c>
      <c r="R102">
        <f>Table1[[#This Row],[TA 2 - Q1 Score]]+Table1[[#This Row],[TA 2 - Q2 Score]]+Table1[[#This Row],[TA 2 - Q3 Score]]</f>
        <v/>
      </c>
      <c r="S102">
        <f>Table1[[#This Row],[TA 2 - Q1 Bonus]]+Table1[[#This Row],[TA 2 - Q2 Bonus]]+Table1[[#This Row],[TA 2 - Q4 Bonus]]</f>
        <v/>
      </c>
      <c r="T102">
        <f>(Table1[[#This Row],[TA 1 - Total Score (out of 35)]]+Table1[[#This Row],[TA 2 - Total Score (out of 35)]])/2</f>
        <v/>
      </c>
      <c r="U102">
        <f>(Table1[[#This Row],[TA 1 - Total Bonus (out of 13)]]+Table1[[#This Row],[TA 2 - Total Bonus (out of 13)]])/2</f>
        <v/>
      </c>
      <c r="V102">
        <f>Table1[[#This Row],[Average Questions]]/35*20+Table1[[#This Row],[Average Bonus]]/13*5</f>
        <v/>
      </c>
      <c r="W102" t="n">
        <v>0</v>
      </c>
      <c r="X102" t="n">
        <v>0</v>
      </c>
      <c r="Y102" t="inlineStr">
        <is>
          <t>The student's submission does not run correctly due to several issues. The transforms are not correctly applied, the DataLoaders are not created properly, and the sample images are not displayed correctly. The model is not correctly loaded or adapted, and the training and validation loops are incorrect. Additionally, the labels are not fixed for 0-indexing, and the training process does not set up the device, model, loss, and optimizer correctly. The plots for training and validation losses and accuracies are missing. The bonus task for Test Time Augmentation is also not implemented correctly.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02" t="n">
        <v>0</v>
      </c>
      <c r="AA102" t="n">
        <v>0</v>
      </c>
      <c r="AB102" t="inlineStr">
        <is>
          <t>The student's submission does not include any code for the training and validation functions, the training process, or the bonus tasks. The code for the CNN model is incomplete and does not follow the specified structure. The dataset preparation is partially correct but does not include the necessary DataLoader creation or display of sample images.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02" t="n">
        <v>0</v>
      </c>
      <c r="AD102" t="inlineStr">
        <is>
          <t>The student's submission does not run end-to-end due to missing or incorrect code in several critical areas. The dataset class is incomplete as it does not split the data into training and testing sets correctly. The model definition uses the wrong encoder (efficientnet-b0 instead of efficientnet-b1). The training and validation loops are present but do not run correctly due to missing or incorrect code in the training and validation functions. The loss and optimizer are defined, but the training loop does not execute properly. The visualization of predictions is attempted but fails due to the overall issues in the code.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02" t="n">
        <v>0</v>
      </c>
      <c r="AF102" t="n">
        <v>0</v>
      </c>
      <c r="AG102" t="inlineStr">
        <is>
          <t>No submission found.</t>
        </is>
      </c>
      <c r="AH102" t="n">
        <v>0</v>
      </c>
      <c r="AI102" t="n">
        <v>0</v>
      </c>
    </row>
    <row r="103">
      <c r="A103" t="n">
        <v>102</v>
      </c>
      <c r="B103" t="inlineStr">
        <is>
          <t>TA_2</t>
        </is>
      </c>
      <c r="C103" t="inlineStr">
        <is>
          <t>TA_12</t>
        </is>
      </c>
      <c r="D103" t="n">
        <v>5.5</v>
      </c>
      <c r="E103" t="n">
        <v>0</v>
      </c>
      <c r="F103" t="n">
        <v>9</v>
      </c>
      <c r="G103" t="n">
        <v>3</v>
      </c>
      <c r="H103" t="n">
        <v>12</v>
      </c>
      <c r="I103" t="n">
        <v>0</v>
      </c>
      <c r="J103" t="n">
        <v>4.75</v>
      </c>
      <c r="K103" t="n">
        <v>0</v>
      </c>
      <c r="L103" t="n">
        <v>8</v>
      </c>
      <c r="M103" t="n">
        <v>0</v>
      </c>
      <c r="N103" t="n">
        <v>4.65</v>
      </c>
      <c r="O103" t="n">
        <v>0</v>
      </c>
      <c r="P103">
        <f>Table1[[#This Row],[TA 1 - Q1 Score]]+Table1[[#This Row],[TA 1 - Q2 Score]]+Table1[[#This Row],[TA 1 - Q3 Score]]</f>
        <v/>
      </c>
      <c r="Q103">
        <f>Table1[[#This Row],[TA 1 - Q1 Bonus]]+Table1[[#This Row],[TA 1 - Q2 Bonus]]+Table1[[#This Row],[TA 1 - Q4 Bonus]]</f>
        <v/>
      </c>
      <c r="R103">
        <f>Table1[[#This Row],[TA 2 - Q1 Score]]+Table1[[#This Row],[TA 2 - Q2 Score]]+Table1[[#This Row],[TA 2 - Q3 Score]]</f>
        <v/>
      </c>
      <c r="S103">
        <f>Table1[[#This Row],[TA 2 - Q1 Bonus]]+Table1[[#This Row],[TA 2 - Q2 Bonus]]+Table1[[#This Row],[TA 2 - Q4 Bonus]]</f>
        <v/>
      </c>
      <c r="T103">
        <f>(Table1[[#This Row],[TA 1 - Total Score (out of 35)]]+Table1[[#This Row],[TA 2 - Total Score (out of 35)]])/2</f>
        <v/>
      </c>
      <c r="U103">
        <f>(Table1[[#This Row],[TA 1 - Total Bonus (out of 13)]]+Table1[[#This Row],[TA 2 - Total Bonus (out of 13)]])/2</f>
        <v/>
      </c>
      <c r="V103">
        <f>Table1[[#This Row],[Average Questions]]/35*20+Table1[[#This Row],[Average Bonus]]/13*5</f>
        <v/>
      </c>
      <c r="W103" t="n">
        <v>0</v>
      </c>
      <c r="X103" t="n">
        <v>0</v>
      </c>
      <c r="Y103" t="inlineStr">
        <is>
          <t>The student's submission contains several critical errors that prevent the code from running correctly. The transforms for the test dataset are incorrect, leading to mismatched dimensions and incorrect label handling. The training and validation loops do not correctly adjust the labels from 1-26 to 0-25, which is a fundamental requirement for the task. Additionally, the student did not implement the bonus task for Test Time Augmentation. These issues result in a score of 0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03" t="n">
        <v>0</v>
      </c>
      <c r="AA103" t="n">
        <v>0</v>
      </c>
      <c r="AB103" t="inlineStr">
        <is>
          <t>The student's submission does not run correctly due to multiple issues. The dataset class is incorrectly implemented, the transformations do not match the rubric, the CNN model does not follow the specified architecture, and the training and validation functions are flawed. Additionally, the bonus task is not attempted correctly.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03" t="n">
        <v>0</v>
      </c>
      <c r="AD103" t="inlineStr">
        <is>
          <t>The student's submission does not run correctly due to multiple issues. The dataset class is incomplete and incorrect, using ImageFolder instead of a custom dataset class. The model definition is incorrect, using the wrong number of classes and encoder. The training and validation loops are incomplete and contain errors. The loss function and optimizer are incorrectly defined for a multi-class segmentation task. The visualization of predictions is also incorrect, using sigmoid activation and thresholding for a multi-class problem.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03" t="n">
        <v>0</v>
      </c>
      <c r="AF103" t="n">
        <v>0</v>
      </c>
      <c r="AG103" t="inlineStr">
        <is>
          <t>No submission found.</t>
        </is>
      </c>
      <c r="AH103" t="n">
        <v>0</v>
      </c>
      <c r="AI103" t="n">
        <v>0</v>
      </c>
    </row>
    <row r="104">
      <c r="A104" t="n">
        <v>103</v>
      </c>
      <c r="B104" t="inlineStr">
        <is>
          <t>TA_2</t>
        </is>
      </c>
      <c r="C104" t="inlineStr">
        <is>
          <t>TA_12</t>
        </is>
      </c>
      <c r="D104" t="n">
        <v>11</v>
      </c>
      <c r="E104" t="n">
        <v>4</v>
      </c>
      <c r="F104" t="n">
        <v>10.5</v>
      </c>
      <c r="G104" t="n">
        <v>3</v>
      </c>
      <c r="H104" t="n">
        <v>12</v>
      </c>
      <c r="I104" t="n">
        <v>5</v>
      </c>
      <c r="J104" t="n">
        <v>12</v>
      </c>
      <c r="K104" t="n">
        <v>4</v>
      </c>
      <c r="L104" t="n">
        <v>10</v>
      </c>
      <c r="M104" t="n">
        <v>4</v>
      </c>
      <c r="N104" t="n">
        <v>11.8</v>
      </c>
      <c r="O104" t="n">
        <v>5</v>
      </c>
      <c r="P104">
        <f>Table1[[#This Row],[TA 1 - Q1 Score]]+Table1[[#This Row],[TA 1 - Q2 Score]]+Table1[[#This Row],[TA 1 - Q3 Score]]</f>
        <v/>
      </c>
      <c r="Q104">
        <f>Table1[[#This Row],[TA 1 - Q1 Bonus]]+Table1[[#This Row],[TA 1 - Q2 Bonus]]+Table1[[#This Row],[TA 1 - Q4 Bonus]]</f>
        <v/>
      </c>
      <c r="R104">
        <f>Table1[[#This Row],[TA 2 - Q1 Score]]+Table1[[#This Row],[TA 2 - Q2 Score]]+Table1[[#This Row],[TA 2 - Q3 Score]]</f>
        <v/>
      </c>
      <c r="S104">
        <f>Table1[[#This Row],[TA 2 - Q1 Bonus]]+Table1[[#This Row],[TA 2 - Q2 Bonus]]+Table1[[#This Row],[TA 2 - Q4 Bonus]]</f>
        <v/>
      </c>
      <c r="T104">
        <f>(Table1[[#This Row],[TA 1 - Total Score (out of 35)]]+Table1[[#This Row],[TA 2 - Total Score (out of 35)]])/2</f>
        <v/>
      </c>
      <c r="U104">
        <f>(Table1[[#This Row],[TA 1 - Total Bonus (out of 13)]]+Table1[[#This Row],[TA 2 - Total Bonus (out of 13)]])/2</f>
        <v/>
      </c>
      <c r="V104">
        <f>Table1[[#This Row],[Average Questions]]/35*20+Table1[[#This Row],[Average Bonus]]/13*5</f>
        <v/>
      </c>
      <c r="W104" t="n">
        <v>10.5</v>
      </c>
      <c r="X104" t="n">
        <v>4</v>
      </c>
      <c r="Y104" t="inlineStr">
        <is>
          <t>The student successfully completed all tasks with correct logic and implementation. The code runs perfectly and produces the correct output. The student also implemented the bonus task correctly, earning full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104" t="n">
        <v>0</v>
      </c>
      <c r="AA104" t="n">
        <v>0</v>
      </c>
      <c r="AB104" t="inlineStr">
        <is>
          <t>The student's submission does not run correctly due to several issues. The dataset paths are incorrectly set, leading to errors in loading the datasets. The model architecture and training loops have logical errors, such as incorrect pooling operations and missing activation functions. The residual connection implementation is flawed, and the code does not follow the specified transformations and model structure. Therefore, no tasks are awarded any points.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04" t="n">
        <v>0</v>
      </c>
      <c r="AD104" t="inlineStr">
        <is>
          <t>The student's submission does not run end-to-end due to several issues. The dataset class is incomplete and does not handle the remapping of masks correctly. The DataLoader creation is incorrect as it does not split the dataset into training and testing sets. The model definition uses the correct encoder but the training and validation loops are flawed. The training process does not correctly handle the validation set, and the loss plotting and prediction visualization are incomplete. Therefore, no points are awarded for any task as the code does not run correctly and deviates from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04" t="n">
        <v>0</v>
      </c>
      <c r="AF104" t="n">
        <v>0</v>
      </c>
      <c r="AG104" t="inlineStr">
        <is>
          <t>The student's implementation of the `ColorizationDataset` class is incorrect. The code does not correctly handle the conversion of the grayscale image to the correct dimensions. Specifically, the `rgb_to_grayscale` method does not return the grayscale image in the correct shape, which is (1, H, W). Additionally, the visualization code has an error in the `imshow` function call, which attempts to display the grayscale image incorrectly. These issues prevent the code from running correctly and producing the expected output.
Breakdown:
- Correctly implemented `ColorizationDataset` class: 0.0/5.0</t>
        </is>
      </c>
      <c r="AH104" t="n">
        <v>10.5</v>
      </c>
      <c r="AI104" t="n">
        <v>4</v>
      </c>
    </row>
    <row r="105">
      <c r="A105" t="n">
        <v>104</v>
      </c>
      <c r="B105" t="inlineStr">
        <is>
          <t>TA_2</t>
        </is>
      </c>
      <c r="C105" t="inlineStr">
        <is>
          <t>TA_12</t>
        </is>
      </c>
      <c r="D105" t="n">
        <v>11.5</v>
      </c>
      <c r="E105" t="n">
        <v>4</v>
      </c>
      <c r="F105" t="n">
        <v>11</v>
      </c>
      <c r="G105" t="n">
        <v>1</v>
      </c>
      <c r="H105" t="n">
        <v>12</v>
      </c>
      <c r="I105" t="n">
        <v>0</v>
      </c>
      <c r="J105" t="n">
        <v>12</v>
      </c>
      <c r="K105" t="n">
        <v>4</v>
      </c>
      <c r="L105" t="n">
        <v>11</v>
      </c>
      <c r="M105" t="n">
        <v>0</v>
      </c>
      <c r="N105" t="n">
        <v>12</v>
      </c>
      <c r="O105" t="n">
        <v>0</v>
      </c>
      <c r="P105">
        <f>Table1[[#This Row],[TA 1 - Q1 Score]]+Table1[[#This Row],[TA 1 - Q2 Score]]+Table1[[#This Row],[TA 1 - Q3 Score]]</f>
        <v/>
      </c>
      <c r="Q105">
        <f>Table1[[#This Row],[TA 1 - Q1 Bonus]]+Table1[[#This Row],[TA 1 - Q2 Bonus]]+Table1[[#This Row],[TA 1 - Q4 Bonus]]</f>
        <v/>
      </c>
      <c r="R105">
        <f>Table1[[#This Row],[TA 2 - Q1 Score]]+Table1[[#This Row],[TA 2 - Q2 Score]]+Table1[[#This Row],[TA 2 - Q3 Score]]</f>
        <v/>
      </c>
      <c r="S105">
        <f>Table1[[#This Row],[TA 2 - Q1 Bonus]]+Table1[[#This Row],[TA 2 - Q2 Bonus]]+Table1[[#This Row],[TA 2 - Q4 Bonus]]</f>
        <v/>
      </c>
      <c r="T105">
        <f>(Table1[[#This Row],[TA 1 - Total Score (out of 35)]]+Table1[[#This Row],[TA 2 - Total Score (out of 35)]])/2</f>
        <v/>
      </c>
      <c r="U105">
        <f>(Table1[[#This Row],[TA 1 - Total Bonus (out of 13)]]+Table1[[#This Row],[TA 2 - Total Bonus (out of 13)]])/2</f>
        <v/>
      </c>
      <c r="V105">
        <f>Table1[[#This Row],[Average Questions]]/35*20+Table1[[#This Row],[Average Bonus]]/13*5</f>
        <v/>
      </c>
      <c r="W105" t="n">
        <v>10.5</v>
      </c>
      <c r="X105" t="n">
        <v>4</v>
      </c>
      <c r="Y105" t="inlineStr">
        <is>
          <t>The student successfully completed the data loading and preparation tasks, including transforms, DataLoaders, and displaying sample images. The model loading and adaptation tasks were also correctly implemented, with the pretrained EfficientNetV2-Small model loaded, the backbone frozen, and the classifier head replaced for 26 classes. The training and validation functions were correctly defined, and the label fix for 0-indexed labels was implemented. The training setup, including device, model, loss, and optimizer, was correctly done, and the model was trained. The plots for training and validation losses and accuracies were correctly generated. The bonus task for Test Time Augmentation (TTA) was also correctly implemented, with three predictions defined and averaged correctly.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105" t="n">
        <v>0</v>
      </c>
      <c r="AA105" t="n">
        <v>0</v>
      </c>
      <c r="AB105" t="inlineStr">
        <is>
          <t>The student's submission does not run correctly due to several issues. The dataset paths are hardcoded and incorrect, leading to errors in loading the data. The transforms applied to the images do not match the required specifications, and the model architecture has significant deviations from the rubric. The training and validation functions are incomplete and contain errors. The residual connection implementation is incorrect and does not follow the specified requirements.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05" t="n">
        <v>0</v>
      </c>
      <c r="AD105" t="inlineStr">
        <is>
          <t>The student's submission does not run end-to-end due to missing code for several tasks. Specifically, the dataset class is incomplete, the DataLoaders are not correctly implemented, and the model definition and training loops are not fully functional. The code provided does not follow the optimal logic and contains syntax errors, leading to a complete failure in running the tasks as specified.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05" t="n">
        <v>0</v>
      </c>
      <c r="AF105" t="n">
        <v>0</v>
      </c>
      <c r="AG105" t="inlineStr">
        <is>
          <t>No submission found.</t>
        </is>
      </c>
      <c r="AH105" t="n">
        <v>10.5</v>
      </c>
      <c r="AI105" t="n">
        <v>4</v>
      </c>
    </row>
    <row r="106">
      <c r="A106" t="n">
        <v>105</v>
      </c>
      <c r="B106" t="inlineStr">
        <is>
          <t>TA_2</t>
        </is>
      </c>
      <c r="C106" t="inlineStr">
        <is>
          <t>TA_12</t>
        </is>
      </c>
      <c r="D106" t="n">
        <v>3</v>
      </c>
      <c r="E106" t="n">
        <v>0</v>
      </c>
      <c r="F106" t="n">
        <v>8</v>
      </c>
      <c r="G106" t="n">
        <v>0</v>
      </c>
      <c r="H106" t="n">
        <v>0</v>
      </c>
      <c r="I106" t="n">
        <v>0</v>
      </c>
      <c r="J106" t="n">
        <v>0.75</v>
      </c>
      <c r="K106" t="n">
        <v>0</v>
      </c>
      <c r="L106" t="n">
        <v>5.25</v>
      </c>
      <c r="M106" t="n">
        <v>0</v>
      </c>
      <c r="N106" t="n">
        <v>0</v>
      </c>
      <c r="O106" t="n">
        <v>0</v>
      </c>
      <c r="P106">
        <f>Table1[[#This Row],[TA 1 - Q1 Score]]+Table1[[#This Row],[TA 1 - Q2 Score]]+Table1[[#This Row],[TA 1 - Q3 Score]]</f>
        <v/>
      </c>
      <c r="Q106">
        <f>Table1[[#This Row],[TA 1 - Q1 Bonus]]+Table1[[#This Row],[TA 1 - Q2 Bonus]]+Table1[[#This Row],[TA 1 - Q4 Bonus]]</f>
        <v/>
      </c>
      <c r="R106">
        <f>Table1[[#This Row],[TA 2 - Q1 Score]]+Table1[[#This Row],[TA 2 - Q2 Score]]+Table1[[#This Row],[TA 2 - Q3 Score]]</f>
        <v/>
      </c>
      <c r="S106">
        <f>Table1[[#This Row],[TA 2 - Q1 Bonus]]+Table1[[#This Row],[TA 2 - Q2 Bonus]]+Table1[[#This Row],[TA 2 - Q4 Bonus]]</f>
        <v/>
      </c>
      <c r="T106">
        <f>(Table1[[#This Row],[TA 1 - Total Score (out of 35)]]+Table1[[#This Row],[TA 2 - Total Score (out of 35)]])/2</f>
        <v/>
      </c>
      <c r="U106">
        <f>(Table1[[#This Row],[TA 1 - Total Bonus (out of 13)]]+Table1[[#This Row],[TA 2 - Total Bonus (out of 13)]])/2</f>
        <v/>
      </c>
      <c r="V106">
        <f>Table1[[#This Row],[Average Questions]]/35*20+Table1[[#This Row],[Average Bonus]]/13*5</f>
        <v/>
      </c>
      <c r="W106" t="n">
        <v>0</v>
      </c>
      <c r="X106" t="n">
        <v>0</v>
      </c>
      <c r="Y106" t="inlineStr">
        <is>
          <t>The student's submission does not follow the required structure and contains significant errors. The transforms are incomplete, the DataLoader creation is missing, and the model definition is incorrect. The training and validation loops are flawed, and the model setup is incorrect. Additionally, the student did not plot the training and validation losses or accuracies. The bonus task is also missing.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06" t="n">
        <v>0</v>
      </c>
      <c r="AA106" t="n">
        <v>0</v>
      </c>
      <c r="AB106" t="inlineStr">
        <is>
          <t>The student's submission does not run correctly due to multiple issues. The dataset paths are incorrect, the transforms are not applied correctly, and the model architecture is incorrect. The training and validation functions are also flawed, leading to incorrect calculations of loss and accuracy. Additionally, the student did not implement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06" t="n">
        <v>0</v>
      </c>
      <c r="AD106" t="inlineStr">
        <is>
          <t>The student did not complete any of the tasks. The submission contains only the dataset download code and the remap_mask function, with placeholders for the rest of the tasks.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06" t="n">
        <v>0</v>
      </c>
      <c r="AF106" t="n">
        <v>0</v>
      </c>
      <c r="AG106" t="inlineStr">
        <is>
          <t>No submission found.</t>
        </is>
      </c>
      <c r="AH106" t="n">
        <v>0</v>
      </c>
      <c r="AI106" t="n">
        <v>0</v>
      </c>
    </row>
    <row r="107">
      <c r="A107" t="n">
        <v>106</v>
      </c>
      <c r="B107" t="inlineStr">
        <is>
          <t>TA_2</t>
        </is>
      </c>
      <c r="C107" t="inlineStr">
        <is>
          <t>TA_12</t>
        </is>
      </c>
      <c r="D107" t="n">
        <v>12</v>
      </c>
      <c r="E107" t="n">
        <v>4</v>
      </c>
      <c r="F107" t="n">
        <v>6.5</v>
      </c>
      <c r="G107" t="n">
        <v>0</v>
      </c>
      <c r="H107" t="n">
        <v>12</v>
      </c>
      <c r="I107" t="n">
        <v>5</v>
      </c>
      <c r="J107" t="n">
        <v>12</v>
      </c>
      <c r="K107" t="n">
        <v>4</v>
      </c>
      <c r="L107" t="n">
        <v>7.85</v>
      </c>
      <c r="M107" t="n">
        <v>3</v>
      </c>
      <c r="N107" t="n">
        <v>11.4</v>
      </c>
      <c r="O107" t="n">
        <v>5</v>
      </c>
      <c r="P107">
        <f>Table1[[#This Row],[TA 1 - Q1 Score]]+Table1[[#This Row],[TA 1 - Q2 Score]]+Table1[[#This Row],[TA 1 - Q3 Score]]</f>
        <v/>
      </c>
      <c r="Q107">
        <f>Table1[[#This Row],[TA 1 - Q1 Bonus]]+Table1[[#This Row],[TA 1 - Q2 Bonus]]+Table1[[#This Row],[TA 1 - Q4 Bonus]]</f>
        <v/>
      </c>
      <c r="R107">
        <f>Table1[[#This Row],[TA 2 - Q1 Score]]+Table1[[#This Row],[TA 2 - Q2 Score]]+Table1[[#This Row],[TA 2 - Q3 Score]]</f>
        <v/>
      </c>
      <c r="S107">
        <f>Table1[[#This Row],[TA 2 - Q1 Bonus]]+Table1[[#This Row],[TA 2 - Q2 Bonus]]+Table1[[#This Row],[TA 2 - Q4 Bonus]]</f>
        <v/>
      </c>
      <c r="T107">
        <f>(Table1[[#This Row],[TA 1 - Total Score (out of 35)]]+Table1[[#This Row],[TA 2 - Total Score (out of 35)]])/2</f>
        <v/>
      </c>
      <c r="U107">
        <f>(Table1[[#This Row],[TA 1 - Total Bonus (out of 13)]]+Table1[[#This Row],[TA 2 - Total Bonus (out of 13)]])/2</f>
        <v/>
      </c>
      <c r="V107">
        <f>Table1[[#This Row],[Average Questions]]/35*20+Table1[[#This Row],[Average Bonus]]/13*5</f>
        <v/>
      </c>
      <c r="W107" t="n">
        <v>10</v>
      </c>
      <c r="X107" t="n">
        <v>4</v>
      </c>
      <c r="Y107" t="inlineStr">
        <is>
          <t>The student successfully completed all tasks in Parts 1, 2, 3, and 4, including the bonus task in Part 5. The code for loading and preparing data, adapting the pretrained model, training and validation functions, and training the model is correct and runs perfectly. The student also correctly implemented Test Time Augmentation (TTA) by defining three predictions and averaging them. The student's code adheres to the rubric and produces the correct output.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107" t="n">
        <v>0</v>
      </c>
      <c r="AA107" t="n">
        <v>0</v>
      </c>
      <c r="AB107" t="inlineStr">
        <is>
          <t>The student's submission does not include the necessary code to create the train/test datasets and DataLoaders, nor does it correctly implement the required transforms. Additionally, the code for displaying sample images with labels is missing. The CNN model class is incomplete and does not follow the specified structure with 5 convolutional layers and batch normalization. The training and validation functions are not defined correctly, and the training process is not set up properly. The bonus task for residual connections is also not implemented correctly.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07" t="n">
        <v>0</v>
      </c>
      <c r="AD107" t="inlineStr">
        <is>
          <t>The student's submission does not run end-to-end due to several issues. The dataset class is incorrectly implemented, leading to errors in data loading. The training and validation loops are defined but do not run correctly due to issues in the dataset class. The model definition and training process are attempted but fail due to the dataset issues. Therefore, no points are awarded for any task as the code does not run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07" t="n">
        <v>0</v>
      </c>
      <c r="AF107" t="n">
        <v>0</v>
      </c>
      <c r="AG107" t="inlineStr">
        <is>
          <t>The student's implementation of the `ColorizationDataset` class is incorrect. The `rgb_to_grayscale` method does not correctly handle the dimensions of the input image, leading to a mismatch in the expected output shape. Specifically, the method should return a tensor of shape (1, H, W), but the student's implementation returns a tensor of shape (H, W). This error prevents the code from running correctly and visualizing the images as expected.
Breakdown:
- Correctly implemented `ColorizationDataset` class: 0.0/5.0</t>
        </is>
      </c>
      <c r="AH107" t="n">
        <v>10</v>
      </c>
      <c r="AI107" t="n">
        <v>4</v>
      </c>
    </row>
    <row r="108">
      <c r="A108" t="n">
        <v>107</v>
      </c>
      <c r="B108" t="inlineStr">
        <is>
          <t>TA_2</t>
        </is>
      </c>
      <c r="C108" t="inlineStr">
        <is>
          <t>TA_12</t>
        </is>
      </c>
      <c r="D108" t="n">
        <v>6</v>
      </c>
      <c r="E108" t="n">
        <v>0</v>
      </c>
      <c r="F108" t="n">
        <v>6</v>
      </c>
      <c r="G108" t="n">
        <v>0</v>
      </c>
      <c r="H108" t="n">
        <v>10</v>
      </c>
      <c r="I108" t="n">
        <v>0</v>
      </c>
      <c r="J108" t="n">
        <v>6</v>
      </c>
      <c r="K108" t="n">
        <v>0</v>
      </c>
      <c r="L108" t="n">
        <v>7</v>
      </c>
      <c r="M108" t="n">
        <v>0</v>
      </c>
      <c r="N108" t="n">
        <v>2.25</v>
      </c>
      <c r="O108" t="n">
        <v>0</v>
      </c>
      <c r="P108">
        <f>Table1[[#This Row],[TA 1 - Q1 Score]]+Table1[[#This Row],[TA 1 - Q2 Score]]+Table1[[#This Row],[TA 1 - Q3 Score]]</f>
        <v/>
      </c>
      <c r="Q108">
        <f>Table1[[#This Row],[TA 1 - Q1 Bonus]]+Table1[[#This Row],[TA 1 - Q2 Bonus]]+Table1[[#This Row],[TA 1 - Q4 Bonus]]</f>
        <v/>
      </c>
      <c r="R108">
        <f>Table1[[#This Row],[TA 2 - Q1 Score]]+Table1[[#This Row],[TA 2 - Q2 Score]]+Table1[[#This Row],[TA 2 - Q3 Score]]</f>
        <v/>
      </c>
      <c r="S108">
        <f>Table1[[#This Row],[TA 2 - Q1 Bonus]]+Table1[[#This Row],[TA 2 - Q2 Bonus]]+Table1[[#This Row],[TA 2 - Q4 Bonus]]</f>
        <v/>
      </c>
      <c r="T108">
        <f>(Table1[[#This Row],[TA 1 - Total Score (out of 35)]]+Table1[[#This Row],[TA 2 - Total Score (out of 35)]])/2</f>
        <v/>
      </c>
      <c r="U108">
        <f>(Table1[[#This Row],[TA 1 - Total Bonus (out of 13)]]+Table1[[#This Row],[TA 2 - Total Bonus (out of 13)]])/2</f>
        <v/>
      </c>
      <c r="V108">
        <f>Table1[[#This Row],[Average Questions]]/35*20+Table1[[#This Row],[Average Bonus]]/13*5</f>
        <v/>
      </c>
      <c r="W108" t="n">
        <v>0</v>
      </c>
      <c r="X108" t="n">
        <v>0</v>
      </c>
      <c r="Y108" t="inlineStr">
        <is>
          <t>The student's submission does not run end-to-end due to missing code for critical tasks such as freezing the backbone of the model and setting up the training loop correctly. Additionally, the student did not implement the bonus task for Test Time Augmentation. Therefore, the score is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08" t="n">
        <v>0</v>
      </c>
      <c r="AA108" t="n">
        <v>0</v>
      </c>
      <c r="AB108" t="inlineStr">
        <is>
          <t>The student's submission does not run correctly due to multiple issues. The dataset class is incorrectly defined and the transforms are not applied correctly. The CNN model does not have the correct number of convolutional layers and lacks batch normalization. The training and validation functions are incomplete and do not run correctly. The training process is not set up correctly, and the plots for losses and accuracy are missing. The bonus task for residual connection is not attempted.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08" t="n">
        <v>0</v>
      </c>
      <c r="AD108" t="inlineStr">
        <is>
          <t>The student's submission does not run correctly due to several issues. The dataset class is incorrectly implemented, using a CSV file that is not provided or defined. The model definition uses 'efficientnet-b0' instead of 'efficientnet-b1' as specified. The training and validation loops are incorrectly implemented, using BCEWithLogitsLoss instead of CrossEntropyLoss. The visualization of predictions is also incorrect, using a threshold of 0.5 which is not appropriate for multi-class segmentation. Therefore, the code does not meet the requirements of any task and receives 0 points.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08" t="n">
        <v>0</v>
      </c>
      <c r="AF108" t="n">
        <v>0</v>
      </c>
      <c r="AG108" t="inlineStr">
        <is>
          <t>No submission found.</t>
        </is>
      </c>
      <c r="AH108" t="n">
        <v>0</v>
      </c>
      <c r="AI108" t="n">
        <v>0</v>
      </c>
    </row>
    <row r="109">
      <c r="A109" t="n">
        <v>108</v>
      </c>
      <c r="B109" t="inlineStr">
        <is>
          <t>TA_2</t>
        </is>
      </c>
      <c r="C109" t="inlineStr">
        <is>
          <t>TA_12</t>
        </is>
      </c>
      <c r="D109" t="n">
        <v>11</v>
      </c>
      <c r="E109" t="n">
        <v>3.5</v>
      </c>
      <c r="F109" t="n">
        <v>10.5</v>
      </c>
      <c r="G109" t="n">
        <v>4</v>
      </c>
      <c r="H109" t="n">
        <v>12</v>
      </c>
      <c r="I109" t="n">
        <v>5</v>
      </c>
      <c r="J109" t="n">
        <v>12</v>
      </c>
      <c r="K109" t="n">
        <v>4</v>
      </c>
      <c r="L109" t="n">
        <v>10.5</v>
      </c>
      <c r="M109" t="n">
        <v>3</v>
      </c>
      <c r="N109" t="n">
        <v>12</v>
      </c>
      <c r="O109" t="n">
        <v>5</v>
      </c>
      <c r="P109">
        <f>Table1[[#This Row],[TA 1 - Q1 Score]]+Table1[[#This Row],[TA 1 - Q2 Score]]+Table1[[#This Row],[TA 1 - Q3 Score]]</f>
        <v/>
      </c>
      <c r="Q109">
        <f>Table1[[#This Row],[TA 1 - Q1 Bonus]]+Table1[[#This Row],[TA 1 - Q2 Bonus]]+Table1[[#This Row],[TA 1 - Q4 Bonus]]</f>
        <v/>
      </c>
      <c r="R109">
        <f>Table1[[#This Row],[TA 2 - Q1 Score]]+Table1[[#This Row],[TA 2 - Q2 Score]]+Table1[[#This Row],[TA 2 - Q3 Score]]</f>
        <v/>
      </c>
      <c r="S109">
        <f>Table1[[#This Row],[TA 2 - Q1 Bonus]]+Table1[[#This Row],[TA 2 - Q2 Bonus]]+Table1[[#This Row],[TA 2 - Q4 Bonus]]</f>
        <v/>
      </c>
      <c r="T109">
        <f>(Table1[[#This Row],[TA 1 - Total Score (out of 35)]]+Table1[[#This Row],[TA 2 - Total Score (out of 35)]])/2</f>
        <v/>
      </c>
      <c r="U109">
        <f>(Table1[[#This Row],[TA 1 - Total Bonus (out of 13)]]+Table1[[#This Row],[TA 2 - Total Bonus (out of 13)]])/2</f>
        <v/>
      </c>
      <c r="V109">
        <f>Table1[[#This Row],[Average Questions]]/35*20+Table1[[#This Row],[Average Bonus]]/13*5</f>
        <v/>
      </c>
      <c r="W109" t="n">
        <v>0</v>
      </c>
      <c r="X109" t="n">
        <v>0</v>
      </c>
      <c r="Y109" t="inlineStr">
        <is>
          <t>The student's submission has several critical issues that prevent it from running correctly. The DataLoader creation is incorrect, and the model adaptation steps are flawed. The training and validation loops are not correctly implemented, and the plots for training and validation losses and accuracies are missing. Additionally, the bonus task for Test Time Augmentation (TTA) is not implemented correctly. Therefore, the student receives 0 points for the base tasks and 0 points for the bonus task.
Breakdown:
- Task 1: Complete transforms (Resize, ToTensor, Normalize): 1.5/?
- Task 2: Create DataLoaders: 0.0/?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09" t="n">
        <v>0</v>
      </c>
      <c r="AA109" t="n">
        <v>0</v>
      </c>
      <c r="AB109" t="inlineStr">
        <is>
          <t>The student's submission does not run correctly due to multiple issues. The dataset paths are hardcoded incorrectly, leading to errors in loading the data. The model architecture deviates significantly from the required specifications, including incorrect layer configurations and missing batch normalization layers. The training and validation functions are incorrectly implemented, leading to runtime errors. Additionally, the bonus task for residual connections is not correctly defined or implemented.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09" t="n">
        <v>0</v>
      </c>
      <c r="AD109" t="inlineStr">
        <is>
          <t>The student's submission does not run correctly due to missing code in critical sections, such as the dataset class initialization and the training loop. The code provided does not follow the rubric's instructions, leading to a complete failure in executing the tasks.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09" t="n">
        <v>0</v>
      </c>
      <c r="AF109" t="n">
        <v>0</v>
      </c>
      <c r="AG109" t="inlineStr">
        <is>
          <t>The student's implementation of the `ColorizationDataset` class contains errors in the `rgb_to_grayscale` method. The method does not correctly add the channel dimension to the grayscale image, resulting in a shape mismatch. Additionally, the `unsqueeze(0)` method is incorrectly applied in the `__getitem__` method, which further disrupts the expected output shape. These issues prevent the code from running correctly and producing the correct output, thus warranting a score of 0.0 for the task.
Breakdown:
- Correctly implemented `ColorizationDataset` class: 0.0/5.0</t>
        </is>
      </c>
      <c r="AH109" t="n">
        <v>0</v>
      </c>
      <c r="AI109" t="n">
        <v>0</v>
      </c>
    </row>
    <row r="110">
      <c r="A110" t="n">
        <v>109</v>
      </c>
      <c r="B110" t="inlineStr">
        <is>
          <t>TA_2</t>
        </is>
      </c>
      <c r="C110" t="inlineStr">
        <is>
          <t>TA_12</t>
        </is>
      </c>
      <c r="D110" t="n">
        <v>12</v>
      </c>
      <c r="E110" t="n">
        <v>4</v>
      </c>
      <c r="F110" t="n">
        <v>11</v>
      </c>
      <c r="G110" t="n">
        <v>0</v>
      </c>
      <c r="H110" t="n">
        <v>12</v>
      </c>
      <c r="I110" t="n">
        <v>5</v>
      </c>
      <c r="J110" t="n">
        <v>12</v>
      </c>
      <c r="K110" t="n">
        <v>4</v>
      </c>
      <c r="L110" t="n">
        <v>11</v>
      </c>
      <c r="M110" t="n">
        <v>0</v>
      </c>
      <c r="N110" t="n">
        <v>12</v>
      </c>
      <c r="O110" t="n">
        <v>5</v>
      </c>
      <c r="P110">
        <f>Table1[[#This Row],[TA 1 - Q1 Score]]+Table1[[#This Row],[TA 1 - Q2 Score]]+Table1[[#This Row],[TA 1 - Q3 Score]]</f>
        <v/>
      </c>
      <c r="Q110">
        <f>Table1[[#This Row],[TA 1 - Q1 Bonus]]+Table1[[#This Row],[TA 1 - Q2 Bonus]]+Table1[[#This Row],[TA 1 - Q4 Bonus]]</f>
        <v/>
      </c>
      <c r="R110">
        <f>Table1[[#This Row],[TA 2 - Q1 Score]]+Table1[[#This Row],[TA 2 - Q2 Score]]+Table1[[#This Row],[TA 2 - Q3 Score]]</f>
        <v/>
      </c>
      <c r="S110">
        <f>Table1[[#This Row],[TA 2 - Q1 Bonus]]+Table1[[#This Row],[TA 2 - Q2 Bonus]]+Table1[[#This Row],[TA 2 - Q4 Bonus]]</f>
        <v/>
      </c>
      <c r="T110">
        <f>(Table1[[#This Row],[TA 1 - Total Score (out of 35)]]+Table1[[#This Row],[TA 2 - Total Score (out of 35)]])/2</f>
        <v/>
      </c>
      <c r="U110">
        <f>(Table1[[#This Row],[TA 1 - Total Bonus (out of 13)]]+Table1[[#This Row],[TA 2 - Total Bonus (out of 13)]])/2</f>
        <v/>
      </c>
      <c r="V110">
        <f>Table1[[#This Row],[Average Questions]]/35*20+Table1[[#This Row],[Average Bonus]]/13*5</f>
        <v/>
      </c>
      <c r="W110" t="n">
        <v>0</v>
      </c>
      <c r="X110" t="n">
        <v>0</v>
      </c>
      <c r="Y110" t="inlineStr">
        <is>
          <t>The student's submission does not run correctly due to several issues. The code for displaying sample images is incorrect and does not follow the correct logic for denormalizing and displaying the images. Additionally, the training and validation loops are not correctly implemented, leading to errors in the training process. The bonus task for Test Time Augmentation (TTA) is also incomplete and does not run correctly.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10" t="n">
        <v>0</v>
      </c>
      <c r="AA110" t="n">
        <v>0</v>
      </c>
      <c r="AB110" t="inlineStr">
        <is>
          <t>The student's submission does not run correctly due to missing code for several tasks. Specifically, there is no code for defining the residual connection and retraining the model with it. Additionally, the student did not follow the rubric for some tasks, such as resizing images to 32x32 instead of 128x128 as specified. The code for training and validation functions is incomplete and contains errors, leading to a score of 0 for those tasks. The student also did not include the bonus tasks, resulting in a bonus score of 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10" t="n">
        <v>10</v>
      </c>
      <c r="AD110" t="inlineStr">
        <is>
          <t>The student successfully built a custom dataset class and created DataLoaders, displaying sample images and masks correctly. The model class was defined correctly with the specified encoder. The training and validation loops were implemented correctly, and the model was trained with the defined loss and optimizer. Training and validation losses were printed and plotted. The visualization of predictions vs ground truth was also correctly implemented. However, the student included additional tasks such as calculating pixel accuracy, which were not part of the rubric and did not affect the grading.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10" t="n">
        <v>0</v>
      </c>
      <c r="AF110" t="n">
        <v>0</v>
      </c>
      <c r="AG110" t="inlineStr">
        <is>
          <t>The student's implementation of the `ColorizationDataset` class is incorrect. The `rgb_to_grayscale` method does not add the channel dimension correctly, and the `__getitem__` method does not return the correct tuple of (grayscale_image, color_image). Additionally, the visualization code is missing, which is a required part of the task. Therefore, the student receives 0 points for this task.
Breakdown:
- Correctly implemented `ColorizationDataset` class: 0.0/?</t>
        </is>
      </c>
      <c r="AH110" t="n">
        <v>10</v>
      </c>
      <c r="AI110" t="n">
        <v>0</v>
      </c>
    </row>
    <row r="111">
      <c r="A111" t="n">
        <v>110</v>
      </c>
      <c r="B111" t="inlineStr">
        <is>
          <t>TA_2</t>
        </is>
      </c>
      <c r="C111" t="inlineStr">
        <is>
          <t>TA_12</t>
        </is>
      </c>
      <c r="D111" t="n">
        <v>10.5</v>
      </c>
      <c r="E111" t="n">
        <v>0</v>
      </c>
      <c r="F111" t="n">
        <v>8</v>
      </c>
      <c r="G111" t="n">
        <v>0</v>
      </c>
      <c r="H111" t="n">
        <v>11.5</v>
      </c>
      <c r="I111" t="n">
        <v>0</v>
      </c>
      <c r="J111" t="n">
        <v>10.6</v>
      </c>
      <c r="K111" t="n">
        <v>0</v>
      </c>
      <c r="L111" t="n">
        <v>10.25</v>
      </c>
      <c r="M111" t="n">
        <v>0</v>
      </c>
      <c r="N111" t="n">
        <v>8.75</v>
      </c>
      <c r="O111" t="n">
        <v>0</v>
      </c>
      <c r="P111">
        <f>Table1[[#This Row],[TA 1 - Q1 Score]]+Table1[[#This Row],[TA 1 - Q2 Score]]+Table1[[#This Row],[TA 1 - Q3 Score]]</f>
        <v/>
      </c>
      <c r="Q111">
        <f>Table1[[#This Row],[TA 1 - Q1 Bonus]]+Table1[[#This Row],[TA 1 - Q2 Bonus]]+Table1[[#This Row],[TA 1 - Q4 Bonus]]</f>
        <v/>
      </c>
      <c r="R111">
        <f>Table1[[#This Row],[TA 2 - Q1 Score]]+Table1[[#This Row],[TA 2 - Q2 Score]]+Table1[[#This Row],[TA 2 - Q3 Score]]</f>
        <v/>
      </c>
      <c r="S111">
        <f>Table1[[#This Row],[TA 2 - Q1 Bonus]]+Table1[[#This Row],[TA 2 - Q2 Bonus]]+Table1[[#This Row],[TA 2 - Q4 Bonus]]</f>
        <v/>
      </c>
      <c r="T111">
        <f>(Table1[[#This Row],[TA 1 - Total Score (out of 35)]]+Table1[[#This Row],[TA 2 - Total Score (out of 35)]])/2</f>
        <v/>
      </c>
      <c r="U111">
        <f>(Table1[[#This Row],[TA 1 - Total Bonus (out of 13)]]+Table1[[#This Row],[TA 2 - Total Bonus (out of 13)]])/2</f>
        <v/>
      </c>
      <c r="V111">
        <f>Table1[[#This Row],[Average Questions]]/35*20+Table1[[#This Row],[Average Bonus]]/13*5</f>
        <v/>
      </c>
      <c r="W111" t="n">
        <v>0</v>
      </c>
      <c r="X111" t="n">
        <v>0</v>
      </c>
      <c r="Y111" t="inlineStr">
        <is>
          <t>The student's submission does not run correctly due to several issues. The training and validation loops are incorrect, and the model outputs are not correctly processed. The student did not fix the labels to be 0-indexed, which is a critical requirement. Additionally, the plotting of training and validation losses and accuracies is missing. The bonus task for Test Time Augmentation (TTA) is also not implemented correctly.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11" t="n">
        <v>0</v>
      </c>
      <c r="AA111" t="n">
        <v>0</v>
      </c>
      <c r="AB111" t="inlineStr">
        <is>
          <t>The student's submission does not run correctly due to several issues. The CNN model definition is incorrect, with the final convolutional layer reducing the number of channels to 3 instead of increasing them, which is not suitable for classification. Additionally, the output layer does not match the number of classes, and the training and validation functions have logical errors, such as applying softmax before calculating the loss, which is incorrect for CrossEntropyLoss. The student also did not implement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11" t="n">
        <v>0</v>
      </c>
      <c r="AD111" t="inlineStr">
        <is>
          <t>The student's submission does not run correctly due to several issues. The dataset class is incorrectly implemented, leading to errors in data loading. The model definition is incomplete, and the training and validation loops are not correctly implemented. Additionally, the visualization of predictions is flawed, as the model's predictions are not correctly processed. Therefore, the student receives 0 points for all tasks.
Breakdown:
- Build custom dataset class for images and masks: 0.0/2.0
- Create DataLoaders: 0.0/0.5
- Display sample images and masks: 0.0/0.5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111" t="n">
        <v>0</v>
      </c>
      <c r="AF111" t="n">
        <v>0</v>
      </c>
      <c r="AG111" t="inlineStr">
        <is>
          <t>No submission found.</t>
        </is>
      </c>
      <c r="AH111" t="n">
        <v>0</v>
      </c>
      <c r="AI111" t="n">
        <v>0</v>
      </c>
    </row>
    <row r="112">
      <c r="A112" t="n">
        <v>111</v>
      </c>
      <c r="B112" t="inlineStr">
        <is>
          <t>TA_2</t>
        </is>
      </c>
      <c r="C112" t="inlineStr">
        <is>
          <t>TA_12</t>
        </is>
      </c>
      <c r="D112" t="n">
        <v>6.5</v>
      </c>
      <c r="E112" t="n">
        <v>0</v>
      </c>
      <c r="F112" t="n">
        <v>8.5</v>
      </c>
      <c r="G112" t="n">
        <v>0</v>
      </c>
      <c r="H112" t="n">
        <v>11.5</v>
      </c>
      <c r="I112" t="n">
        <v>0</v>
      </c>
      <c r="J112" t="n">
        <v>6</v>
      </c>
      <c r="K112" t="n">
        <v>0</v>
      </c>
      <c r="L112" t="n">
        <v>4.75</v>
      </c>
      <c r="M112" t="n">
        <v>0</v>
      </c>
      <c r="N112" t="n">
        <v>8.5</v>
      </c>
      <c r="O112" t="n">
        <v>0</v>
      </c>
      <c r="P112">
        <f>Table1[[#This Row],[TA 1 - Q1 Score]]+Table1[[#This Row],[TA 1 - Q2 Score]]+Table1[[#This Row],[TA 1 - Q3 Score]]</f>
        <v/>
      </c>
      <c r="Q112">
        <f>Table1[[#This Row],[TA 1 - Q1 Bonus]]+Table1[[#This Row],[TA 1 - Q2 Bonus]]+Table1[[#This Row],[TA 1 - Q4 Bonus]]</f>
        <v/>
      </c>
      <c r="R112">
        <f>Table1[[#This Row],[TA 2 - Q1 Score]]+Table1[[#This Row],[TA 2 - Q2 Score]]+Table1[[#This Row],[TA 2 - Q3 Score]]</f>
        <v/>
      </c>
      <c r="S112">
        <f>Table1[[#This Row],[TA 2 - Q1 Bonus]]+Table1[[#This Row],[TA 2 - Q2 Bonus]]+Table1[[#This Row],[TA 2 - Q4 Bonus]]</f>
        <v/>
      </c>
      <c r="T112">
        <f>(Table1[[#This Row],[TA 1 - Total Score (out of 35)]]+Table1[[#This Row],[TA 2 - Total Score (out of 35)]])/2</f>
        <v/>
      </c>
      <c r="U112">
        <f>(Table1[[#This Row],[TA 1 - Total Bonus (out of 13)]]+Table1[[#This Row],[TA 2 - Total Bonus (out of 13)]])/2</f>
        <v/>
      </c>
      <c r="V112">
        <f>Table1[[#This Row],[Average Questions]]/35*20+Table1[[#This Row],[Average Bonus]]/13*5</f>
        <v/>
      </c>
      <c r="W112" t="n">
        <v>0</v>
      </c>
      <c r="X112" t="n">
        <v>0</v>
      </c>
      <c r="Y112" t="inlineStr">
        <is>
          <t>The student's submission has several critical issues that prevent it from running correctly. The DataLoaders are incorrectly named (valid_loader instead of test_loader), the model's classifier head is set to 27 classes instead of 26, and the training and validation loops do not adjust the labels to be 0-indexed. Additionally, the plots for training and validation losses and accuracies are missing. These issues result in a score of 0.0 for the base tasks and 0.0 for the bonus tasks.
Breakdown:
- Task 1: Complete transforms (Resize, ToTensor, Normalize): 1.5/?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12" t="n">
        <v>0</v>
      </c>
      <c r="AA112" t="n">
        <v>0</v>
      </c>
      <c r="AB112" t="inlineStr">
        <is>
          <t>The student's submission does not run correctly due to several issues. The dataset class is incorrectly implemented, leading to errors in data loading. The CNN model does not follow the specified architecture, and the training and validation functions are flawed. Additionally, the student did not implement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12" t="n">
        <v>0</v>
      </c>
      <c r="AD112" t="inlineStr">
        <is>
          <t>The student's submission does not run correctly due to several issues. The dataset class is incorrectly implemented, leading to errors in data loading. The model definition uses 'efficientnet-b1' instead of 'efficientnet-b0' as specified. The training and validation loops are incorrectly implemented, and the loss and optimizer are not defined correctly. Additionally, the visualization of predictions is flawed. Therefore, no points are awarded for any task as the code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12" t="n">
        <v>0</v>
      </c>
      <c r="AF112" t="n">
        <v>0</v>
      </c>
      <c r="AG112" t="inlineStr">
        <is>
          <t>No submission found.</t>
        </is>
      </c>
      <c r="AH112" t="n">
        <v>0</v>
      </c>
      <c r="AI112" t="n">
        <v>0</v>
      </c>
    </row>
    <row r="113">
      <c r="A113" t="n">
        <v>112</v>
      </c>
      <c r="B113" t="inlineStr">
        <is>
          <t>TA_2</t>
        </is>
      </c>
      <c r="C113" t="inlineStr">
        <is>
          <t>TA_12</t>
        </is>
      </c>
      <c r="D113" t="n">
        <v>9.5</v>
      </c>
      <c r="E113" t="n">
        <v>0</v>
      </c>
      <c r="F113" t="n">
        <v>11</v>
      </c>
      <c r="G113" t="n">
        <v>0</v>
      </c>
      <c r="H113" t="n">
        <v>8.5</v>
      </c>
      <c r="I113" t="n">
        <v>0</v>
      </c>
      <c r="J113" t="n">
        <v>9.25</v>
      </c>
      <c r="K113" t="n">
        <v>0</v>
      </c>
      <c r="L113" t="n">
        <v>11</v>
      </c>
      <c r="M113" t="n">
        <v>0</v>
      </c>
      <c r="N113" t="n">
        <v>5.75</v>
      </c>
      <c r="O113" t="n">
        <v>0</v>
      </c>
      <c r="P113">
        <f>Table1[[#This Row],[TA 1 - Q1 Score]]+Table1[[#This Row],[TA 1 - Q2 Score]]+Table1[[#This Row],[TA 1 - Q3 Score]]</f>
        <v/>
      </c>
      <c r="Q113">
        <f>Table1[[#This Row],[TA 1 - Q1 Bonus]]+Table1[[#This Row],[TA 1 - Q2 Bonus]]+Table1[[#This Row],[TA 1 - Q4 Bonus]]</f>
        <v/>
      </c>
      <c r="R113">
        <f>Table1[[#This Row],[TA 2 - Q1 Score]]+Table1[[#This Row],[TA 2 - Q2 Score]]+Table1[[#This Row],[TA 2 - Q3 Score]]</f>
        <v/>
      </c>
      <c r="S113">
        <f>Table1[[#This Row],[TA 2 - Q1 Bonus]]+Table1[[#This Row],[TA 2 - Q2 Bonus]]+Table1[[#This Row],[TA 2 - Q4 Bonus]]</f>
        <v/>
      </c>
      <c r="T113">
        <f>(Table1[[#This Row],[TA 1 - Total Score (out of 35)]]+Table1[[#This Row],[TA 2 - Total Score (out of 35)]])/2</f>
        <v/>
      </c>
      <c r="U113">
        <f>(Table1[[#This Row],[TA 1 - Total Bonus (out of 13)]]+Table1[[#This Row],[TA 2 - Total Bonus (out of 13)]])/2</f>
        <v/>
      </c>
      <c r="V113">
        <f>Table1[[#This Row],[Average Questions]]/35*20+Table1[[#This Row],[Average Bonus]]/13*5</f>
        <v/>
      </c>
      <c r="W113" t="n">
        <v>0</v>
      </c>
      <c r="X113" t="n">
        <v>0</v>
      </c>
      <c r="Y113" t="inlineStr">
        <is>
          <t>The student's submission has several critical issues that prevent it from running correctly. The code for displaying sample images is incomplete and does not run. The backbone freezing is incorrect as all parameters are frozen instead of just the feature extractor. The training and validation loops are incorrect due to the misuse of softmax and the lack of label adjustment. The training process does not run correctly due to these issues. The bonus task is not attempted. Therefore, the student receives 0% for the base tasks and 0% for the bonus task.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113" t="n">
        <v>0</v>
      </c>
      <c r="AA113" t="n">
        <v>0</v>
      </c>
      <c r="AB113" t="inlineStr">
        <is>
          <t>The student's submission has several critical issues that prevent it from running correctly. The dataset paths are incorrectly set, with the training and testing directories swapped. The CNN model does not follow the specified architecture of 5 convolutional layers. The training and validation functions have logical errors, such as using softmax in the loss calculation. Additionally, the student did not attempt the bonus task. These issues collectively result in a score of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13" t="n">
        <v>0</v>
      </c>
      <c r="AD113" t="inlineStr">
        <is>
          <t>The student's submission does not run correctly due to several issues. The dataset class is incorrectly implemented, leading to errors in data loading. The model definition uses the wrong encoder (efficientnet-b1 instead of efficientnet-b0), and the loss function is incorrectly defined as BCEWithLogitsLoss instead of CrossEntropyLoss. Additionally, the training and validation loops are flawed, and the visualization code is redundant and incorrect. These issues prevent the code from running end-to-end, resulting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13" t="n">
        <v>0</v>
      </c>
      <c r="AF113" t="n">
        <v>0</v>
      </c>
      <c r="AG113" t="inlineStr">
        <is>
          <t>No submission found.</t>
        </is>
      </c>
      <c r="AH113" t="n">
        <v>0</v>
      </c>
      <c r="AI113" t="n">
        <v>0</v>
      </c>
    </row>
    <row r="114">
      <c r="A114" t="n">
        <v>113</v>
      </c>
      <c r="B114" t="inlineStr">
        <is>
          <t>TA_2</t>
        </is>
      </c>
      <c r="C114" t="inlineStr">
        <is>
          <t>TA_12</t>
        </is>
      </c>
      <c r="D114" t="n">
        <v>7.5</v>
      </c>
      <c r="E114" t="n">
        <v>0</v>
      </c>
      <c r="F114" t="n">
        <v>6</v>
      </c>
      <c r="G114" t="n">
        <v>0</v>
      </c>
      <c r="H114" t="n">
        <v>12</v>
      </c>
      <c r="I114" t="n">
        <v>0</v>
      </c>
      <c r="J114" t="n">
        <v>3.75</v>
      </c>
      <c r="K114" t="n">
        <v>0</v>
      </c>
      <c r="L114" t="n">
        <v>6.1</v>
      </c>
      <c r="M114" t="n">
        <v>0</v>
      </c>
      <c r="N114" t="n">
        <v>2.9</v>
      </c>
      <c r="O114" t="n">
        <v>0</v>
      </c>
      <c r="P114">
        <f>Table1[[#This Row],[TA 1 - Q1 Score]]+Table1[[#This Row],[TA 1 - Q2 Score]]+Table1[[#This Row],[TA 1 - Q3 Score]]</f>
        <v/>
      </c>
      <c r="Q114">
        <f>Table1[[#This Row],[TA 1 - Q1 Bonus]]+Table1[[#This Row],[TA 1 - Q2 Bonus]]+Table1[[#This Row],[TA 1 - Q4 Bonus]]</f>
        <v/>
      </c>
      <c r="R114">
        <f>Table1[[#This Row],[TA 2 - Q1 Score]]+Table1[[#This Row],[TA 2 - Q2 Score]]+Table1[[#This Row],[TA 2 - Q3 Score]]</f>
        <v/>
      </c>
      <c r="S114">
        <f>Table1[[#This Row],[TA 2 - Q1 Bonus]]+Table1[[#This Row],[TA 2 - Q2 Bonus]]+Table1[[#This Row],[TA 2 - Q4 Bonus]]</f>
        <v/>
      </c>
      <c r="T114">
        <f>(Table1[[#This Row],[TA 1 - Total Score (out of 35)]]+Table1[[#This Row],[TA 2 - Total Score (out of 35)]])/2</f>
        <v/>
      </c>
      <c r="U114">
        <f>(Table1[[#This Row],[TA 1 - Total Bonus (out of 13)]]+Table1[[#This Row],[TA 2 - Total Bonus (out of 13)]])/2</f>
        <v/>
      </c>
      <c r="V114">
        <f>Table1[[#This Row],[Average Questions]]/35*20+Table1[[#This Row],[Average Bonus]]/13*5</f>
        <v/>
      </c>
      <c r="W114" t="n">
        <v>0</v>
      </c>
      <c r="X114" t="n">
        <v>0</v>
      </c>
      <c r="Y114" t="inlineStr">
        <is>
          <t>The student's submission contains multiple critical errors that prevent the code from running correctly. The transforms for the test dataset are incorrect, leading to normalization issues. The training and validation loops are incorrectly implemented, using sigmoid activation and binary classification logic instead of the required multiclass classification approach. Additionally, the model's classifier head is not correctly modified to match the number of classes, and the labels are not adjusted for 0-indexing. These issues result in a complete failure to meet the task requirements, warranting a score of 0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14" t="n">
        <v>0</v>
      </c>
      <c r="AA114" t="n">
        <v>0</v>
      </c>
      <c r="AB114" t="inlineStr">
        <is>
          <t>The student's submission does not run correctly due to several issues. The dataset paths are incorrect, leading to errors in loading the data. The model definition and training loops contain logical and syntax errors, preventing the code from executing successfully. Additionally, the student did not implement the bonus task correctly.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14" t="n">
        <v>0</v>
      </c>
      <c r="AD114" t="inlineStr">
        <is>
          <t>The student's submission does not run correctly due to multiple issues. The dataset class is incorrectly implemented, leading to errors in loading images and masks. The model definition uses the wrong encoder and number of classes. The training and validation loops are incorrectly implemented, and the loss function and optimizer are not suitable for the task. Additionally, the visualization of predictions is flawed. Therefore, no points are awarded for any task as the code does not run correctly and deviates significantly from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14" t="n">
        <v>0</v>
      </c>
      <c r="AF114" t="n">
        <v>0</v>
      </c>
      <c r="AG114" t="inlineStr">
        <is>
          <t>No submission found.</t>
        </is>
      </c>
      <c r="AH114" t="n">
        <v>0</v>
      </c>
      <c r="AI114" t="n">
        <v>0</v>
      </c>
    </row>
    <row r="115">
      <c r="A115" t="n">
        <v>114</v>
      </c>
      <c r="B115" t="inlineStr">
        <is>
          <t>TA_2</t>
        </is>
      </c>
      <c r="C115" t="inlineStr">
        <is>
          <t>TA_12</t>
        </is>
      </c>
      <c r="D115" t="n">
        <v>11.5</v>
      </c>
      <c r="E115" t="n">
        <v>0</v>
      </c>
      <c r="F115" t="n">
        <v>11</v>
      </c>
      <c r="G115" t="n">
        <v>0</v>
      </c>
      <c r="H115" t="n">
        <v>9.5</v>
      </c>
      <c r="I115" t="n">
        <v>0</v>
      </c>
      <c r="J115" t="n">
        <v>11</v>
      </c>
      <c r="K115" t="n">
        <v>0</v>
      </c>
      <c r="L115" t="n">
        <v>9</v>
      </c>
      <c r="M115" t="n">
        <v>0</v>
      </c>
      <c r="N115" t="n">
        <v>4</v>
      </c>
      <c r="O115" t="n">
        <v>0</v>
      </c>
      <c r="P115">
        <f>Table1[[#This Row],[TA 1 - Q1 Score]]+Table1[[#This Row],[TA 1 - Q2 Score]]+Table1[[#This Row],[TA 1 - Q3 Score]]</f>
        <v/>
      </c>
      <c r="Q115">
        <f>Table1[[#This Row],[TA 1 - Q1 Bonus]]+Table1[[#This Row],[TA 1 - Q2 Bonus]]+Table1[[#This Row],[TA 1 - Q4 Bonus]]</f>
        <v/>
      </c>
      <c r="R115">
        <f>Table1[[#This Row],[TA 2 - Q1 Score]]+Table1[[#This Row],[TA 2 - Q2 Score]]+Table1[[#This Row],[TA 2 - Q3 Score]]</f>
        <v/>
      </c>
      <c r="S115">
        <f>Table1[[#This Row],[TA 2 - Q1 Bonus]]+Table1[[#This Row],[TA 2 - Q2 Bonus]]+Table1[[#This Row],[TA 2 - Q4 Bonus]]</f>
        <v/>
      </c>
      <c r="T115">
        <f>(Table1[[#This Row],[TA 1 - Total Score (out of 35)]]+Table1[[#This Row],[TA 2 - Total Score (out of 35)]])/2</f>
        <v/>
      </c>
      <c r="U115">
        <f>(Table1[[#This Row],[TA 1 - Total Bonus (out of 13)]]+Table1[[#This Row],[TA 2 - Total Bonus (out of 13)]])/2</f>
        <v/>
      </c>
      <c r="V115">
        <f>Table1[[#This Row],[Average Questions]]/35*20+Table1[[#This Row],[Average Bonus]]/13*5</f>
        <v/>
      </c>
      <c r="W115" t="n">
        <v>0</v>
      </c>
      <c r="X115" t="n">
        <v>0</v>
      </c>
      <c r="Y115" t="inlineStr">
        <is>
          <t>The student's submission does not run end-to-end due to multiple issues. The transforms are incomplete, the DataLoaders are not correctly created, and the model is not properly set up for training. Additionally, the training and validation loops are incorrect, and the plots for losses and accuracies are missing. The bonus task for Test Time Augmentation is also not implemented.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15" t="n">
        <v>0</v>
      </c>
      <c r="AA115" t="n">
        <v>0</v>
      </c>
      <c r="AB115" t="inlineStr">
        <is>
          <t>The student's submission does not run correctly due to several issues. The dataset class or ImageFolder is incorrectly implemented, leading to errors in loading the data. The transformations applied to the data do not match the required specifications, and the model architecture does not adhere to the rubric. Additionally, the training and validation functions are flawed, and the plotting of losses and accuracy is incorrect. The bonus task is also incomplete and does not run. Therefore, the student receives 0 points for all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115" t="n">
        <v>0</v>
      </c>
      <c r="AD115" t="inlineStr">
        <is>
          <t>The student's submission does not run end-to-end due to several critical issues. The dataset class is incomplete and does not correctly load images and masks. The DataLoaders are not created correctly, and there is no display of sample images and masks. The model definition uses 'efficientnet-b0' instead of 'efficientnet-b1' as specified. The training and validation loops are incorrectly implemented, and the loss and optimizer are not defined correctly. Additionally, the code for plotting the loss curve and visualizing predictions is flawed. Therefore, no points are awarded for any task as the code does not run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15" t="n">
        <v>0</v>
      </c>
      <c r="AF115" t="n">
        <v>0</v>
      </c>
      <c r="AG115" t="inlineStr">
        <is>
          <t>No submission found.</t>
        </is>
      </c>
      <c r="AH115" t="n">
        <v>0</v>
      </c>
      <c r="AI115" t="n">
        <v>0</v>
      </c>
    </row>
    <row r="116">
      <c r="A116" t="n">
        <v>115</v>
      </c>
      <c r="B116" t="inlineStr">
        <is>
          <t>TA_2</t>
        </is>
      </c>
      <c r="C116" t="inlineStr">
        <is>
          <t>TA_12</t>
        </is>
      </c>
      <c r="D116" t="n">
        <v>7</v>
      </c>
      <c r="E116" t="n">
        <v>0</v>
      </c>
      <c r="F116" t="n">
        <v>9</v>
      </c>
      <c r="G116" t="n">
        <v>0</v>
      </c>
      <c r="H116" t="n">
        <v>12</v>
      </c>
      <c r="I116" t="n">
        <v>0</v>
      </c>
      <c r="J116" t="n">
        <v>6.75</v>
      </c>
      <c r="K116" t="n">
        <v>0</v>
      </c>
      <c r="L116" t="n">
        <v>9</v>
      </c>
      <c r="M116" t="n">
        <v>0</v>
      </c>
      <c r="N116" t="n">
        <v>12</v>
      </c>
      <c r="O116" t="n">
        <v>0</v>
      </c>
      <c r="P116">
        <f>Table1[[#This Row],[TA 1 - Q1 Score]]+Table1[[#This Row],[TA 1 - Q2 Score]]+Table1[[#This Row],[TA 1 - Q3 Score]]</f>
        <v/>
      </c>
      <c r="Q116">
        <f>Table1[[#This Row],[TA 1 - Q1 Bonus]]+Table1[[#This Row],[TA 1 - Q2 Bonus]]+Table1[[#This Row],[TA 1 - Q4 Bonus]]</f>
        <v/>
      </c>
      <c r="R116">
        <f>Table1[[#This Row],[TA 2 - Q1 Score]]+Table1[[#This Row],[TA 2 - Q2 Score]]+Table1[[#This Row],[TA 2 - Q3 Score]]</f>
        <v/>
      </c>
      <c r="S116">
        <f>Table1[[#This Row],[TA 2 - Q1 Bonus]]+Table1[[#This Row],[TA 2 - Q2 Bonus]]+Table1[[#This Row],[TA 2 - Q4 Bonus]]</f>
        <v/>
      </c>
      <c r="T116">
        <f>(Table1[[#This Row],[TA 1 - Total Score (out of 35)]]+Table1[[#This Row],[TA 2 - Total Score (out of 35)]])/2</f>
        <v/>
      </c>
      <c r="U116">
        <f>(Table1[[#This Row],[TA 1 - Total Bonus (out of 13)]]+Table1[[#This Row],[TA 2 - Total Bonus (out of 13)]])/2</f>
        <v/>
      </c>
      <c r="V116">
        <f>Table1[[#This Row],[Average Questions]]/35*20+Table1[[#This Row],[Average Bonus]]/13*5</f>
        <v/>
      </c>
      <c r="W116" t="n">
        <v>0</v>
      </c>
      <c r="X116" t="n">
        <v>0</v>
      </c>
      <c r="Y116" t="inlineStr">
        <is>
          <t>The student's submission contains several critical errors that prevent the code from running correctly. The transforms include an undefined `SubtractOne` class, which causes the code to fail. Additionally, the training and validation loops do not correctly adjust the labels to be 0-indexed, and the training loop incorrectly applies the `SubtractOne` transform. The model setup and training process are incomplete, and the plotting functions are not correctly implemented. Therefore, the code does not run end-to-end, and no partial credit can be awarded for tasks that are incomplete or buggy.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16" t="n">
        <v>0</v>
      </c>
      <c r="AA116" t="n">
        <v>0</v>
      </c>
      <c r="AB116" t="inlineStr">
        <is>
          <t>The student's submission contains several critical errors that prevent the code from running correctly. The dataset paths are incorrectly set, leading to the training dataset being loaded from the test directory and vice versa. Additionally, the CNN model does not include batch normalization as required, and the training and validation functions are incorrectly implemented, leading to errors in the training process. The student did not attempt the bonus task. Therefore, no points are awarded for any of the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16" t="n">
        <v>0</v>
      </c>
      <c r="AD116" t="inlineStr">
        <is>
          <t>The student's submission does not run end-to-end due to missing or incorrect code in several critical areas. The dataset class is incomplete and does not correctly load images and masks. The model definition is incorrect as it uses 'efficientnet-b1' instead of 'efficientnet-b0'. The training and validation loops are not correctly implemented, and the loss and optimizer are not defined properly. As a result, the model cannot be trained or evaluated, and the visualizations of predictions are missing. Therefore, the student receives 0 points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16" t="n">
        <v>0</v>
      </c>
      <c r="AF116" t="n">
        <v>0</v>
      </c>
      <c r="AG116" t="inlineStr">
        <is>
          <t>No submission found.</t>
        </is>
      </c>
      <c r="AH116" t="n">
        <v>0</v>
      </c>
      <c r="AI116" t="n">
        <v>0</v>
      </c>
    </row>
    <row r="117">
      <c r="A117" t="n">
        <v>116</v>
      </c>
      <c r="B117" t="inlineStr">
        <is>
          <t>TA_3</t>
        </is>
      </c>
      <c r="C117" t="inlineStr">
        <is>
          <t>TA_13</t>
        </is>
      </c>
      <c r="D117" t="n">
        <v>2</v>
      </c>
      <c r="E117" t="n">
        <v>0</v>
      </c>
      <c r="F117" t="n">
        <v>3</v>
      </c>
      <c r="G117" t="n">
        <v>0</v>
      </c>
      <c r="H117" t="n">
        <v>2.5</v>
      </c>
      <c r="I117" t="n">
        <v>0</v>
      </c>
      <c r="J117" t="n">
        <v>5</v>
      </c>
      <c r="K117" t="n">
        <v>0</v>
      </c>
      <c r="L117" t="n">
        <v>0</v>
      </c>
      <c r="M117" t="n">
        <v>0</v>
      </c>
      <c r="N117" t="n">
        <v>0</v>
      </c>
      <c r="O117" t="n">
        <v>0</v>
      </c>
      <c r="P117">
        <f>Table1[[#This Row],[TA 1 - Q1 Score]]+Table1[[#This Row],[TA 1 - Q2 Score]]+Table1[[#This Row],[TA 1 - Q3 Score]]</f>
        <v/>
      </c>
      <c r="Q117">
        <f>Table1[[#This Row],[TA 1 - Q1 Bonus]]+Table1[[#This Row],[TA 1 - Q2 Bonus]]+Table1[[#This Row],[TA 1 - Q4 Bonus]]</f>
        <v/>
      </c>
      <c r="R117">
        <f>Table1[[#This Row],[TA 2 - Q1 Score]]+Table1[[#This Row],[TA 2 - Q2 Score]]+Table1[[#This Row],[TA 2 - Q3 Score]]</f>
        <v/>
      </c>
      <c r="S117">
        <f>Table1[[#This Row],[TA 2 - Q1 Bonus]]+Table1[[#This Row],[TA 2 - Q2 Bonus]]+Table1[[#This Row],[TA 2 - Q4 Bonus]]</f>
        <v/>
      </c>
      <c r="T117">
        <f>(Table1[[#This Row],[TA 1 - Total Score (out of 35)]]+Table1[[#This Row],[TA 2 - Total Score (out of 35)]])/2</f>
        <v/>
      </c>
      <c r="U117">
        <f>(Table1[[#This Row],[TA 1 - Total Bonus (out of 13)]]+Table1[[#This Row],[TA 2 - Total Bonus (out of 13)]])/2</f>
        <v/>
      </c>
      <c r="V117">
        <f>Table1[[#This Row],[Average Questions]]/35*20+Table1[[#This Row],[Average Bonus]]/13*5</f>
        <v/>
      </c>
      <c r="W117" t="n">
        <v>0</v>
      </c>
      <c r="X117" t="n">
        <v>0</v>
      </c>
      <c r="Y117" t="inlineStr">
        <is>
          <t>The student's submission has several critical issues that prevent it from running correctly. The DataLoader creation is incorrect as it shuffles the test set, which is not allowed. The model's backbone is not frozen correctly, and the classifier head is not replaced properly. The training and validation loops are incorrect, using sigmoid and BCEWithLogitsLoss instead of the correct CrossEntropyLoss. The plots for training and validation losses and accuracies are missing. Additionally, the bonus task for Test Time Augmentation is not attempted. These issues result in a score of 0.0 for the base tasks and 0.0 for the bonus task.
Breakdown:
- Task 1: Complete transforms (Resize, ToTensor, Normalize): 1.5/?
- Task 2: Create DataLoaders: 0.0/?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17" t="n">
        <v>0</v>
      </c>
      <c r="AA117" t="n">
        <v>0</v>
      </c>
      <c r="AB117" t="inlineStr">
        <is>
          <t>The student's submission does not follow the rubric correctly. The dataset class is incorrectly implemented, using the wrong dataset path and transformations. The CNN model does not meet the specifications, lacking the required number of convolutional layers and batch normalization. The training and validation functions are incomplete and do not run correctly.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17" t="n">
        <v>0</v>
      </c>
      <c r="AD117" t="inlineStr">
        <is>
          <t>The student's submission does not run end-to-end due to multiple issues. The dataset class is incomplete and incorrectly implemented, leading to errors in data loading. The model definition uses the wrong encoder and the number of classes is incorrect. The training and validation loops are incorrectly implemented, and the loss function and optimizer are not suitable for the task. Additionally, the visualization of predictions is missing. Therefore, no points are awarded for any task as the code does not run correctly and deviates significantly from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17" t="n">
        <v>0</v>
      </c>
      <c r="AF117" t="n">
        <v>0</v>
      </c>
      <c r="AG117" t="inlineStr">
        <is>
          <t>No submission found.</t>
        </is>
      </c>
      <c r="AH117" t="n">
        <v>0</v>
      </c>
      <c r="AI117" t="n">
        <v>0</v>
      </c>
    </row>
    <row r="118">
      <c r="A118" t="n">
        <v>117</v>
      </c>
      <c r="B118" t="inlineStr">
        <is>
          <t>TA_3</t>
        </is>
      </c>
      <c r="C118" t="inlineStr">
        <is>
          <t>TA_13</t>
        </is>
      </c>
      <c r="D118" t="n">
        <v>4</v>
      </c>
      <c r="E118" t="n">
        <v>0</v>
      </c>
      <c r="F118" t="n">
        <v>7.5</v>
      </c>
      <c r="G118" t="n">
        <v>0</v>
      </c>
      <c r="H118" t="n">
        <v>10.5</v>
      </c>
      <c r="I118" t="n">
        <v>0</v>
      </c>
      <c r="J118" t="n">
        <v>6.5</v>
      </c>
      <c r="K118" t="n">
        <v>0</v>
      </c>
      <c r="L118" t="n">
        <v>11</v>
      </c>
      <c r="M118" t="n">
        <v>0</v>
      </c>
      <c r="N118" t="n">
        <v>10.5</v>
      </c>
      <c r="O118" t="n">
        <v>0</v>
      </c>
      <c r="P118">
        <f>Table1[[#This Row],[TA 1 - Q1 Score]]+Table1[[#This Row],[TA 1 - Q2 Score]]+Table1[[#This Row],[TA 1 - Q3 Score]]</f>
        <v/>
      </c>
      <c r="Q118">
        <f>Table1[[#This Row],[TA 1 - Q1 Bonus]]+Table1[[#This Row],[TA 1 - Q2 Bonus]]+Table1[[#This Row],[TA 1 - Q4 Bonus]]</f>
        <v/>
      </c>
      <c r="R118">
        <f>Table1[[#This Row],[TA 2 - Q1 Score]]+Table1[[#This Row],[TA 2 - Q2 Score]]+Table1[[#This Row],[TA 2 - Q3 Score]]</f>
        <v/>
      </c>
      <c r="S118">
        <f>Table1[[#This Row],[TA 2 - Q1 Bonus]]+Table1[[#This Row],[TA 2 - Q2 Bonus]]+Table1[[#This Row],[TA 2 - Q4 Bonus]]</f>
        <v/>
      </c>
      <c r="T118">
        <f>(Table1[[#This Row],[TA 1 - Total Score (out of 35)]]+Table1[[#This Row],[TA 2 - Total Score (out of 35)]])/2</f>
        <v/>
      </c>
      <c r="U118">
        <f>(Table1[[#This Row],[TA 1 - Total Bonus (out of 13)]]+Table1[[#This Row],[TA 2 - Total Bonus (out of 13)]])/2</f>
        <v/>
      </c>
      <c r="V118">
        <f>Table1[[#This Row],[Average Questions]]/35*20+Table1[[#This Row],[Average Bonus]]/13*5</f>
        <v/>
      </c>
      <c r="W118" t="n">
        <v>0</v>
      </c>
      <c r="X118" t="n">
        <v>0</v>
      </c>
      <c r="Y118" t="inlineStr">
        <is>
          <t>The student's submission does not run end-to-end due to multiple issues. The DataLoader creation is incomplete, the validation loop is incorrect, and the training loop has logical errors. Additionally, the student did not plot the training and validation losses or accuracies. The bonus task for Test Time Augmentation (TTA) is also missing.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18" t="n">
        <v>0</v>
      </c>
      <c r="AA118" t="n">
        <v>0</v>
      </c>
      <c r="AB118" t="inlineStr">
        <is>
          <t>The student's submission does not run correctly due to several issues. The dataset class is incorrectly implemented, leading to errors in loading the data. The transforms applied to the images do not match the required specifications, and the model architecture deviates from the rubric. Additionally, the training and validation functions contain logical errors, and the plotting code is missing. Therefore, no points are awarded for any task as the code does not run end-to-end.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18" t="n">
        <v>0</v>
      </c>
      <c r="AD118" t="inlineStr">
        <is>
          <t>The student's submission does not run end-to-end due to multiple issues. The dataset class is incomplete and does not follow the required structure. The model definition uses the wrong encoder (efficientnet-b1 instead of efficientnet-b0). The training and validation loops are present but do not run correctly due to the incorrect model definition. The visualization of predictions is attempted but fails because the model is not correctly defined or trained. Therefore, no tasks receive any points.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18" t="n">
        <v>0</v>
      </c>
      <c r="AF118" t="n">
        <v>0</v>
      </c>
      <c r="AG118" t="inlineStr">
        <is>
          <t>No submission found.</t>
        </is>
      </c>
      <c r="AH118" t="n">
        <v>0</v>
      </c>
      <c r="AI118" t="n">
        <v>0</v>
      </c>
    </row>
    <row r="119">
      <c r="A119" t="n">
        <v>118</v>
      </c>
      <c r="B119" t="inlineStr">
        <is>
          <t>TA_3</t>
        </is>
      </c>
      <c r="C119" t="inlineStr">
        <is>
          <t>TA_13</t>
        </is>
      </c>
      <c r="D119" t="n">
        <v>9</v>
      </c>
      <c r="E119" t="n">
        <v>4</v>
      </c>
      <c r="F119" t="n">
        <v>11</v>
      </c>
      <c r="G119" t="n">
        <v>0</v>
      </c>
      <c r="H119" t="n">
        <v>6.5</v>
      </c>
      <c r="I119" t="n">
        <v>5</v>
      </c>
      <c r="J119" t="n">
        <v>10.5</v>
      </c>
      <c r="K119" t="n">
        <v>4</v>
      </c>
      <c r="L119" t="n">
        <v>11</v>
      </c>
      <c r="M119" t="n">
        <v>0</v>
      </c>
      <c r="N119" t="n">
        <v>6.5</v>
      </c>
      <c r="O119" t="n">
        <v>5</v>
      </c>
      <c r="P119">
        <f>Table1[[#This Row],[TA 1 - Q1 Score]]+Table1[[#This Row],[TA 1 - Q2 Score]]+Table1[[#This Row],[TA 1 - Q3 Score]]</f>
        <v/>
      </c>
      <c r="Q119">
        <f>Table1[[#This Row],[TA 1 - Q1 Bonus]]+Table1[[#This Row],[TA 1 - Q2 Bonus]]+Table1[[#This Row],[TA 1 - Q4 Bonus]]</f>
        <v/>
      </c>
      <c r="R119">
        <f>Table1[[#This Row],[TA 2 - Q1 Score]]+Table1[[#This Row],[TA 2 - Q2 Score]]+Table1[[#This Row],[TA 2 - Q3 Score]]</f>
        <v/>
      </c>
      <c r="S119">
        <f>Table1[[#This Row],[TA 2 - Q1 Bonus]]+Table1[[#This Row],[TA 2 - Q2 Bonus]]+Table1[[#This Row],[TA 2 - Q4 Bonus]]</f>
        <v/>
      </c>
      <c r="T119">
        <f>(Table1[[#This Row],[TA 1 - Total Score (out of 35)]]+Table1[[#This Row],[TA 2 - Total Score (out of 35)]])/2</f>
        <v/>
      </c>
      <c r="U119">
        <f>(Table1[[#This Row],[TA 1 - Total Bonus (out of 13)]]+Table1[[#This Row],[TA 2 - Total Bonus (out of 13)]])/2</f>
        <v/>
      </c>
      <c r="V119">
        <f>Table1[[#This Row],[Average Questions]]/35*20+Table1[[#This Row],[Average Bonus]]/13*5</f>
        <v/>
      </c>
      <c r="W119" t="n">
        <v>10</v>
      </c>
      <c r="X119" t="n">
        <v>4</v>
      </c>
      <c r="Y119" t="inlineStr">
        <is>
          <t>The student successfully completed the data loading and preparation tasks, including transforms, DataLoaders, and displaying sample images. The model loading and adaptation tasks were partially completed, with the pretrained model loaded correctly but the backbone not frozen. The training and validation functions were correctly implemented, including the label fix. The training process was set up and executed correctly, with plots for losses and accuracies. The bonus task for Test Time Augmentation was fully implemented and correctly averaged the predictions.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119" t="n">
        <v>0</v>
      </c>
      <c r="AA119" t="n">
        <v>0</v>
      </c>
      <c r="AB119" t="inlineStr">
        <is>
          <t>The student's submission does not run correctly due to multiple issues. The code for the residual connection is incomplete and incorrect, leading to errors in the training process. The student did not follow the rubric correctly, resulting in a score of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19" t="n">
        <v>0</v>
      </c>
      <c r="AD119" t="inlineStr">
        <is>
          <t>The student's submission does not run end-to-end due to missing code for several tasks. The dataset class is incomplete, and there is no code for creating DataLoaders or displaying sample images and masks. The model definition is present but not used correctly in the training loop. The training and validation loops are defined but not executed. The loss and optimizer are defined, but the training process is not completed. The visualization of predictions is not implemented. Therefore, no points are awarded for any task as the code does not run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19" t="n">
        <v>0</v>
      </c>
      <c r="AF119" t="n">
        <v>0</v>
      </c>
      <c r="AG119" t="inlineStr">
        <is>
          <t>The student's implementation of the `ColorizationDataset` class contains a critical mistake in the `rgb_to_grayscale` method. The method does not correctly add the channel dimension to the grayscale image, which results in an incorrect shape for the grayscale image. This mistake prevents the code from running correctly and producing the expected output. Therefore, the implementation does not meet the criteria for full credit and receives a score of 0.0.
Breakdown:
- Correctly implemented `ColorizationDataset` class: 0.0/5.0</t>
        </is>
      </c>
      <c r="AH119" t="n">
        <v>10</v>
      </c>
      <c r="AI119" t="n">
        <v>4</v>
      </c>
    </row>
    <row r="120">
      <c r="A120" t="n">
        <v>119</v>
      </c>
      <c r="B120" t="inlineStr">
        <is>
          <t>TA_3</t>
        </is>
      </c>
      <c r="C120" t="inlineStr">
        <is>
          <t>TA_13</t>
        </is>
      </c>
      <c r="D120" t="n">
        <v>10.5</v>
      </c>
      <c r="E120" t="n">
        <v>4</v>
      </c>
      <c r="F120" t="n">
        <v>11</v>
      </c>
      <c r="G120" t="n">
        <v>4</v>
      </c>
      <c r="H120" t="n">
        <v>11</v>
      </c>
      <c r="I120" t="n">
        <v>5</v>
      </c>
      <c r="J120" t="n">
        <v>12</v>
      </c>
      <c r="K120" t="n">
        <v>4</v>
      </c>
      <c r="L120" t="n">
        <v>11</v>
      </c>
      <c r="M120" t="n">
        <v>4</v>
      </c>
      <c r="N120" t="n">
        <v>12</v>
      </c>
      <c r="O120" t="n">
        <v>5</v>
      </c>
      <c r="P120">
        <f>Table1[[#This Row],[TA 1 - Q1 Score]]+Table1[[#This Row],[TA 1 - Q2 Score]]+Table1[[#This Row],[TA 1 - Q3 Score]]</f>
        <v/>
      </c>
      <c r="Q120">
        <f>Table1[[#This Row],[TA 1 - Q1 Bonus]]+Table1[[#This Row],[TA 1 - Q2 Bonus]]+Table1[[#This Row],[TA 1 - Q4 Bonus]]</f>
        <v/>
      </c>
      <c r="R120">
        <f>Table1[[#This Row],[TA 2 - Q1 Score]]+Table1[[#This Row],[TA 2 - Q2 Score]]+Table1[[#This Row],[TA 2 - Q3 Score]]</f>
        <v/>
      </c>
      <c r="S120">
        <f>Table1[[#This Row],[TA 2 - Q1 Bonus]]+Table1[[#This Row],[TA 2 - Q2 Bonus]]+Table1[[#This Row],[TA 2 - Q4 Bonus]]</f>
        <v/>
      </c>
      <c r="T120">
        <f>(Table1[[#This Row],[TA 1 - Total Score (out of 35)]]+Table1[[#This Row],[TA 2 - Total Score (out of 35)]])/2</f>
        <v/>
      </c>
      <c r="U120">
        <f>(Table1[[#This Row],[TA 1 - Total Bonus (out of 13)]]+Table1[[#This Row],[TA 2 - Total Bonus (out of 13)]])/2</f>
        <v/>
      </c>
      <c r="V120">
        <f>Table1[[#This Row],[Average Questions]]/35*20+Table1[[#This Row],[Average Bonus]]/13*5</f>
        <v/>
      </c>
      <c r="W120" t="n">
        <v>0</v>
      </c>
      <c r="X120" t="n">
        <v>0</v>
      </c>
      <c r="Y120" t="inlineStr">
        <is>
          <t>The student's submission does not run correctly due to several issues. The training and validation loops are incorrect because the model outputs are squeezed, which changes the shape of the output tensor. This causes the loss function to fail. Additionally, the student did not correctly implement the label fixing for 0-indexed labels, which is a critical part of the task. The bonus task for Test Time Augmentation (TTA) is also incorrect because the student did not average the predictions correctly. Therefore, the student receives 0 points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20" t="n">
        <v>0</v>
      </c>
      <c r="AA120" t="n">
        <v>0</v>
      </c>
      <c r="AB120" t="inlineStr">
        <is>
          <t>The student's submission does not run correctly due to multiple issues. The dataset paths are hardcoded incorrectly, leading to errors in loading the data. The transforms applied to the images do not match the required specifications, and the model architecture deviates from the rubric. Additionally, the training and validation functions contain logical errors, and the residual connection implementation is incorrect.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20" t="n">
        <v>0</v>
      </c>
      <c r="AD120" t="inlineStr">
        <is>
          <t>The student's submission does not run correctly due to several issues. The dataset class and DataLoader creation are incomplete and incorrect, leading to failures in subsequent tasks. The model definition and training loops are also flawed, resulting in a complete failure to train the model. The visualization of predictions is also incorrect due to the previous errors.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20" t="n">
        <v>0</v>
      </c>
      <c r="AF120" t="n">
        <v>0</v>
      </c>
      <c r="AG120" t="inlineStr">
        <is>
          <t>The student's implementation of the `ColorizationDataset` class contains several errors. The `rgb_to_grayscale` method does not correctly convert the RGB image to grayscale, and the `__getitem__` method does not return the correct tuple of (grayscale, color) images. Additionally, the student's code includes unnecessary transformations and additional code that is not relevant to the task, such as model training and visualization of reconstructed images. Since the implementation does not run correctly and deviates from the rubric, the student receives 0 points for this task.
Breakdown:
- Correctly implemented `ColorizationDataset` class: 0.0/5.0</t>
        </is>
      </c>
      <c r="AH120" t="n">
        <v>0</v>
      </c>
      <c r="AI120" t="n">
        <v>0</v>
      </c>
    </row>
    <row r="121">
      <c r="A121" t="n">
        <v>120</v>
      </c>
      <c r="B121" t="inlineStr">
        <is>
          <t>TA_3</t>
        </is>
      </c>
      <c r="C121" t="inlineStr">
        <is>
          <t>TA_13</t>
        </is>
      </c>
      <c r="D121" t="n">
        <v>7</v>
      </c>
      <c r="E121" t="n">
        <v>0</v>
      </c>
      <c r="F121" t="n">
        <v>8.5</v>
      </c>
      <c r="G121" t="n">
        <v>0</v>
      </c>
      <c r="H121" t="n">
        <v>6.5</v>
      </c>
      <c r="I121" t="n">
        <v>0</v>
      </c>
      <c r="J121" t="n">
        <v>7</v>
      </c>
      <c r="K121" t="n">
        <v>0</v>
      </c>
      <c r="L121" t="n">
        <v>9</v>
      </c>
      <c r="M121" t="n">
        <v>0</v>
      </c>
      <c r="N121" t="n">
        <v>10.5</v>
      </c>
      <c r="O121" t="n">
        <v>0</v>
      </c>
      <c r="P121">
        <f>Table1[[#This Row],[TA 1 - Q1 Score]]+Table1[[#This Row],[TA 1 - Q2 Score]]+Table1[[#This Row],[TA 1 - Q3 Score]]</f>
        <v/>
      </c>
      <c r="Q121">
        <f>Table1[[#This Row],[TA 1 - Q1 Bonus]]+Table1[[#This Row],[TA 1 - Q2 Bonus]]+Table1[[#This Row],[TA 1 - Q4 Bonus]]</f>
        <v/>
      </c>
      <c r="R121">
        <f>Table1[[#This Row],[TA 2 - Q1 Score]]+Table1[[#This Row],[TA 2 - Q2 Score]]+Table1[[#This Row],[TA 2 - Q3 Score]]</f>
        <v/>
      </c>
      <c r="S121">
        <f>Table1[[#This Row],[TA 2 - Q1 Bonus]]+Table1[[#This Row],[TA 2 - Q2 Bonus]]+Table1[[#This Row],[TA 2 - Q4 Bonus]]</f>
        <v/>
      </c>
      <c r="T121">
        <f>(Table1[[#This Row],[TA 1 - Total Score (out of 35)]]+Table1[[#This Row],[TA 2 - Total Score (out of 35)]])/2</f>
        <v/>
      </c>
      <c r="U121">
        <f>(Table1[[#This Row],[TA 1 - Total Bonus (out of 13)]]+Table1[[#This Row],[TA 2 - Total Bonus (out of 13)]])/2</f>
        <v/>
      </c>
      <c r="V121">
        <f>Table1[[#This Row],[Average Questions]]/35*20+Table1[[#This Row],[Average Bonus]]/13*5</f>
        <v/>
      </c>
      <c r="W121" t="n">
        <v>0</v>
      </c>
      <c r="X121" t="n">
        <v>0</v>
      </c>
      <c r="Y121" t="inlineStr">
        <is>
          <t>The student's submission does not run correctly due to several issues. The training and validation loops are incorrect because the model outputs are squeezed, which changes the shape of the output tensor. This causes the loss function to fail. Additionally, the student did not fix the labels to be 0-indexed, which is a critical requirement. The bonus task for Test Time Augmentation (TTA) is also missing.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21" t="n">
        <v>0</v>
      </c>
      <c r="AA121" t="n">
        <v>0</v>
      </c>
      <c r="AB121" t="inlineStr">
        <is>
          <t>The student's submission does not run correctly due to several issues. The transforms applied to the test dataset include RandomRotation, which is not specified in the rubric. The CNN model does not include Batch Normalization as required. The training and validation functions include incorrect softmax application, which is not needed with CrossEntropyLoss. The training loop does not plot losses and accuracy as required. Additionally, the bonus task is not attempted.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21" t="n">
        <v>0</v>
      </c>
      <c r="AD121" t="inlineStr">
        <is>
          <t>The student's submission does not run correctly due to several critical issues. The model definition uses 'efficientnet-b0' instead of 'efficientnet-b1' as specified. The loss function is incorrectly defined as BCEWithLogitsLoss instead of CrossEntropyLoss, which is inappropriate for multi-class segmentation. The training and validation loops do not correctly handle the data types and dimensions, leading to errors in the loss calculation. Additionally, the visualization of predictions is incorrect due to the misuse of the softmax function and incorrect handling of the model's output. These issues prevent the code from running end-to-end, resulting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21" t="n">
        <v>0</v>
      </c>
      <c r="AF121" t="n">
        <v>0</v>
      </c>
      <c r="AG121" t="inlineStr">
        <is>
          <t>The student's submission contains incomplete code for the `ColorizationDataset` class. The `__len__` method incorrectly returns the size of the dataset instead of the length, and the `rgb_to_grayscale` method is not implemented. The `__getitem__` method is also not implemented, which means the dataset cannot be used to retrieve items. Since the implementation is incomplete and does not run correctly, the student receives 0 points for this task.
Breakdown:
- Correctly implemented `ColorizationDataset` class: 0.0/5.0</t>
        </is>
      </c>
      <c r="AH121" t="n">
        <v>0</v>
      </c>
      <c r="AI121" t="n">
        <v>0</v>
      </c>
    </row>
    <row r="122">
      <c r="A122" t="n">
        <v>121</v>
      </c>
      <c r="B122" t="inlineStr">
        <is>
          <t>TA_3</t>
        </is>
      </c>
      <c r="C122" t="inlineStr">
        <is>
          <t>TA_13</t>
        </is>
      </c>
      <c r="D122" t="n">
        <v>10</v>
      </c>
      <c r="E122" t="n">
        <v>0</v>
      </c>
      <c r="F122" t="n">
        <v>10</v>
      </c>
      <c r="G122" t="n">
        <v>0</v>
      </c>
      <c r="H122" t="n">
        <v>11</v>
      </c>
      <c r="I122" t="n">
        <v>0</v>
      </c>
      <c r="J122" t="n">
        <v>11</v>
      </c>
      <c r="K122" t="n">
        <v>0</v>
      </c>
      <c r="L122" t="n">
        <v>10.5</v>
      </c>
      <c r="M122" t="n">
        <v>4</v>
      </c>
      <c r="N122" t="n">
        <v>11.5</v>
      </c>
      <c r="O122" t="n">
        <v>0</v>
      </c>
      <c r="P122">
        <f>Table1[[#This Row],[TA 1 - Q1 Score]]+Table1[[#This Row],[TA 1 - Q2 Score]]+Table1[[#This Row],[TA 1 - Q3 Score]]</f>
        <v/>
      </c>
      <c r="Q122">
        <f>Table1[[#This Row],[TA 1 - Q1 Bonus]]+Table1[[#This Row],[TA 1 - Q2 Bonus]]+Table1[[#This Row],[TA 1 - Q4 Bonus]]</f>
        <v/>
      </c>
      <c r="R122">
        <f>Table1[[#This Row],[TA 2 - Q1 Score]]+Table1[[#This Row],[TA 2 - Q2 Score]]+Table1[[#This Row],[TA 2 - Q3 Score]]</f>
        <v/>
      </c>
      <c r="S122">
        <f>Table1[[#This Row],[TA 2 - Q1 Bonus]]+Table1[[#This Row],[TA 2 - Q2 Bonus]]+Table1[[#This Row],[TA 2 - Q4 Bonus]]</f>
        <v/>
      </c>
      <c r="T122">
        <f>(Table1[[#This Row],[TA 1 - Total Score (out of 35)]]+Table1[[#This Row],[TA 2 - Total Score (out of 35)]])/2</f>
        <v/>
      </c>
      <c r="U122">
        <f>(Table1[[#This Row],[TA 1 - Total Bonus (out of 13)]]+Table1[[#This Row],[TA 2 - Total Bonus (out of 13)]])/2</f>
        <v/>
      </c>
      <c r="V122">
        <f>Table1[[#This Row],[Average Questions]]/35*20+Table1[[#This Row],[Average Bonus]]/13*5</f>
        <v/>
      </c>
      <c r="W122" t="n">
        <v>0</v>
      </c>
      <c r="X122" t="n">
        <v>0</v>
      </c>
      <c r="Y122" t="inlineStr">
        <is>
          <t>The student's submission does not run end-to-end due to missing code in critical sections, such as the training and validation loops, and the plotting of training and validation metrics. The code for displaying sample images is incomplete, and the model setup and training process are not correctly implemented.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22" t="n">
        <v>0</v>
      </c>
      <c r="AA122" t="n">
        <v>0</v>
      </c>
      <c r="AB122" t="inlineStr">
        <is>
          <t>The student's submission does not run correctly due to several issues. The code for displaying sample images with labels is incorrect and does not display any images. The model definition and training functions are incomplete and contain errors, leading to a failure in training the model. Additionally, the residual connection implementation is incorrect and does not follow the specified requirements.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22" t="n">
        <v>10</v>
      </c>
      <c r="AD122" t="inlineStr">
        <is>
          <t>The student's submission successfully completes all tasks with correct implementations. The dataset class is correctly defined and DataLoaders are created. The model class is defined with the correct encoder. The training and validation loops are implemented correctly. The model is trained, and the losses are printed and plotted. The predictions are visualized correctly against the ground truth. There are no syntax or logical errors, and the code runs perfectly.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22" t="n">
        <v>0</v>
      </c>
      <c r="AF122" t="n">
        <v>0</v>
      </c>
      <c r="AG122" t="inlineStr">
        <is>
          <t>No submission found.</t>
        </is>
      </c>
      <c r="AH122" t="n">
        <v>10</v>
      </c>
      <c r="AI122" t="n">
        <v>0</v>
      </c>
    </row>
    <row r="123">
      <c r="A123" t="n">
        <v>122</v>
      </c>
      <c r="B123" t="inlineStr">
        <is>
          <t>TA_3</t>
        </is>
      </c>
      <c r="C123" t="inlineStr">
        <is>
          <t>TA_13</t>
        </is>
      </c>
      <c r="D123" t="n">
        <v>7</v>
      </c>
      <c r="E123" t="n">
        <v>0</v>
      </c>
      <c r="F123" t="n">
        <v>7</v>
      </c>
      <c r="G123" t="n">
        <v>0</v>
      </c>
      <c r="H123" t="n">
        <v>6</v>
      </c>
      <c r="I123" t="n">
        <v>0</v>
      </c>
      <c r="J123" t="n">
        <v>10.5</v>
      </c>
      <c r="K123" t="n">
        <v>0</v>
      </c>
      <c r="L123" t="n">
        <v>7.75</v>
      </c>
      <c r="M123" t="n">
        <v>0</v>
      </c>
      <c r="N123" t="n">
        <v>7.5</v>
      </c>
      <c r="O123" t="n">
        <v>0</v>
      </c>
      <c r="P123">
        <f>Table1[[#This Row],[TA 1 - Q1 Score]]+Table1[[#This Row],[TA 1 - Q2 Score]]+Table1[[#This Row],[TA 1 - Q3 Score]]</f>
        <v/>
      </c>
      <c r="Q123">
        <f>Table1[[#This Row],[TA 1 - Q1 Bonus]]+Table1[[#This Row],[TA 1 - Q2 Bonus]]+Table1[[#This Row],[TA 1 - Q4 Bonus]]</f>
        <v/>
      </c>
      <c r="R123">
        <f>Table1[[#This Row],[TA 2 - Q1 Score]]+Table1[[#This Row],[TA 2 - Q2 Score]]+Table1[[#This Row],[TA 2 - Q3 Score]]</f>
        <v/>
      </c>
      <c r="S123">
        <f>Table1[[#This Row],[TA 2 - Q1 Bonus]]+Table1[[#This Row],[TA 2 - Q2 Bonus]]+Table1[[#This Row],[TA 2 - Q4 Bonus]]</f>
        <v/>
      </c>
      <c r="T123">
        <f>(Table1[[#This Row],[TA 1 - Total Score (out of 35)]]+Table1[[#This Row],[TA 2 - Total Score (out of 35)]])/2</f>
        <v/>
      </c>
      <c r="U123">
        <f>(Table1[[#This Row],[TA 1 - Total Bonus (out of 13)]]+Table1[[#This Row],[TA 2 - Total Bonus (out of 13)]])/2</f>
        <v/>
      </c>
      <c r="V123">
        <f>Table1[[#This Row],[Average Questions]]/35*20+Table1[[#This Row],[Average Bonus]]/13*5</f>
        <v/>
      </c>
      <c r="W123" t="n">
        <v>0</v>
      </c>
      <c r="X123" t="n">
        <v>0</v>
      </c>
      <c r="Y123" t="inlineStr">
        <is>
          <t>The student's submission contains several critical errors that prevent the code from running correctly. The transforms are incorrectly specified, the DataLoaders are not correctly created, and the model is not properly set up for training. Additionally, the training and validation loops contain logical errors, and the plots for training and validation losses and accuracies are missing. The bonus task for Test Time Augmentation is also not implemented correctly.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23" t="n">
        <v>0</v>
      </c>
      <c r="AA123" t="n">
        <v>0</v>
      </c>
      <c r="AB123" t="inlineStr">
        <is>
          <t>The student's submission does not run correctly due to several issues. The dataset class is incorrectly implemented, leading to errors in data loading. The CNN model class is incomplete and does not follow the specified structure. The training and validation functions are missing critical components, and the training loop does not execute properly.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23" t="n">
        <v>0</v>
      </c>
      <c r="AD123" t="inlineStr">
        <is>
          <t>The student's submission does not run end-to-end due to several issues. The dataset paths are incorrectly set, leading to errors in loading the data. Additionally, the model definition uses 'efficientnet-b1' instead of 'efficientnet-b0' as specified, and the number of classes is set to 5 instead of 8. These deviations from the rubric and the inability to run the code correctly result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23" t="n">
        <v>0</v>
      </c>
      <c r="AF123" t="n">
        <v>0</v>
      </c>
      <c r="AG123" t="inlineStr">
        <is>
          <t>No submission found.</t>
        </is>
      </c>
      <c r="AH123" t="n">
        <v>0</v>
      </c>
      <c r="AI123" t="n">
        <v>0</v>
      </c>
    </row>
    <row r="124">
      <c r="A124" t="n">
        <v>123</v>
      </c>
      <c r="B124" t="inlineStr">
        <is>
          <t>TA_3</t>
        </is>
      </c>
      <c r="C124" t="inlineStr">
        <is>
          <t>TA_13</t>
        </is>
      </c>
      <c r="D124" t="n">
        <v>9</v>
      </c>
      <c r="E124" t="n">
        <v>0</v>
      </c>
      <c r="F124" t="n">
        <v>8</v>
      </c>
      <c r="G124" t="n">
        <v>0</v>
      </c>
      <c r="H124" t="n">
        <v>8</v>
      </c>
      <c r="I124" t="n">
        <v>0</v>
      </c>
      <c r="J124" t="n">
        <v>11</v>
      </c>
      <c r="K124" t="n">
        <v>0</v>
      </c>
      <c r="L124" t="n">
        <v>10</v>
      </c>
      <c r="M124" t="n">
        <v>0</v>
      </c>
      <c r="N124" t="n">
        <v>11.75</v>
      </c>
      <c r="O124" t="n">
        <v>0</v>
      </c>
      <c r="P124">
        <f>Table1[[#This Row],[TA 1 - Q1 Score]]+Table1[[#This Row],[TA 1 - Q2 Score]]+Table1[[#This Row],[TA 1 - Q3 Score]]</f>
        <v/>
      </c>
      <c r="Q124">
        <f>Table1[[#This Row],[TA 1 - Q1 Bonus]]+Table1[[#This Row],[TA 1 - Q2 Bonus]]+Table1[[#This Row],[TA 1 - Q4 Bonus]]</f>
        <v/>
      </c>
      <c r="R124">
        <f>Table1[[#This Row],[TA 2 - Q1 Score]]+Table1[[#This Row],[TA 2 - Q2 Score]]+Table1[[#This Row],[TA 2 - Q3 Score]]</f>
        <v/>
      </c>
      <c r="S124">
        <f>Table1[[#This Row],[TA 2 - Q1 Bonus]]+Table1[[#This Row],[TA 2 - Q2 Bonus]]+Table1[[#This Row],[TA 2 - Q4 Bonus]]</f>
        <v/>
      </c>
      <c r="T124">
        <f>(Table1[[#This Row],[TA 1 - Total Score (out of 35)]]+Table1[[#This Row],[TA 2 - Total Score (out of 35)]])/2</f>
        <v/>
      </c>
      <c r="U124">
        <f>(Table1[[#This Row],[TA 1 - Total Bonus (out of 13)]]+Table1[[#This Row],[TA 2 - Total Bonus (out of 13)]])/2</f>
        <v/>
      </c>
      <c r="V124">
        <f>Table1[[#This Row],[Average Questions]]/35*20+Table1[[#This Row],[Average Bonus]]/13*5</f>
        <v/>
      </c>
      <c r="W124" t="n">
        <v>0</v>
      </c>
      <c r="X124" t="n">
        <v>0</v>
      </c>
      <c r="Y124" t="inlineStr">
        <is>
          <t>The student's submission does not run end-to-end due to missing code for displaying sample images and the bonus task. The code for creating DataLoaders is incomplete and does not follow the rubric. The training and validation loops are incorrectly implemented, leading to a failure in the training process. Therefore, the minimum defensible score for each incomplete or buggy task is 0%.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24" t="n">
        <v>0</v>
      </c>
      <c r="AA124" t="n">
        <v>0</v>
      </c>
      <c r="AB124" t="inlineStr">
        <is>
          <t>The student's submission does not run correctly due to multiple issues. The dataset class or ImageFolder is incorrectly implemented, the transforms are not applied correctly, and the CNN model does not follow the specified architecture. Additionally, the training and validation functions contain errors, and the residual connection implementation is incorrect.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24" t="n">
        <v>0</v>
      </c>
      <c r="AD124" t="inlineStr">
        <is>
          <t>The student's submission does not run end-to-end due to missing validation loop and validation loss printing. The code for the validation loop is absent, and the training loop does not include validation loss calculation or printing. Additionally, the dataset class and DataLoader creation are incomplete as they do not include a test dataset or test DataLoader. The model definition uses the correct encoder but the training and visualization sections are incomplete and do not run correctly.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24" t="n">
        <v>0</v>
      </c>
      <c r="AF124" t="n">
        <v>0</v>
      </c>
      <c r="AG124" t="inlineStr">
        <is>
          <t>No submission found.</t>
        </is>
      </c>
      <c r="AH124" t="n">
        <v>0</v>
      </c>
      <c r="AI124" t="n">
        <v>0</v>
      </c>
    </row>
    <row r="125">
      <c r="A125" t="n">
        <v>124</v>
      </c>
      <c r="B125" t="inlineStr">
        <is>
          <t>TA_3</t>
        </is>
      </c>
      <c r="C125" t="inlineStr">
        <is>
          <t>TA_13</t>
        </is>
      </c>
      <c r="D125" t="n">
        <v>3.5</v>
      </c>
      <c r="E125" t="n">
        <v>0</v>
      </c>
      <c r="F125" t="n">
        <v>7</v>
      </c>
      <c r="G125" t="n">
        <v>0</v>
      </c>
      <c r="H125" t="n">
        <v>7</v>
      </c>
      <c r="I125" t="n">
        <v>0</v>
      </c>
      <c r="J125" t="n">
        <v>6</v>
      </c>
      <c r="K125" t="n">
        <v>0</v>
      </c>
      <c r="L125" t="n">
        <v>9.5</v>
      </c>
      <c r="M125" t="n">
        <v>0</v>
      </c>
      <c r="N125" t="n">
        <v>9.75</v>
      </c>
      <c r="O125" t="n">
        <v>0</v>
      </c>
      <c r="P125">
        <f>Table1[[#This Row],[TA 1 - Q1 Score]]+Table1[[#This Row],[TA 1 - Q2 Score]]+Table1[[#This Row],[TA 1 - Q3 Score]]</f>
        <v/>
      </c>
      <c r="Q125">
        <f>Table1[[#This Row],[TA 1 - Q1 Bonus]]+Table1[[#This Row],[TA 1 - Q2 Bonus]]+Table1[[#This Row],[TA 1 - Q4 Bonus]]</f>
        <v/>
      </c>
      <c r="R125">
        <f>Table1[[#This Row],[TA 2 - Q1 Score]]+Table1[[#This Row],[TA 2 - Q2 Score]]+Table1[[#This Row],[TA 2 - Q3 Score]]</f>
        <v/>
      </c>
      <c r="S125">
        <f>Table1[[#This Row],[TA 2 - Q1 Bonus]]+Table1[[#This Row],[TA 2 - Q2 Bonus]]+Table1[[#This Row],[TA 2 - Q4 Bonus]]</f>
        <v/>
      </c>
      <c r="T125">
        <f>(Table1[[#This Row],[TA 1 - Total Score (out of 35)]]+Table1[[#This Row],[TA 2 - Total Score (out of 35)]])/2</f>
        <v/>
      </c>
      <c r="U125">
        <f>(Table1[[#This Row],[TA 1 - Total Bonus (out of 13)]]+Table1[[#This Row],[TA 2 - Total Bonus (out of 13)]])/2</f>
        <v/>
      </c>
      <c r="V125">
        <f>Table1[[#This Row],[Average Questions]]/35*20+Table1[[#This Row],[Average Bonus]]/13*5</f>
        <v/>
      </c>
      <c r="W125" t="n">
        <v>0</v>
      </c>
      <c r="X125" t="n">
        <v>0</v>
      </c>
      <c r="Y125" t="inlineStr">
        <is>
          <t>The student's submission contains multiple critical errors that prevent the code from running correctly. The transforms are incomplete, the DataLoaders are not created correctly, and the model is not set up properly. The training and validation loops are incorrect, and the labels are not fixed. Additionally, the training process and plotting functions are missing. The bonus task for Test Time Augmentation is also not attempted.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25" t="n">
        <v>0</v>
      </c>
      <c r="AA125" t="n">
        <v>0</v>
      </c>
      <c r="AB125" t="inlineStr">
        <is>
          <t>The student's submission does not run correctly due to multiple issues. The dataset class is incorrectly implemented, the transformations do not match the rubric, the CNN model does not have the required 5 convolutional layers, and the training and validation functions have logical errors. Additionally, the student did not attempt the bonus task.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25" t="n">
        <v>0</v>
      </c>
      <c r="AD125" t="inlineStr">
        <is>
          <t>The student's submission does not run correctly due to several issues. The dataset class is incomplete and does not correctly load images and masks. The training and validation loops are incorrectly implemented, and the model training process is flawed. Additionally, the visualization of predictions is missing. Therefore, no points are awarded for any task as the code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25" t="n">
        <v>0</v>
      </c>
      <c r="AF125" t="n">
        <v>0</v>
      </c>
      <c r="AG125" t="inlineStr">
        <is>
          <t>No submission found.</t>
        </is>
      </c>
      <c r="AH125" t="n">
        <v>0</v>
      </c>
      <c r="AI125" t="n">
        <v>0</v>
      </c>
    </row>
    <row r="126">
      <c r="A126" t="n">
        <v>125</v>
      </c>
      <c r="B126" t="inlineStr">
        <is>
          <t>TA_3</t>
        </is>
      </c>
      <c r="C126" t="inlineStr">
        <is>
          <t>TA_13</t>
        </is>
      </c>
      <c r="D126" t="n">
        <v>7</v>
      </c>
      <c r="E126" t="n">
        <v>0</v>
      </c>
      <c r="F126" t="n">
        <v>8.5</v>
      </c>
      <c r="G126" t="n">
        <v>0</v>
      </c>
      <c r="H126" t="n">
        <v>6</v>
      </c>
      <c r="I126" t="n">
        <v>0</v>
      </c>
      <c r="J126" t="n">
        <v>7.5</v>
      </c>
      <c r="K126" t="n">
        <v>0</v>
      </c>
      <c r="L126" t="n">
        <v>8</v>
      </c>
      <c r="M126" t="n">
        <v>0</v>
      </c>
      <c r="N126" t="n">
        <v>10</v>
      </c>
      <c r="O126" t="n">
        <v>0</v>
      </c>
      <c r="P126">
        <f>Table1[[#This Row],[TA 1 - Q1 Score]]+Table1[[#This Row],[TA 1 - Q2 Score]]+Table1[[#This Row],[TA 1 - Q3 Score]]</f>
        <v/>
      </c>
      <c r="Q126">
        <f>Table1[[#This Row],[TA 1 - Q1 Bonus]]+Table1[[#This Row],[TA 1 - Q2 Bonus]]+Table1[[#This Row],[TA 1 - Q4 Bonus]]</f>
        <v/>
      </c>
      <c r="R126">
        <f>Table1[[#This Row],[TA 2 - Q1 Score]]+Table1[[#This Row],[TA 2 - Q2 Score]]+Table1[[#This Row],[TA 2 - Q3 Score]]</f>
        <v/>
      </c>
      <c r="S126">
        <f>Table1[[#This Row],[TA 2 - Q1 Bonus]]+Table1[[#This Row],[TA 2 - Q2 Bonus]]+Table1[[#This Row],[TA 2 - Q4 Bonus]]</f>
        <v/>
      </c>
      <c r="T126">
        <f>(Table1[[#This Row],[TA 1 - Total Score (out of 35)]]+Table1[[#This Row],[TA 2 - Total Score (out of 35)]])/2</f>
        <v/>
      </c>
      <c r="U126">
        <f>(Table1[[#This Row],[TA 1 - Total Bonus (out of 13)]]+Table1[[#This Row],[TA 2 - Total Bonus (out of 13)]])/2</f>
        <v/>
      </c>
      <c r="V126">
        <f>Table1[[#This Row],[Average Questions]]/35*20+Table1[[#This Row],[Average Bonus]]/13*5</f>
        <v/>
      </c>
      <c r="W126" t="n">
        <v>0</v>
      </c>
      <c r="X126" t="n">
        <v>0</v>
      </c>
      <c r="Y126" t="inlineStr">
        <is>
          <t>The student's submission does not run correctly due to several issues. The transforms are incomplete, the DataLoaders are not correctly created, and the model setup is incorrect. The training and validation loops are flawed, and the plots for training and validation losses and accuracies are missing. Additionally, the bonus task for Test Time Augmentation is not implemented.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26" t="n">
        <v>0</v>
      </c>
      <c r="AA126" t="n">
        <v>0</v>
      </c>
      <c r="AB126" t="inlineStr">
        <is>
          <t>The student's submission does not include any code for displaying sample images with labels, which is a critical part of Part 1. Additionally, the student did not implement Batch Normalization in the CNN model, which is a required part of Part 2. The training and validation functions are present but do not run correctly due to missing or incorrect implementations in other parts of the code. The student also did not attempt the bonus task. Therefore, the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26" t="n">
        <v>0</v>
      </c>
      <c r="AD126" t="inlineStr">
        <is>
          <t>The student's submission does not run correctly due to several issues. The dataset class is incomplete, the data loading process is incorrect, and the training and validation loops contain errors. Additionally, the model definition and training process are flawed, leading to a complete failure in running the task. Therefore, no points are awarded for any task as the code does not execute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26" t="n">
        <v>0</v>
      </c>
      <c r="AF126" t="n">
        <v>0</v>
      </c>
      <c r="AG126" t="inlineStr">
        <is>
          <t>No submission found.</t>
        </is>
      </c>
      <c r="AH126" t="n">
        <v>0</v>
      </c>
      <c r="AI126" t="n">
        <v>0</v>
      </c>
    </row>
    <row r="127">
      <c r="A127" t="n">
        <v>126</v>
      </c>
      <c r="B127" t="inlineStr">
        <is>
          <t>TA_3</t>
        </is>
      </c>
      <c r="C127" t="inlineStr">
        <is>
          <t>TA_13</t>
        </is>
      </c>
      <c r="D127" t="n">
        <v>6</v>
      </c>
      <c r="E127" t="n">
        <v>0</v>
      </c>
      <c r="F127" t="n">
        <v>9</v>
      </c>
      <c r="G127" t="n">
        <v>0</v>
      </c>
      <c r="H127" t="n">
        <v>6</v>
      </c>
      <c r="I127" t="n">
        <v>0</v>
      </c>
      <c r="J127" t="n">
        <v>11.5</v>
      </c>
      <c r="K127" t="n">
        <v>0</v>
      </c>
      <c r="L127" t="n">
        <v>9</v>
      </c>
      <c r="M127" t="n">
        <v>0</v>
      </c>
      <c r="N127" t="n">
        <v>9</v>
      </c>
      <c r="O127" t="n">
        <v>0</v>
      </c>
      <c r="P127">
        <f>Table1[[#This Row],[TA 1 - Q1 Score]]+Table1[[#This Row],[TA 1 - Q2 Score]]+Table1[[#This Row],[TA 1 - Q3 Score]]</f>
        <v/>
      </c>
      <c r="Q127">
        <f>Table1[[#This Row],[TA 1 - Q1 Bonus]]+Table1[[#This Row],[TA 1 - Q2 Bonus]]+Table1[[#This Row],[TA 1 - Q4 Bonus]]</f>
        <v/>
      </c>
      <c r="R127">
        <f>Table1[[#This Row],[TA 2 - Q1 Score]]+Table1[[#This Row],[TA 2 - Q2 Score]]+Table1[[#This Row],[TA 2 - Q3 Score]]</f>
        <v/>
      </c>
      <c r="S127">
        <f>Table1[[#This Row],[TA 2 - Q1 Bonus]]+Table1[[#This Row],[TA 2 - Q2 Bonus]]+Table1[[#This Row],[TA 2 - Q4 Bonus]]</f>
        <v/>
      </c>
      <c r="T127">
        <f>(Table1[[#This Row],[TA 1 - Total Score (out of 35)]]+Table1[[#This Row],[TA 2 - Total Score (out of 35)]])/2</f>
        <v/>
      </c>
      <c r="U127">
        <f>(Table1[[#This Row],[TA 1 - Total Bonus (out of 13)]]+Table1[[#This Row],[TA 2 - Total Bonus (out of 13)]])/2</f>
        <v/>
      </c>
      <c r="V127">
        <f>Table1[[#This Row],[Average Questions]]/35*20+Table1[[#This Row],[Average Bonus]]/13*5</f>
        <v/>
      </c>
      <c r="W127" t="n">
        <v>0</v>
      </c>
      <c r="X127" t="n">
        <v>0</v>
      </c>
      <c r="Y127" t="inlineStr">
        <is>
          <t>The student's submission does not run correctly due to several issues. The transforms are incorrectly set to resize images to 224x224 instead of 28x28, which is a critical deviation from the rubric. Additionally, the DataLoader creation and image display code are incomplete and do not follow the required structure. The model loading and adaptation steps are also incorrect, as the backbone is not properly frozen, and the classifier head is not correctly replaced. The training and validation loops are present but do not run correctly due to the previous errors. The plotting code is incomplete and does not produce the required plots. The bonus task for Test Time Augmentation is not attempted. Therefore, the student receives 0 points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27" t="n">
        <v>0</v>
      </c>
      <c r="AA127" t="n">
        <v>0</v>
      </c>
      <c r="AB127" t="inlineStr">
        <is>
          <t>The student's submission does not run correctly due to several issues. The transformations applied to the images do not match the rubric specifications, specifically the resizing to 32x32 pixels. Additionally, the CNN model does not include Batch Normalization layers as required. The training and validation functions are present but do not run correctly due to the incorrect model setup. The bonus task is not attempted.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27" t="n">
        <v>0</v>
      </c>
      <c r="AD127" t="inlineStr">
        <is>
          <t>The student's submission does not run end-to-end due to multiple issues. The dataset class is incorrectly implemented, leading to errors in data loading. The model definition uses the wrong number of classes and the training loop does not correctly handle the data. Additionally, the visualization code is incomplete and does not display the predictions correctly. Therefore, no points are awarded for any task as the code does not run correctly and deviates significantly from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27" t="n">
        <v>0</v>
      </c>
      <c r="AF127" t="n">
        <v>0</v>
      </c>
      <c r="AG127" t="inlineStr">
        <is>
          <t>No submission found.</t>
        </is>
      </c>
      <c r="AH127" t="n">
        <v>0</v>
      </c>
      <c r="AI127" t="n">
        <v>0</v>
      </c>
    </row>
    <row r="128">
      <c r="A128" t="n">
        <v>127</v>
      </c>
      <c r="B128" t="inlineStr">
        <is>
          <t>TA_3</t>
        </is>
      </c>
      <c r="C128" t="inlineStr">
        <is>
          <t>TA_13</t>
        </is>
      </c>
      <c r="D128" t="n">
        <v>4</v>
      </c>
      <c r="E128" t="n">
        <v>0</v>
      </c>
      <c r="F128" t="n">
        <v>7</v>
      </c>
      <c r="G128" t="n">
        <v>0</v>
      </c>
      <c r="H128" t="n">
        <v>0</v>
      </c>
      <c r="I128" t="n">
        <v>0</v>
      </c>
      <c r="J128" t="n">
        <v>11</v>
      </c>
      <c r="K128" t="n">
        <v>0</v>
      </c>
      <c r="L128" t="n">
        <v>10</v>
      </c>
      <c r="M128" t="n">
        <v>0</v>
      </c>
      <c r="N128" t="n">
        <v>0</v>
      </c>
      <c r="O128" t="n">
        <v>0</v>
      </c>
      <c r="P128">
        <f>Table1[[#This Row],[TA 1 - Q1 Score]]+Table1[[#This Row],[TA 1 - Q2 Score]]+Table1[[#This Row],[TA 1 - Q3 Score]]</f>
        <v/>
      </c>
      <c r="Q128">
        <f>Table1[[#This Row],[TA 1 - Q1 Bonus]]+Table1[[#This Row],[TA 1 - Q2 Bonus]]+Table1[[#This Row],[TA 1 - Q4 Bonus]]</f>
        <v/>
      </c>
      <c r="R128">
        <f>Table1[[#This Row],[TA 2 - Q1 Score]]+Table1[[#This Row],[TA 2 - Q2 Score]]+Table1[[#This Row],[TA 2 - Q3 Score]]</f>
        <v/>
      </c>
      <c r="S128">
        <f>Table1[[#This Row],[TA 2 - Q1 Bonus]]+Table1[[#This Row],[TA 2 - Q2 Bonus]]+Table1[[#This Row],[TA 2 - Q4 Bonus]]</f>
        <v/>
      </c>
      <c r="T128">
        <f>(Table1[[#This Row],[TA 1 - Total Score (out of 35)]]+Table1[[#This Row],[TA 2 - Total Score (out of 35)]])/2</f>
        <v/>
      </c>
      <c r="U128">
        <f>(Table1[[#This Row],[TA 1 - Total Bonus (out of 13)]]+Table1[[#This Row],[TA 2 - Total Bonus (out of 13)]])/2</f>
        <v/>
      </c>
      <c r="V128">
        <f>Table1[[#This Row],[Average Questions]]/35*20+Table1[[#This Row],[Average Bonus]]/13*5</f>
        <v/>
      </c>
      <c r="W128" t="n">
        <v>0</v>
      </c>
      <c r="X128" t="n">
        <v>0</v>
      </c>
      <c r="Y128" t="inlineStr">
        <is>
          <t>The student's submission does not run correctly due to several issues. The code for displaying sample images is incorrect and does not display the images properly. The training and validation loops are not correctly implemented, and the model training process does not complete successfully. Additionally, the student did not implement the bonus task for Test Time Augmentation. Therefore, the student receives 0 points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28" t="n">
        <v>0</v>
      </c>
      <c r="AA128" t="n">
        <v>0</v>
      </c>
      <c r="AB128" t="inlineStr">
        <is>
          <t>The student's submission does not run correctly due to several issues. The dataset class or ImageFolder is incorrectly implemented, the transforms do not match the rubric, the CNN model does not have the correct number of convolutional layers, and the loss function used is incorrect for a multi-class classification problem. Additionally, the training and validation functions are not correctly implemented, and the plotting of losses and accuracy is missing. The bonus task is also not attempted.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28" t="n">
        <v>0</v>
      </c>
      <c r="AD128" t="inlineStr">
        <is>
          <t>The student's submission contains several critical errors and omissions. The dataset class is incorrectly implemented, using a CSV file that does not exist and failing to properly split the data. The model definition uses the wrong encoder and is set up for binary segmentation instead of multi-class segmentation. The training and validation loops are incorrectly implemented, using the wrong loss function and optimizer. Additionally, the student did not include code to display sample images and masks, plot the loss curve, or visualize predictions. These issues result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28" t="n">
        <v>0</v>
      </c>
      <c r="AF128" t="n">
        <v>0</v>
      </c>
      <c r="AG128" t="inlineStr">
        <is>
          <t>The student's submission for Question 4 is incomplete and contains several errors. The `ColorizationDataset` class is not correctly implemented, with missing or incorrect methods. The use of irrelevant modules and incorrect logic in the `__getitem__` method further indicates a lack of understanding of the task requirements. Therefore, the student receives 0.0 points for this task.
Breakdown:
- Correctly implemented `ColorizationDataset` class: 0.0/?</t>
        </is>
      </c>
      <c r="AH128" t="n">
        <v>0</v>
      </c>
      <c r="AI128" t="n">
        <v>0</v>
      </c>
    </row>
    <row r="129">
      <c r="A129" t="n">
        <v>128</v>
      </c>
      <c r="B129" t="inlineStr">
        <is>
          <t>TA_3</t>
        </is>
      </c>
      <c r="C129" t="inlineStr">
        <is>
          <t>TA_13</t>
        </is>
      </c>
      <c r="D129" t="n">
        <v>5.5</v>
      </c>
      <c r="E129" t="n">
        <v>0</v>
      </c>
      <c r="F129" t="n">
        <v>6</v>
      </c>
      <c r="G129" t="n">
        <v>0</v>
      </c>
      <c r="H129" t="n">
        <v>2</v>
      </c>
      <c r="I129" t="n">
        <v>0</v>
      </c>
      <c r="J129" t="n">
        <v>6</v>
      </c>
      <c r="K129" t="n">
        <v>0</v>
      </c>
      <c r="L129" t="n">
        <v>8.5</v>
      </c>
      <c r="M129" t="n">
        <v>0</v>
      </c>
      <c r="N129" t="n">
        <v>1.5</v>
      </c>
      <c r="O129" t="n">
        <v>0</v>
      </c>
      <c r="P129">
        <f>Table1[[#This Row],[TA 1 - Q1 Score]]+Table1[[#This Row],[TA 1 - Q2 Score]]+Table1[[#This Row],[TA 1 - Q3 Score]]</f>
        <v/>
      </c>
      <c r="Q129">
        <f>Table1[[#This Row],[TA 1 - Q1 Bonus]]+Table1[[#This Row],[TA 1 - Q2 Bonus]]+Table1[[#This Row],[TA 1 - Q4 Bonus]]</f>
        <v/>
      </c>
      <c r="R129">
        <f>Table1[[#This Row],[TA 2 - Q1 Score]]+Table1[[#This Row],[TA 2 - Q2 Score]]+Table1[[#This Row],[TA 2 - Q3 Score]]</f>
        <v/>
      </c>
      <c r="S129">
        <f>Table1[[#This Row],[TA 2 - Q1 Bonus]]+Table1[[#This Row],[TA 2 - Q2 Bonus]]+Table1[[#This Row],[TA 2 - Q4 Bonus]]</f>
        <v/>
      </c>
      <c r="T129">
        <f>(Table1[[#This Row],[TA 1 - Total Score (out of 35)]]+Table1[[#This Row],[TA 2 - Total Score (out of 35)]])/2</f>
        <v/>
      </c>
      <c r="U129">
        <f>(Table1[[#This Row],[TA 1 - Total Bonus (out of 13)]]+Table1[[#This Row],[TA 2 - Total Bonus (out of 13)]])/2</f>
        <v/>
      </c>
      <c r="V129">
        <f>Table1[[#This Row],[Average Questions]]/35*20+Table1[[#This Row],[Average Bonus]]/13*5</f>
        <v/>
      </c>
      <c r="W129" t="n">
        <v>0</v>
      </c>
      <c r="X129" t="n">
        <v>0</v>
      </c>
      <c r="Y129" t="inlineStr">
        <is>
          <t>The student's submission is incomplete and does not run end-to-end. The code for creating DataLoaders is missing, and the training and validation loops are incorrect. The student did not follow the instructions for freezing the backbone and replacing the classifier head correctly. Additionally, the student did not plot the training and validation losses or accuracies.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29" t="n">
        <v>0</v>
      </c>
      <c r="AA129" t="n">
        <v>0</v>
      </c>
      <c r="AB129" t="inlineStr">
        <is>
          <t>The student's submission does not run correctly due to several issues. The dataset class is defined but not used correctly in the DataLoader creation. The CNN model does not follow the specified architecture with 5 convolutional layers and batch normalization. The training and validation functions are incorrectly implemented, leading to errors in the training process.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29" t="n">
        <v>0</v>
      </c>
      <c r="AD129" t="inlineStr">
        <is>
          <t>The student's submission contains multiple issues that prevent the code from running correctly. The dataset class is incomplete and contains errors, such as incorrect paths and missing transformations. The model definition uses the wrong number of input channels and classes, which will cause errors during training. The training and validation loops are incomplete and contain logical errors. Additionally, the loss function and optimizer are incorrectly defined, leading to further issues. The plotting code is also incorrect and will not produce the desired output. Therefore, the student receives 0 points for all tasks as the code does not run correctly and deviates significantly from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29" t="n">
        <v>0</v>
      </c>
      <c r="AF129" t="n">
        <v>0</v>
      </c>
      <c r="AG129" t="inlineStr">
        <is>
          <t>No submission found.</t>
        </is>
      </c>
      <c r="AH129" t="n">
        <v>0</v>
      </c>
      <c r="AI129" t="n">
        <v>0</v>
      </c>
    </row>
    <row r="130">
      <c r="A130" t="n">
        <v>129</v>
      </c>
      <c r="B130" t="inlineStr">
        <is>
          <t>TA_3</t>
        </is>
      </c>
      <c r="C130" t="inlineStr">
        <is>
          <t>TA_13</t>
        </is>
      </c>
      <c r="D130" t="n">
        <v>9</v>
      </c>
      <c r="E130" t="n">
        <v>4</v>
      </c>
      <c r="F130" t="n">
        <v>7</v>
      </c>
      <c r="G130" t="n">
        <v>0</v>
      </c>
      <c r="H130" t="n">
        <v>8</v>
      </c>
      <c r="I130" t="n">
        <v>5</v>
      </c>
      <c r="J130" t="n">
        <v>10.5</v>
      </c>
      <c r="K130" t="n">
        <v>4</v>
      </c>
      <c r="L130" t="n">
        <v>11</v>
      </c>
      <c r="M130" t="n">
        <v>3</v>
      </c>
      <c r="N130" t="n">
        <v>11</v>
      </c>
      <c r="O130" t="n">
        <v>5</v>
      </c>
      <c r="P130">
        <f>Table1[[#This Row],[TA 1 - Q1 Score]]+Table1[[#This Row],[TA 1 - Q2 Score]]+Table1[[#This Row],[TA 1 - Q3 Score]]</f>
        <v/>
      </c>
      <c r="Q130">
        <f>Table1[[#This Row],[TA 1 - Q1 Bonus]]+Table1[[#This Row],[TA 1 - Q2 Bonus]]+Table1[[#This Row],[TA 1 - Q4 Bonus]]</f>
        <v/>
      </c>
      <c r="R130">
        <f>Table1[[#This Row],[TA 2 - Q1 Score]]+Table1[[#This Row],[TA 2 - Q2 Score]]+Table1[[#This Row],[TA 2 - Q3 Score]]</f>
        <v/>
      </c>
      <c r="S130">
        <f>Table1[[#This Row],[TA 2 - Q1 Bonus]]+Table1[[#This Row],[TA 2 - Q2 Bonus]]+Table1[[#This Row],[TA 2 - Q4 Bonus]]</f>
        <v/>
      </c>
      <c r="T130">
        <f>(Table1[[#This Row],[TA 1 - Total Score (out of 35)]]+Table1[[#This Row],[TA 2 - Total Score (out of 35)]])/2</f>
        <v/>
      </c>
      <c r="U130">
        <f>(Table1[[#This Row],[TA 1 - Total Bonus (out of 13)]]+Table1[[#This Row],[TA 2 - Total Bonus (out of 13)]])/2</f>
        <v/>
      </c>
      <c r="V130">
        <f>Table1[[#This Row],[Average Questions]]/35*20+Table1[[#This Row],[Average Bonus]]/13*5</f>
        <v/>
      </c>
      <c r="W130" t="n">
        <v>0</v>
      </c>
      <c r="X130" t="n">
        <v>0</v>
      </c>
      <c r="Y130" t="inlineStr">
        <is>
          <t>The student's submission does not complete the transforms correctly in the first cell, leading to issues in subsequent tasks. The DataLoaders are not created correctly in the first cell, and sample images are not displayed correctly. The model is not loaded correctly, the backbone is not frozen, and the classifier head is not replaced correctly. The training and validation loops are incorrect, and the labels are not fixed. The training setup is incorrect, and the plots for training and validation losses and accuracies are not generated correctly. The bonus task for Test Time Augmentation is not implemented correctly.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30" t="n">
        <v>0</v>
      </c>
      <c r="AA130" t="n">
        <v>0</v>
      </c>
      <c r="AB130" t="inlineStr">
        <is>
          <t>The student's submission does not follow the rubric correctly. The dataset is not split into train and test sets correctly, and the transforms applied do not match the required specifications. The CNN model does not follow the required structure with 5 convolutional layers, and the residual connection is incorrectly implemented. Additionally, the training and validation functions are not defined correctly, and the model training process is flawed. Therefore, no points are awarded for any of the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30" t="n">
        <v>0</v>
      </c>
      <c r="AD130" t="inlineStr">
        <is>
          <t>The student's submission does not run end-to-end due to multiple issues. The dataset class is incorrectly implemented, leading to errors in data loading. The training and validation loops are not correctly defined, and the model training process is incomplete. Additionally, the visualization of predictions is flawed. Therefore, no points are awarded for any task as the code does not run correctly.
Breakdown:
- Build custom dataset class for images and masks: 0.0/2.0
- Create DataLoaders: 0.0/0.5
- Display sample images and masks: 0.0/0.5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130" t="n">
        <v>0</v>
      </c>
      <c r="AF130" t="n">
        <v>0</v>
      </c>
      <c r="AG130" t="inlineStr">
        <is>
          <t>The student's implementation of the `ColorizationDataset` class is correct and follows the required structure. However, the code does not run correctly because the `rgb_to_grayscale` method does not handle the input image dimensions correctly, leading to a shape mismatch error. Since the task requires the code to run perfectly, the student receives 0 points for this task.
Breakdown:
- Correctly implemented `ColorizationDataset` class: 0.0/5.0</t>
        </is>
      </c>
      <c r="AH130" t="n">
        <v>0</v>
      </c>
      <c r="AI130" t="n">
        <v>0</v>
      </c>
    </row>
    <row r="131">
      <c r="A131" t="n">
        <v>130</v>
      </c>
      <c r="B131" t="inlineStr">
        <is>
          <t>TA_3</t>
        </is>
      </c>
      <c r="C131" t="inlineStr">
        <is>
          <t>TA_13</t>
        </is>
      </c>
      <c r="D131" t="n">
        <v>10.5</v>
      </c>
      <c r="E131" t="n">
        <v>4</v>
      </c>
      <c r="F131" t="n">
        <v>10</v>
      </c>
      <c r="G131" t="n">
        <v>4</v>
      </c>
      <c r="H131" t="n">
        <v>12</v>
      </c>
      <c r="I131" t="n">
        <v>5</v>
      </c>
      <c r="J131" t="n">
        <v>12</v>
      </c>
      <c r="K131" t="n">
        <v>4</v>
      </c>
      <c r="L131" t="n">
        <v>8.5</v>
      </c>
      <c r="M131" t="n">
        <v>3</v>
      </c>
      <c r="N131" t="n">
        <v>12</v>
      </c>
      <c r="O131" t="n">
        <v>5</v>
      </c>
      <c r="P131">
        <f>Table1[[#This Row],[TA 1 - Q1 Score]]+Table1[[#This Row],[TA 1 - Q2 Score]]+Table1[[#This Row],[TA 1 - Q3 Score]]</f>
        <v/>
      </c>
      <c r="Q131">
        <f>Table1[[#This Row],[TA 1 - Q1 Bonus]]+Table1[[#This Row],[TA 1 - Q2 Bonus]]+Table1[[#This Row],[TA 1 - Q4 Bonus]]</f>
        <v/>
      </c>
      <c r="R131">
        <f>Table1[[#This Row],[TA 2 - Q1 Score]]+Table1[[#This Row],[TA 2 - Q2 Score]]+Table1[[#This Row],[TA 2 - Q3 Score]]</f>
        <v/>
      </c>
      <c r="S131">
        <f>Table1[[#This Row],[TA 2 - Q1 Bonus]]+Table1[[#This Row],[TA 2 - Q2 Bonus]]+Table1[[#This Row],[TA 2 - Q4 Bonus]]</f>
        <v/>
      </c>
      <c r="T131">
        <f>(Table1[[#This Row],[TA 1 - Total Score (out of 35)]]+Table1[[#This Row],[TA 2 - Total Score (out of 35)]])/2</f>
        <v/>
      </c>
      <c r="U131">
        <f>(Table1[[#This Row],[TA 1 - Total Bonus (out of 13)]]+Table1[[#This Row],[TA 2 - Total Bonus (out of 13)]])/2</f>
        <v/>
      </c>
      <c r="V131">
        <f>Table1[[#This Row],[Average Questions]]/35*20+Table1[[#This Row],[Average Bonus]]/13*5</f>
        <v/>
      </c>
      <c r="W131" t="n">
        <v>0</v>
      </c>
      <c r="X131" t="n">
        <v>0</v>
      </c>
      <c r="Y131" t="inlineStr">
        <is>
          <t>The student's submission has several critical issues that prevent it from running correctly. The DataLoader creation and display of sample images are incomplete, leading to a failure in displaying the images. The model loading and adaptation steps are incorrect, as the backbone is not properly frozen, and the classifier head is not correctly replaced. The training and validation loops are flawed, with incorrect label handling and missing essential components. Additionally, the plotting of training and validation metrics is incomplete. The bonus task for Test Time Augmentation is also not implemented correctly. Therefore, the student receives 0 points for the base tasks and 0 points for the bonus task.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31" t="n">
        <v>0</v>
      </c>
      <c r="AA131" t="n">
        <v>0</v>
      </c>
      <c r="AB131" t="inlineStr">
        <is>
          <t>The student's submission does not run correctly due to several issues. The dataset class is incorrectly implemented, leading to errors in data loading. The transforms do not include RandomRotation as specified, and the image size is resized to 64x64 instead of 32x32. The CNN model class does not follow the specified structure with 5 convolutional layers and batch normalization. The training and validation functions are incorrectly implemented, and the training process does not set up the device, model, loss, and optimizer correctly. Additionally, the bonus task for residual connections is not implemented correctly. Therefore, the minimum defensible score for each task is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131" t="n">
        <v>0</v>
      </c>
      <c r="AD131" t="inlineStr">
        <is>
          <t>The student's submission does not run correctly due to several issues. The dataset class is incorrectly implemented, leading to errors in data loading. The model definition uses the wrong encoder, and the training and validation loops contain logical errors. Additionally, the visualization of predictions is flawed. Since the code does not run end-to-end, no partial credit can be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31" t="n">
        <v>0</v>
      </c>
      <c r="AF131" t="n">
        <v>0</v>
      </c>
      <c r="AG131" t="inlineStr">
        <is>
          <t>The student's implementation of the `ColorizationDataset` class contains several issues. The class definition and methods are present, but there are logical errors and missing components. For instance, the `rgb_to_grayscale` method is incorrectly implemented, and the `__getitem__` method does not correctly return the grayscale and color image tuple. Additionally, the visualization code is present but does not correctly display the images due to the underlying issues in the dataset class. Since the implementation does not run correctly and deviates from the rubric, the student receives 0 points for this task.
Breakdown:
- Correctly implemented `ColorizationDataset` class: 0.0/5.0</t>
        </is>
      </c>
      <c r="AH131" t="n">
        <v>0</v>
      </c>
      <c r="AI131" t="n">
        <v>0</v>
      </c>
    </row>
    <row r="132">
      <c r="A132" t="n">
        <v>131</v>
      </c>
      <c r="B132" t="inlineStr">
        <is>
          <t>TA_3</t>
        </is>
      </c>
      <c r="C132" t="inlineStr">
        <is>
          <t>TA_13</t>
        </is>
      </c>
      <c r="D132" t="n">
        <v>11</v>
      </c>
      <c r="E132" t="n">
        <v>4</v>
      </c>
      <c r="F132" t="n">
        <v>9.5</v>
      </c>
      <c r="G132" t="n">
        <v>0</v>
      </c>
      <c r="H132" t="n">
        <v>12</v>
      </c>
      <c r="I132" t="n">
        <v>0</v>
      </c>
      <c r="J132" t="n">
        <v>12</v>
      </c>
      <c r="K132" t="n">
        <v>2</v>
      </c>
      <c r="L132" t="n">
        <v>11</v>
      </c>
      <c r="M132" t="n">
        <v>0</v>
      </c>
      <c r="N132" t="n">
        <v>12</v>
      </c>
      <c r="O132" t="n">
        <v>0</v>
      </c>
      <c r="P132">
        <f>Table1[[#This Row],[TA 1 - Q1 Score]]+Table1[[#This Row],[TA 1 - Q2 Score]]+Table1[[#This Row],[TA 1 - Q3 Score]]</f>
        <v/>
      </c>
      <c r="Q132">
        <f>Table1[[#This Row],[TA 1 - Q1 Bonus]]+Table1[[#This Row],[TA 1 - Q2 Bonus]]+Table1[[#This Row],[TA 1 - Q4 Bonus]]</f>
        <v/>
      </c>
      <c r="R132">
        <f>Table1[[#This Row],[TA 2 - Q1 Score]]+Table1[[#This Row],[TA 2 - Q2 Score]]+Table1[[#This Row],[TA 2 - Q3 Score]]</f>
        <v/>
      </c>
      <c r="S132">
        <f>Table1[[#This Row],[TA 2 - Q1 Bonus]]+Table1[[#This Row],[TA 2 - Q2 Bonus]]+Table1[[#This Row],[TA 2 - Q4 Bonus]]</f>
        <v/>
      </c>
      <c r="T132">
        <f>(Table1[[#This Row],[TA 1 - Total Score (out of 35)]]+Table1[[#This Row],[TA 2 - Total Score (out of 35)]])/2</f>
        <v/>
      </c>
      <c r="U132">
        <f>(Table1[[#This Row],[TA 1 - Total Bonus (out of 13)]]+Table1[[#This Row],[TA 2 - Total Bonus (out of 13)]])/2</f>
        <v/>
      </c>
      <c r="V132">
        <f>Table1[[#This Row],[Average Questions]]/35*20+Table1[[#This Row],[Average Bonus]]/13*5</f>
        <v/>
      </c>
      <c r="W132" t="n">
        <v>0</v>
      </c>
      <c r="X132" t="n">
        <v>0</v>
      </c>
      <c r="Y132" t="inlineStr">
        <is>
          <t>The student's submission contains several critical errors and omissions that prevent the code from running correctly. The transforms are incomplete, the DataLoaders are not correctly created, and the sample images are not displayed as required. The model loading and adaptation steps are incorrect, and the training and validation loops are flawed. Additionally, the bonus task for Test Time Augmentation is not implemented correctly.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32" t="n">
        <v>0</v>
      </c>
      <c r="AA132" t="n">
        <v>0</v>
      </c>
      <c r="AB132" t="inlineStr">
        <is>
          <t>The student's submission does not run correctly due to several issues. The code for loading and preparing the data is incomplete and incorrect, as it does not follow the specified transformations and does not display sample images. The CNN model class does not meet the requirements of having 5 convolutional layers. The training and validation functions are incorrectly implemented, leading to errors in the training process. Additionally, the student did not attempt the bonus task. Therefore, the minimum defensible score for each task is 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132" t="n">
        <v>0</v>
      </c>
      <c r="AD132" t="inlineStr">
        <is>
          <t>The student's submission does not run end-to-end due to missing code for the training and validation loops, as well as the visualization of predictions. The code for the dataset class and model definition is present but incomplete or incorrect, leading to a failure in running the entire pipeline. Therefore, no points are awarded for any task as the code does not execute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32" t="n">
        <v>0</v>
      </c>
      <c r="AF132" t="n">
        <v>0</v>
      </c>
      <c r="AG132" t="inlineStr">
        <is>
          <t>No submission found.</t>
        </is>
      </c>
      <c r="AH132" t="n">
        <v>0</v>
      </c>
      <c r="AI132" t="n">
        <v>0</v>
      </c>
    </row>
    <row r="133">
      <c r="A133" t="n">
        <v>132</v>
      </c>
      <c r="B133" t="inlineStr">
        <is>
          <t>TA_3</t>
        </is>
      </c>
      <c r="C133" t="inlineStr">
        <is>
          <t>TA_13</t>
        </is>
      </c>
      <c r="D133" t="n">
        <v>11</v>
      </c>
      <c r="E133" t="n">
        <v>4</v>
      </c>
      <c r="F133" t="n">
        <v>11</v>
      </c>
      <c r="G133" t="n">
        <v>0</v>
      </c>
      <c r="H133" t="n">
        <v>9</v>
      </c>
      <c r="I133" t="n">
        <v>5</v>
      </c>
      <c r="J133" t="n">
        <v>11</v>
      </c>
      <c r="K133" t="n">
        <v>4</v>
      </c>
      <c r="L133" t="n">
        <v>9</v>
      </c>
      <c r="M133" t="n">
        <v>0</v>
      </c>
      <c r="N133" t="n">
        <v>11</v>
      </c>
      <c r="O133" t="n">
        <v>5</v>
      </c>
      <c r="P133">
        <f>Table1[[#This Row],[TA 1 - Q1 Score]]+Table1[[#This Row],[TA 1 - Q2 Score]]+Table1[[#This Row],[TA 1 - Q3 Score]]</f>
        <v/>
      </c>
      <c r="Q133">
        <f>Table1[[#This Row],[TA 1 - Q1 Bonus]]+Table1[[#This Row],[TA 1 - Q2 Bonus]]+Table1[[#This Row],[TA 1 - Q4 Bonus]]</f>
        <v/>
      </c>
      <c r="R133">
        <f>Table1[[#This Row],[TA 2 - Q1 Score]]+Table1[[#This Row],[TA 2 - Q2 Score]]+Table1[[#This Row],[TA 2 - Q3 Score]]</f>
        <v/>
      </c>
      <c r="S133">
        <f>Table1[[#This Row],[TA 2 - Q1 Bonus]]+Table1[[#This Row],[TA 2 - Q2 Bonus]]+Table1[[#This Row],[TA 2 - Q4 Bonus]]</f>
        <v/>
      </c>
      <c r="T133">
        <f>(Table1[[#This Row],[TA 1 - Total Score (out of 35)]]+Table1[[#This Row],[TA 2 - Total Score (out of 35)]])/2</f>
        <v/>
      </c>
      <c r="U133">
        <f>(Table1[[#This Row],[TA 1 - Total Bonus (out of 13)]]+Table1[[#This Row],[TA 2 - Total Bonus (out of 13)]])/2</f>
        <v/>
      </c>
      <c r="V133">
        <f>Table1[[#This Row],[Average Questions]]/35*20+Table1[[#This Row],[Average Bonus]]/13*5</f>
        <v/>
      </c>
      <c r="W133" t="n">
        <v>0</v>
      </c>
      <c r="X133" t="n">
        <v>0</v>
      </c>
      <c r="Y133" t="inlineStr">
        <is>
          <t>The student's submission does not run correctly due to several issues. The DataLoader creation and image display tasks are incomplete, and the training and validation loops are not correctly implemented. Additionally, the bonus task for Test Time Augmentation (TTA) is not correctly defined or implemented.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33" t="n">
        <v>0</v>
      </c>
      <c r="AA133" t="n">
        <v>0</v>
      </c>
      <c r="AB133" t="inlineStr">
        <is>
          <t>The student's submission does not run correctly due to several issues. The dataset paths are incorrect, leading to errors in loading the data. The model definition and training loops contain logical errors, such as incorrect dimensions in the fully connected layer and improper handling of the residual connection. Additionally, the plotting functions do not work as expected due to mismatched variable names and incorrect plotting logic. Therefore, no points are awarded for any task as the code does not run end-to-end.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33" t="n">
        <v>10</v>
      </c>
      <c r="AD133" t="inlineStr">
        <is>
          <t>The student's submission successfully builds a custom dataset class, creates DataLoaders, and displays sample images and masks. The model class is correctly defined with the pretrained U-Net using efficientnet-b1 encoder. The training and validation loops are implemented correctly. The model is trained, and the training and validation losses are printed and plotted. The visualization of predictions vs ground truth for multiple images is also correctly implemented. However, the student did not follow the exact instructions for the dataset path, which led to a minor deviation. The student's code runs end-to-end and produces the correct output, following optimal logic.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33" t="n">
        <v>0</v>
      </c>
      <c r="AF133" t="n">
        <v>0</v>
      </c>
      <c r="AG133" t="inlineStr">
        <is>
          <t>The student's implementation of the `ColorizationDataset` class has a critical error in the `rgb_to_grayscale` method. The method does not add the channel dimension correctly, resulting in a tensor of shape (H, W) instead of the required (1, H, W). This error prevents the code from running correctly and thus does not meet the criteria for any points.
Breakdown:
- Correctly implemented `ColorizationDataset` class: 0.0/?</t>
        </is>
      </c>
      <c r="AH133" t="n">
        <v>10</v>
      </c>
      <c r="AI133" t="n">
        <v>0</v>
      </c>
    </row>
    <row r="134">
      <c r="A134" t="n">
        <v>133</v>
      </c>
      <c r="B134" t="inlineStr">
        <is>
          <t>TA_3</t>
        </is>
      </c>
      <c r="C134" t="inlineStr">
        <is>
          <t>TA_13</t>
        </is>
      </c>
      <c r="D134" t="n">
        <v>10.5</v>
      </c>
      <c r="E134" t="n">
        <v>0</v>
      </c>
      <c r="F134" t="n">
        <v>11</v>
      </c>
      <c r="G134" t="n">
        <v>0</v>
      </c>
      <c r="H134" t="n">
        <v>12</v>
      </c>
      <c r="I134" t="n">
        <v>0</v>
      </c>
      <c r="J134" t="n">
        <v>9.5</v>
      </c>
      <c r="K134" t="n">
        <v>0</v>
      </c>
      <c r="L134" t="n">
        <v>11</v>
      </c>
      <c r="M134" t="n">
        <v>0</v>
      </c>
      <c r="N134" t="n">
        <v>12</v>
      </c>
      <c r="O134" t="n">
        <v>0</v>
      </c>
      <c r="P134">
        <f>Table1[[#This Row],[TA 1 - Q1 Score]]+Table1[[#This Row],[TA 1 - Q2 Score]]+Table1[[#This Row],[TA 1 - Q3 Score]]</f>
        <v/>
      </c>
      <c r="Q134">
        <f>Table1[[#This Row],[TA 1 - Q1 Bonus]]+Table1[[#This Row],[TA 1 - Q2 Bonus]]+Table1[[#This Row],[TA 1 - Q4 Bonus]]</f>
        <v/>
      </c>
      <c r="R134">
        <f>Table1[[#This Row],[TA 2 - Q1 Score]]+Table1[[#This Row],[TA 2 - Q2 Score]]+Table1[[#This Row],[TA 2 - Q3 Score]]</f>
        <v/>
      </c>
      <c r="S134">
        <f>Table1[[#This Row],[TA 2 - Q1 Bonus]]+Table1[[#This Row],[TA 2 - Q2 Bonus]]+Table1[[#This Row],[TA 2 - Q4 Bonus]]</f>
        <v/>
      </c>
      <c r="T134">
        <f>(Table1[[#This Row],[TA 1 - Total Score (out of 35)]]+Table1[[#This Row],[TA 2 - Total Score (out of 35)]])/2</f>
        <v/>
      </c>
      <c r="U134">
        <f>(Table1[[#This Row],[TA 1 - Total Bonus (out of 13)]]+Table1[[#This Row],[TA 2 - Total Bonus (out of 13)]])/2</f>
        <v/>
      </c>
      <c r="V134">
        <f>Table1[[#This Row],[Average Questions]]/35*20+Table1[[#This Row],[Average Bonus]]/13*5</f>
        <v/>
      </c>
      <c r="W134" t="n">
        <v>0</v>
      </c>
      <c r="X134" t="n">
        <v>0</v>
      </c>
      <c r="Y134" t="inlineStr">
        <is>
          <t>The student's submission contains several critical errors that prevent the code from running correctly. The custom transform class SubtractOne is incorrectly implemented and does not function as intended. The training and validation loops are incorrectly defined, leading to errors in the training process. Additionally, the student did not plot the training and validation losses or accuracies. The bonus task for Test Time Augmentation (TTA) is also incomplete and does not run correctly.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34" t="n">
        <v>0</v>
      </c>
      <c r="AA134" t="n">
        <v>0</v>
      </c>
      <c r="AB134" t="inlineStr">
        <is>
          <t>The student's submission does not follow the rubric correctly. The dataset class is custom-built but does not match the required ImageFolder approach. The transforms do not resize to 32x32 as specified. The CNN model does not have 5 convolutional layers and lacks the required batch normalization. The training and validation functions are incorrectly implemented, and the training process does not set up the device, model, loss, and optimizer correctly.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34" t="n">
        <v>0</v>
      </c>
      <c r="AD134" t="inlineStr">
        <is>
          <t>The student's submission does not run end-to-end due to missing code in several critical sections. Specifically, the dataset class definition is incomplete, the model class definition is missing, and the training and validation loops are not fully implemented. Additionally, the code for running the training and visualizing predictions is not provided. Therefore, the student receives 0 points for each task as the code does not run correctly and does not follow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34" t="n">
        <v>0</v>
      </c>
      <c r="AF134" t="n">
        <v>0</v>
      </c>
      <c r="AG134" t="inlineStr">
        <is>
          <t>No submission found.</t>
        </is>
      </c>
      <c r="AH134" t="n">
        <v>0</v>
      </c>
      <c r="AI134" t="n">
        <v>0</v>
      </c>
    </row>
    <row r="135">
      <c r="A135" t="n">
        <v>134</v>
      </c>
      <c r="B135" t="inlineStr">
        <is>
          <t>TA_3</t>
        </is>
      </c>
      <c r="C135" t="inlineStr">
        <is>
          <t>TA_13</t>
        </is>
      </c>
      <c r="D135" t="n">
        <v>3</v>
      </c>
      <c r="E135" t="n">
        <v>0</v>
      </c>
      <c r="F135" t="n">
        <v>3.5</v>
      </c>
      <c r="G135" t="n">
        <v>0</v>
      </c>
      <c r="H135" t="n">
        <v>0</v>
      </c>
      <c r="I135" t="n">
        <v>0</v>
      </c>
      <c r="J135" t="n">
        <v>8.5</v>
      </c>
      <c r="K135" t="n">
        <v>0</v>
      </c>
      <c r="L135" t="n">
        <v>7</v>
      </c>
      <c r="M135" t="n">
        <v>0</v>
      </c>
      <c r="N135" t="n">
        <v>0</v>
      </c>
      <c r="O135" t="n">
        <v>0</v>
      </c>
      <c r="P135">
        <f>Table1[[#This Row],[TA 1 - Q1 Score]]+Table1[[#This Row],[TA 1 - Q2 Score]]+Table1[[#This Row],[TA 1 - Q3 Score]]</f>
        <v/>
      </c>
      <c r="Q135">
        <f>Table1[[#This Row],[TA 1 - Q1 Bonus]]+Table1[[#This Row],[TA 1 - Q2 Bonus]]+Table1[[#This Row],[TA 1 - Q4 Bonus]]</f>
        <v/>
      </c>
      <c r="R135">
        <f>Table1[[#This Row],[TA 2 - Q1 Score]]+Table1[[#This Row],[TA 2 - Q2 Score]]+Table1[[#This Row],[TA 2 - Q3 Score]]</f>
        <v/>
      </c>
      <c r="S135">
        <f>Table1[[#This Row],[TA 2 - Q1 Bonus]]+Table1[[#This Row],[TA 2 - Q2 Bonus]]+Table1[[#This Row],[TA 2 - Q4 Bonus]]</f>
        <v/>
      </c>
      <c r="T135">
        <f>(Table1[[#This Row],[TA 1 - Total Score (out of 35)]]+Table1[[#This Row],[TA 2 - Total Score (out of 35)]])/2</f>
        <v/>
      </c>
      <c r="U135">
        <f>(Table1[[#This Row],[TA 1 - Total Bonus (out of 13)]]+Table1[[#This Row],[TA 2 - Total Bonus (out of 13)]])/2</f>
        <v/>
      </c>
      <c r="V135">
        <f>Table1[[#This Row],[Average Questions]]/35*20+Table1[[#This Row],[Average Bonus]]/13*5</f>
        <v/>
      </c>
      <c r="W135" t="n">
        <v>0</v>
      </c>
      <c r="X135" t="n">
        <v>0</v>
      </c>
      <c r="Y135" t="inlineStr">
        <is>
          <t>The student's submission does not run correctly due to several issues. The model definition is incorrect, leading to errors in the training and validation loops. The student did not correctly implement the transforms, DataLoaders, or the model adaptation steps. Additionally, the training and validation functions are not correctly defined, and the plotting code is missing.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35" t="n">
        <v>0</v>
      </c>
      <c r="AA135" t="n">
        <v>0</v>
      </c>
      <c r="AB135" t="inlineStr">
        <is>
          <t>The student's submission does not run correctly due to several issues. The dataset class is incorrectly implemented, leading to errors in data loading. The CNN model does not follow the specified architecture, and the training and validation functions are incorrectly implemented.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35" t="n">
        <v>0</v>
      </c>
      <c r="AD135" t="inlineStr">
        <is>
          <t>The student's submission does not include any code for Tasks 2, 3, 4, and 5. The dataset class in Task 1 is incomplete and does not follow the required structure, leading to a score of 0 for all tasks. The student did not attempt to create DataLoaders or display sample images and masks, which are essential parts of Task 1. Additionally, the student did not define the model, training and validation loops, or any part of the training process, resulting in a total score of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35" t="n">
        <v>0</v>
      </c>
      <c r="AF135" t="n">
        <v>0</v>
      </c>
      <c r="AG135" t="inlineStr">
        <is>
          <t>No submission found.</t>
        </is>
      </c>
      <c r="AH135" t="n">
        <v>0</v>
      </c>
      <c r="AI135" t="n">
        <v>0</v>
      </c>
    </row>
    <row r="136">
      <c r="A136" t="n">
        <v>135</v>
      </c>
      <c r="B136" t="inlineStr">
        <is>
          <t>TA_3</t>
        </is>
      </c>
      <c r="C136" t="inlineStr">
        <is>
          <t>TA_13</t>
        </is>
      </c>
      <c r="D136" t="n">
        <v>6.5</v>
      </c>
      <c r="E136" t="n">
        <v>0</v>
      </c>
      <c r="F136" t="n">
        <v>6</v>
      </c>
      <c r="G136" t="n">
        <v>0</v>
      </c>
      <c r="H136" t="n">
        <v>2</v>
      </c>
      <c r="I136" t="n">
        <v>0</v>
      </c>
      <c r="J136" t="n">
        <v>5.5</v>
      </c>
      <c r="K136" t="n">
        <v>3</v>
      </c>
      <c r="L136" t="n">
        <v>4.5</v>
      </c>
      <c r="M136" t="n">
        <v>0</v>
      </c>
      <c r="N136" t="n">
        <v>0</v>
      </c>
      <c r="O136" t="n">
        <v>0</v>
      </c>
      <c r="P136">
        <f>Table1[[#This Row],[TA 1 - Q1 Score]]+Table1[[#This Row],[TA 1 - Q2 Score]]+Table1[[#This Row],[TA 1 - Q3 Score]]</f>
        <v/>
      </c>
      <c r="Q136">
        <f>Table1[[#This Row],[TA 1 - Q1 Bonus]]+Table1[[#This Row],[TA 1 - Q2 Bonus]]+Table1[[#This Row],[TA 1 - Q4 Bonus]]</f>
        <v/>
      </c>
      <c r="R136">
        <f>Table1[[#This Row],[TA 2 - Q1 Score]]+Table1[[#This Row],[TA 2 - Q2 Score]]+Table1[[#This Row],[TA 2 - Q3 Score]]</f>
        <v/>
      </c>
      <c r="S136">
        <f>Table1[[#This Row],[TA 2 - Q1 Bonus]]+Table1[[#This Row],[TA 2 - Q2 Bonus]]+Table1[[#This Row],[TA 2 - Q4 Bonus]]</f>
        <v/>
      </c>
      <c r="T136">
        <f>(Table1[[#This Row],[TA 1 - Total Score (out of 35)]]+Table1[[#This Row],[TA 2 - Total Score (out of 35)]])/2</f>
        <v/>
      </c>
      <c r="U136">
        <f>(Table1[[#This Row],[TA 1 - Total Bonus (out of 13)]]+Table1[[#This Row],[TA 2 - Total Bonus (out of 13)]])/2</f>
        <v/>
      </c>
      <c r="V136">
        <f>Table1[[#This Row],[Average Questions]]/35*20+Table1[[#This Row],[Average Bonus]]/13*5</f>
        <v/>
      </c>
      <c r="W136" t="n">
        <v>0</v>
      </c>
      <c r="X136" t="n">
        <v>0</v>
      </c>
      <c r="Y136" t="inlineStr">
        <is>
          <t>The student's submission contains several critical errors that prevent the code from running correctly. The transforms are incorrectly set to resize images to 240x240 instead of 28x28, which deviates from the rubric. The model is incorrectly set up with 2 classes instead of 26, and the backbone is not properly frozen. The training and validation loops do not fix the labels to be 0-indexed, which is a requirement. Additionally, the bonus task for Test Time Augmentation is not implemented correctly. Due to these issues, the code does not run end-to-end, and thus, no partial credit can be awarded for any task.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36" t="n">
        <v>0</v>
      </c>
      <c r="AA136" t="n">
        <v>0</v>
      </c>
      <c r="AB136" t="inlineStr">
        <is>
          <t>The student's submission does not run correctly due to multiple issues. The dataset class is incorrectly implemented, leading to errors in data loading. The CNN model definition has errors, such as incorrect batch normalization implementation and incorrect fully connected layer sizes. The training and validation functions are incomplete and contain errors. Additionally, the training process is not correctly set up, and there is no attempt to plot losses and accuracy. The bonus task is also not attempted.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36" t="n">
        <v>0</v>
      </c>
      <c r="AD136" t="inlineStr">
        <is>
          <t>The student's submission is incomplete and does not run correctly. The dataset class is not fully implemented, and the DataLoaders are not correctly defined. The model class is incorrectly defined with the wrong number of classes and the wrong encoder. The training and validation loops are present but do not run correctly due to the issues in the dataset and model definitions. The training process is attempted but fails due to the previous issues. The visualization of predictions is also incomplete and does not run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36" t="n">
        <v>0</v>
      </c>
      <c r="AF136" t="n">
        <v>0</v>
      </c>
      <c r="AG136" t="inlineStr">
        <is>
          <t>No submission found.</t>
        </is>
      </c>
      <c r="AH136" t="n">
        <v>0</v>
      </c>
      <c r="AI136" t="n">
        <v>0</v>
      </c>
    </row>
    <row r="137">
      <c r="A137" t="n">
        <v>136</v>
      </c>
      <c r="B137" t="inlineStr">
        <is>
          <t>TA_3</t>
        </is>
      </c>
      <c r="C137" t="inlineStr">
        <is>
          <t>TA_13</t>
        </is>
      </c>
      <c r="D137" t="n">
        <v>7</v>
      </c>
      <c r="E137" t="n">
        <v>0</v>
      </c>
      <c r="F137" t="n">
        <v>10</v>
      </c>
      <c r="G137" t="n">
        <v>0</v>
      </c>
      <c r="H137" t="n">
        <v>6</v>
      </c>
      <c r="I137" t="n">
        <v>0</v>
      </c>
      <c r="J137" t="n">
        <v>8</v>
      </c>
      <c r="K137" t="n">
        <v>2</v>
      </c>
      <c r="L137" t="n">
        <v>11</v>
      </c>
      <c r="M137" t="n">
        <v>0</v>
      </c>
      <c r="N137" t="n">
        <v>10.5</v>
      </c>
      <c r="O137" t="n">
        <v>0</v>
      </c>
      <c r="P137">
        <f>Table1[[#This Row],[TA 1 - Q1 Score]]+Table1[[#This Row],[TA 1 - Q2 Score]]+Table1[[#This Row],[TA 1 - Q3 Score]]</f>
        <v/>
      </c>
      <c r="Q137">
        <f>Table1[[#This Row],[TA 1 - Q1 Bonus]]+Table1[[#This Row],[TA 1 - Q2 Bonus]]+Table1[[#This Row],[TA 1 - Q4 Bonus]]</f>
        <v/>
      </c>
      <c r="R137">
        <f>Table1[[#This Row],[TA 2 - Q1 Score]]+Table1[[#This Row],[TA 2 - Q2 Score]]+Table1[[#This Row],[TA 2 - Q3 Score]]</f>
        <v/>
      </c>
      <c r="S137">
        <f>Table1[[#This Row],[TA 2 - Q1 Bonus]]+Table1[[#This Row],[TA 2 - Q2 Bonus]]+Table1[[#This Row],[TA 2 - Q4 Bonus]]</f>
        <v/>
      </c>
      <c r="T137">
        <f>(Table1[[#This Row],[TA 1 - Total Score (out of 35)]]+Table1[[#This Row],[TA 2 - Total Score (out of 35)]])/2</f>
        <v/>
      </c>
      <c r="U137">
        <f>(Table1[[#This Row],[TA 1 - Total Bonus (out of 13)]]+Table1[[#This Row],[TA 2 - Total Bonus (out of 13)]])/2</f>
        <v/>
      </c>
      <c r="V137">
        <f>Table1[[#This Row],[Average Questions]]/35*20+Table1[[#This Row],[Average Bonus]]/13*5</f>
        <v/>
      </c>
      <c r="W137" t="n">
        <v>0</v>
      </c>
      <c r="X137" t="n">
        <v>0</v>
      </c>
      <c r="Y137" t="inlineStr">
        <is>
          <t>The student's submission contains several critical errors that prevent the code from running correctly. The transforms include an incorrect custom module that subtracts 1 from the labels, which is not part of the required transforms. The DataLoaders are created but the labels are not displayed correctly. The model loading and adaptation are correct, but the training and validation loops contain logical errors, such as using MSELoss instead of CrossEntropyLoss and not adjusting the labels for 0-indexing. The training and validation plots are incorrect because the validation loop is not implemented correctly. The bonus task for Test Time Augmentation (TTA) is attempted but contains errors in averaging the predictions. Overall, the submission does not meet the requirements for any of the tasks, resulting in a score of 0.0.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37" t="n">
        <v>0</v>
      </c>
      <c r="AA137" t="n">
        <v>0</v>
      </c>
      <c r="AB137" t="inlineStr">
        <is>
          <t>The student's submission does not run correctly due to multiple issues. The dataset paths are incorrectly set, leading to errors in loading the data. The transformations applied to the test dataset include normalization, which is not specified in the rubric. The CNN model does not follow the specified architecture with 5 convolutional layers and batch normalization. The training and validation functions are incorrectly implemented, leading to errors in the training process. Additionally, the bonus task for residual connections is not correctly implemented.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37" t="n">
        <v>0</v>
      </c>
      <c r="AD137" t="inlineStr">
        <is>
          <t>The student's submission does not run correctly due to several issues. The dataset class is incomplete and does not correctly load images and masks. The model definition uses the wrong encoder and the number of classes is incorrect. The training and validation loops are incorrectly implemented, and the loss function and optimizer are not suitable for the task. Additionally, the visualization of predictions is missing. Therefore, no points are awarded for any task as the code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37" t="n">
        <v>0</v>
      </c>
      <c r="AF137" t="n">
        <v>0</v>
      </c>
      <c r="AG137" t="inlineStr">
        <is>
          <t>The student's implementation of the `ColorizationDataset` class is incomplete and contains several errors. The `__init__` method incorrectly attempts to load image paths and labels, which is not required and deviates from the rubric. The `rgb_to_grayscale` method is not implemented, and the `__getitem__` method contains syntax errors and logical mistakes. Additionally, the student did not correctly handle the conversion of color images to grayscale images. Therefore, the implementation does not run correctly and does not meet the criteria for any points.
Breakdown:
- Correctly implemented `ColorizationDataset` class: 0.0/5.0</t>
        </is>
      </c>
      <c r="AH137" t="n">
        <v>0</v>
      </c>
      <c r="AI137" t="n">
        <v>0</v>
      </c>
    </row>
    <row r="138">
      <c r="A138" t="n">
        <v>137</v>
      </c>
      <c r="B138" t="inlineStr">
        <is>
          <t>TA_3</t>
        </is>
      </c>
      <c r="C138" t="inlineStr">
        <is>
          <t>TA_13</t>
        </is>
      </c>
      <c r="D138" t="n">
        <v>4.5</v>
      </c>
      <c r="E138" t="n">
        <v>0</v>
      </c>
      <c r="F138" t="n">
        <v>1</v>
      </c>
      <c r="G138" t="n">
        <v>0</v>
      </c>
      <c r="H138" t="n">
        <v>0</v>
      </c>
      <c r="I138" t="n">
        <v>0</v>
      </c>
      <c r="J138" t="n">
        <v>7.5</v>
      </c>
      <c r="K138" t="n">
        <v>0</v>
      </c>
      <c r="L138" t="n">
        <v>3</v>
      </c>
      <c r="M138" t="n">
        <v>0</v>
      </c>
      <c r="N138" t="n">
        <v>0</v>
      </c>
      <c r="O138" t="n">
        <v>0</v>
      </c>
      <c r="P138">
        <f>Table1[[#This Row],[TA 1 - Q1 Score]]+Table1[[#This Row],[TA 1 - Q2 Score]]+Table1[[#This Row],[TA 1 - Q3 Score]]</f>
        <v/>
      </c>
      <c r="Q138">
        <f>Table1[[#This Row],[TA 1 - Q1 Bonus]]+Table1[[#This Row],[TA 1 - Q2 Bonus]]+Table1[[#This Row],[TA 1 - Q4 Bonus]]</f>
        <v/>
      </c>
      <c r="R138">
        <f>Table1[[#This Row],[TA 2 - Q1 Score]]+Table1[[#This Row],[TA 2 - Q2 Score]]+Table1[[#This Row],[TA 2 - Q3 Score]]</f>
        <v/>
      </c>
      <c r="S138">
        <f>Table1[[#This Row],[TA 2 - Q1 Bonus]]+Table1[[#This Row],[TA 2 - Q2 Bonus]]+Table1[[#This Row],[TA 2 - Q4 Bonus]]</f>
        <v/>
      </c>
      <c r="T138">
        <f>(Table1[[#This Row],[TA 1 - Total Score (out of 35)]]+Table1[[#This Row],[TA 2 - Total Score (out of 35)]])/2</f>
        <v/>
      </c>
      <c r="U138">
        <f>(Table1[[#This Row],[TA 1 - Total Bonus (out of 13)]]+Table1[[#This Row],[TA 2 - Total Bonus (out of 13)]])/2</f>
        <v/>
      </c>
      <c r="V138">
        <f>Table1[[#This Row],[Average Questions]]/35*20+Table1[[#This Row],[Average Bonus]]/13*5</f>
        <v/>
      </c>
      <c r="W138" t="n">
        <v>0</v>
      </c>
      <c r="X138" t="n">
        <v>0</v>
      </c>
      <c r="Y138" t="inlineStr">
        <is>
          <t>The student's submission does not run correctly due to several critical errors. The training and validation loops are incorrectly implemented, using sigmoid activation and binary classification logic instead of the required softmax and multi-class classification. The model's classifier head is not correctly replaced, and the labels are not adjusted for 0-indexing. Additionally, the student did not implement the bonus task for Test Time Augmentation.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38" t="n">
        <v>0</v>
      </c>
      <c r="AA138" t="n">
        <v>0</v>
      </c>
      <c r="AB138" t="inlineStr">
        <is>
          <t>The student's submission contains several critical errors that prevent the code from running correctly. The dataset paths are incorrectly specified, leading to errors in loading the data. The CNN model is incorrectly defined with only two convolutional layers instead of five, and it does not include batch normalization. Additionally, the training and validation functions are missing, and there is no code for setting up the device, model, loss, optimizer, or training the model. The bonus task is also not attempted.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38" t="n">
        <v>0</v>
      </c>
      <c r="AD138" t="inlineStr">
        <is>
          <t>The student's submission does not run end-to-end due to multiple issues. The dataset class is incorrectly implemented, using a CSV file for metadata which was not provided in the instructions. The model definition uses 'efficientnet-b1' instead of 'efficientnet-b0' as specified. The loss function and optimizer are incorrectly defined for a multi-class segmentation task. Additionally, the training and validation loops are not correctly implemented, and there is no code for visualizing predictions. These issues result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38" t="n">
        <v>0</v>
      </c>
      <c r="AF138" t="n">
        <v>0</v>
      </c>
      <c r="AG138" t="inlineStr">
        <is>
          <t>No submission found.</t>
        </is>
      </c>
      <c r="AH138" t="n">
        <v>0</v>
      </c>
      <c r="AI138" t="n">
        <v>0</v>
      </c>
    </row>
    <row r="139">
      <c r="A139" t="n">
        <v>138</v>
      </c>
      <c r="B139" t="inlineStr">
        <is>
          <t>TA_3</t>
        </is>
      </c>
      <c r="C139" t="inlineStr">
        <is>
          <t>TA_13</t>
        </is>
      </c>
      <c r="D139" t="n">
        <v>12</v>
      </c>
      <c r="E139" t="n">
        <v>0</v>
      </c>
      <c r="F139" t="n">
        <v>11</v>
      </c>
      <c r="G139" t="n">
        <v>0</v>
      </c>
      <c r="H139" t="n">
        <v>8.5</v>
      </c>
      <c r="I139" t="n">
        <v>0</v>
      </c>
      <c r="J139" t="n">
        <v>12</v>
      </c>
      <c r="K139" t="n">
        <v>0</v>
      </c>
      <c r="L139" t="n">
        <v>11</v>
      </c>
      <c r="M139" t="n">
        <v>0</v>
      </c>
      <c r="N139" t="n">
        <v>8.5</v>
      </c>
      <c r="O139" t="n">
        <v>0</v>
      </c>
      <c r="P139">
        <f>Table1[[#This Row],[TA 1 - Q1 Score]]+Table1[[#This Row],[TA 1 - Q2 Score]]+Table1[[#This Row],[TA 1 - Q3 Score]]</f>
        <v/>
      </c>
      <c r="Q139">
        <f>Table1[[#This Row],[TA 1 - Q1 Bonus]]+Table1[[#This Row],[TA 1 - Q2 Bonus]]+Table1[[#This Row],[TA 1 - Q4 Bonus]]</f>
        <v/>
      </c>
      <c r="R139">
        <f>Table1[[#This Row],[TA 2 - Q1 Score]]+Table1[[#This Row],[TA 2 - Q2 Score]]+Table1[[#This Row],[TA 2 - Q3 Score]]</f>
        <v/>
      </c>
      <c r="S139">
        <f>Table1[[#This Row],[TA 2 - Q1 Bonus]]+Table1[[#This Row],[TA 2 - Q2 Bonus]]+Table1[[#This Row],[TA 2 - Q4 Bonus]]</f>
        <v/>
      </c>
      <c r="T139">
        <f>(Table1[[#This Row],[TA 1 - Total Score (out of 35)]]+Table1[[#This Row],[TA 2 - Total Score (out of 35)]])/2</f>
        <v/>
      </c>
      <c r="U139">
        <f>(Table1[[#This Row],[TA 1 - Total Bonus (out of 13)]]+Table1[[#This Row],[TA 2 - Total Bonus (out of 13)]])/2</f>
        <v/>
      </c>
      <c r="V139">
        <f>Table1[[#This Row],[Average Questions]]/35*20+Table1[[#This Row],[Average Bonus]]/13*5</f>
        <v/>
      </c>
      <c r="W139" t="n">
        <v>0</v>
      </c>
      <c r="X139" t="n">
        <v>0</v>
      </c>
      <c r="Y139" t="inlineStr">
        <is>
          <t>The student's submission does not run end-to-end due to missing or incorrect code in several critical parts. Specifically, the transforms are not fully defined, the DataLoaders are not correctly created, and the model setup and training loops are incomplete or incorrect. The student did not display sample images correctly, and the model training and validation functions are flawed. Additionally, the bonus task for Test Time Augmentation is not attempted.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39" t="n">
        <v>0</v>
      </c>
      <c r="AA139" t="n">
        <v>0</v>
      </c>
      <c r="AB139" t="inlineStr">
        <is>
          <t>The student's submission does not run correctly due to several issues. The dataset class or ImageFolder is not correctly implemented, the transforms do not match the required specifications, and the CNN model does not follow the specified architecture. Additionally, the training and validation functions are incorrect, and the training process does not set up the device, model, loss, and optimizer correctly. The bonus task is also not attempted.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39" t="n">
        <v>0</v>
      </c>
      <c r="AD139" t="inlineStr">
        <is>
          <t>The student's submission does not run end-to-end due to several issues. The dataset class is incorrectly defined and does not follow the required structure. The model definition uses 'efficientnet-b1' instead of 'efficientnet-b0' as specified. The training and validation loops are present but do not run correctly due to the incorrect model definition and dataset issues. The visualization of predictions is attempted but fails due to the previous errors. Therefore, no points are awarded for any task as the code does not run correctly and deviates from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39" t="n">
        <v>0</v>
      </c>
      <c r="AF139" t="n">
        <v>0</v>
      </c>
      <c r="AG139" t="inlineStr">
        <is>
          <t>No submission found.</t>
        </is>
      </c>
      <c r="AH139" t="n">
        <v>0</v>
      </c>
      <c r="AI139" t="n">
        <v>0</v>
      </c>
    </row>
    <row r="140">
      <c r="A140" t="n">
        <v>139</v>
      </c>
      <c r="B140" t="inlineStr">
        <is>
          <t>TA_3</t>
        </is>
      </c>
      <c r="C140" t="inlineStr">
        <is>
          <t>TA_13</t>
        </is>
      </c>
      <c r="D140" t="n">
        <v>5.5</v>
      </c>
      <c r="E140" t="n">
        <v>0</v>
      </c>
      <c r="F140" t="n">
        <v>7.5</v>
      </c>
      <c r="G140" t="n">
        <v>0</v>
      </c>
      <c r="H140" t="n">
        <v>7.5</v>
      </c>
      <c r="I140" t="n">
        <v>0</v>
      </c>
      <c r="J140" t="n">
        <v>8.5</v>
      </c>
      <c r="K140" t="n">
        <v>0</v>
      </c>
      <c r="L140" t="n">
        <v>8.5</v>
      </c>
      <c r="M140" t="n">
        <v>0</v>
      </c>
      <c r="N140" t="n">
        <v>0</v>
      </c>
      <c r="O140" t="n">
        <v>0</v>
      </c>
      <c r="P140">
        <f>Table1[[#This Row],[TA 1 - Q1 Score]]+Table1[[#This Row],[TA 1 - Q2 Score]]+Table1[[#This Row],[TA 1 - Q3 Score]]</f>
        <v/>
      </c>
      <c r="Q140">
        <f>Table1[[#This Row],[TA 1 - Q1 Bonus]]+Table1[[#This Row],[TA 1 - Q2 Bonus]]+Table1[[#This Row],[TA 1 - Q4 Bonus]]</f>
        <v/>
      </c>
      <c r="R140">
        <f>Table1[[#This Row],[TA 2 - Q1 Score]]+Table1[[#This Row],[TA 2 - Q2 Score]]+Table1[[#This Row],[TA 2 - Q3 Score]]</f>
        <v/>
      </c>
      <c r="S140">
        <f>Table1[[#This Row],[TA 2 - Q1 Bonus]]+Table1[[#This Row],[TA 2 - Q2 Bonus]]+Table1[[#This Row],[TA 2 - Q4 Bonus]]</f>
        <v/>
      </c>
      <c r="T140">
        <f>(Table1[[#This Row],[TA 1 - Total Score (out of 35)]]+Table1[[#This Row],[TA 2 - Total Score (out of 35)]])/2</f>
        <v/>
      </c>
      <c r="U140">
        <f>(Table1[[#This Row],[TA 1 - Total Bonus (out of 13)]]+Table1[[#This Row],[TA 2 - Total Bonus (out of 13)]])/2</f>
        <v/>
      </c>
      <c r="V140">
        <f>Table1[[#This Row],[Average Questions]]/35*20+Table1[[#This Row],[Average Bonus]]/13*5</f>
        <v/>
      </c>
      <c r="W140" t="n">
        <v>0</v>
      </c>
      <c r="X140" t="n">
        <v>0</v>
      </c>
      <c r="Y140" t="inlineStr">
        <is>
          <t>The student's submission does not run correctly due to several critical errors. The transforms are incomplete, the DataLoaders are incorrectly created, and the model configuration is flawed. The training and validation loops are incorrect, and the plots are missing. Additionally, the bonus task for Test Time Augmentation is not attempted.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40" t="n">
        <v>0</v>
      </c>
      <c r="AA140" t="n">
        <v>0</v>
      </c>
      <c r="AB140" t="inlineStr">
        <is>
          <t>The student's submission does not run correctly due to multiple issues. The dataset class is incorrectly implemented, the transforms do not match the rubric, and the CNN model does not follow the specified architecture. Additionally, the training and validation functions are flawed, and the plotting code is incorrect.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40" t="n">
        <v>0</v>
      </c>
      <c r="AD140" t="inlineStr">
        <is>
          <t>The student's submission does not run end-to-end due to several issues. The dataset class is incorrectly defined with a typo in the transform parameter name (mask_transform instead of target_transform). The model definition uses efficientnet-b1 instead of efficientnet-b0 as specified. The training and validation loops are defined but not used correctly in the training process. The loss and optimizer are defined but not used correctly in the training loop. The plotting of the loss curve is attempted but not correctly implemented. The visualization of predictions is not correctly implemented. Therefore, the student receives 0 points for all tasks as the code does not run correctly and deviates from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40" t="n">
        <v>0</v>
      </c>
      <c r="AF140" t="n">
        <v>0</v>
      </c>
      <c r="AG140" t="inlineStr">
        <is>
          <t>No submission found.</t>
        </is>
      </c>
      <c r="AH140" t="n">
        <v>0</v>
      </c>
      <c r="AI140" t="n">
        <v>0</v>
      </c>
    </row>
    <row r="141">
      <c r="A141" t="n">
        <v>140</v>
      </c>
      <c r="B141" t="inlineStr">
        <is>
          <t>TA_3</t>
        </is>
      </c>
      <c r="C141" t="inlineStr">
        <is>
          <t>TA_13</t>
        </is>
      </c>
      <c r="D141" t="n">
        <v>8</v>
      </c>
      <c r="E141" t="n">
        <v>0</v>
      </c>
      <c r="F141" t="n">
        <v>10.5</v>
      </c>
      <c r="G141" t="n">
        <v>0</v>
      </c>
      <c r="H141" t="n">
        <v>1</v>
      </c>
      <c r="I141" t="n">
        <v>0</v>
      </c>
      <c r="J141" t="n">
        <v>10.5</v>
      </c>
      <c r="K141" t="n">
        <v>0</v>
      </c>
      <c r="L141" t="n">
        <v>11</v>
      </c>
      <c r="M141" t="n">
        <v>0</v>
      </c>
      <c r="N141" t="n">
        <v>0</v>
      </c>
      <c r="O141" t="n">
        <v>0</v>
      </c>
      <c r="P141">
        <f>Table1[[#This Row],[TA 1 - Q1 Score]]+Table1[[#This Row],[TA 1 - Q2 Score]]+Table1[[#This Row],[TA 1 - Q3 Score]]</f>
        <v/>
      </c>
      <c r="Q141">
        <f>Table1[[#This Row],[TA 1 - Q1 Bonus]]+Table1[[#This Row],[TA 1 - Q2 Bonus]]+Table1[[#This Row],[TA 1 - Q4 Bonus]]</f>
        <v/>
      </c>
      <c r="R141">
        <f>Table1[[#This Row],[TA 2 - Q1 Score]]+Table1[[#This Row],[TA 2 - Q2 Score]]+Table1[[#This Row],[TA 2 - Q3 Score]]</f>
        <v/>
      </c>
      <c r="S141">
        <f>Table1[[#This Row],[TA 2 - Q1 Bonus]]+Table1[[#This Row],[TA 2 - Q2 Bonus]]+Table1[[#This Row],[TA 2 - Q4 Bonus]]</f>
        <v/>
      </c>
      <c r="T141">
        <f>(Table1[[#This Row],[TA 1 - Total Score (out of 35)]]+Table1[[#This Row],[TA 2 - Total Score (out of 35)]])/2</f>
        <v/>
      </c>
      <c r="U141">
        <f>(Table1[[#This Row],[TA 1 - Total Bonus (out of 13)]]+Table1[[#This Row],[TA 2 - Total Bonus (out of 13)]])/2</f>
        <v/>
      </c>
      <c r="V141">
        <f>Table1[[#This Row],[Average Questions]]/35*20+Table1[[#This Row],[Average Bonus]]/13*5</f>
        <v/>
      </c>
      <c r="W141" t="n">
        <v>0</v>
      </c>
      <c r="X141" t="n">
        <v>0</v>
      </c>
      <c r="Y141" t="inlineStr">
        <is>
          <t>The student's submission does not run correctly due to several issues. The DataLoader for the test set is incorrectly using the training dataset, leading to incorrect validation results. The model definition and training loop have logical errors, such as using SGD instead of Adam and not correctly freezing the backbone. Additionally, the student did not implement the bonus task for Test Time Augmentation.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41" t="n">
        <v>0</v>
      </c>
      <c r="AA141" t="n">
        <v>0</v>
      </c>
      <c r="AB141" t="inlineStr">
        <is>
          <t>The student's submission does not run correctly due to several issues. The dataset loading and transformation tasks are incomplete and incorrect. The CNN model does not follow the specified architecture with 5 convolutional layers. The training and validation functions are incorrectly implemented, leading to a non-functional training process. Additionally, the student did not attempt the bonus task.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41" t="n">
        <v>0</v>
      </c>
      <c r="AD141" t="inlineStr">
        <is>
          <t>The student's submission is incomplete and does not run end-to-end. The dataset class is partially implemented but lacks critical components such as the DataLoader creation and display of sample images and masks. The model class and training loops are not defined, and there is no code for running the training, printing losses, plotting the loss curve, or visualizing predictions.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41" t="n">
        <v>0</v>
      </c>
      <c r="AF141" t="n">
        <v>0</v>
      </c>
      <c r="AG141" t="inlineStr">
        <is>
          <t>The student did not implement any of the required methods in the `ColorizationDataset` class. The `__init__`, `__len__`, `rgb_to_grayscale`, and `__getitem__` methods are all left as 'TO DO' placeholders, indicating that no code was written for these tasks. Additionally, the visualization code will not run correctly because the dataset methods are not implemented. Therefore, the student receives 0 points for this task.
Breakdown:
- Correctly implemented `ColorizationDataset` class: 0.0/5.0</t>
        </is>
      </c>
      <c r="AH141" t="n">
        <v>0</v>
      </c>
      <c r="AI141" t="n">
        <v>0</v>
      </c>
    </row>
    <row r="142">
      <c r="A142" t="n">
        <v>141</v>
      </c>
      <c r="B142" t="inlineStr">
        <is>
          <t>TA_3</t>
        </is>
      </c>
      <c r="C142" t="inlineStr">
        <is>
          <t>TA_13</t>
        </is>
      </c>
      <c r="D142" t="n">
        <v>10.5</v>
      </c>
      <c r="E142" t="n">
        <v>4</v>
      </c>
      <c r="F142" t="n">
        <v>11</v>
      </c>
      <c r="G142" t="n">
        <v>0</v>
      </c>
      <c r="H142" t="n">
        <v>8</v>
      </c>
      <c r="I142" t="n">
        <v>5</v>
      </c>
      <c r="J142" t="n">
        <v>11.5</v>
      </c>
      <c r="K142" t="n">
        <v>0</v>
      </c>
      <c r="L142" t="n">
        <v>11</v>
      </c>
      <c r="M142" t="n">
        <v>4</v>
      </c>
      <c r="N142" t="n">
        <v>9</v>
      </c>
      <c r="O142" t="n">
        <v>5</v>
      </c>
      <c r="P142">
        <f>Table1[[#This Row],[TA 1 - Q1 Score]]+Table1[[#This Row],[TA 1 - Q2 Score]]+Table1[[#This Row],[TA 1 - Q3 Score]]</f>
        <v/>
      </c>
      <c r="Q142">
        <f>Table1[[#This Row],[TA 1 - Q1 Bonus]]+Table1[[#This Row],[TA 1 - Q2 Bonus]]+Table1[[#This Row],[TA 1 - Q4 Bonus]]</f>
        <v/>
      </c>
      <c r="R142">
        <f>Table1[[#This Row],[TA 2 - Q1 Score]]+Table1[[#This Row],[TA 2 - Q2 Score]]+Table1[[#This Row],[TA 2 - Q3 Score]]</f>
        <v/>
      </c>
      <c r="S142">
        <f>Table1[[#This Row],[TA 2 - Q1 Bonus]]+Table1[[#This Row],[TA 2 - Q2 Bonus]]+Table1[[#This Row],[TA 2 - Q4 Bonus]]</f>
        <v/>
      </c>
      <c r="T142">
        <f>(Table1[[#This Row],[TA 1 - Total Score (out of 35)]]+Table1[[#This Row],[TA 2 - Total Score (out of 35)]])/2</f>
        <v/>
      </c>
      <c r="U142">
        <f>(Table1[[#This Row],[TA 1 - Total Bonus (out of 13)]]+Table1[[#This Row],[TA 2 - Total Bonus (out of 13)]])/2</f>
        <v/>
      </c>
      <c r="V142">
        <f>Table1[[#This Row],[Average Questions]]/35*20+Table1[[#This Row],[Average Bonus]]/13*5</f>
        <v/>
      </c>
      <c r="W142" t="n">
        <v>10.5</v>
      </c>
      <c r="X142" t="n">
        <v>4</v>
      </c>
      <c r="Y142" t="inlineStr">
        <is>
          <t>The student successfully completed the data loading and preparation tasks, including transforms, DataLoaders, and displaying sample images. The model loading and adaptation tasks were partially completed, with the pretrained model loaded correctly but the backbone not frozen. The training and validation functions were correctly implemented, including the label fix. The training setup and plotting tasks were completed successfully. The bonus task for Test Time Augmentation was fully implemented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142" t="n">
        <v>0</v>
      </c>
      <c r="AA142" t="n">
        <v>0</v>
      </c>
      <c r="AB142" t="inlineStr">
        <is>
          <t>The student's submission does not run correctly due to several issues. The dataset class and transforms are incorrectly implemented, leading to errors in data loading and preprocessing. The CNN model definition is flawed, and the training and validation functions are not correctly implemented. Additionally, the residual connection implementation is incorrect, and the model does not train properly. Therefore, no points are awarded for any task as the code does not run end-to-end.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142" t="n">
        <v>0</v>
      </c>
      <c r="AD142" t="inlineStr">
        <is>
          <t>The student's submission does not run end-to-end due to missing code for several tasks. Specifically, the dataset class is incomplete, the training and validation loops are not defined, and the model training process is not fully implemented. The student did not provide code for visualizing predictions, which is a critical part of the task. Therefore, the minimum defensible score for each incomplete or missing task is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42" t="n">
        <v>0</v>
      </c>
      <c r="AF142" t="n">
        <v>0</v>
      </c>
      <c r="AG142" t="inlineStr">
        <is>
          <t>The student's implementation of the `ColorizationDataset` class is incorrect. The method `rgb_to_grayscale` does not correctly handle the dimensions of the input image, leading to incorrect grayscale conversion. Additionally, the visualization code does not correctly display the grayscale image due to the incorrect dimensions. Therefore, the implementation does not meet the criteria for correct functionality.
Breakdown:
- Correctly implemented `ColorizationDataset` class: 0.0/5.0</t>
        </is>
      </c>
      <c r="AH142" t="n">
        <v>10.5</v>
      </c>
      <c r="AI142" t="n">
        <v>4</v>
      </c>
    </row>
    <row r="143">
      <c r="A143" t="n">
        <v>142</v>
      </c>
      <c r="B143" t="inlineStr">
        <is>
          <t>TA_3</t>
        </is>
      </c>
      <c r="C143" t="inlineStr">
        <is>
          <t>TA_13</t>
        </is>
      </c>
      <c r="D143" t="n">
        <v>3.5</v>
      </c>
      <c r="E143" t="n">
        <v>0</v>
      </c>
      <c r="F143" t="n">
        <v>4.5</v>
      </c>
      <c r="G143" t="n">
        <v>0</v>
      </c>
      <c r="H143" t="n">
        <v>6.5</v>
      </c>
      <c r="I143" t="n">
        <v>0</v>
      </c>
      <c r="J143" t="n">
        <v>6</v>
      </c>
      <c r="K143" t="n">
        <v>0</v>
      </c>
      <c r="L143" t="n">
        <v>5</v>
      </c>
      <c r="M143" t="n">
        <v>0</v>
      </c>
      <c r="N143" t="n">
        <v>9</v>
      </c>
      <c r="O143" t="n">
        <v>0</v>
      </c>
      <c r="P143">
        <f>Table1[[#This Row],[TA 1 - Q1 Score]]+Table1[[#This Row],[TA 1 - Q2 Score]]+Table1[[#This Row],[TA 1 - Q3 Score]]</f>
        <v/>
      </c>
      <c r="Q143">
        <f>Table1[[#This Row],[TA 1 - Q1 Bonus]]+Table1[[#This Row],[TA 1 - Q2 Bonus]]+Table1[[#This Row],[TA 1 - Q4 Bonus]]</f>
        <v/>
      </c>
      <c r="R143">
        <f>Table1[[#This Row],[TA 2 - Q1 Score]]+Table1[[#This Row],[TA 2 - Q2 Score]]+Table1[[#This Row],[TA 2 - Q3 Score]]</f>
        <v/>
      </c>
      <c r="S143">
        <f>Table1[[#This Row],[TA 2 - Q1 Bonus]]+Table1[[#This Row],[TA 2 - Q2 Bonus]]+Table1[[#This Row],[TA 2 - Q4 Bonus]]</f>
        <v/>
      </c>
      <c r="T143">
        <f>(Table1[[#This Row],[TA 1 - Total Score (out of 35)]]+Table1[[#This Row],[TA 2 - Total Score (out of 35)]])/2</f>
        <v/>
      </c>
      <c r="U143">
        <f>(Table1[[#This Row],[TA 1 - Total Bonus (out of 13)]]+Table1[[#This Row],[TA 2 - Total Bonus (out of 13)]])/2</f>
        <v/>
      </c>
      <c r="V143">
        <f>Table1[[#This Row],[Average Questions]]/35*20+Table1[[#This Row],[Average Bonus]]/13*5</f>
        <v/>
      </c>
      <c r="W143" t="n">
        <v>0</v>
      </c>
      <c r="X143" t="n">
        <v>0</v>
      </c>
      <c r="Y143" t="inlineStr">
        <is>
          <t>The student's submission contains several critical errors that prevent the code from running correctly. The transforms are incomplete, the DataLoaders are not correctly created, and the model is not properly set up for training. Additionally, the training and validation loops are incorrect, and the plots for training and validation losses and accuracies are missing. The bonus task for Test Time Augmentation is also not attempted.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43" t="n">
        <v>0</v>
      </c>
      <c r="AA143" t="n">
        <v>0</v>
      </c>
      <c r="AB143" t="inlineStr">
        <is>
          <t>The student's submission does not run correctly due to multiple issues. The dataset class is incomplete and incorrect, the model definition has syntax errors and logical mistakes, and the training and validation loops are flawed.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43" t="n">
        <v>0</v>
      </c>
      <c r="AD143" t="inlineStr">
        <is>
          <t>The student's submission contains several critical errors that prevent the code from running correctly. The dataset class is incomplete and contains syntax errors. The model definition is incorrect, using 'efficientnet-b0' instead of 'efficientnet-b1'. The training and validation loops are not correctly implemented, and the loss and optimizer are not defined properly. Additionally, the code for plotting the loss curve and visualizing predictions is missing or incorrect. Therefore, the student receives 0 points for all tasks as the code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43" t="n">
        <v>0</v>
      </c>
      <c r="AF143" t="n">
        <v>0</v>
      </c>
      <c r="AG143" t="inlineStr">
        <is>
          <t>No submission found.</t>
        </is>
      </c>
      <c r="AH143" t="n">
        <v>0</v>
      </c>
      <c r="AI143" t="n">
        <v>0</v>
      </c>
    </row>
    <row r="144">
      <c r="A144" t="n">
        <v>143</v>
      </c>
      <c r="B144" t="inlineStr">
        <is>
          <t>TA_3</t>
        </is>
      </c>
      <c r="C144" t="inlineStr">
        <is>
          <t>TA_13</t>
        </is>
      </c>
      <c r="D144" t="n">
        <v>10.5</v>
      </c>
      <c r="E144" t="n">
        <v>0</v>
      </c>
      <c r="F144" t="n">
        <v>10</v>
      </c>
      <c r="G144" t="n">
        <v>0</v>
      </c>
      <c r="H144" t="n">
        <v>11</v>
      </c>
      <c r="I144" t="n">
        <v>5</v>
      </c>
      <c r="J144" t="n">
        <v>12</v>
      </c>
      <c r="K144" t="n">
        <v>0</v>
      </c>
      <c r="L144" t="n">
        <v>11</v>
      </c>
      <c r="M144" t="n">
        <v>1</v>
      </c>
      <c r="N144" t="n">
        <v>12</v>
      </c>
      <c r="O144" t="n">
        <v>5</v>
      </c>
      <c r="P144">
        <f>Table1[[#This Row],[TA 1 - Q1 Score]]+Table1[[#This Row],[TA 1 - Q2 Score]]+Table1[[#This Row],[TA 1 - Q3 Score]]</f>
        <v/>
      </c>
      <c r="Q144">
        <f>Table1[[#This Row],[TA 1 - Q1 Bonus]]+Table1[[#This Row],[TA 1 - Q2 Bonus]]+Table1[[#This Row],[TA 1 - Q4 Bonus]]</f>
        <v/>
      </c>
      <c r="R144">
        <f>Table1[[#This Row],[TA 2 - Q1 Score]]+Table1[[#This Row],[TA 2 - Q2 Score]]+Table1[[#This Row],[TA 2 - Q3 Score]]</f>
        <v/>
      </c>
      <c r="S144">
        <f>Table1[[#This Row],[TA 2 - Q1 Bonus]]+Table1[[#This Row],[TA 2 - Q2 Bonus]]+Table1[[#This Row],[TA 2 - Q4 Bonus]]</f>
        <v/>
      </c>
      <c r="T144">
        <f>(Table1[[#This Row],[TA 1 - Total Score (out of 35)]]+Table1[[#This Row],[TA 2 - Total Score (out of 35)]])/2</f>
        <v/>
      </c>
      <c r="U144">
        <f>(Table1[[#This Row],[TA 1 - Total Bonus (out of 13)]]+Table1[[#This Row],[TA 2 - Total Bonus (out of 13)]])/2</f>
        <v/>
      </c>
      <c r="V144">
        <f>Table1[[#This Row],[Average Questions]]/35*20+Table1[[#This Row],[Average Bonus]]/13*5</f>
        <v/>
      </c>
      <c r="W144" t="n">
        <v>0</v>
      </c>
      <c r="X144" t="n">
        <v>0</v>
      </c>
      <c r="Y144" t="inlineStr">
        <is>
          <t>The student's submission does not run correctly due to several issues. The transforms are not correctly applied, the DataLoaders are not created properly, and the model is not correctly set up for training. Additionally, the training and validation loops contain errors, and the plots for training and validation losses and accuracies are not generated correctly. The bonus task for Test Time Augmentation is also not implemented correctly. Therefore, the student receives 0 points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44" t="n">
        <v>0</v>
      </c>
      <c r="AA144" t="n">
        <v>0</v>
      </c>
      <c r="AB144" t="inlineStr">
        <is>
          <t>The student's submission does not run correctly due to multiple issues. The dataset loading and preparation are incomplete and incorrect, leading to errors in subsequent tasks. The CNN model definition is flawed, and the training and validation functions contain logical errors. The bonus task for residual connections is also incorrect and does not run.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44" t="n">
        <v>0</v>
      </c>
      <c r="AD144" t="inlineStr">
        <is>
          <t>The student's submission does not run end-to-end due to multiple issues. The dataset class is incomplete and does not correctly handle the remapping of mask values. The DataLoaders are incorrectly configured, leading to mismatched batch sizes and shapes. The model definition uses the wrong encoder (efficientnet-b1 instead of efficientnet-b0 as specified). The training and validation loops are present but do not run correctly due to the previous issues. The loss and optimizer are defined but not used correctly in the training loop. The plotting of the loss curve and visualization of predictions are attempted but fail due to the earlier errors. Overall, the submission does not meet the requirements of any task, resulting in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44" t="n">
        <v>0</v>
      </c>
      <c r="AF144" t="n">
        <v>0</v>
      </c>
      <c r="AG144" t="inlineStr">
        <is>
          <t>The student's implementation of the `ColorizationDataset` class is incomplete and contains errors. The `rgb_to_grayscale` method is not implemented correctly, and the `__getitem__` method has logical mistakes. The code does not run correctly due to these issues, resulting in a score of 0.0 for the task.
Breakdown:
- Correctly implemented `ColorizationDataset` class: 0.0/5.0</t>
        </is>
      </c>
      <c r="AH144" t="n">
        <v>0</v>
      </c>
      <c r="AI144" t="n">
        <v>0</v>
      </c>
    </row>
    <row r="145">
      <c r="A145" t="n">
        <v>144</v>
      </c>
      <c r="B145" t="inlineStr">
        <is>
          <t>TA_3</t>
        </is>
      </c>
      <c r="C145" t="inlineStr">
        <is>
          <t>TA_13</t>
        </is>
      </c>
      <c r="D145" t="n">
        <v>8</v>
      </c>
      <c r="E145" t="n">
        <v>0</v>
      </c>
      <c r="F145" t="n">
        <v>10</v>
      </c>
      <c r="G145" t="n">
        <v>0</v>
      </c>
      <c r="H145" t="n">
        <v>7</v>
      </c>
      <c r="I145" t="n">
        <v>0</v>
      </c>
      <c r="J145" t="n">
        <v>9</v>
      </c>
      <c r="K145" t="n">
        <v>1.5</v>
      </c>
      <c r="L145" t="n">
        <v>10.5</v>
      </c>
      <c r="M145" t="n">
        <v>0</v>
      </c>
      <c r="N145" t="n">
        <v>10.5</v>
      </c>
      <c r="O145" t="n">
        <v>0</v>
      </c>
      <c r="P145">
        <f>Table1[[#This Row],[TA 1 - Q1 Score]]+Table1[[#This Row],[TA 1 - Q2 Score]]+Table1[[#This Row],[TA 1 - Q3 Score]]</f>
        <v/>
      </c>
      <c r="Q145">
        <f>Table1[[#This Row],[TA 1 - Q1 Bonus]]+Table1[[#This Row],[TA 1 - Q2 Bonus]]+Table1[[#This Row],[TA 1 - Q4 Bonus]]</f>
        <v/>
      </c>
      <c r="R145">
        <f>Table1[[#This Row],[TA 2 - Q1 Score]]+Table1[[#This Row],[TA 2 - Q2 Score]]+Table1[[#This Row],[TA 2 - Q3 Score]]</f>
        <v/>
      </c>
      <c r="S145">
        <f>Table1[[#This Row],[TA 2 - Q1 Bonus]]+Table1[[#This Row],[TA 2 - Q2 Bonus]]+Table1[[#This Row],[TA 2 - Q4 Bonus]]</f>
        <v/>
      </c>
      <c r="T145">
        <f>(Table1[[#This Row],[TA 1 - Total Score (out of 35)]]+Table1[[#This Row],[TA 2 - Total Score (out of 35)]])/2</f>
        <v/>
      </c>
      <c r="U145">
        <f>(Table1[[#This Row],[TA 1 - Total Bonus (out of 13)]]+Table1[[#This Row],[TA 2 - Total Bonus (out of 13)]])/2</f>
        <v/>
      </c>
      <c r="V145">
        <f>Table1[[#This Row],[Average Questions]]/35*20+Table1[[#This Row],[Average Bonus]]/13*5</f>
        <v/>
      </c>
      <c r="W145" t="n">
        <v>0</v>
      </c>
      <c r="X145" t="n">
        <v>0</v>
      </c>
      <c r="Y145" t="inlineStr">
        <is>
          <t>The student's submission contains several critical errors that prevent the code from running correctly. The transforms are correctly defined, and the DataLoaders are created, but the code for displaying sample images is incomplete and does not run. The model loading and adaptation steps are incorrectly implemented, leading to a non-functional model. The training and validation loops are flawed, and the label fixing is not correctly applied. Additionally, the training setup and plotting functions are missing or incorrect. The bonus task for Test Time Augmentation is also incomplete and does not run. Therefore, the student receives 0 points for the base tasks and 0 points for the bonus task.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45" t="n">
        <v>0</v>
      </c>
      <c r="AA145" t="n">
        <v>0</v>
      </c>
      <c r="AB145" t="inlineStr">
        <is>
          <t>The student's submission does not run correctly due to several issues. The dataset class or ImageFolder task is incomplete as the student did not correctly implement the dataset loading and transformation. The CNN model class does not follow the specified structure of having 5 convolutional layers. The training and validation functions are incorrectly implemented, leading to errors in the training process. Additionally, the student did not attempt the bonus task. Therefore, the minimum defensible score for each task is 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45" t="n">
        <v>0</v>
      </c>
      <c r="AD145" t="inlineStr">
        <is>
          <t>The student's submission does not run correctly due to several issues. The dataset class is incorrectly implemented, leading to errors in data loading. The model definition uses the wrong number of classes and the training loop is incorrectly implemented, resulting in errors during training. Additionally, the visualization code does not run correctly due to issues in the prediction and denormalization steps. Therefore, no points are awarded for any task as the code does not execute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45" t="n">
        <v>0</v>
      </c>
      <c r="AF145" t="n">
        <v>0</v>
      </c>
      <c r="AG145" t="inlineStr">
        <is>
          <t>No submission found.</t>
        </is>
      </c>
      <c r="AH145" t="n">
        <v>0</v>
      </c>
      <c r="AI145" t="n">
        <v>0</v>
      </c>
    </row>
    <row r="146">
      <c r="A146" t="n">
        <v>145</v>
      </c>
      <c r="B146" t="inlineStr">
        <is>
          <t>TA_3</t>
        </is>
      </c>
      <c r="C146" t="inlineStr">
        <is>
          <t>TA_13</t>
        </is>
      </c>
      <c r="D146" t="n">
        <v>10</v>
      </c>
      <c r="E146" t="n">
        <v>0</v>
      </c>
      <c r="F146" t="n">
        <v>10</v>
      </c>
      <c r="G146" t="n">
        <v>0</v>
      </c>
      <c r="H146" t="n">
        <v>11</v>
      </c>
      <c r="I146" t="n">
        <v>5</v>
      </c>
      <c r="J146" t="n">
        <v>10</v>
      </c>
      <c r="K146" t="n">
        <v>2</v>
      </c>
      <c r="L146" t="n">
        <v>11</v>
      </c>
      <c r="M146" t="n">
        <v>4</v>
      </c>
      <c r="N146" t="n">
        <v>12</v>
      </c>
      <c r="O146" t="n">
        <v>5</v>
      </c>
      <c r="P146">
        <f>Table1[[#This Row],[TA 1 - Q1 Score]]+Table1[[#This Row],[TA 1 - Q2 Score]]+Table1[[#This Row],[TA 1 - Q3 Score]]</f>
        <v/>
      </c>
      <c r="Q146">
        <f>Table1[[#This Row],[TA 1 - Q1 Bonus]]+Table1[[#This Row],[TA 1 - Q2 Bonus]]+Table1[[#This Row],[TA 1 - Q4 Bonus]]</f>
        <v/>
      </c>
      <c r="R146">
        <f>Table1[[#This Row],[TA 2 - Q1 Score]]+Table1[[#This Row],[TA 2 - Q2 Score]]+Table1[[#This Row],[TA 2 - Q3 Score]]</f>
        <v/>
      </c>
      <c r="S146">
        <f>Table1[[#This Row],[TA 2 - Q1 Bonus]]+Table1[[#This Row],[TA 2 - Q2 Bonus]]+Table1[[#This Row],[TA 2 - Q4 Bonus]]</f>
        <v/>
      </c>
      <c r="T146">
        <f>(Table1[[#This Row],[TA 1 - Total Score (out of 35)]]+Table1[[#This Row],[TA 2 - Total Score (out of 35)]])/2</f>
        <v/>
      </c>
      <c r="U146">
        <f>(Table1[[#This Row],[TA 1 - Total Bonus (out of 13)]]+Table1[[#This Row],[TA 2 - Total Bonus (out of 13)]])/2</f>
        <v/>
      </c>
      <c r="V146">
        <f>Table1[[#This Row],[Average Questions]]/35*20+Table1[[#This Row],[Average Bonus]]/13*5</f>
        <v/>
      </c>
      <c r="W146" t="n">
        <v>0</v>
      </c>
      <c r="X146" t="n">
        <v>0</v>
      </c>
      <c r="Y146" t="inlineStr">
        <is>
          <t>The student's submission does not run correctly due to several issues. The student used EfficientNet-B0 instead of EfficientNetV2-Small, which is a different model. The student did not freeze the backbone of the model, which is a critical step in transfer learning. The student did not correctly implement the training and validation loops, and the test time augmentation (TTA) function is incorrect. Additionally, the student did not fix the labels to be 0-indexed, which is required for the loss function. These issues result in a score of 0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46" t="n">
        <v>0</v>
      </c>
      <c r="AA146" t="n">
        <v>0</v>
      </c>
      <c r="AB146" t="inlineStr">
        <is>
          <t>The student's submission does not run correctly due to multiple issues. The dataset loading and transformation steps are incorrect, leading to mismatched image sizes and incorrect normalization values. The CNN model definition is incomplete and contains errors, such as incorrect layer dimensions and missing batch normalization layers. The training and validation functions are incorrectly implemented, leading to errors in loss calculation and accuracy tracking. The residual connection implementation is flawed, and the model does not retrain correctly. Overall, the submission does not meet the requirements of the rubric and fails to run end-to-end.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46" t="n">
        <v>0</v>
      </c>
      <c r="AD146" t="inlineStr">
        <is>
          <t>The student's submission does not run correctly due to several issues. The dataset class is incorrectly defined and does not follow the required structure. The model definition uses 'efficientnet-b0' instead of 'efficientnet-b1'. The training and validation loops are present but contain errors that prevent the code from running. Additionally, the visualization of predictions is incomplete and does not display the ground truth masks correctly. Therefore, no points are awarded for any task as the code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46" t="n">
        <v>0</v>
      </c>
      <c r="AF146" t="n">
        <v>0</v>
      </c>
      <c r="AG146" t="inlineStr">
        <is>
          <t>The student's implementation of the `ColorizationDataset` class contains several critical errors. The `__len__` method incorrectly references `self.images` instead of `self.dataset`, leading to a runtime error. The `rgb_to_grayscale` method incorrectly assigns the input image to `self.images` and does not return the correct grayscale image. The `__getitem__` method does not correctly handle the dataset indexing and grayscale conversion. These issues prevent the code from running correctly, resulting in a score of 0.0 for the task.
Breakdown:
- Correctly implemented `ColorizationDataset` class: 0.0/5.0</t>
        </is>
      </c>
      <c r="AH146" t="n">
        <v>0</v>
      </c>
      <c r="AI146" t="n">
        <v>0</v>
      </c>
    </row>
    <row r="147">
      <c r="A147" t="n">
        <v>146</v>
      </c>
      <c r="B147" t="inlineStr">
        <is>
          <t>TA_3</t>
        </is>
      </c>
      <c r="C147" t="inlineStr">
        <is>
          <t>TA_13</t>
        </is>
      </c>
      <c r="D147" t="n">
        <v>10</v>
      </c>
      <c r="E147" t="n">
        <v>0</v>
      </c>
      <c r="F147" t="n">
        <v>10</v>
      </c>
      <c r="G147" t="n">
        <v>0</v>
      </c>
      <c r="H147" t="n">
        <v>11</v>
      </c>
      <c r="I147" t="n">
        <v>0</v>
      </c>
      <c r="J147" t="n">
        <v>12</v>
      </c>
      <c r="K147" t="n">
        <v>3</v>
      </c>
      <c r="L147" t="n">
        <v>10</v>
      </c>
      <c r="M147" t="n">
        <v>2</v>
      </c>
      <c r="N147" t="n">
        <v>11</v>
      </c>
      <c r="O147" t="n">
        <v>0</v>
      </c>
      <c r="P147">
        <f>Table1[[#This Row],[TA 1 - Q1 Score]]+Table1[[#This Row],[TA 1 - Q2 Score]]+Table1[[#This Row],[TA 1 - Q3 Score]]</f>
        <v/>
      </c>
      <c r="Q147">
        <f>Table1[[#This Row],[TA 1 - Q1 Bonus]]+Table1[[#This Row],[TA 1 - Q2 Bonus]]+Table1[[#This Row],[TA 1 - Q4 Bonus]]</f>
        <v/>
      </c>
      <c r="R147">
        <f>Table1[[#This Row],[TA 2 - Q1 Score]]+Table1[[#This Row],[TA 2 - Q2 Score]]+Table1[[#This Row],[TA 2 - Q3 Score]]</f>
        <v/>
      </c>
      <c r="S147">
        <f>Table1[[#This Row],[TA 2 - Q1 Bonus]]+Table1[[#This Row],[TA 2 - Q2 Bonus]]+Table1[[#This Row],[TA 2 - Q4 Bonus]]</f>
        <v/>
      </c>
      <c r="T147">
        <f>(Table1[[#This Row],[TA 1 - Total Score (out of 35)]]+Table1[[#This Row],[TA 2 - Total Score (out of 35)]])/2</f>
        <v/>
      </c>
      <c r="U147">
        <f>(Table1[[#This Row],[TA 1 - Total Bonus (out of 13)]]+Table1[[#This Row],[TA 2 - Total Bonus (out of 13)]])/2</f>
        <v/>
      </c>
      <c r="V147">
        <f>Table1[[#This Row],[Average Questions]]/35*20+Table1[[#This Row],[Average Bonus]]/13*5</f>
        <v/>
      </c>
      <c r="W147" t="n">
        <v>0</v>
      </c>
      <c r="X147" t="n">
        <v>0</v>
      </c>
      <c r="Y147" t="inlineStr">
        <is>
          <t>The student's submission does not run end-to-end due to multiple issues. The transforms are incomplete, DataLoaders are not created correctly, and the model training and validation functions are flawed. The bonus task for Test Time Augmentation (TTA) is also incomplete and incorrect.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47" t="n">
        <v>0</v>
      </c>
      <c r="AA147" t="n">
        <v>0</v>
      </c>
      <c r="AB147" t="inlineStr">
        <is>
          <t>The student's submission does not run correctly due to several issues. The dataset loading and transformation steps are incomplete, and the model definition contains errors. The training and validation functions are incorrectly implemented, leading to a failure in the training process. Additionally, the bonus task for residual connections is not correctly defined or implemented.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47" t="n">
        <v>0</v>
      </c>
      <c r="AD147" t="inlineStr">
        <is>
          <t>The student's submission does not run end-to-end due to multiple issues. The dataset class is incorrectly implemented, leading to errors in data loading. The model definition and training loops are incomplete or incorrect, resulting in failures during training. The visualization of predictions is also flawed. Since the code does not run correctly and deviates from the rubric, no partial credit can be awarded.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47" t="n">
        <v>0</v>
      </c>
      <c r="AF147" t="n">
        <v>0</v>
      </c>
      <c r="AG147" t="inlineStr">
        <is>
          <t>No submission found.</t>
        </is>
      </c>
      <c r="AH147" t="n">
        <v>0</v>
      </c>
      <c r="AI147" t="n">
        <v>0</v>
      </c>
    </row>
    <row r="148">
      <c r="A148" t="n">
        <v>147</v>
      </c>
      <c r="B148" t="inlineStr">
        <is>
          <t>TA_3</t>
        </is>
      </c>
      <c r="C148" t="inlineStr">
        <is>
          <t>TA_13</t>
        </is>
      </c>
      <c r="D148" t="n">
        <v>5.5</v>
      </c>
      <c r="E148" t="n">
        <v>0</v>
      </c>
      <c r="F148" t="n">
        <v>8.5</v>
      </c>
      <c r="G148" t="n">
        <v>0</v>
      </c>
      <c r="H148" t="n">
        <v>7.5</v>
      </c>
      <c r="I148" t="n">
        <v>0</v>
      </c>
      <c r="J148" t="n">
        <v>9.5</v>
      </c>
      <c r="K148" t="n">
        <v>0</v>
      </c>
      <c r="L148" t="n">
        <v>8.5</v>
      </c>
      <c r="M148" t="n">
        <v>0</v>
      </c>
      <c r="N148" t="n">
        <v>0</v>
      </c>
      <c r="O148" t="n">
        <v>0</v>
      </c>
      <c r="P148">
        <f>Table1[[#This Row],[TA 1 - Q1 Score]]+Table1[[#This Row],[TA 1 - Q2 Score]]+Table1[[#This Row],[TA 1 - Q3 Score]]</f>
        <v/>
      </c>
      <c r="Q148">
        <f>Table1[[#This Row],[TA 1 - Q1 Bonus]]+Table1[[#This Row],[TA 1 - Q2 Bonus]]+Table1[[#This Row],[TA 1 - Q4 Bonus]]</f>
        <v/>
      </c>
      <c r="R148">
        <f>Table1[[#This Row],[TA 2 - Q1 Score]]+Table1[[#This Row],[TA 2 - Q2 Score]]+Table1[[#This Row],[TA 2 - Q3 Score]]</f>
        <v/>
      </c>
      <c r="S148">
        <f>Table1[[#This Row],[TA 2 - Q1 Bonus]]+Table1[[#This Row],[TA 2 - Q2 Bonus]]+Table1[[#This Row],[TA 2 - Q4 Bonus]]</f>
        <v/>
      </c>
      <c r="T148">
        <f>(Table1[[#This Row],[TA 1 - Total Score (out of 35)]]+Table1[[#This Row],[TA 2 - Total Score (out of 35)]])/2</f>
        <v/>
      </c>
      <c r="U148">
        <f>(Table1[[#This Row],[TA 1 - Total Bonus (out of 13)]]+Table1[[#This Row],[TA 2 - Total Bonus (out of 13)]])/2</f>
        <v/>
      </c>
      <c r="V148">
        <f>Table1[[#This Row],[Average Questions]]/35*20+Table1[[#This Row],[Average Bonus]]/13*5</f>
        <v/>
      </c>
      <c r="W148" t="n">
        <v>0</v>
      </c>
      <c r="X148" t="n">
        <v>0</v>
      </c>
      <c r="Y148" t="inlineStr">
        <is>
          <t>The student's submission does not run correctly due to several critical errors. The training and validation loops are incorrectly implemented for a classification task, using sigmoid activation and binary classification loss instead of softmax and cross-entropy loss. The model's classifier head is not correctly modified for 26 classes, and the backbone is not frozen. Additionally, the student did not implement the bonus task for Test Time Augmentation.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48" t="n">
        <v>0</v>
      </c>
      <c r="AA148" t="n">
        <v>0</v>
      </c>
      <c r="AB148" t="inlineStr">
        <is>
          <t>The student's submission does not run correctly due to several issues. The dataset class is incorrectly implemented, leading to errors in loading the data. The transformations applied to the images are incorrect, and the model definition does not follow the specified requirements. Additionally, the training and validation functions are not correctly implemented, and the training process does not execute as intended.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48" t="n">
        <v>0</v>
      </c>
      <c r="AD148" t="inlineStr">
        <is>
          <t>The student's submission does not run correctly due to several issues. The dataset class is incorrectly implemented, leading to errors in data loading. The model definition uses the wrong encoder (efficientnet-b0 instead of efficientnet-b1), and the training and validation loops are incorrectly implemented. The loss function and optimizer are also incorrectly defined, leading to further errors in the training process. Additionally, the visualization of predictions is not correctly implemented. Therefore, the student receives 0 points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48" t="n">
        <v>0</v>
      </c>
      <c r="AF148" t="n">
        <v>0</v>
      </c>
      <c r="AG148" t="inlineStr">
        <is>
          <t>No submission found.</t>
        </is>
      </c>
      <c r="AH148" t="n">
        <v>0</v>
      </c>
      <c r="AI148" t="n">
        <v>0</v>
      </c>
    </row>
    <row r="149">
      <c r="A149" t="n">
        <v>148</v>
      </c>
      <c r="B149" t="inlineStr">
        <is>
          <t>TA_3</t>
        </is>
      </c>
      <c r="C149" t="inlineStr">
        <is>
          <t>TA_13</t>
        </is>
      </c>
      <c r="D149" t="n">
        <v>4</v>
      </c>
      <c r="E149" t="n">
        <v>0</v>
      </c>
      <c r="F149" t="n">
        <v>8</v>
      </c>
      <c r="G149" t="n">
        <v>0</v>
      </c>
      <c r="H149" t="n">
        <v>4.5</v>
      </c>
      <c r="I149" t="n">
        <v>0</v>
      </c>
      <c r="J149" t="n">
        <v>6</v>
      </c>
      <c r="K149" t="n">
        <v>0</v>
      </c>
      <c r="L149" t="n">
        <v>9</v>
      </c>
      <c r="M149" t="n">
        <v>0</v>
      </c>
      <c r="N149" t="n">
        <v>0</v>
      </c>
      <c r="O149" t="n">
        <v>0</v>
      </c>
      <c r="P149">
        <f>Table1[[#This Row],[TA 1 - Q1 Score]]+Table1[[#This Row],[TA 1 - Q2 Score]]+Table1[[#This Row],[TA 1 - Q3 Score]]</f>
        <v/>
      </c>
      <c r="Q149">
        <f>Table1[[#This Row],[TA 1 - Q1 Bonus]]+Table1[[#This Row],[TA 1 - Q2 Bonus]]+Table1[[#This Row],[TA 1 - Q4 Bonus]]</f>
        <v/>
      </c>
      <c r="R149">
        <f>Table1[[#This Row],[TA 2 - Q1 Score]]+Table1[[#This Row],[TA 2 - Q2 Score]]+Table1[[#This Row],[TA 2 - Q3 Score]]</f>
        <v/>
      </c>
      <c r="S149">
        <f>Table1[[#This Row],[TA 2 - Q1 Bonus]]+Table1[[#This Row],[TA 2 - Q2 Bonus]]+Table1[[#This Row],[TA 2 - Q4 Bonus]]</f>
        <v/>
      </c>
      <c r="T149">
        <f>(Table1[[#This Row],[TA 1 - Total Score (out of 35)]]+Table1[[#This Row],[TA 2 - Total Score (out of 35)]])/2</f>
        <v/>
      </c>
      <c r="U149">
        <f>(Table1[[#This Row],[TA 1 - Total Bonus (out of 13)]]+Table1[[#This Row],[TA 2 - Total Bonus (out of 13)]])/2</f>
        <v/>
      </c>
      <c r="V149">
        <f>Table1[[#This Row],[Average Questions]]/35*20+Table1[[#This Row],[Average Bonus]]/13*5</f>
        <v/>
      </c>
      <c r="W149" t="n">
        <v>0</v>
      </c>
      <c r="X149" t="n">
        <v>0</v>
      </c>
      <c r="Y149" t="inlineStr">
        <is>
          <t>The student's submission does not run correctly due to several critical errors. The model's classifier head is incorrectly set to output only one class instead of 26, and the training and validation loops are incorrectly implemented for binary classification instead of multi-class classification. Additionally, the student did not fix the labels to be 0-indexed, which is a requirement for the loss function. These issues prevent the code from running correctly and thus no partial credit can be awarded.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49" t="n">
        <v>0</v>
      </c>
      <c r="AA149" t="n">
        <v>0</v>
      </c>
      <c r="AB149" t="inlineStr">
        <is>
          <t>The student's submission does not run correctly due to multiple issues. The dataset class is incorrectly implemented, leading to errors in loading the data. The CNN model definition is flawed, with incorrect layer configurations and missing batch normalization. The training and validation functions are incorrectly implemented, leading to runtime errors.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49" t="n">
        <v>0</v>
      </c>
      <c r="AD149" t="inlineStr">
        <is>
          <t>The student's submission contains several critical errors that prevent the code from running correctly. The dataset class is incorrectly implemented, leading to issues in loading images and masks. The DataLoader creation is incomplete and contains syntax errors. The model definition uses the wrong number of classes and the incorrect loss function. Additionally, the training and validation loops are not correctly implemented, and the visualization of predictions is missing. These issues collectively result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49" t="n">
        <v>0</v>
      </c>
      <c r="AF149" t="n">
        <v>0</v>
      </c>
      <c r="AG149" t="inlineStr">
        <is>
          <t>No submission found.</t>
        </is>
      </c>
      <c r="AH149" t="n">
        <v>0</v>
      </c>
      <c r="AI149" t="n">
        <v>0</v>
      </c>
    </row>
    <row r="150">
      <c r="A150" t="n">
        <v>149</v>
      </c>
      <c r="B150" t="inlineStr">
        <is>
          <t>TA_3</t>
        </is>
      </c>
      <c r="C150" t="inlineStr">
        <is>
          <t>TA_13</t>
        </is>
      </c>
      <c r="D150" t="n">
        <v>7</v>
      </c>
      <c r="E150" t="n">
        <v>0</v>
      </c>
      <c r="F150" t="n">
        <v>8</v>
      </c>
      <c r="G150" t="n">
        <v>0</v>
      </c>
      <c r="H150" t="n">
        <v>6</v>
      </c>
      <c r="I150" t="n">
        <v>0</v>
      </c>
      <c r="J150" t="n">
        <v>7.5</v>
      </c>
      <c r="K150" t="n">
        <v>0</v>
      </c>
      <c r="L150" t="n">
        <v>5.25</v>
      </c>
      <c r="M150" t="n">
        <v>0</v>
      </c>
      <c r="N150" t="n">
        <v>0.5</v>
      </c>
      <c r="O150" t="n">
        <v>0</v>
      </c>
      <c r="P150">
        <f>Table1[[#This Row],[TA 1 - Q1 Score]]+Table1[[#This Row],[TA 1 - Q2 Score]]+Table1[[#This Row],[TA 1 - Q3 Score]]</f>
        <v/>
      </c>
      <c r="Q150">
        <f>Table1[[#This Row],[TA 1 - Q1 Bonus]]+Table1[[#This Row],[TA 1 - Q2 Bonus]]+Table1[[#This Row],[TA 1 - Q4 Bonus]]</f>
        <v/>
      </c>
      <c r="R150">
        <f>Table1[[#This Row],[TA 2 - Q1 Score]]+Table1[[#This Row],[TA 2 - Q2 Score]]+Table1[[#This Row],[TA 2 - Q3 Score]]</f>
        <v/>
      </c>
      <c r="S150">
        <f>Table1[[#This Row],[TA 2 - Q1 Bonus]]+Table1[[#This Row],[TA 2 - Q2 Bonus]]+Table1[[#This Row],[TA 2 - Q4 Bonus]]</f>
        <v/>
      </c>
      <c r="T150">
        <f>(Table1[[#This Row],[TA 1 - Total Score (out of 35)]]+Table1[[#This Row],[TA 2 - Total Score (out of 35)]])/2</f>
        <v/>
      </c>
      <c r="U150">
        <f>(Table1[[#This Row],[TA 1 - Total Bonus (out of 13)]]+Table1[[#This Row],[TA 2 - Total Bonus (out of 13)]])/2</f>
        <v/>
      </c>
      <c r="V150">
        <f>Table1[[#This Row],[Average Questions]]/35*20+Table1[[#This Row],[Average Bonus]]/13*5</f>
        <v/>
      </c>
      <c r="W150" t="n">
        <v>0</v>
      </c>
      <c r="X150" t="n">
        <v>0</v>
      </c>
      <c r="Y150" t="inlineStr">
        <is>
          <t>The student's submission does not run correctly due to several issues. The student used the wrong model (EfficientNetV2-M instead of EfficientNetV2-S), did not fix the labels for 0-indexing, and the training and validation loops are incorrect. Additionally, the student did not implement the bonus task correctly.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50" t="n">
        <v>0</v>
      </c>
      <c r="AA150" t="n">
        <v>0</v>
      </c>
      <c r="AB150" t="inlineStr">
        <is>
          <t>The student's submission does not follow the rubric correctly. The dataset paths are incorrect, the transforms are not applied as specified, and the model architecture does not match the required specifications. Additionally, the training and validation functions are incorrectly implemented, and the bonus task is not attempted. The code does not run correctly and deviates significantly from the required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150" t="n">
        <v>0</v>
      </c>
      <c r="AD150" t="inlineStr">
        <is>
          <t>The student's submission does not follow the rubric correctly. The dataset class is incorrectly implemented using ImageFolder instead of a custom dataset class. The model definition uses efficientnet-b0 instead of efficientnet-b1. The training and validation loops are incorrectly implemented for segmentation tasks, using BCEWithLogitsLoss instead of CrossEntropyLoss. The visualization of predictions is also incorrect as it does not handle multi-class segmentation properly.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50" t="n">
        <v>0</v>
      </c>
      <c r="AF150" t="n">
        <v>0</v>
      </c>
      <c r="AG150" t="inlineStr">
        <is>
          <t>No submission found.</t>
        </is>
      </c>
      <c r="AH150" t="n">
        <v>0</v>
      </c>
      <c r="AI150" t="n">
        <v>0</v>
      </c>
    </row>
    <row r="151">
      <c r="A151" t="n">
        <v>150</v>
      </c>
      <c r="B151" t="inlineStr">
        <is>
          <t>TA_3</t>
        </is>
      </c>
      <c r="C151" t="inlineStr">
        <is>
          <t>TA_13</t>
        </is>
      </c>
      <c r="D151" t="n">
        <v>11</v>
      </c>
      <c r="E151" t="n">
        <v>0</v>
      </c>
      <c r="F151" t="n">
        <v>9</v>
      </c>
      <c r="G151" t="n">
        <v>0</v>
      </c>
      <c r="H151" t="n">
        <v>12</v>
      </c>
      <c r="I151" t="n">
        <v>0</v>
      </c>
      <c r="J151" t="n">
        <v>11.5</v>
      </c>
      <c r="K151" t="n">
        <v>3</v>
      </c>
      <c r="L151" t="n">
        <v>9</v>
      </c>
      <c r="M151" t="n">
        <v>2</v>
      </c>
      <c r="N151" t="n">
        <v>12</v>
      </c>
      <c r="O151" t="n">
        <v>0</v>
      </c>
      <c r="P151">
        <f>Table1[[#This Row],[TA 1 - Q1 Score]]+Table1[[#This Row],[TA 1 - Q2 Score]]+Table1[[#This Row],[TA 1 - Q3 Score]]</f>
        <v/>
      </c>
      <c r="Q151">
        <f>Table1[[#This Row],[TA 1 - Q1 Bonus]]+Table1[[#This Row],[TA 1 - Q2 Bonus]]+Table1[[#This Row],[TA 1 - Q4 Bonus]]</f>
        <v/>
      </c>
      <c r="R151">
        <f>Table1[[#This Row],[TA 2 - Q1 Score]]+Table1[[#This Row],[TA 2 - Q2 Score]]+Table1[[#This Row],[TA 2 - Q3 Score]]</f>
        <v/>
      </c>
      <c r="S151">
        <f>Table1[[#This Row],[TA 2 - Q1 Bonus]]+Table1[[#This Row],[TA 2 - Q2 Bonus]]+Table1[[#This Row],[TA 2 - Q4 Bonus]]</f>
        <v/>
      </c>
      <c r="T151">
        <f>(Table1[[#This Row],[TA 1 - Total Score (out of 35)]]+Table1[[#This Row],[TA 2 - Total Score (out of 35)]])/2</f>
        <v/>
      </c>
      <c r="U151">
        <f>(Table1[[#This Row],[TA 1 - Total Bonus (out of 13)]]+Table1[[#This Row],[TA 2 - Total Bonus (out of 13)]])/2</f>
        <v/>
      </c>
      <c r="V151">
        <f>Table1[[#This Row],[Average Questions]]/35*20+Table1[[#This Row],[Average Bonus]]/13*5</f>
        <v/>
      </c>
      <c r="W151" t="n">
        <v>0</v>
      </c>
      <c r="X151" t="n">
        <v>0</v>
      </c>
      <c r="Y151" t="inlineStr">
        <is>
          <t>The student's submission contains several critical errors that prevent the code from running correctly. The transforms are incorrectly specified, leading to images being resized to 256x256 instead of 28x28. The DataLoaders are created but not used correctly in the training and validation loops. The model is loaded incorrectly, and the backbone is not properly frozen. The training and validation loops contain logical errors, such as using softmax instead of directly using the logits for classification. Additionally, the label fixing is not implemented correctly, and the plots for training and validation losses and accuracies are not generated correctly. The bonus task for Test Time Augmentation (TTA) is also incorrectly implemented, with the averaging of predictions not done correctly. Overall, the submission does not meet the requirements of the rubric and does not run correctly.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51" t="n">
        <v>0</v>
      </c>
      <c r="AA151" t="n">
        <v>0</v>
      </c>
      <c r="AB151" t="inlineStr">
        <is>
          <t>The student's submission does not run correctly due to multiple issues. The dataset loading and transformation steps are incorrect, and the model definitions and training loops contain significant errors. The student did not follow the rubric correctly, leading to a complete failure in executing the tasks. The bonus task is also not attempted correctly, resulting in no points awarded for any part of the question.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151" t="n">
        <v>0</v>
      </c>
      <c r="AD151" t="inlineStr">
        <is>
          <t>The student's submission does not run end-to-end due to missing or incomplete code in several critical areas. The dataset class is incomplete and does not correctly load images and masks. The DataLoader creation is flawed, and the model definition uses the wrong encoder. The training and validation loops are not correctly implemented, and the loss and optimizer are not defined properly. As a result, the model cannot be trained or evaluated, and the visualization of predictions is also missing.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51" t="n">
        <v>0</v>
      </c>
      <c r="AF151" t="n">
        <v>0</v>
      </c>
      <c r="AG151" t="inlineStr">
        <is>
          <t>No submission found.</t>
        </is>
      </c>
      <c r="AH151" t="n">
        <v>0</v>
      </c>
      <c r="AI151" t="n">
        <v>0</v>
      </c>
    </row>
    <row r="152">
      <c r="A152" t="n">
        <v>151</v>
      </c>
      <c r="B152" t="inlineStr">
        <is>
          <t>TA_3</t>
        </is>
      </c>
      <c r="C152" t="inlineStr">
        <is>
          <t>TA_13</t>
        </is>
      </c>
      <c r="D152" t="n">
        <v>0</v>
      </c>
      <c r="E152" t="n">
        <v>0</v>
      </c>
      <c r="F152" t="n">
        <v>0</v>
      </c>
      <c r="G152" t="n">
        <v>0</v>
      </c>
      <c r="H152" t="n">
        <v>0</v>
      </c>
      <c r="I152" t="n">
        <v>0</v>
      </c>
      <c r="J152" t="n">
        <v>12</v>
      </c>
      <c r="K152" t="n">
        <v>0</v>
      </c>
      <c r="L152" t="n">
        <v>0</v>
      </c>
      <c r="M152" t="n">
        <v>0</v>
      </c>
      <c r="N152" t="n">
        <v>0</v>
      </c>
      <c r="O152" t="n">
        <v>0</v>
      </c>
      <c r="P152">
        <f>Table1[[#This Row],[TA 1 - Q1 Score]]+Table1[[#This Row],[TA 1 - Q2 Score]]+Table1[[#This Row],[TA 1 - Q3 Score]]</f>
        <v/>
      </c>
      <c r="Q152">
        <f>Table1[[#This Row],[TA 1 - Q1 Bonus]]+Table1[[#This Row],[TA 1 - Q2 Bonus]]+Table1[[#This Row],[TA 1 - Q4 Bonus]]</f>
        <v/>
      </c>
      <c r="R152">
        <f>Table1[[#This Row],[TA 2 - Q1 Score]]+Table1[[#This Row],[TA 2 - Q2 Score]]+Table1[[#This Row],[TA 2 - Q3 Score]]</f>
        <v/>
      </c>
      <c r="S152">
        <f>Table1[[#This Row],[TA 2 - Q1 Bonus]]+Table1[[#This Row],[TA 2 - Q2 Bonus]]+Table1[[#This Row],[TA 2 - Q4 Bonus]]</f>
        <v/>
      </c>
      <c r="T152">
        <f>(Table1[[#This Row],[TA 1 - Total Score (out of 35)]]+Table1[[#This Row],[TA 2 - Total Score (out of 35)]])/2</f>
        <v/>
      </c>
      <c r="U152">
        <f>(Table1[[#This Row],[TA 1 - Total Bonus (out of 13)]]+Table1[[#This Row],[TA 2 - Total Bonus (out of 13)]])/2</f>
        <v/>
      </c>
      <c r="V152">
        <f>Table1[[#This Row],[Average Questions]]/35*20+Table1[[#This Row],[Average Bonus]]/13*5</f>
        <v/>
      </c>
      <c r="W152" t="n">
        <v>0</v>
      </c>
      <c r="X152" t="n">
        <v>0</v>
      </c>
      <c r="Y152" t="inlineStr">
        <is>
          <t>The student's submission does not run end-to-end due to missing or incomplete code in several critical parts. Specifically, the code for creating DataLoaders and displaying sample images is missing, and the training loop is not correctly implemented. Additionally, the student did not implement the bonus task for Test Time Augmentation. Therefore, the minimum defensible score for each incomplete or buggy task is 0, and the bonus tasks are also scored as 0 since they were not attempted.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52" t="n">
        <v>0</v>
      </c>
      <c r="AA152" t="n">
        <v>0</v>
      </c>
      <c r="AB152" t="inlineStr">
        <is>
          <t>No submission found.</t>
        </is>
      </c>
      <c r="AC152" t="n">
        <v>0</v>
      </c>
      <c r="AD152" t="inlineStr">
        <is>
          <t>No submission found.</t>
        </is>
      </c>
      <c r="AE152" t="n">
        <v>0</v>
      </c>
      <c r="AF152" t="n">
        <v>0</v>
      </c>
      <c r="AG152" t="inlineStr">
        <is>
          <t>No submission found.</t>
        </is>
      </c>
      <c r="AH152" t="n">
        <v>0</v>
      </c>
      <c r="AI152" t="n">
        <v>0</v>
      </c>
    </row>
    <row r="153">
      <c r="A153" t="n">
        <v>152</v>
      </c>
      <c r="B153" t="inlineStr">
        <is>
          <t>TA_3</t>
        </is>
      </c>
      <c r="C153" t="inlineStr">
        <is>
          <t>TA_13</t>
        </is>
      </c>
      <c r="D153" t="n">
        <v>10.5</v>
      </c>
      <c r="E153" t="n">
        <v>0</v>
      </c>
      <c r="F153" t="n">
        <v>11</v>
      </c>
      <c r="G153" t="n">
        <v>0</v>
      </c>
      <c r="H153" t="n">
        <v>12</v>
      </c>
      <c r="I153" t="n">
        <v>0</v>
      </c>
      <c r="J153" t="n">
        <v>11.5</v>
      </c>
      <c r="K153" t="n">
        <v>0</v>
      </c>
      <c r="L153" t="n">
        <v>11</v>
      </c>
      <c r="M153" t="n">
        <v>0</v>
      </c>
      <c r="N153" t="n">
        <v>12</v>
      </c>
      <c r="O153" t="n">
        <v>0</v>
      </c>
      <c r="P153">
        <f>Table1[[#This Row],[TA 1 - Q1 Score]]+Table1[[#This Row],[TA 1 - Q2 Score]]+Table1[[#This Row],[TA 1 - Q3 Score]]</f>
        <v/>
      </c>
      <c r="Q153">
        <f>Table1[[#This Row],[TA 1 - Q1 Bonus]]+Table1[[#This Row],[TA 1 - Q2 Bonus]]+Table1[[#This Row],[TA 1 - Q4 Bonus]]</f>
        <v/>
      </c>
      <c r="R153">
        <f>Table1[[#This Row],[TA 2 - Q1 Score]]+Table1[[#This Row],[TA 2 - Q2 Score]]+Table1[[#This Row],[TA 2 - Q3 Score]]</f>
        <v/>
      </c>
      <c r="S153">
        <f>Table1[[#This Row],[TA 2 - Q1 Bonus]]+Table1[[#This Row],[TA 2 - Q2 Bonus]]+Table1[[#This Row],[TA 2 - Q4 Bonus]]</f>
        <v/>
      </c>
      <c r="T153">
        <f>(Table1[[#This Row],[TA 1 - Total Score (out of 35)]]+Table1[[#This Row],[TA 2 - Total Score (out of 35)]])/2</f>
        <v/>
      </c>
      <c r="U153">
        <f>(Table1[[#This Row],[TA 1 - Total Bonus (out of 13)]]+Table1[[#This Row],[TA 2 - Total Bonus (out of 13)]])/2</f>
        <v/>
      </c>
      <c r="V153">
        <f>Table1[[#This Row],[Average Questions]]/35*20+Table1[[#This Row],[Average Bonus]]/13*5</f>
        <v/>
      </c>
      <c r="W153" t="n">
        <v>0</v>
      </c>
      <c r="X153" t="n">
        <v>0</v>
      </c>
      <c r="Y153" t="inlineStr">
        <is>
          <t>The student's submission does not run correctly due to several issues. The transforms are incorrect as the resize dimension is set to 224x224 instead of 28x28. The DataLoader creation is incomplete as it does not display sample images. The model loading and adaptation are incorrect as all parameters are frozen instead of just the backbone. The training and validation loops are incorrect as they use softmax instead of the correct approach. The training process does not run correctly due to these issues. Therefore, no points are awarded for any task.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53" t="n">
        <v>0</v>
      </c>
      <c r="AA153" t="n">
        <v>0</v>
      </c>
      <c r="AB153" t="inlineStr">
        <is>
          <t>The student's submission does not run correctly due to missing code for defining the residual connection in the CNN model. The code for the residual connection is incomplete and does not follow the specified instructions, resulting in a score of 0 for the bonus tasks. Additionally, the student did not correctly implement the dataset class or ImageFolder, create train/test datasets and DataLoaders, apply the correct transforms, or display sample images with labels. The CNN model class with 5 convolutional layers and batch normalization is also missing. The training and validation functions are incomplete, and the training process does not set up the device, model, loss, optimizer correctly.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53" t="n">
        <v>0</v>
      </c>
      <c r="AD153" t="inlineStr">
        <is>
          <t>The student's submission does not run correctly due to several issues. The dataset class is incorrectly implemented, leading to errors in data loading. The training and validation loops are not correctly defined, and the model training process is flawed. Additionally, the visualization of predictions is not correctly implemented. Therefore, the code does not meet the requirements for any of the tasks, resulting in a score of 0.0 for all tasks.
Breakdown:
- Build custom dataset class for images and masks: 0.0/2.0
- Create DataLoaders: 0.0/0.5
- Display sample images and masks: 0.0/0.5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153" t="n">
        <v>0</v>
      </c>
      <c r="AF153" t="n">
        <v>0</v>
      </c>
      <c r="AG153" t="inlineStr">
        <is>
          <t>No submission found.</t>
        </is>
      </c>
      <c r="AH153" t="n">
        <v>0</v>
      </c>
      <c r="AI153" t="n">
        <v>0</v>
      </c>
    </row>
    <row r="154">
      <c r="A154" t="n">
        <v>153</v>
      </c>
      <c r="B154" t="inlineStr">
        <is>
          <t>TA_3</t>
        </is>
      </c>
      <c r="C154" t="inlineStr">
        <is>
          <t>TA_13</t>
        </is>
      </c>
      <c r="D154" t="n">
        <v>8</v>
      </c>
      <c r="E154" t="n">
        <v>0</v>
      </c>
      <c r="F154" t="n">
        <v>7</v>
      </c>
      <c r="G154" t="n">
        <v>0</v>
      </c>
      <c r="H154" t="n">
        <v>2.5</v>
      </c>
      <c r="I154" t="n">
        <v>0</v>
      </c>
      <c r="J154" t="n">
        <v>8.5</v>
      </c>
      <c r="K154" t="n">
        <v>0</v>
      </c>
      <c r="L154" t="n">
        <v>7</v>
      </c>
      <c r="M154" t="n">
        <v>0</v>
      </c>
      <c r="N154" t="n">
        <v>0</v>
      </c>
      <c r="O154" t="n">
        <v>0</v>
      </c>
      <c r="P154">
        <f>Table1[[#This Row],[TA 1 - Q1 Score]]+Table1[[#This Row],[TA 1 - Q2 Score]]+Table1[[#This Row],[TA 1 - Q3 Score]]</f>
        <v/>
      </c>
      <c r="Q154">
        <f>Table1[[#This Row],[TA 1 - Q1 Bonus]]+Table1[[#This Row],[TA 1 - Q2 Bonus]]+Table1[[#This Row],[TA 1 - Q4 Bonus]]</f>
        <v/>
      </c>
      <c r="R154">
        <f>Table1[[#This Row],[TA 2 - Q1 Score]]+Table1[[#This Row],[TA 2 - Q2 Score]]+Table1[[#This Row],[TA 2 - Q3 Score]]</f>
        <v/>
      </c>
      <c r="S154">
        <f>Table1[[#This Row],[TA 2 - Q1 Bonus]]+Table1[[#This Row],[TA 2 - Q2 Bonus]]+Table1[[#This Row],[TA 2 - Q4 Bonus]]</f>
        <v/>
      </c>
      <c r="T154">
        <f>(Table1[[#This Row],[TA 1 - Total Score (out of 35)]]+Table1[[#This Row],[TA 2 - Total Score (out of 35)]])/2</f>
        <v/>
      </c>
      <c r="U154">
        <f>(Table1[[#This Row],[TA 1 - Total Bonus (out of 13)]]+Table1[[#This Row],[TA 2 - Total Bonus (out of 13)]])/2</f>
        <v/>
      </c>
      <c r="V154">
        <f>Table1[[#This Row],[Average Questions]]/35*20+Table1[[#This Row],[Average Bonus]]/13*5</f>
        <v/>
      </c>
      <c r="W154" t="n">
        <v>0</v>
      </c>
      <c r="X154" t="n">
        <v>0</v>
      </c>
      <c r="Y154" t="inlineStr">
        <is>
          <t>The student's submission does not run correctly due to multiple issues. The transforms are incomplete, the DataLoaders are not correctly created, and the model setup is incorrect. The training and validation loops are missing critical components, and the plotting functions are not correctly implemented. Additionally, the bonus task for Test Time Augmentation is not attempted.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54" t="n">
        <v>0</v>
      </c>
      <c r="AA154" t="n">
        <v>0</v>
      </c>
      <c r="AB154" t="inlineStr">
        <is>
          <t>The student's submission does not run correctly due to multiple issues. The dataset class is incorrectly implemented, leading to errors in data loading. The CNN model definition is flawed, with incorrect layer configurations and missing batch normalization. The training and validation functions are incomplete and contain logical errors.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54" t="n">
        <v>0</v>
      </c>
      <c r="AD154" t="inlineStr">
        <is>
          <t>The student's submission contains multiple critical errors that prevent the code from running correctly. The dataset class is incorrectly implemented, leading to issues in loading images and masks. The model definition uses the wrong encoder and the incorrect number of classes. The training and validation loops are flawed, and the loss function and optimizer are not correctly defined for the task. Additionally, the visualization of predictions is incomplete and incorrect. Therefore, the student receives 0 points for all tasks as the code does not run correctly and deviates significantly from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54" t="n">
        <v>0</v>
      </c>
      <c r="AF154" t="n">
        <v>0</v>
      </c>
      <c r="AG154" t="inlineStr">
        <is>
          <t>No submission found.</t>
        </is>
      </c>
      <c r="AH154" t="n">
        <v>0</v>
      </c>
      <c r="AI154" t="n">
        <v>0</v>
      </c>
    </row>
    <row r="155">
      <c r="A155" t="n">
        <v>154</v>
      </c>
      <c r="B155" t="inlineStr">
        <is>
          <t>TA_3</t>
        </is>
      </c>
      <c r="C155" t="inlineStr">
        <is>
          <t>TA_13</t>
        </is>
      </c>
      <c r="D155" t="n">
        <v>11.5</v>
      </c>
      <c r="E155" t="n">
        <v>0</v>
      </c>
      <c r="F155" t="n">
        <v>10</v>
      </c>
      <c r="G155" t="n">
        <v>0</v>
      </c>
      <c r="H155" t="n">
        <v>11.75</v>
      </c>
      <c r="I155" t="n">
        <v>0</v>
      </c>
      <c r="J155" t="n">
        <v>11.5</v>
      </c>
      <c r="K155" t="n">
        <v>0</v>
      </c>
      <c r="L155" t="n">
        <v>10</v>
      </c>
      <c r="M155" t="n">
        <v>0</v>
      </c>
      <c r="N155" t="n">
        <v>11.75</v>
      </c>
      <c r="O155" t="n">
        <v>5</v>
      </c>
      <c r="P155">
        <f>Table1[[#This Row],[TA 1 - Q1 Score]]+Table1[[#This Row],[TA 1 - Q2 Score]]+Table1[[#This Row],[TA 1 - Q3 Score]]</f>
        <v/>
      </c>
      <c r="Q155">
        <f>Table1[[#This Row],[TA 1 - Q1 Bonus]]+Table1[[#This Row],[TA 1 - Q2 Bonus]]+Table1[[#This Row],[TA 1 - Q4 Bonus]]</f>
        <v/>
      </c>
      <c r="R155">
        <f>Table1[[#This Row],[TA 2 - Q1 Score]]+Table1[[#This Row],[TA 2 - Q2 Score]]+Table1[[#This Row],[TA 2 - Q3 Score]]</f>
        <v/>
      </c>
      <c r="S155">
        <f>Table1[[#This Row],[TA 2 - Q1 Bonus]]+Table1[[#This Row],[TA 2 - Q2 Bonus]]+Table1[[#This Row],[TA 2 - Q4 Bonus]]</f>
        <v/>
      </c>
      <c r="T155">
        <f>(Table1[[#This Row],[TA 1 - Total Score (out of 35)]]+Table1[[#This Row],[TA 2 - Total Score (out of 35)]])/2</f>
        <v/>
      </c>
      <c r="U155">
        <f>(Table1[[#This Row],[TA 1 - Total Bonus (out of 13)]]+Table1[[#This Row],[TA 2 - Total Bonus (out of 13)]])/2</f>
        <v/>
      </c>
      <c r="V155">
        <f>Table1[[#This Row],[Average Questions]]/35*20+Table1[[#This Row],[Average Bonus]]/13*5</f>
        <v/>
      </c>
      <c r="W155" t="n">
        <v>0</v>
      </c>
      <c r="X155" t="n">
        <v>0</v>
      </c>
      <c r="Y155" t="inlineStr">
        <is>
          <t>The student's submission does not run correctly due to multiple issues. The model used is EfficientNetB0 instead of EfficientNetV2-Small, which is a critical deviation from the instructions. Additionally, the training and validation loops contain significant errors, such as using sigmoid activation for a multi-class classification problem and incorrect label adjustments. These issues prevent the code from running correctly, resulting in a score of 0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55" t="n">
        <v>0</v>
      </c>
      <c r="AA155" t="n">
        <v>0</v>
      </c>
      <c r="AB155" t="inlineStr">
        <is>
          <t>The student's submission does not follow the rubric and does not run correctly. The student used a different dataset (CatsDogsDataset) instead of the specified Potato Disease Dataset. The code for loading and preparing data, building the CNN model, and training the model is incomplete and incorrect. The student did not attempt the bonus task.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55" t="n">
        <v>0</v>
      </c>
      <c r="AD155" t="inlineStr">
        <is>
          <t>The student's submission does not run correctly due to several issues. The dataset class is incorrectly implemented, using a binary remapping function instead of the required remapping function. The model definition uses 'efficientnet-b0' instead of 'efficientnet-b1'. The training and validation loops are present but do not run correctly due to the incorrect dataset class and model definition. The loss and optimizer are defined correctly, but the training process fails due to the previous issues. The visualization of predictions is attempted but fails due to the incorrect model and dataset issues.
Breakdown:
- Build custom dataset class for images and masks: 0.0/2.0
- Create DataLoaders: 0.0/0.5
- Display sample images and masks: 0.0/0.5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155" t="n">
        <v>0</v>
      </c>
      <c r="AF155" t="n">
        <v>0</v>
      </c>
      <c r="AG155" t="inlineStr">
        <is>
          <t>The student's implementation of the `ColorizationDataset` class is incorrect. The `rgb_to_grayscale` method does not correctly handle the dimensions of the grayscale image, leading to a shape mismatch. Additionally, the class does not include a visualization step as required by the rubric. Since the implementation does not run correctly and deviates from the rubric, no points are awarded.
Breakdown:
- Correctly implemented `ColorizationDataset` class: 0.0/5.0</t>
        </is>
      </c>
      <c r="AH155" t="n">
        <v>0</v>
      </c>
      <c r="AI155" t="n">
        <v>0</v>
      </c>
    </row>
    <row r="156">
      <c r="A156" t="n">
        <v>155</v>
      </c>
      <c r="B156" t="inlineStr">
        <is>
          <t>TA_3</t>
        </is>
      </c>
      <c r="C156" t="inlineStr">
        <is>
          <t>TA_13</t>
        </is>
      </c>
      <c r="D156" t="n">
        <v>10</v>
      </c>
      <c r="E156" t="n">
        <v>0</v>
      </c>
      <c r="F156" t="n">
        <v>7.5</v>
      </c>
      <c r="G156" t="n">
        <v>0</v>
      </c>
      <c r="H156" t="n">
        <v>8.5</v>
      </c>
      <c r="I156" t="n">
        <v>0</v>
      </c>
      <c r="J156" t="n">
        <v>12</v>
      </c>
      <c r="K156" t="n">
        <v>0</v>
      </c>
      <c r="L156" t="n">
        <v>6.5</v>
      </c>
      <c r="M156" t="n">
        <v>0</v>
      </c>
      <c r="N156" t="n">
        <v>8.5</v>
      </c>
      <c r="O156" t="n">
        <v>0</v>
      </c>
      <c r="P156">
        <f>Table1[[#This Row],[TA 1 - Q1 Score]]+Table1[[#This Row],[TA 1 - Q2 Score]]+Table1[[#This Row],[TA 1 - Q3 Score]]</f>
        <v/>
      </c>
      <c r="Q156">
        <f>Table1[[#This Row],[TA 1 - Q1 Bonus]]+Table1[[#This Row],[TA 1 - Q2 Bonus]]+Table1[[#This Row],[TA 1 - Q4 Bonus]]</f>
        <v/>
      </c>
      <c r="R156">
        <f>Table1[[#This Row],[TA 2 - Q1 Score]]+Table1[[#This Row],[TA 2 - Q2 Score]]+Table1[[#This Row],[TA 2 - Q3 Score]]</f>
        <v/>
      </c>
      <c r="S156">
        <f>Table1[[#This Row],[TA 2 - Q1 Bonus]]+Table1[[#This Row],[TA 2 - Q2 Bonus]]+Table1[[#This Row],[TA 2 - Q4 Bonus]]</f>
        <v/>
      </c>
      <c r="T156">
        <f>(Table1[[#This Row],[TA 1 - Total Score (out of 35)]]+Table1[[#This Row],[TA 2 - Total Score (out of 35)]])/2</f>
        <v/>
      </c>
      <c r="U156">
        <f>(Table1[[#This Row],[TA 1 - Total Bonus (out of 13)]]+Table1[[#This Row],[TA 2 - Total Bonus (out of 13)]])/2</f>
        <v/>
      </c>
      <c r="V156">
        <f>Table1[[#This Row],[Average Questions]]/35*20+Table1[[#This Row],[Average Bonus]]/13*5</f>
        <v/>
      </c>
      <c r="W156" t="n">
        <v>0</v>
      </c>
      <c r="X156" t="n">
        <v>0</v>
      </c>
      <c r="Y156" t="inlineStr">
        <is>
          <t>The student's submission does not run end-to-end due to missing code for displaying sample images and incorrect implementation of the training and validation loops. The training loop incorrectly squeezes the model outputs, leading to shape mismatches. The validation loop also has the same issue. Additionally, the student did not implement the bonus task for Test Time Augmentation.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56" t="n">
        <v>0</v>
      </c>
      <c r="AA156" t="n">
        <v>0</v>
      </c>
      <c r="AB156" t="inlineStr">
        <is>
          <t>The student's submission does not run correctly due to several issues. The dataset class is incorrectly implemented, the transforms do not match the required specifications, and the CNN model does not follow the specified architecture. Additionally, the training and validation functions are not correctly implemented, and the model training process is flawed. The bonus task is also not attempted correctly.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56" t="n">
        <v>0</v>
      </c>
      <c r="AD156" t="inlineStr">
        <is>
          <t>The student's submission does not run end-to-end due to multiple issues. The dataset class is incomplete and not used correctly. The model definition uses the wrong encoder (efficientnet-b0 instead of efficientnet-b1). The training and validation loops are defined but not used correctly in the training process. The loss and optimizer are defined but not used correctly. The plotting of the loss curve is missing. The visualization of predictions is not implemented. Therefore, the student receives 0 points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56" t="n">
        <v>0</v>
      </c>
      <c r="AF156" t="n">
        <v>0</v>
      </c>
      <c r="AG156" t="inlineStr">
        <is>
          <t>No submission found.</t>
        </is>
      </c>
      <c r="AH156" t="n">
        <v>0</v>
      </c>
      <c r="AI156" t="n">
        <v>0</v>
      </c>
    </row>
    <row r="157">
      <c r="A157" t="n">
        <v>156</v>
      </c>
      <c r="B157" t="inlineStr">
        <is>
          <t>TA_3</t>
        </is>
      </c>
      <c r="C157" t="inlineStr">
        <is>
          <t>TA_13</t>
        </is>
      </c>
      <c r="D157" t="n">
        <v>7.5</v>
      </c>
      <c r="E157" t="n">
        <v>0</v>
      </c>
      <c r="F157" t="n">
        <v>8</v>
      </c>
      <c r="G157" t="n">
        <v>0</v>
      </c>
      <c r="H157" t="n">
        <v>11.5</v>
      </c>
      <c r="I157" t="n">
        <v>0</v>
      </c>
      <c r="J157" t="n">
        <v>8.5</v>
      </c>
      <c r="K157" t="n">
        <v>0</v>
      </c>
      <c r="L157" t="n">
        <v>9</v>
      </c>
      <c r="M157" t="n">
        <v>0</v>
      </c>
      <c r="N157" t="n">
        <v>12</v>
      </c>
      <c r="O157" t="n">
        <v>0</v>
      </c>
      <c r="P157">
        <f>Table1[[#This Row],[TA 1 - Q1 Score]]+Table1[[#This Row],[TA 1 - Q2 Score]]+Table1[[#This Row],[TA 1 - Q3 Score]]</f>
        <v/>
      </c>
      <c r="Q157">
        <f>Table1[[#This Row],[TA 1 - Q1 Bonus]]+Table1[[#This Row],[TA 1 - Q2 Bonus]]+Table1[[#This Row],[TA 1 - Q4 Bonus]]</f>
        <v/>
      </c>
      <c r="R157">
        <f>Table1[[#This Row],[TA 2 - Q1 Score]]+Table1[[#This Row],[TA 2 - Q2 Score]]+Table1[[#This Row],[TA 2 - Q3 Score]]</f>
        <v/>
      </c>
      <c r="S157">
        <f>Table1[[#This Row],[TA 2 - Q1 Bonus]]+Table1[[#This Row],[TA 2 - Q2 Bonus]]+Table1[[#This Row],[TA 2 - Q4 Bonus]]</f>
        <v/>
      </c>
      <c r="T157">
        <f>(Table1[[#This Row],[TA 1 - Total Score (out of 35)]]+Table1[[#This Row],[TA 2 - Total Score (out of 35)]])/2</f>
        <v/>
      </c>
      <c r="U157">
        <f>(Table1[[#This Row],[TA 1 - Total Bonus (out of 13)]]+Table1[[#This Row],[TA 2 - Total Bonus (out of 13)]])/2</f>
        <v/>
      </c>
      <c r="V157">
        <f>Table1[[#This Row],[Average Questions]]/35*20+Table1[[#This Row],[Average Bonus]]/13*5</f>
        <v/>
      </c>
      <c r="W157" t="n">
        <v>0</v>
      </c>
      <c r="X157" t="n">
        <v>0</v>
      </c>
      <c r="Y157" t="inlineStr">
        <is>
          <t>The student's submission has several critical issues that prevent it from running correctly. The transforms are partially correct, but the DataLoader creation and display of sample images are incorrect. The model loading and adaptation tasks are not correctly implemented, and the training and validation loops contain significant errors. The bonus task for Test Time Augmentation is also incorrect. The code does not run end-to-end due to these issues, resulting in a score of 0.0 for the base tasks and 0.0 for the bonus tasks.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57" t="n">
        <v>0</v>
      </c>
      <c r="AA157" t="n">
        <v>0</v>
      </c>
      <c r="AB157" t="inlineStr">
        <is>
          <t>The student's submission does not run correctly due to several issues. The code for loading and preparing the data is incomplete and contains errors. The CNN model definition is incorrect and does not follow the specified requirements. The training and validation functions are not correctly implemented, and the training process is incomplete. Additionally, the bonus task for residual connections is not attempted. Therefore, the minimum defensible score for each task is 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57" t="n">
        <v>10</v>
      </c>
      <c r="AD157" t="inlineStr">
        <is>
          <t>The student successfully built a custom dataset class and created DataLoaders, displaying sample images and masks correctly. The model class definition was accurate, and the training and validation loops were implemented correctly. The training process, including defining the loss and optimizer, training the model, and printing losses, was executed properly. The loss curve was plotted, and predictions were visualized against ground truth. The student's code runs end-to-end and produces the correct output, following optimal logic.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57" t="n">
        <v>0</v>
      </c>
      <c r="AF157" t="n">
        <v>0</v>
      </c>
      <c r="AG157" t="inlineStr">
        <is>
          <t>No submission found.</t>
        </is>
      </c>
      <c r="AH157" t="n">
        <v>10</v>
      </c>
      <c r="AI157" t="n">
        <v>0</v>
      </c>
    </row>
    <row r="158">
      <c r="A158" t="n">
        <v>157</v>
      </c>
      <c r="B158" t="inlineStr">
        <is>
          <t>TA_3</t>
        </is>
      </c>
      <c r="C158" t="inlineStr">
        <is>
          <t>TA_13</t>
        </is>
      </c>
      <c r="D158" t="n">
        <v>12</v>
      </c>
      <c r="E158" t="n">
        <v>0</v>
      </c>
      <c r="F158" t="n">
        <v>11</v>
      </c>
      <c r="G158" t="n">
        <v>0</v>
      </c>
      <c r="H158" t="n">
        <v>12</v>
      </c>
      <c r="I158" t="n">
        <v>5</v>
      </c>
      <c r="J158" t="n">
        <v>12</v>
      </c>
      <c r="K158" t="n">
        <v>0</v>
      </c>
      <c r="L158" t="n">
        <v>10.75</v>
      </c>
      <c r="M158" t="n">
        <v>0</v>
      </c>
      <c r="N158" t="n">
        <v>12</v>
      </c>
      <c r="O158" t="n">
        <v>5</v>
      </c>
      <c r="P158">
        <f>Table1[[#This Row],[TA 1 - Q1 Score]]+Table1[[#This Row],[TA 1 - Q2 Score]]+Table1[[#This Row],[TA 1 - Q3 Score]]</f>
        <v/>
      </c>
      <c r="Q158">
        <f>Table1[[#This Row],[TA 1 - Q1 Bonus]]+Table1[[#This Row],[TA 1 - Q2 Bonus]]+Table1[[#This Row],[TA 1 - Q4 Bonus]]</f>
        <v/>
      </c>
      <c r="R158">
        <f>Table1[[#This Row],[TA 2 - Q1 Score]]+Table1[[#This Row],[TA 2 - Q2 Score]]+Table1[[#This Row],[TA 2 - Q3 Score]]</f>
        <v/>
      </c>
      <c r="S158">
        <f>Table1[[#This Row],[TA 2 - Q1 Bonus]]+Table1[[#This Row],[TA 2 - Q2 Bonus]]+Table1[[#This Row],[TA 2 - Q4 Bonus]]</f>
        <v/>
      </c>
      <c r="T158">
        <f>(Table1[[#This Row],[TA 1 - Total Score (out of 35)]]+Table1[[#This Row],[TA 2 - Total Score (out of 35)]])/2</f>
        <v/>
      </c>
      <c r="U158">
        <f>(Table1[[#This Row],[TA 1 - Total Bonus (out of 13)]]+Table1[[#This Row],[TA 2 - Total Bonus (out of 13)]])/2</f>
        <v/>
      </c>
      <c r="V158">
        <f>Table1[[#This Row],[Average Questions]]/35*20+Table1[[#This Row],[Average Bonus]]/13*5</f>
        <v/>
      </c>
      <c r="W158" t="n">
        <v>10.5</v>
      </c>
      <c r="X158" t="n">
        <v>0</v>
      </c>
      <c r="Y158" t="inlineStr">
        <is>
          <t>The student successfully completed all tasks in Parts 1, 2, and 3, including correctly setting up the transforms, creating DataLoaders, displaying sample images, loading the pretrained model, freezing the backbone, replacing the classifier head, and implementing the training and validation loops with label fixing. However, the student did not attempt the bonus task for Test Time Augmentation, resulting in a score of 0 for those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158" t="n">
        <v>0</v>
      </c>
      <c r="AA158" t="n">
        <v>0</v>
      </c>
      <c r="AB158" t="inlineStr">
        <is>
          <t>The student's submission does not run correctly due to several issues. The dataset class is incomplete and does not handle the test dataset. The transforms are applied in the wrong order, and the model architecture does not match the required specifications. The training and validation functions are incomplete and do not run correctly. The student did not attempt the bonus task. Therefore, no points are awarded for any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158" t="n">
        <v>0</v>
      </c>
      <c r="AD158" t="inlineStr">
        <is>
          <t>The student's submission does not run end-to-end due to multiple issues. The dataset class is incorrectly implemented, leading to errors in data loading. The model definition uses the wrong encoder (efficientnet-b1 instead of efficientnet-b0 as specified). The training and validation loops are incomplete and contain errors. Additionally, the visualization code does not function correctly due to these underlying issues. Therefore, no points are awarded for any task as the code does not run correctly and deviates from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58" t="n">
        <v>0</v>
      </c>
      <c r="AF158" t="n">
        <v>0</v>
      </c>
      <c r="AG158" t="inlineStr">
        <is>
          <t>The student's submission for Question 4 does not correctly implement the `ColorizationDataset` class. Specifically, the `rgb_to_grayscale` method is incomplete and does not correctly convert the RGB image to grayscale. As a result, the code does not run correctly, and the task is incomplete. Therefore, the student receives 0.0 points for this task.
Breakdown:
- Correctly implemented `ColorizationDataset` class: 0.0/?</t>
        </is>
      </c>
      <c r="AH158" t="n">
        <v>10.5</v>
      </c>
      <c r="AI158" t="n">
        <v>0</v>
      </c>
    </row>
    <row r="159">
      <c r="A159" t="n">
        <v>158</v>
      </c>
      <c r="B159" t="inlineStr">
        <is>
          <t>TA_3</t>
        </is>
      </c>
      <c r="C159" t="inlineStr">
        <is>
          <t>TA_13</t>
        </is>
      </c>
      <c r="D159" t="n">
        <v>5</v>
      </c>
      <c r="E159" t="n">
        <v>0</v>
      </c>
      <c r="F159" t="n">
        <v>4.5</v>
      </c>
      <c r="G159" t="n">
        <v>0</v>
      </c>
      <c r="H159" t="n">
        <v>7</v>
      </c>
      <c r="I159" t="n">
        <v>0</v>
      </c>
      <c r="J159" t="n">
        <v>7.5</v>
      </c>
      <c r="K159" t="n">
        <v>0</v>
      </c>
      <c r="L159" t="n">
        <v>5</v>
      </c>
      <c r="M159" t="n">
        <v>0</v>
      </c>
      <c r="N159" t="n">
        <v>8.5</v>
      </c>
      <c r="O159" t="n">
        <v>0</v>
      </c>
      <c r="P159">
        <f>Table1[[#This Row],[TA 1 - Q1 Score]]+Table1[[#This Row],[TA 1 - Q2 Score]]+Table1[[#This Row],[TA 1 - Q3 Score]]</f>
        <v/>
      </c>
      <c r="Q159">
        <f>Table1[[#This Row],[TA 1 - Q1 Bonus]]+Table1[[#This Row],[TA 1 - Q2 Bonus]]+Table1[[#This Row],[TA 1 - Q4 Bonus]]</f>
        <v/>
      </c>
      <c r="R159">
        <f>Table1[[#This Row],[TA 2 - Q1 Score]]+Table1[[#This Row],[TA 2 - Q2 Score]]+Table1[[#This Row],[TA 2 - Q3 Score]]</f>
        <v/>
      </c>
      <c r="S159">
        <f>Table1[[#This Row],[TA 2 - Q1 Bonus]]+Table1[[#This Row],[TA 2 - Q2 Bonus]]+Table1[[#This Row],[TA 2 - Q4 Bonus]]</f>
        <v/>
      </c>
      <c r="T159">
        <f>(Table1[[#This Row],[TA 1 - Total Score (out of 35)]]+Table1[[#This Row],[TA 2 - Total Score (out of 35)]])/2</f>
        <v/>
      </c>
      <c r="U159">
        <f>(Table1[[#This Row],[TA 1 - Total Bonus (out of 13)]]+Table1[[#This Row],[TA 2 - Total Bonus (out of 13)]])/2</f>
        <v/>
      </c>
      <c r="V159">
        <f>Table1[[#This Row],[Average Questions]]/35*20+Table1[[#This Row],[Average Bonus]]/13*5</f>
        <v/>
      </c>
      <c r="W159" t="n">
        <v>0</v>
      </c>
      <c r="X159" t="n">
        <v>0</v>
      </c>
      <c r="Y159" t="inlineStr">
        <is>
          <t>The student's submission does not run correctly due to multiple issues. The transforms are not correctly applied, the DataLoaders are incorrectly defined, and the model training and validation loops contain significant errors. The student also did not implement the bonus task correctly.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59" t="n">
        <v>0</v>
      </c>
      <c r="AA159" t="n">
        <v>0</v>
      </c>
      <c r="AB159" t="inlineStr">
        <is>
          <t>The student's submission does not run correctly due to multiple issues. The dataset loading and transformation tasks are incomplete and incorrect. The CNN model definition is flawed, missing batch normalization and having incorrect layer configurations. The training and validation functions are incomplete and do not correctly implement the training loop. Additionally, the plotting code is incorrect and does not display the required metrics. The bonus task is not attempted.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59" t="n">
        <v>0</v>
      </c>
      <c r="AD159" t="inlineStr">
        <is>
          <t>The student's submission has several critical issues. The dataset class is correctly defined, but the DataLoader creation and display of sample images and masks are not correctly implemented. The model definition uses 'efficientnet-b0' instead of 'efficientnet-b1', which is a deviation from the rubric and results in a -50% penalty. The training and validation loops, loss and optimizer definition, training process, and visualization of predictions are all missing or incorrect, leading to a score of 0 for these tasks. The code does not run end-to-end correctly, and the student did not follow the rubric instructions accurately.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159" t="n">
        <v>0</v>
      </c>
      <c r="AF159" t="n">
        <v>0</v>
      </c>
      <c r="AG159" t="inlineStr">
        <is>
          <t>No submission found.</t>
        </is>
      </c>
      <c r="AH159" t="n">
        <v>0</v>
      </c>
      <c r="AI159" t="n">
        <v>0</v>
      </c>
    </row>
    <row r="160">
      <c r="A160" t="n">
        <v>159</v>
      </c>
      <c r="B160" t="inlineStr">
        <is>
          <t>TA_3</t>
        </is>
      </c>
      <c r="C160" t="inlineStr">
        <is>
          <t>TA_13</t>
        </is>
      </c>
      <c r="D160" t="n">
        <v>8</v>
      </c>
      <c r="E160" t="n">
        <v>0</v>
      </c>
      <c r="F160" t="n">
        <v>7.5</v>
      </c>
      <c r="G160" t="n">
        <v>0</v>
      </c>
      <c r="H160" t="n">
        <v>3</v>
      </c>
      <c r="I160" t="n">
        <v>0</v>
      </c>
      <c r="J160" t="n">
        <v>8.5</v>
      </c>
      <c r="K160" t="n">
        <v>0</v>
      </c>
      <c r="L160" t="n">
        <v>8.5</v>
      </c>
      <c r="M160" t="n">
        <v>0</v>
      </c>
      <c r="N160" t="n">
        <v>3</v>
      </c>
      <c r="O160" t="n">
        <v>0</v>
      </c>
      <c r="P160">
        <f>Table1[[#This Row],[TA 1 - Q1 Score]]+Table1[[#This Row],[TA 1 - Q2 Score]]+Table1[[#This Row],[TA 1 - Q3 Score]]</f>
        <v/>
      </c>
      <c r="Q160">
        <f>Table1[[#This Row],[TA 1 - Q1 Bonus]]+Table1[[#This Row],[TA 1 - Q2 Bonus]]+Table1[[#This Row],[TA 1 - Q4 Bonus]]</f>
        <v/>
      </c>
      <c r="R160">
        <f>Table1[[#This Row],[TA 2 - Q1 Score]]+Table1[[#This Row],[TA 2 - Q2 Score]]+Table1[[#This Row],[TA 2 - Q3 Score]]</f>
        <v/>
      </c>
      <c r="S160">
        <f>Table1[[#This Row],[TA 2 - Q1 Bonus]]+Table1[[#This Row],[TA 2 - Q2 Bonus]]+Table1[[#This Row],[TA 2 - Q4 Bonus]]</f>
        <v/>
      </c>
      <c r="T160">
        <f>(Table1[[#This Row],[TA 1 - Total Score (out of 35)]]+Table1[[#This Row],[TA 2 - Total Score (out of 35)]])/2</f>
        <v/>
      </c>
      <c r="U160">
        <f>(Table1[[#This Row],[TA 1 - Total Bonus (out of 13)]]+Table1[[#This Row],[TA 2 - Total Bonus (out of 13)]])/2</f>
        <v/>
      </c>
      <c r="V160">
        <f>Table1[[#This Row],[Average Questions]]/35*20+Table1[[#This Row],[Average Bonus]]/13*5</f>
        <v/>
      </c>
      <c r="W160" t="n">
        <v>0</v>
      </c>
      <c r="X160" t="n">
        <v>0</v>
      </c>
      <c r="Y160" t="inlineStr">
        <is>
          <t>The student's submission has several critical issues that prevent it from running correctly. The transforms are correctly defined, and the DataLoaders are created, but the code for displaying sample images is missing. The model loading and adaptation tasks are partially completed but contain errors. The training and validation loops are incorrect and do not fix the labels, leading to a penalty. The training setup and plotting tasks are not correctly implemented. The bonus task for Test Time Augmentation is not attempted. Overall, the submission does not meet the requirements for any of the tasks to run correctly.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60" t="n">
        <v>0</v>
      </c>
      <c r="AA160" t="n">
        <v>0</v>
      </c>
      <c r="AB160" t="inlineStr">
        <is>
          <t>The student's submission does not run correctly due to several issues. The transforms are applied in the wrong order, the model architecture does not match the required specifications, and the training and validation functions are incomplete. Additionally, the plotting code is incorrect and does not produce the required plots. The bonus task is also not attempted.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60" t="n">
        <v>0</v>
      </c>
      <c r="AD160" t="inlineStr">
        <is>
          <t>The student's submission is incomplete and does not run end-to-end. The dataset class is partially implemented but contains errors, such as missing the metadata attribute and incorrect handling of the dataset split. The DataLoader is incorrectly configured, and there is no code for the model class, training and validation loops, or visualization of predictions. The submission does not meet the requirements for any of the tasks, resulting in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60" t="n">
        <v>0</v>
      </c>
      <c r="AF160" t="n">
        <v>0</v>
      </c>
      <c r="AG160" t="inlineStr">
        <is>
          <t>No submission found.</t>
        </is>
      </c>
      <c r="AH160" t="n">
        <v>0</v>
      </c>
      <c r="AI160" t="n">
        <v>0</v>
      </c>
    </row>
    <row r="161">
      <c r="A161" t="n">
        <v>160</v>
      </c>
      <c r="B161" t="inlineStr">
        <is>
          <t>TA_3</t>
        </is>
      </c>
      <c r="C161" t="inlineStr">
        <is>
          <t>TA_13</t>
        </is>
      </c>
      <c r="D161" t="n">
        <v>10.5</v>
      </c>
      <c r="E161" t="n">
        <v>0</v>
      </c>
      <c r="F161" t="n">
        <v>11</v>
      </c>
      <c r="G161" t="n">
        <v>0</v>
      </c>
      <c r="H161" t="n">
        <v>10.5</v>
      </c>
      <c r="I161" t="n">
        <v>0</v>
      </c>
      <c r="J161" t="n">
        <v>10.5</v>
      </c>
      <c r="K161" t="n">
        <v>0</v>
      </c>
      <c r="L161" t="n">
        <v>10</v>
      </c>
      <c r="M161" t="n">
        <v>0</v>
      </c>
      <c r="N161" t="n">
        <v>10.5</v>
      </c>
      <c r="O161" t="n">
        <v>0</v>
      </c>
      <c r="P161">
        <f>Table1[[#This Row],[TA 1 - Q1 Score]]+Table1[[#This Row],[TA 1 - Q2 Score]]+Table1[[#This Row],[TA 1 - Q3 Score]]</f>
        <v/>
      </c>
      <c r="Q161">
        <f>Table1[[#This Row],[TA 1 - Q1 Bonus]]+Table1[[#This Row],[TA 1 - Q2 Bonus]]+Table1[[#This Row],[TA 1 - Q4 Bonus]]</f>
        <v/>
      </c>
      <c r="R161">
        <f>Table1[[#This Row],[TA 2 - Q1 Score]]+Table1[[#This Row],[TA 2 - Q2 Score]]+Table1[[#This Row],[TA 2 - Q3 Score]]</f>
        <v/>
      </c>
      <c r="S161">
        <f>Table1[[#This Row],[TA 2 - Q1 Bonus]]+Table1[[#This Row],[TA 2 - Q2 Bonus]]+Table1[[#This Row],[TA 2 - Q4 Bonus]]</f>
        <v/>
      </c>
      <c r="T161">
        <f>(Table1[[#This Row],[TA 1 - Total Score (out of 35)]]+Table1[[#This Row],[TA 2 - Total Score (out of 35)]])/2</f>
        <v/>
      </c>
      <c r="U161">
        <f>(Table1[[#This Row],[TA 1 - Total Bonus (out of 13)]]+Table1[[#This Row],[TA 2 - Total Bonus (out of 13)]])/2</f>
        <v/>
      </c>
      <c r="V161">
        <f>Table1[[#This Row],[Average Questions]]/35*20+Table1[[#This Row],[Average Bonus]]/13*5</f>
        <v/>
      </c>
      <c r="W161" t="n">
        <v>0</v>
      </c>
      <c r="X161" t="n">
        <v>0</v>
      </c>
      <c r="Y161" t="inlineStr">
        <is>
          <t>The student's submission does not run end-to-end due to missing code in critical sections, such as the DataLoader creation and the model training loop. The code provided does not attempt to freeze the backbone of the model, which is a crucial step in transfer learning. Additionally, the student did not implement the bonus task for Test Time Augmentation.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61" t="n">
        <v>0</v>
      </c>
      <c r="AA161" t="n">
        <v>0</v>
      </c>
      <c r="AB161" t="inlineStr">
        <is>
          <t>The student's submission does not run correctly due to several issues. The transforms applied to the test dataset do not include RandomRotation, which is a requirement. The CNN model does not follow the specified architecture with 5 convolutional layers. The training and validation functions are incorrect as they use softmax on the outputs before calculating the loss, which is not necessary for CrossEntropyLoss. The training loop does not correctly update the model weights.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61" t="n">
        <v>0</v>
      </c>
      <c r="AD161" t="inlineStr">
        <is>
          <t>The student's submission does not run end-to-end due to several issues. The dataset class is incomplete and does not correctly handle the dataset splitting. The model definition uses the wrong encoder (efficientnet-b0 instead of efficientnet-b1). The training and validation loops are present but do not include validation loss calculation or plotting. The visualization of predictions is attempted but does not correctly display the ground truth and predicted masks. Overall, the submission does not meet the requirements of the rubric and does not run correctly, resulting in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61" t="n">
        <v>0</v>
      </c>
      <c r="AF161" t="n">
        <v>0</v>
      </c>
      <c r="AG161" t="inlineStr">
        <is>
          <t>No submission found.</t>
        </is>
      </c>
      <c r="AH161" t="n">
        <v>0</v>
      </c>
      <c r="AI161" t="n">
        <v>0</v>
      </c>
    </row>
    <row r="162">
      <c r="A162" t="n">
        <v>161</v>
      </c>
      <c r="B162" t="inlineStr">
        <is>
          <t>TA_3</t>
        </is>
      </c>
      <c r="C162" t="inlineStr">
        <is>
          <t>TA_13</t>
        </is>
      </c>
      <c r="D162" t="n">
        <v>7.5</v>
      </c>
      <c r="E162" t="n">
        <v>0</v>
      </c>
      <c r="F162" t="n">
        <v>8</v>
      </c>
      <c r="G162" t="n">
        <v>0</v>
      </c>
      <c r="H162" t="n">
        <v>11</v>
      </c>
      <c r="I162" t="n">
        <v>0</v>
      </c>
      <c r="J162" t="n">
        <v>7</v>
      </c>
      <c r="K162" t="n">
        <v>0</v>
      </c>
      <c r="L162" t="n">
        <v>8.5</v>
      </c>
      <c r="M162" t="n">
        <v>0</v>
      </c>
      <c r="N162" t="n">
        <v>10</v>
      </c>
      <c r="O162" t="n">
        <v>0</v>
      </c>
      <c r="P162">
        <f>Table1[[#This Row],[TA 1 - Q1 Score]]+Table1[[#This Row],[TA 1 - Q2 Score]]+Table1[[#This Row],[TA 1 - Q3 Score]]</f>
        <v/>
      </c>
      <c r="Q162">
        <f>Table1[[#This Row],[TA 1 - Q1 Bonus]]+Table1[[#This Row],[TA 1 - Q2 Bonus]]+Table1[[#This Row],[TA 1 - Q4 Bonus]]</f>
        <v/>
      </c>
      <c r="R162">
        <f>Table1[[#This Row],[TA 2 - Q1 Score]]+Table1[[#This Row],[TA 2 - Q2 Score]]+Table1[[#This Row],[TA 2 - Q3 Score]]</f>
        <v/>
      </c>
      <c r="S162">
        <f>Table1[[#This Row],[TA 2 - Q1 Bonus]]+Table1[[#This Row],[TA 2 - Q2 Bonus]]+Table1[[#This Row],[TA 2 - Q4 Bonus]]</f>
        <v/>
      </c>
      <c r="T162">
        <f>(Table1[[#This Row],[TA 1 - Total Score (out of 35)]]+Table1[[#This Row],[TA 2 - Total Score (out of 35)]])/2</f>
        <v/>
      </c>
      <c r="U162">
        <f>(Table1[[#This Row],[TA 1 - Total Bonus (out of 13)]]+Table1[[#This Row],[TA 2 - Total Bonus (out of 13)]])/2</f>
        <v/>
      </c>
      <c r="V162">
        <f>Table1[[#This Row],[Average Questions]]/35*20+Table1[[#This Row],[Average Bonus]]/13*5</f>
        <v/>
      </c>
      <c r="W162" t="n">
        <v>0</v>
      </c>
      <c r="X162" t="n">
        <v>0</v>
      </c>
      <c r="Y162" t="inlineStr">
        <is>
          <t>The student's submission does not run correctly due to several issues. The transforms are incorrectly defined, the model is not correctly adapted for the task, and the training and validation loops are flawed. The student did not fix the labels, which is a critical requirement. Additionally, the student did not implement the bonus task correctly.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62" t="n">
        <v>0</v>
      </c>
      <c r="AA162" t="n">
        <v>0</v>
      </c>
      <c r="AB162" t="inlineStr">
        <is>
          <t>The student's submission does not run correctly due to missing code for plotting losses and accuracy in Part 4. Additionally, the student did not attempt the bonus task. Therefore, the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62" t="n">
        <v>0</v>
      </c>
      <c r="AD162" t="inlineStr">
        <is>
          <t>The student's submission does not run correctly due to several issues. The dataset class is incorrectly implemented, leading to errors in data loading. The model definition uses 'efficientnet-b1' instead of 'efficientnet-b0' as specified. The training and validation loops are present but do not run correctly due to the dataset issues. The visualization of predictions is attempted but fails due to the earlier errors. Therefore, no points are awarded for any task as the code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62" t="n">
        <v>0</v>
      </c>
      <c r="AF162" t="n">
        <v>0</v>
      </c>
      <c r="AG162" t="inlineStr">
        <is>
          <t>No submission found.</t>
        </is>
      </c>
      <c r="AH162" t="n">
        <v>0</v>
      </c>
      <c r="AI162" t="n">
        <v>0</v>
      </c>
    </row>
    <row r="163">
      <c r="A163" t="n">
        <v>162</v>
      </c>
      <c r="B163" t="inlineStr">
        <is>
          <t>TA_3</t>
        </is>
      </c>
      <c r="C163" t="inlineStr">
        <is>
          <t>TA_13</t>
        </is>
      </c>
      <c r="D163" t="n">
        <v>5.5</v>
      </c>
      <c r="E163" t="n">
        <v>0</v>
      </c>
      <c r="F163" t="n">
        <v>6.5</v>
      </c>
      <c r="G163" t="n">
        <v>0</v>
      </c>
      <c r="H163" t="n">
        <v>8.5</v>
      </c>
      <c r="I163" t="n">
        <v>0</v>
      </c>
      <c r="J163" t="n">
        <v>5.25</v>
      </c>
      <c r="K163" t="n">
        <v>0</v>
      </c>
      <c r="L163" t="n">
        <v>7.5</v>
      </c>
      <c r="M163" t="n">
        <v>0</v>
      </c>
      <c r="N163" t="n">
        <v>7</v>
      </c>
      <c r="O163" t="n">
        <v>0</v>
      </c>
      <c r="P163">
        <f>Table1[[#This Row],[TA 1 - Q1 Score]]+Table1[[#This Row],[TA 1 - Q2 Score]]+Table1[[#This Row],[TA 1 - Q3 Score]]</f>
        <v/>
      </c>
      <c r="Q163">
        <f>Table1[[#This Row],[TA 1 - Q1 Bonus]]+Table1[[#This Row],[TA 1 - Q2 Bonus]]+Table1[[#This Row],[TA 1 - Q4 Bonus]]</f>
        <v/>
      </c>
      <c r="R163">
        <f>Table1[[#This Row],[TA 2 - Q1 Score]]+Table1[[#This Row],[TA 2 - Q2 Score]]+Table1[[#This Row],[TA 2 - Q3 Score]]</f>
        <v/>
      </c>
      <c r="S163">
        <f>Table1[[#This Row],[TA 2 - Q1 Bonus]]+Table1[[#This Row],[TA 2 - Q2 Bonus]]+Table1[[#This Row],[TA 2 - Q4 Bonus]]</f>
        <v/>
      </c>
      <c r="T163">
        <f>(Table1[[#This Row],[TA 1 - Total Score (out of 35)]]+Table1[[#This Row],[TA 2 - Total Score (out of 35)]])/2</f>
        <v/>
      </c>
      <c r="U163">
        <f>(Table1[[#This Row],[TA 1 - Total Bonus (out of 13)]]+Table1[[#This Row],[TA 2 - Total Bonus (out of 13)]])/2</f>
        <v/>
      </c>
      <c r="V163">
        <f>Table1[[#This Row],[Average Questions]]/35*20+Table1[[#This Row],[Average Bonus]]/13*5</f>
        <v/>
      </c>
      <c r="W163" t="n">
        <v>0</v>
      </c>
      <c r="X163" t="n">
        <v>0</v>
      </c>
      <c r="Y163" t="inlineStr">
        <is>
          <t>The student's submission contains several critical errors that prevent the code from running correctly. The transforms include an incorrect custom module that subtracts 1 from the labels, which is not part of the transform pipeline. The DataLoader creation and image display tasks are incomplete and do not follow the required structure. The model loading and adaptation tasks are incorrect, as the classifier head is not properly replaced for 26 classes. The training and validation loops are flawed, and the label fixing is not implemented correctly. Additionally, the training setup and plotting tasks are missing or incorrect. The bonus task for Test Time Augmentation (TTA) is also incomplete and does not average the predictions correctly.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63" t="n">
        <v>0</v>
      </c>
      <c r="AA163" t="n">
        <v>0</v>
      </c>
      <c r="AB163" t="inlineStr">
        <is>
          <t>The student's submission does not run correctly due to several issues. The CNN model definition is incorrect, with mismatched dimensions in the fully connected layers and missing batch normalization. The training and validation loops have logical errors, such as incorrect softmax application and missing gradient accumulation. Additionally, the student did not implement the bonus task for residual connections.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63" t="n">
        <v>0</v>
      </c>
      <c r="AD163" t="inlineStr">
        <is>
          <t>The student's submission does not run correctly due to several issues. The dataset class is incomplete and does not follow the required structure. The model definition uses 'efficientnet-b1' instead of 'efficientnet-b0' as specified. The training and validation loops are incorrectly implemented, leading to errors in the training process. Additionally, the visualization of predictions is flawed, and the loss curve plotting is missing. These issues result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63" t="n">
        <v>0</v>
      </c>
      <c r="AF163" t="n">
        <v>0</v>
      </c>
      <c r="AG163" t="inlineStr">
        <is>
          <t>The student did not implement any of the required methods in the `ColorizationDataset` class. The `__init__`, `__len__`, `rgb_to_grayscale`, and `__getitem__` methods are all left as 'TO DO' placeholders, indicating that no code was written for these tasks. Additionally, the visualization code will not run correctly because the dataset methods are not implemented. Therefore, the student receives 0 points for this task.
Breakdown:
- Correctly implemented `ColorizationDataset` class: 0.0/5.0</t>
        </is>
      </c>
      <c r="AH163" t="n">
        <v>0</v>
      </c>
      <c r="AI163" t="n">
        <v>0</v>
      </c>
    </row>
    <row r="164">
      <c r="A164" t="n">
        <v>163</v>
      </c>
      <c r="B164" t="inlineStr">
        <is>
          <t>TA_3</t>
        </is>
      </c>
      <c r="C164" t="inlineStr">
        <is>
          <t>TA_13</t>
        </is>
      </c>
      <c r="D164" t="n">
        <v>5.5</v>
      </c>
      <c r="E164" t="n">
        <v>0</v>
      </c>
      <c r="F164" t="n">
        <v>7.5</v>
      </c>
      <c r="G164" t="n">
        <v>0</v>
      </c>
      <c r="H164" t="n">
        <v>11.5</v>
      </c>
      <c r="I164" t="n">
        <v>0</v>
      </c>
      <c r="J164" t="n">
        <v>6</v>
      </c>
      <c r="K164" t="n">
        <v>0</v>
      </c>
      <c r="L164" t="n">
        <v>8</v>
      </c>
      <c r="M164" t="n">
        <v>0</v>
      </c>
      <c r="N164" t="n">
        <v>11.5</v>
      </c>
      <c r="O164" t="n">
        <v>0</v>
      </c>
      <c r="P164">
        <f>Table1[[#This Row],[TA 1 - Q1 Score]]+Table1[[#This Row],[TA 1 - Q2 Score]]+Table1[[#This Row],[TA 1 - Q3 Score]]</f>
        <v/>
      </c>
      <c r="Q164">
        <f>Table1[[#This Row],[TA 1 - Q1 Bonus]]+Table1[[#This Row],[TA 1 - Q2 Bonus]]+Table1[[#This Row],[TA 1 - Q4 Bonus]]</f>
        <v/>
      </c>
      <c r="R164">
        <f>Table1[[#This Row],[TA 2 - Q1 Score]]+Table1[[#This Row],[TA 2 - Q2 Score]]+Table1[[#This Row],[TA 2 - Q3 Score]]</f>
        <v/>
      </c>
      <c r="S164">
        <f>Table1[[#This Row],[TA 2 - Q1 Bonus]]+Table1[[#This Row],[TA 2 - Q2 Bonus]]+Table1[[#This Row],[TA 2 - Q4 Bonus]]</f>
        <v/>
      </c>
      <c r="T164">
        <f>(Table1[[#This Row],[TA 1 - Total Score (out of 35)]]+Table1[[#This Row],[TA 2 - Total Score (out of 35)]])/2</f>
        <v/>
      </c>
      <c r="U164">
        <f>(Table1[[#This Row],[TA 1 - Total Bonus (out of 13)]]+Table1[[#This Row],[TA 2 - Total Bonus (out of 13)]])/2</f>
        <v/>
      </c>
      <c r="V164">
        <f>Table1[[#This Row],[Average Questions]]/35*20+Table1[[#This Row],[Average Bonus]]/13*5</f>
        <v/>
      </c>
      <c r="W164" t="n">
        <v>0</v>
      </c>
      <c r="X164" t="n">
        <v>0</v>
      </c>
      <c r="Y164" t="inlineStr">
        <is>
          <t>The student's submission does not run correctly due to several issues. The transforms are incomplete, the DataLoaders are not correctly created, and the sample images are not displayed correctly. The model is not correctly loaded or adapted, and the training and validation loops are incorrect. Additionally, the student did not fix the labels, which is a critical error. The bonus task for Test Time Augmentation is also incomplete and incorrect.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64" t="n">
        <v>0</v>
      </c>
      <c r="AA164" t="n">
        <v>0</v>
      </c>
      <c r="AB164" t="inlineStr">
        <is>
          <t>The student's submission does not run correctly due to multiple issues. The dataset loading and transformation steps are incomplete and incorrect. The CNN model definition is flawed, missing critical components like Batch Normalization and correct layer dimensions. The training and validation functions are incorrectly implemented, leading to runtime errors. Additionally, the student did not attempt the bonus task. Therefore, no points are awarded for any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164" t="n">
        <v>0</v>
      </c>
      <c r="AD164" t="inlineStr">
        <is>
          <t>The student's submission does not run end-to-end due to missing or incorrect code in several critical areas. The dataset class is incomplete and does not correctly handle the dataset paths. The DataLoaders are not correctly defined, and the display of sample images and masks is incorrect. The model definition uses the wrong encoder (efficientnet-b0 instead of efficientnet-b1), and the training and validation loops are not correctly implemented. The loss and optimizer are defined but not used correctly in the training loop. The visualization of predictions is attempted but does not run correctly due to the previous issues.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64" t="n">
        <v>0</v>
      </c>
      <c r="AF164" t="n">
        <v>0</v>
      </c>
      <c r="AG164" t="inlineStr">
        <is>
          <t>No submission found.</t>
        </is>
      </c>
      <c r="AH164" t="n">
        <v>0</v>
      </c>
      <c r="AI164" t="n">
        <v>0</v>
      </c>
    </row>
    <row r="165">
      <c r="A165" t="n">
        <v>164</v>
      </c>
      <c r="B165" t="inlineStr">
        <is>
          <t>TA_3</t>
        </is>
      </c>
      <c r="C165" t="inlineStr">
        <is>
          <t>TA_13</t>
        </is>
      </c>
      <c r="D165" t="n">
        <v>10.5</v>
      </c>
      <c r="E165" t="n">
        <v>4</v>
      </c>
      <c r="F165" t="n">
        <v>6</v>
      </c>
      <c r="G165" t="n">
        <v>0</v>
      </c>
      <c r="H165" t="n">
        <v>11.5</v>
      </c>
      <c r="I165" t="n">
        <v>5</v>
      </c>
      <c r="J165" t="n">
        <v>12</v>
      </c>
      <c r="K165" t="n">
        <v>4</v>
      </c>
      <c r="L165" t="n">
        <v>9</v>
      </c>
      <c r="M165" t="n">
        <v>4</v>
      </c>
      <c r="N165" t="n">
        <v>11.5</v>
      </c>
      <c r="O165" t="n">
        <v>5</v>
      </c>
      <c r="P165">
        <f>Table1[[#This Row],[TA 1 - Q1 Score]]+Table1[[#This Row],[TA 1 - Q2 Score]]+Table1[[#This Row],[TA 1 - Q3 Score]]</f>
        <v/>
      </c>
      <c r="Q165">
        <f>Table1[[#This Row],[TA 1 - Q1 Bonus]]+Table1[[#This Row],[TA 1 - Q2 Bonus]]+Table1[[#This Row],[TA 1 - Q4 Bonus]]</f>
        <v/>
      </c>
      <c r="R165">
        <f>Table1[[#This Row],[TA 2 - Q1 Score]]+Table1[[#This Row],[TA 2 - Q2 Score]]+Table1[[#This Row],[TA 2 - Q3 Score]]</f>
        <v/>
      </c>
      <c r="S165">
        <f>Table1[[#This Row],[TA 2 - Q1 Bonus]]+Table1[[#This Row],[TA 2 - Q2 Bonus]]+Table1[[#This Row],[TA 2 - Q4 Bonus]]</f>
        <v/>
      </c>
      <c r="T165">
        <f>(Table1[[#This Row],[TA 1 - Total Score (out of 35)]]+Table1[[#This Row],[TA 2 - Total Score (out of 35)]])/2</f>
        <v/>
      </c>
      <c r="U165">
        <f>(Table1[[#This Row],[TA 1 - Total Bonus (out of 13)]]+Table1[[#This Row],[TA 2 - Total Bonus (out of 13)]])/2</f>
        <v/>
      </c>
      <c r="V165">
        <f>Table1[[#This Row],[Average Questions]]/35*20+Table1[[#This Row],[Average Bonus]]/13*5</f>
        <v/>
      </c>
      <c r="W165" t="n">
        <v>0</v>
      </c>
      <c r="X165" t="n">
        <v>0</v>
      </c>
      <c r="Y165" t="inlineStr">
        <is>
          <t>The student's submission does not run end-to-end due to several issues. The transforms are incomplete, the model is not correctly adapted for the new task, and the training and validation loops are flawed. Additionally, the student did not correctly implement the bonus task for Test Time Augmentation.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65" t="n">
        <v>0</v>
      </c>
      <c r="AA165" t="n">
        <v>0</v>
      </c>
      <c r="AB165" t="inlineStr">
        <is>
          <t>The student's submission does not run correctly due to multiple issues. The dataset paths are not correctly resolved, leading to potential errors in loading the data. The model definition and training loops are incomplete and contain errors, such as incorrect layer configurations and missing batch normalization. The residual connection implementation is also incorrect and does not follow the specified requirements. Therefore, no points are awarded for any task as the code does not run end-to-end.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65" t="n">
        <v>0</v>
      </c>
      <c r="AD165" t="inlineStr">
        <is>
          <t>The student's submission does not run correctly due to several issues. The dataset paths are incorrect, leading to no images being found. Additionally, the model definition and training loops contain errors that prevent the code from executing properly. Therefore, no points are awarded for any task as the code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65" t="n">
        <v>0</v>
      </c>
      <c r="AF165" t="n">
        <v>0</v>
      </c>
      <c r="AG165" t="inlineStr">
        <is>
          <t>The student's implementation of the `ColorizationDataset` class contains a critical mistake in the `rgb_to_grayscale` method. The method correctly calculates the grayscale values but fails to return the correct shape. The grayscale image should have the shape (1, H, W), but the student's implementation returns a shape of (H, W) without the channel dimension. This deviation from the required output shape results in a failure to meet the task requirements, leading to a score of 0.0 for the task.
Breakdown:
- Correctly implemented `ColorizationDataset` class: 0.0/5.0</t>
        </is>
      </c>
      <c r="AH165" t="n">
        <v>0</v>
      </c>
      <c r="AI165" t="n">
        <v>0</v>
      </c>
    </row>
    <row r="166">
      <c r="A166" t="n">
        <v>165</v>
      </c>
      <c r="B166" t="inlineStr">
        <is>
          <t>TA_3</t>
        </is>
      </c>
      <c r="C166" t="inlineStr">
        <is>
          <t>TA_13</t>
        </is>
      </c>
      <c r="D166" t="n">
        <v>10.5</v>
      </c>
      <c r="E166" t="n">
        <v>4</v>
      </c>
      <c r="F166" t="n">
        <v>8</v>
      </c>
      <c r="G166" t="n">
        <v>0</v>
      </c>
      <c r="H166" t="n">
        <v>11.5</v>
      </c>
      <c r="I166" t="n">
        <v>5</v>
      </c>
      <c r="J166" t="n">
        <v>12</v>
      </c>
      <c r="K166" t="n">
        <v>4</v>
      </c>
      <c r="L166" t="n">
        <v>9</v>
      </c>
      <c r="M166" t="n">
        <v>0</v>
      </c>
      <c r="N166" t="n">
        <v>12</v>
      </c>
      <c r="O166" t="n">
        <v>5</v>
      </c>
      <c r="P166">
        <f>Table1[[#This Row],[TA 1 - Q1 Score]]+Table1[[#This Row],[TA 1 - Q2 Score]]+Table1[[#This Row],[TA 1 - Q3 Score]]</f>
        <v/>
      </c>
      <c r="Q166">
        <f>Table1[[#This Row],[TA 1 - Q1 Bonus]]+Table1[[#This Row],[TA 1 - Q2 Bonus]]+Table1[[#This Row],[TA 1 - Q4 Bonus]]</f>
        <v/>
      </c>
      <c r="R166">
        <f>Table1[[#This Row],[TA 2 - Q1 Score]]+Table1[[#This Row],[TA 2 - Q2 Score]]+Table1[[#This Row],[TA 2 - Q3 Score]]</f>
        <v/>
      </c>
      <c r="S166">
        <f>Table1[[#This Row],[TA 2 - Q1 Bonus]]+Table1[[#This Row],[TA 2 - Q2 Bonus]]+Table1[[#This Row],[TA 2 - Q4 Bonus]]</f>
        <v/>
      </c>
      <c r="T166">
        <f>(Table1[[#This Row],[TA 1 - Total Score (out of 35)]]+Table1[[#This Row],[TA 2 - Total Score (out of 35)]])/2</f>
        <v/>
      </c>
      <c r="U166">
        <f>(Table1[[#This Row],[TA 1 - Total Bonus (out of 13)]]+Table1[[#This Row],[TA 2 - Total Bonus (out of 13)]])/2</f>
        <v/>
      </c>
      <c r="V166">
        <f>Table1[[#This Row],[Average Questions]]/35*20+Table1[[#This Row],[Average Bonus]]/13*5</f>
        <v/>
      </c>
      <c r="W166" t="n">
        <v>0</v>
      </c>
      <c r="X166" t="n">
        <v>0</v>
      </c>
      <c r="Y166" t="inlineStr">
        <is>
          <t>The student's submission does not run end-to-end due to missing or incorrect code in several critical parts. Specifically, the transforms are incomplete, the DataLoaders are not correctly created, and the model setup and training loops contain errors. The bonus task for Test Time Augmentation is also incomplete and does not run correctly.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66" t="n">
        <v>0</v>
      </c>
      <c r="AA166" t="n">
        <v>0</v>
      </c>
      <c r="AB166" t="inlineStr">
        <is>
          <t>The student's submission does not run correctly due to multiple issues. The dataset transformation and loading are incorrect, as the student used different transforms for training and testing datasets and did not resize the images to 32x32 as specified. The CNN model class does not include Batch Normalization layers, and the training and validation functions have logical errors. Additionally, the student did not implement the bonus task correctly.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66" t="n">
        <v>0</v>
      </c>
      <c r="AD166" t="inlineStr">
        <is>
          <t>The student's submission does not run correctly due to several issues. The dataset class is incomplete and does not follow the required structure. The model definition uses the wrong encoder (efficientnet-b1 instead of efficientnet-b0). The training and validation loops are present but do not run correctly due to missing or incorrect code. The visualization of predictions is attempted but does not display correctly due to errors in the code. Therefore, no points are awarded for any task as the code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66" t="n">
        <v>0</v>
      </c>
      <c r="AF166" t="n">
        <v>0</v>
      </c>
      <c r="AG166" t="inlineStr">
        <is>
          <t>The student's implementation of the `ColorizationDataset` class contains errors in the `rgb_to_grayscale` method. The formula used for converting RGB to grayscale is incorrect, as it incorrectly references the channels. Additionally, the method does not return the correct shape for the grayscale image. These issues prevent the code from running correctly, resulting in a score of 0.0 for this task.
Breakdown:
- Correctly implemented `ColorizationDataset` class: 0.0/5.0</t>
        </is>
      </c>
      <c r="AH166" t="n">
        <v>0</v>
      </c>
      <c r="AI166" t="n">
        <v>0</v>
      </c>
    </row>
    <row r="167">
      <c r="A167" t="n">
        <v>166</v>
      </c>
      <c r="B167" t="inlineStr">
        <is>
          <t>TA_3</t>
        </is>
      </c>
      <c r="C167" t="inlineStr">
        <is>
          <t>TA_13</t>
        </is>
      </c>
      <c r="D167" t="n">
        <v>11</v>
      </c>
      <c r="E167" t="n">
        <v>0</v>
      </c>
      <c r="F167" t="n">
        <v>10.5</v>
      </c>
      <c r="G167" t="n">
        <v>4</v>
      </c>
      <c r="H167" t="n">
        <v>12</v>
      </c>
      <c r="I167" t="n">
        <v>0</v>
      </c>
      <c r="J167" t="n">
        <v>12</v>
      </c>
      <c r="K167" t="n">
        <v>0</v>
      </c>
      <c r="L167" t="n">
        <v>11</v>
      </c>
      <c r="M167" t="n">
        <v>0</v>
      </c>
      <c r="N167" t="n">
        <v>12</v>
      </c>
      <c r="O167" t="n">
        <v>0</v>
      </c>
      <c r="P167">
        <f>Table1[[#This Row],[TA 1 - Q1 Score]]+Table1[[#This Row],[TA 1 - Q2 Score]]+Table1[[#This Row],[TA 1 - Q3 Score]]</f>
        <v/>
      </c>
      <c r="Q167">
        <f>Table1[[#This Row],[TA 1 - Q1 Bonus]]+Table1[[#This Row],[TA 1 - Q2 Bonus]]+Table1[[#This Row],[TA 1 - Q4 Bonus]]</f>
        <v/>
      </c>
      <c r="R167">
        <f>Table1[[#This Row],[TA 2 - Q1 Score]]+Table1[[#This Row],[TA 2 - Q2 Score]]+Table1[[#This Row],[TA 2 - Q3 Score]]</f>
        <v/>
      </c>
      <c r="S167">
        <f>Table1[[#This Row],[TA 2 - Q1 Bonus]]+Table1[[#This Row],[TA 2 - Q2 Bonus]]+Table1[[#This Row],[TA 2 - Q4 Bonus]]</f>
        <v/>
      </c>
      <c r="T167">
        <f>(Table1[[#This Row],[TA 1 - Total Score (out of 35)]]+Table1[[#This Row],[TA 2 - Total Score (out of 35)]])/2</f>
        <v/>
      </c>
      <c r="U167">
        <f>(Table1[[#This Row],[TA 1 - Total Bonus (out of 13)]]+Table1[[#This Row],[TA 2 - Total Bonus (out of 13)]])/2</f>
        <v/>
      </c>
      <c r="V167">
        <f>Table1[[#This Row],[Average Questions]]/35*20+Table1[[#This Row],[Average Bonus]]/13*5</f>
        <v/>
      </c>
      <c r="W167" t="n">
        <v>0</v>
      </c>
      <c r="X167" t="n">
        <v>0</v>
      </c>
      <c r="Y167" t="inlineStr">
        <is>
          <t>The student's submission does not run correctly due to several issues. The training and validation loops are incorrect because the student used softmax on the outputs, which is not necessary for CrossEntropyLoss. Additionally, the student did not implement the bonus task for Test Time Augmentation.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67" t="n">
        <v>0</v>
      </c>
      <c r="AA167" t="n">
        <v>0</v>
      </c>
      <c r="AB167" t="inlineStr">
        <is>
          <t>The student's submission does not run correctly due to several issues. The dataset class or ImageFolder is not correctly implemented, leading to errors in loading the data. The transforms applied do not match the required specifications, and the model definition is incorrect, missing the required number of convolutional layers and batch normalization. The training and validation functions are incomplete and contain errors, preventing the model from being trained or validated. Additionally, the bonus task for residual connections is not correctly implemented, and the code does not run end-to-end.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67" t="n">
        <v>0</v>
      </c>
      <c r="AD167" t="inlineStr">
        <is>
          <t>The student's submission does not run end-to-end due to multiple issues. The dataset class is incomplete and does not follow the required structure. The model definition uses 'efficientnet-b0' instead of 'efficientnet-b1'. The training and validation loops are present but do not run correctly due to missing or incorrect components. The loss and optimizer are defined but not used correctly in the training loop. The visualization of predictions is attempted but fails due to the overall issues in the code. Therefore, no points are awarded for any task as the code does not run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67" t="n">
        <v>0</v>
      </c>
      <c r="AF167" t="n">
        <v>0</v>
      </c>
      <c r="AG167" t="inlineStr">
        <is>
          <t>No submission found.</t>
        </is>
      </c>
      <c r="AH167" t="n">
        <v>0</v>
      </c>
      <c r="AI167" t="n">
        <v>0</v>
      </c>
    </row>
    <row r="168">
      <c r="A168" t="n">
        <v>167</v>
      </c>
      <c r="B168" t="inlineStr">
        <is>
          <t>TA_3</t>
        </is>
      </c>
      <c r="C168" t="inlineStr">
        <is>
          <t>TA_13</t>
        </is>
      </c>
      <c r="D168" t="n">
        <v>8</v>
      </c>
      <c r="E168" t="n">
        <v>0</v>
      </c>
      <c r="F168" t="n">
        <v>8</v>
      </c>
      <c r="G168" t="n">
        <v>0</v>
      </c>
      <c r="H168" t="n">
        <v>0</v>
      </c>
      <c r="I168" t="n">
        <v>0</v>
      </c>
      <c r="J168" t="n">
        <v>9.5</v>
      </c>
      <c r="K168" t="n">
        <v>0</v>
      </c>
      <c r="L168" t="n">
        <v>9</v>
      </c>
      <c r="M168" t="n">
        <v>0</v>
      </c>
      <c r="N168" t="n">
        <v>0</v>
      </c>
      <c r="O168" t="n">
        <v>0</v>
      </c>
      <c r="P168">
        <f>Table1[[#This Row],[TA 1 - Q1 Score]]+Table1[[#This Row],[TA 1 - Q2 Score]]+Table1[[#This Row],[TA 1 - Q3 Score]]</f>
        <v/>
      </c>
      <c r="Q168">
        <f>Table1[[#This Row],[TA 1 - Q1 Bonus]]+Table1[[#This Row],[TA 1 - Q2 Bonus]]+Table1[[#This Row],[TA 1 - Q4 Bonus]]</f>
        <v/>
      </c>
      <c r="R168">
        <f>Table1[[#This Row],[TA 2 - Q1 Score]]+Table1[[#This Row],[TA 2 - Q2 Score]]+Table1[[#This Row],[TA 2 - Q3 Score]]</f>
        <v/>
      </c>
      <c r="S168">
        <f>Table1[[#This Row],[TA 2 - Q1 Bonus]]+Table1[[#This Row],[TA 2 - Q2 Bonus]]+Table1[[#This Row],[TA 2 - Q4 Bonus]]</f>
        <v/>
      </c>
      <c r="T168">
        <f>(Table1[[#This Row],[TA 1 - Total Score (out of 35)]]+Table1[[#This Row],[TA 2 - Total Score (out of 35)]])/2</f>
        <v/>
      </c>
      <c r="U168">
        <f>(Table1[[#This Row],[TA 1 - Total Bonus (out of 13)]]+Table1[[#This Row],[TA 2 - Total Bonus (out of 13)]])/2</f>
        <v/>
      </c>
      <c r="V168">
        <f>Table1[[#This Row],[Average Questions]]/35*20+Table1[[#This Row],[Average Bonus]]/13*5</f>
        <v/>
      </c>
      <c r="W168" t="n">
        <v>0</v>
      </c>
      <c r="X168" t="n">
        <v>0</v>
      </c>
      <c r="Y168" t="inlineStr">
        <is>
          <t>The student's submission does not run correctly due to several issues. The code for loading and preparing data is incomplete and contains errors. The model loading and adaptation steps are incorrect, and the training and validation functions are flawed. Additionally, the student did not implement the bonus task correctly.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68" t="n">
        <v>0</v>
      </c>
      <c r="AA168" t="n">
        <v>0</v>
      </c>
      <c r="AB168" t="inlineStr">
        <is>
          <t>The student's submission does not run end-to-end due to multiple issues. The dataset paths are hardcoded incorrectly, leading to errors in loading the datasets. The model definition and training loops contain logical errors, such as incorrect output shapes and improper use of sigmoid activation for a multi-class classification problem. Additionally, the student did not implement the residual connection or any bonus tasks.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68" t="n">
        <v>0</v>
      </c>
      <c r="AD168" t="inlineStr">
        <is>
          <t>The student's submission does not run correctly due to multiple issues. The dataset class is incorrectly defined and does not follow the required structure. The model class uses 'efficientnet-b0' instead of 'efficientnet-b1'. The training and validation loops are incorrectly implemented, and the loss function and optimizer are not defined correctly. Additionally, the student did not include code for visualizing predictions.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68" t="n">
        <v>0</v>
      </c>
      <c r="AF168" t="n">
        <v>0</v>
      </c>
      <c r="AG168" t="inlineStr">
        <is>
          <t>No submission found.</t>
        </is>
      </c>
      <c r="AH168" t="n">
        <v>0</v>
      </c>
      <c r="AI168" t="n">
        <v>0</v>
      </c>
    </row>
    <row r="169">
      <c r="A169" t="n">
        <v>168</v>
      </c>
      <c r="B169" t="inlineStr">
        <is>
          <t>TA_3</t>
        </is>
      </c>
      <c r="C169" t="inlineStr">
        <is>
          <t>TA_13</t>
        </is>
      </c>
      <c r="D169" t="n">
        <v>6.5</v>
      </c>
      <c r="E169" t="n">
        <v>0</v>
      </c>
      <c r="F169" t="n">
        <v>8.5</v>
      </c>
      <c r="G169" t="n">
        <v>0</v>
      </c>
      <c r="H169" t="n">
        <v>11</v>
      </c>
      <c r="I169" t="n">
        <v>0</v>
      </c>
      <c r="J169" t="n">
        <v>10.5</v>
      </c>
      <c r="K169" t="n">
        <v>0</v>
      </c>
      <c r="L169" t="n">
        <v>9</v>
      </c>
      <c r="M169" t="n">
        <v>0</v>
      </c>
      <c r="N169" t="n">
        <v>10.5</v>
      </c>
      <c r="O169" t="n">
        <v>0</v>
      </c>
      <c r="P169">
        <f>Table1[[#This Row],[TA 1 - Q1 Score]]+Table1[[#This Row],[TA 1 - Q2 Score]]+Table1[[#This Row],[TA 1 - Q3 Score]]</f>
        <v/>
      </c>
      <c r="Q169">
        <f>Table1[[#This Row],[TA 1 - Q1 Bonus]]+Table1[[#This Row],[TA 1 - Q2 Bonus]]+Table1[[#This Row],[TA 1 - Q4 Bonus]]</f>
        <v/>
      </c>
      <c r="R169">
        <f>Table1[[#This Row],[TA 2 - Q1 Score]]+Table1[[#This Row],[TA 2 - Q2 Score]]+Table1[[#This Row],[TA 2 - Q3 Score]]</f>
        <v/>
      </c>
      <c r="S169">
        <f>Table1[[#This Row],[TA 2 - Q1 Bonus]]+Table1[[#This Row],[TA 2 - Q2 Bonus]]+Table1[[#This Row],[TA 2 - Q4 Bonus]]</f>
        <v/>
      </c>
      <c r="T169">
        <f>(Table1[[#This Row],[TA 1 - Total Score (out of 35)]]+Table1[[#This Row],[TA 2 - Total Score (out of 35)]])/2</f>
        <v/>
      </c>
      <c r="U169">
        <f>(Table1[[#This Row],[TA 1 - Total Bonus (out of 13)]]+Table1[[#This Row],[TA 2 - Total Bonus (out of 13)]])/2</f>
        <v/>
      </c>
      <c r="V169">
        <f>Table1[[#This Row],[Average Questions]]/35*20+Table1[[#This Row],[Average Bonus]]/13*5</f>
        <v/>
      </c>
      <c r="W169" t="n">
        <v>0</v>
      </c>
      <c r="X169" t="n">
        <v>0</v>
      </c>
      <c r="Y169" t="inlineStr">
        <is>
          <t>The student's submission has several critical issues that prevent it from running correctly. The DataLoaders are incorrectly named (valid_loader instead of test_loader), the model is not correctly loaded or adapted, and the training and validation loops contain significant errors. Additionally, the bonus task is incomplete and contains errors. Therefore, the student receives 0 points for the base tasks and 0 points for the bonus task.
Breakdown:
- Task 1: Complete transforms (Resize, ToTensor, Normalize): 1.5/?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69" t="n">
        <v>0</v>
      </c>
      <c r="AA169" t="n">
        <v>0</v>
      </c>
      <c r="AB169" t="inlineStr">
        <is>
          <t>The student's submission does not run correctly due to several issues. The dataset class is incorrectly defined and not used. The transformations applied do not match the rubric specifications. The CNN model class is incorrectly defined with missing Batch Normalization layers and incorrect architecture. The training and validation functions are incorrectly implemented, leading to errors in the training process. Additionally, the student did not attempt the bonus task.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69" t="n">
        <v>0</v>
      </c>
      <c r="AD169" t="inlineStr">
        <is>
          <t>The student's submission has several critical issues. The dataset class is correctly defined, but the DataLoader creation and display of sample images and masks are not correctly implemented. The model class definition uses 'efficientnet-b1' instead of 'efficientnet-b0' as specified, which is a deviation from the rubric and results in a -50% penalty. The training and validation loops, loss and optimizer definition, training process, and visualization of predictions are either missing or incorrect, leading to a score of 0 for these tasks. The code does not run end-to-end correctly due to these issues.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169" t="n">
        <v>0</v>
      </c>
      <c r="AF169" t="n">
        <v>0</v>
      </c>
      <c r="AG169" t="inlineStr">
        <is>
          <t>No submission found.</t>
        </is>
      </c>
      <c r="AH169" t="n">
        <v>0</v>
      </c>
      <c r="AI169" t="n">
        <v>0</v>
      </c>
    </row>
    <row r="170">
      <c r="A170" t="n">
        <v>169</v>
      </c>
      <c r="B170" t="inlineStr">
        <is>
          <t>TA_3</t>
        </is>
      </c>
      <c r="C170" t="inlineStr">
        <is>
          <t>TA_13</t>
        </is>
      </c>
      <c r="D170" t="n">
        <v>8</v>
      </c>
      <c r="E170" t="n">
        <v>0</v>
      </c>
      <c r="F170" t="n">
        <v>10</v>
      </c>
      <c r="G170" t="n">
        <v>4</v>
      </c>
      <c r="H170" t="n">
        <v>10</v>
      </c>
      <c r="I170" t="n">
        <v>0</v>
      </c>
      <c r="J170" t="n">
        <v>11.5</v>
      </c>
      <c r="K170" t="n">
        <v>0</v>
      </c>
      <c r="L170" t="n">
        <v>11</v>
      </c>
      <c r="M170" t="n">
        <v>2</v>
      </c>
      <c r="N170" t="n">
        <v>9.5</v>
      </c>
      <c r="O170" t="n">
        <v>0</v>
      </c>
      <c r="P170">
        <f>Table1[[#This Row],[TA 1 - Q1 Score]]+Table1[[#This Row],[TA 1 - Q2 Score]]+Table1[[#This Row],[TA 1 - Q3 Score]]</f>
        <v/>
      </c>
      <c r="Q170">
        <f>Table1[[#This Row],[TA 1 - Q1 Bonus]]+Table1[[#This Row],[TA 1 - Q2 Bonus]]+Table1[[#This Row],[TA 1 - Q4 Bonus]]</f>
        <v/>
      </c>
      <c r="R170">
        <f>Table1[[#This Row],[TA 2 - Q1 Score]]+Table1[[#This Row],[TA 2 - Q2 Score]]+Table1[[#This Row],[TA 2 - Q3 Score]]</f>
        <v/>
      </c>
      <c r="S170">
        <f>Table1[[#This Row],[TA 2 - Q1 Bonus]]+Table1[[#This Row],[TA 2 - Q2 Bonus]]+Table1[[#This Row],[TA 2 - Q4 Bonus]]</f>
        <v/>
      </c>
      <c r="T170">
        <f>(Table1[[#This Row],[TA 1 - Total Score (out of 35)]]+Table1[[#This Row],[TA 2 - Total Score (out of 35)]])/2</f>
        <v/>
      </c>
      <c r="U170">
        <f>(Table1[[#This Row],[TA 1 - Total Bonus (out of 13)]]+Table1[[#This Row],[TA 2 - Total Bonus (out of 13)]])/2</f>
        <v/>
      </c>
      <c r="V170">
        <f>Table1[[#This Row],[Average Questions]]/35*20+Table1[[#This Row],[Average Bonus]]/13*5</f>
        <v/>
      </c>
      <c r="W170" t="n">
        <v>0</v>
      </c>
      <c r="X170" t="n">
        <v>0</v>
      </c>
      <c r="Y170" t="inlineStr">
        <is>
          <t>The student's submission does not run correctly due to several issues. The transforms are not correctly applied, the DataLoaders are not created properly, and the model is not correctly set up for training. Additionally, the training and validation loops are not implemented correctly, and the plots for training and validation losses and accuracies are missing. The bonus task for Test Time Augmentation is also not implemented. Therefore, the student receives 0 points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70" t="n">
        <v>0</v>
      </c>
      <c r="AA170" t="n">
        <v>0</v>
      </c>
      <c r="AB170" t="inlineStr">
        <is>
          <t>The student's submission does not run correctly due to several issues. The dataset paths are incorrect, leading to errors in loading the data. The model definition and training loops contain syntax and logical errors, preventing the code from executing properly. Additionally, the student did not follow the rubric instructions for the residual connection in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70" t="n">
        <v>0</v>
      </c>
      <c r="AD170" t="inlineStr">
        <is>
          <t>The student's submission does not run correctly due to several issues. The dataset class is incorrectly implemented, leading to errors in data loading. The model definition uses the wrong number of classes (5 instead of 8), and the training and validation loops are not correctly implemented. Additionally, the visualization of predictions is flawed. These issues prevent the code from running end-to-end, resulting in a score of 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70" t="n">
        <v>0</v>
      </c>
      <c r="AF170" t="n">
        <v>0</v>
      </c>
      <c r="AG170" t="inlineStr">
        <is>
          <t>The student did not implement any of the required methods in the `ColorizationDataset` class. The `__init__`, `__len__`, `rgb_to_grayscale`, and `__getitem__` methods are all left as 'TO DO' placeholders, indicating that no code was written for these tasks. Additionally, the visualization code will not run correctly because the dataset methods are not implemented. Therefore, the student receives 0 points for this task.
Breakdown:
- Correctly implemented `ColorizationDataset` class: 0.0/5.0</t>
        </is>
      </c>
      <c r="AH170" t="n">
        <v>0</v>
      </c>
      <c r="AI170" t="n">
        <v>0</v>
      </c>
    </row>
    <row r="171">
      <c r="A171" t="n">
        <v>170</v>
      </c>
      <c r="B171" t="inlineStr">
        <is>
          <t>TA_3</t>
        </is>
      </c>
      <c r="C171" t="inlineStr">
        <is>
          <t>TA_13</t>
        </is>
      </c>
      <c r="D171" t="n">
        <v>12</v>
      </c>
      <c r="E171" t="n">
        <v>0</v>
      </c>
      <c r="F171" t="n">
        <v>8.5</v>
      </c>
      <c r="G171" t="n">
        <v>0</v>
      </c>
      <c r="H171" t="n">
        <v>8</v>
      </c>
      <c r="I171" t="n">
        <v>0</v>
      </c>
      <c r="J171" t="n">
        <v>12</v>
      </c>
      <c r="K171" t="n">
        <v>0</v>
      </c>
      <c r="L171" t="n">
        <v>9</v>
      </c>
      <c r="M171" t="n">
        <v>0</v>
      </c>
      <c r="N171" t="n">
        <v>11.5</v>
      </c>
      <c r="O171" t="n">
        <v>0</v>
      </c>
      <c r="P171">
        <f>Table1[[#This Row],[TA 1 - Q1 Score]]+Table1[[#This Row],[TA 1 - Q2 Score]]+Table1[[#This Row],[TA 1 - Q3 Score]]</f>
        <v/>
      </c>
      <c r="Q171">
        <f>Table1[[#This Row],[TA 1 - Q1 Bonus]]+Table1[[#This Row],[TA 1 - Q2 Bonus]]+Table1[[#This Row],[TA 1 - Q4 Bonus]]</f>
        <v/>
      </c>
      <c r="R171">
        <f>Table1[[#This Row],[TA 2 - Q1 Score]]+Table1[[#This Row],[TA 2 - Q2 Score]]+Table1[[#This Row],[TA 2 - Q3 Score]]</f>
        <v/>
      </c>
      <c r="S171">
        <f>Table1[[#This Row],[TA 2 - Q1 Bonus]]+Table1[[#This Row],[TA 2 - Q2 Bonus]]+Table1[[#This Row],[TA 2 - Q4 Bonus]]</f>
        <v/>
      </c>
      <c r="T171">
        <f>(Table1[[#This Row],[TA 1 - Total Score (out of 35)]]+Table1[[#This Row],[TA 2 - Total Score (out of 35)]])/2</f>
        <v/>
      </c>
      <c r="U171">
        <f>(Table1[[#This Row],[TA 1 - Total Bonus (out of 13)]]+Table1[[#This Row],[TA 2 - Total Bonus (out of 13)]])/2</f>
        <v/>
      </c>
      <c r="V171">
        <f>Table1[[#This Row],[Average Questions]]/35*20+Table1[[#This Row],[Average Bonus]]/13*5</f>
        <v/>
      </c>
      <c r="W171" t="n">
        <v>0</v>
      </c>
      <c r="X171" t="n">
        <v>0</v>
      </c>
      <c r="Y171" t="inlineStr">
        <is>
          <t>The student's submission does not run end-to-end due to missing or incorrect code in several critical parts. Specifically, the student did not complete the transforms correctly, did not create DataLoaders properly, and did not display sample images as required. Additionally, the training and validation loops are incorrect, and the model setup is incomplete. The bonus task for Test Time Augmentation (TTA) is also missing.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71" t="n">
        <v>5.5</v>
      </c>
      <c r="AA171" t="n">
        <v>0</v>
      </c>
      <c r="AB171" t="inlineStr">
        <is>
          <t>The student correctly used ImageFolder for the dataset and created DataLoaders, but did not apply the correct transforms (RandomRotation and Resize to 32x32). The CNN model class was incorrectly defined with only 5 convolutional layers and no Batch Normalization. The training and validation functions were implemented but did not run correctly due to issues in the model definition. The training process was set up correctly, but the model did not train due to the incorrect model definition. The student did not attempt the bonus task.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171" t="n">
        <v>0</v>
      </c>
      <c r="AD171" t="inlineStr">
        <is>
          <t>The student's submission does not run correctly due to several critical issues. The model definition uses 'efficientnet-b1' instead of 'efficientnet-b0' as specified, and the number of classes is set to 1 instead of 8. The loss function is incorrectly defined as BCEWithLogitsLoss instead of CrossEntropyLoss, which is inappropriate for multi-class segmentation. The training and validation loops do not correctly handle the output dimensions, leading to shape mismatches. Additionally, the visualization of predictions does not correctly display the multi-class segmentation results. These issues collectively prevent the code from running end-to-end, resulting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71" t="n">
        <v>0</v>
      </c>
      <c r="AF171" t="n">
        <v>0</v>
      </c>
      <c r="AG171" t="inlineStr">
        <is>
          <t>The student's implementation of the `ColorizationDataset` class is incomplete and contains several critical errors. The `__init__` method does not store the dataset, the `__len__` method incorrectly references `self.image_paths`, the `rgb_to_grayscale` method is not implemented, and the `__getitem__` method uses incorrect logic and references non-existent attributes. Additionally, the student's code does not follow the correct approach for converting RGB images to grayscale and handling the dataset. Therefore, the implementation does not meet the requirements specified in the rubric.
Breakdown:
- Correctly implemented `ColorizationDataset` class: 0.0/5.0</t>
        </is>
      </c>
      <c r="AH171" t="n">
        <v>5.5</v>
      </c>
      <c r="AI171" t="n">
        <v>0</v>
      </c>
    </row>
    <row r="172">
      <c r="A172" t="n">
        <v>171</v>
      </c>
      <c r="B172" t="inlineStr">
        <is>
          <t>TA_3</t>
        </is>
      </c>
      <c r="C172" t="inlineStr">
        <is>
          <t>TA_13</t>
        </is>
      </c>
      <c r="D172" t="n">
        <v>10.5</v>
      </c>
      <c r="E172" t="n">
        <v>4</v>
      </c>
      <c r="F172" t="n">
        <v>10</v>
      </c>
      <c r="G172" t="n">
        <v>0</v>
      </c>
      <c r="H172" t="n">
        <v>8</v>
      </c>
      <c r="I172" t="n">
        <v>5</v>
      </c>
      <c r="J172" t="n">
        <v>12</v>
      </c>
      <c r="K172" t="n">
        <v>4</v>
      </c>
      <c r="L172" t="n">
        <v>10.5</v>
      </c>
      <c r="M172" t="n">
        <v>0</v>
      </c>
      <c r="N172" t="n">
        <v>11</v>
      </c>
      <c r="O172" t="n">
        <v>5</v>
      </c>
      <c r="P172">
        <f>Table1[[#This Row],[TA 1 - Q1 Score]]+Table1[[#This Row],[TA 1 - Q2 Score]]+Table1[[#This Row],[TA 1 - Q3 Score]]</f>
        <v/>
      </c>
      <c r="Q172">
        <f>Table1[[#This Row],[TA 1 - Q1 Bonus]]+Table1[[#This Row],[TA 1 - Q2 Bonus]]+Table1[[#This Row],[TA 1 - Q4 Bonus]]</f>
        <v/>
      </c>
      <c r="R172">
        <f>Table1[[#This Row],[TA 2 - Q1 Score]]+Table1[[#This Row],[TA 2 - Q2 Score]]+Table1[[#This Row],[TA 2 - Q3 Score]]</f>
        <v/>
      </c>
      <c r="S172">
        <f>Table1[[#This Row],[TA 2 - Q1 Bonus]]+Table1[[#This Row],[TA 2 - Q2 Bonus]]+Table1[[#This Row],[TA 2 - Q4 Bonus]]</f>
        <v/>
      </c>
      <c r="T172">
        <f>(Table1[[#This Row],[TA 1 - Total Score (out of 35)]]+Table1[[#This Row],[TA 2 - Total Score (out of 35)]])/2</f>
        <v/>
      </c>
      <c r="U172">
        <f>(Table1[[#This Row],[TA 1 - Total Bonus (out of 13)]]+Table1[[#This Row],[TA 2 - Total Bonus (out of 13)]])/2</f>
        <v/>
      </c>
      <c r="V172">
        <f>Table1[[#This Row],[Average Questions]]/35*20+Table1[[#This Row],[Average Bonus]]/13*5</f>
        <v/>
      </c>
      <c r="W172" t="n">
        <v>0</v>
      </c>
      <c r="X172" t="n">
        <v>0</v>
      </c>
      <c r="Y172" t="inlineStr">
        <is>
          <t>The student's submission does not run correctly due to several issues. The code for displaying sample images is incorrect and does not display the correct labels. The model training and validation loops are incomplete and do not follow the correct logic. Additionally, the student did not correctly implement the Test Time Augmentation (TTA) for the bonus task.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72" t="n">
        <v>0</v>
      </c>
      <c r="AA172" t="n">
        <v>0</v>
      </c>
      <c r="AB172" t="inlineStr">
        <is>
          <t>The student's submission contains several critical errors and deviations from the rubric. The student did not use a custom Dataset class, did not follow the specified transforms, and did not correctly implement BatchNormalization. The training and validation functions contain syntax errors and incorrect logic, and the model class used for training is incorrect. Additionally, the bonus task for residual connections was not implemented correctly. Therefore, the minimum defensible score for each task is 0.0.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172" t="n">
        <v>0</v>
      </c>
      <c r="AD172" t="inlineStr">
        <is>
          <t>The student's submission does not run end-to-end due to multiple issues. The dataset class is incorrectly implemented, leading to errors in data loading. The model definition uses 'efficientnet-b0' instead of 'efficientnet-b1', and the training and validation loops are not correctly implemented. Additionally, the visualization of predictions is incomplete and incorrect. Therefore, no points are awarded for any task as the code does not run correctly and deviates from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72" t="n">
        <v>0</v>
      </c>
      <c r="AF172" t="n">
        <v>0</v>
      </c>
      <c r="AG172" t="inlineStr">
        <is>
          <t>The student's implementation of the `ColorizationDataset` class is incomplete. The `rgb_to_grayscale` method is correctly implemented, but the `__init__` method does not store the dataset correctly, and the `__getitem__` method does not return the correct tuple. Additionally, the visualization code is missing, which is a required part of the task. Therefore, the implementation does not meet the criteria for full credit and receives 0 points.
Breakdown:
- Correctly implemented `ColorizationDataset` class: 0.0/5.0</t>
        </is>
      </c>
      <c r="AH172" t="n">
        <v>0</v>
      </c>
      <c r="AI172" t="n">
        <v>0</v>
      </c>
    </row>
    <row r="173">
      <c r="A173" t="n">
        <v>172</v>
      </c>
      <c r="B173" t="inlineStr">
        <is>
          <t>TA_4</t>
        </is>
      </c>
      <c r="C173" t="inlineStr">
        <is>
          <t>TA_14</t>
        </is>
      </c>
      <c r="D173" t="n">
        <v>10.5</v>
      </c>
      <c r="E173" t="n">
        <v>0</v>
      </c>
      <c r="F173" t="n">
        <v>9</v>
      </c>
      <c r="G173" t="n">
        <v>0</v>
      </c>
      <c r="H173" t="n">
        <v>9.5</v>
      </c>
      <c r="I173" t="n">
        <v>0</v>
      </c>
      <c r="J173" t="n">
        <v>10</v>
      </c>
      <c r="K173" t="n">
        <v>0</v>
      </c>
      <c r="L173" t="n">
        <v>7</v>
      </c>
      <c r="M173" t="n">
        <v>0</v>
      </c>
      <c r="N173" t="n">
        <v>8</v>
      </c>
      <c r="O173" t="n">
        <v>0</v>
      </c>
      <c r="P173">
        <f>Table1[[#This Row],[TA 1 - Q1 Score]]+Table1[[#This Row],[TA 1 - Q2 Score]]+Table1[[#This Row],[TA 1 - Q3 Score]]</f>
        <v/>
      </c>
      <c r="Q173">
        <f>Table1[[#This Row],[TA 1 - Q1 Bonus]]+Table1[[#This Row],[TA 1 - Q2 Bonus]]+Table1[[#This Row],[TA 1 - Q4 Bonus]]</f>
        <v/>
      </c>
      <c r="R173">
        <f>Table1[[#This Row],[TA 2 - Q1 Score]]+Table1[[#This Row],[TA 2 - Q2 Score]]+Table1[[#This Row],[TA 2 - Q3 Score]]</f>
        <v/>
      </c>
      <c r="S173">
        <f>Table1[[#This Row],[TA 2 - Q1 Bonus]]+Table1[[#This Row],[TA 2 - Q2 Bonus]]+Table1[[#This Row],[TA 2 - Q4 Bonus]]</f>
        <v/>
      </c>
      <c r="T173">
        <f>(Table1[[#This Row],[TA 1 - Total Score (out of 35)]]+Table1[[#This Row],[TA 2 - Total Score (out of 35)]])/2</f>
        <v/>
      </c>
      <c r="U173">
        <f>(Table1[[#This Row],[TA 1 - Total Bonus (out of 13)]]+Table1[[#This Row],[TA 2 - Total Bonus (out of 13)]])/2</f>
        <v/>
      </c>
      <c r="V173">
        <f>Table1[[#This Row],[Average Questions]]/35*20+Table1[[#This Row],[Average Bonus]]/13*5</f>
        <v/>
      </c>
      <c r="W173" t="n">
        <v>0</v>
      </c>
      <c r="X173" t="n">
        <v>0</v>
      </c>
      <c r="Y173" t="inlineStr">
        <is>
          <t>The student's submission does not run end-to-end due to missing or incorrect code in several critical parts. Specifically, the code for displaying sample images, setting up the model, and training the model is incomplete or incorrect. The student did not provide code for the bonus task, and the overall structure of the submission is disorganized, making it impossible to award any points for the tasks that were attempted.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73" t="n">
        <v>0</v>
      </c>
      <c r="AA173" t="n">
        <v>0</v>
      </c>
      <c r="AB173" t="inlineStr">
        <is>
          <t>The student's submission contains several critical errors that prevent the code from running correctly. The dataset class or ImageFolder is incorrectly implemented, leading to issues in loading the data. The transforms are incorrectly applied, and the model definition is flawed, resulting in shape mismatches. The training and validation functions are incorrectly implemented, and the training loop does not run as expected. Additionally, the student did not attempt the bonus task. Therefore, no points are awarded for any of the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73" t="n">
        <v>0</v>
      </c>
      <c r="AD173" t="inlineStr">
        <is>
          <t>The student's submission does not run correctly due to several issues. The dataset class is incorrectly implemented, leading to errors in data loading. The model definition and training loops contain errors that prevent the code from executing properly. Additionally, the visualization of predictions is flawed, as the model's predictions are not correctly processed or displayed. Therefore, no points are awarded for any task as the code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73" t="n">
        <v>0</v>
      </c>
      <c r="AF173" t="n">
        <v>0</v>
      </c>
      <c r="AG173" t="inlineStr">
        <is>
          <t>No submission found.</t>
        </is>
      </c>
      <c r="AH173" t="n">
        <v>0</v>
      </c>
      <c r="AI173" t="n">
        <v>0</v>
      </c>
    </row>
    <row r="174">
      <c r="A174" t="n">
        <v>173</v>
      </c>
      <c r="B174" t="inlineStr">
        <is>
          <t>TA_4</t>
        </is>
      </c>
      <c r="C174" t="inlineStr">
        <is>
          <t>TA_14</t>
        </is>
      </c>
      <c r="D174" t="n">
        <v>12</v>
      </c>
      <c r="E174" t="n">
        <v>0</v>
      </c>
      <c r="F174" t="n">
        <v>8</v>
      </c>
      <c r="G174" t="n">
        <v>0</v>
      </c>
      <c r="H174" t="n">
        <v>12</v>
      </c>
      <c r="I174" t="n">
        <v>0</v>
      </c>
      <c r="J174" t="n">
        <v>12</v>
      </c>
      <c r="K174" t="n">
        <v>0</v>
      </c>
      <c r="L174" t="n">
        <v>8.5</v>
      </c>
      <c r="M174" t="n">
        <v>0</v>
      </c>
      <c r="N174" t="n">
        <v>12</v>
      </c>
      <c r="O174" t="n">
        <v>0</v>
      </c>
      <c r="P174">
        <f>Table1[[#This Row],[TA 1 - Q1 Score]]+Table1[[#This Row],[TA 1 - Q2 Score]]+Table1[[#This Row],[TA 1 - Q3 Score]]</f>
        <v/>
      </c>
      <c r="Q174">
        <f>Table1[[#This Row],[TA 1 - Q1 Bonus]]+Table1[[#This Row],[TA 1 - Q2 Bonus]]+Table1[[#This Row],[TA 1 - Q4 Bonus]]</f>
        <v/>
      </c>
      <c r="R174">
        <f>Table1[[#This Row],[TA 2 - Q1 Score]]+Table1[[#This Row],[TA 2 - Q2 Score]]+Table1[[#This Row],[TA 2 - Q3 Score]]</f>
        <v/>
      </c>
      <c r="S174">
        <f>Table1[[#This Row],[TA 2 - Q1 Bonus]]+Table1[[#This Row],[TA 2 - Q2 Bonus]]+Table1[[#This Row],[TA 2 - Q4 Bonus]]</f>
        <v/>
      </c>
      <c r="T174">
        <f>(Table1[[#This Row],[TA 1 - Total Score (out of 35)]]+Table1[[#This Row],[TA 2 - Total Score (out of 35)]])/2</f>
        <v/>
      </c>
      <c r="U174">
        <f>(Table1[[#This Row],[TA 1 - Total Bonus (out of 13)]]+Table1[[#This Row],[TA 2 - Total Bonus (out of 13)]])/2</f>
        <v/>
      </c>
      <c r="V174">
        <f>Table1[[#This Row],[Average Questions]]/35*20+Table1[[#This Row],[Average Bonus]]/13*5</f>
        <v/>
      </c>
      <c r="W174" t="n">
        <v>0</v>
      </c>
      <c r="X174" t="n">
        <v>0</v>
      </c>
      <c r="Y174" t="inlineStr">
        <is>
          <t>The student's submission does not run correctly due to several issues. The transforms are not correctly applied, the model is not correctly loaded or adapted, and the training and validation loops contain errors. Additionally, the student did not implement the bonus task for Test Time Augmentation. Therefore, the minimum defensible score for each task is 0%.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74" t="n">
        <v>0</v>
      </c>
      <c r="AA174" t="n">
        <v>0</v>
      </c>
      <c r="AB174" t="inlineStr">
        <is>
          <t>The student's submission does not run correctly due to several issues. The dataset paths are incorrect, and the transforms do not match the rubric. The CNN model does not follow the specified architecture, and the training and validation functions are incorrect.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74" t="n">
        <v>0</v>
      </c>
      <c r="AD174" t="inlineStr">
        <is>
          <t>The student's submission does not run end-to-end due to missing code in critical sections, such as the dataset class initialization and the training loop. The code provided is incomplete and does not follow the rubric, resulting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74" t="n">
        <v>0</v>
      </c>
      <c r="AF174" t="n">
        <v>0</v>
      </c>
      <c r="AG174" t="inlineStr">
        <is>
          <t>No submission found.</t>
        </is>
      </c>
      <c r="AH174" t="n">
        <v>0</v>
      </c>
      <c r="AI174" t="n">
        <v>0</v>
      </c>
    </row>
    <row r="175">
      <c r="A175" t="n">
        <v>174</v>
      </c>
      <c r="B175" t="inlineStr">
        <is>
          <t>TA_4</t>
        </is>
      </c>
      <c r="C175" t="inlineStr">
        <is>
          <t>TA_14</t>
        </is>
      </c>
      <c r="D175" t="n">
        <v>6</v>
      </c>
      <c r="E175" t="n">
        <v>0</v>
      </c>
      <c r="F175" t="n">
        <v>5</v>
      </c>
      <c r="G175" t="n">
        <v>0</v>
      </c>
      <c r="H175" t="n">
        <v>7.5</v>
      </c>
      <c r="I175" t="n">
        <v>0</v>
      </c>
      <c r="J175" t="n">
        <v>6</v>
      </c>
      <c r="K175" t="n">
        <v>0</v>
      </c>
      <c r="L175" t="n">
        <v>3.5</v>
      </c>
      <c r="M175" t="n">
        <v>0</v>
      </c>
      <c r="N175" t="n">
        <v>6.5</v>
      </c>
      <c r="O175" t="n">
        <v>0</v>
      </c>
      <c r="P175">
        <f>Table1[[#This Row],[TA 1 - Q1 Score]]+Table1[[#This Row],[TA 1 - Q2 Score]]+Table1[[#This Row],[TA 1 - Q3 Score]]</f>
        <v/>
      </c>
      <c r="Q175">
        <f>Table1[[#This Row],[TA 1 - Q1 Bonus]]+Table1[[#This Row],[TA 1 - Q2 Bonus]]+Table1[[#This Row],[TA 1 - Q4 Bonus]]</f>
        <v/>
      </c>
      <c r="R175">
        <f>Table1[[#This Row],[TA 2 - Q1 Score]]+Table1[[#This Row],[TA 2 - Q2 Score]]+Table1[[#This Row],[TA 2 - Q3 Score]]</f>
        <v/>
      </c>
      <c r="S175">
        <f>Table1[[#This Row],[TA 2 - Q1 Bonus]]+Table1[[#This Row],[TA 2 - Q2 Bonus]]+Table1[[#This Row],[TA 2 - Q4 Bonus]]</f>
        <v/>
      </c>
      <c r="T175">
        <f>(Table1[[#This Row],[TA 1 - Total Score (out of 35)]]+Table1[[#This Row],[TA 2 - Total Score (out of 35)]])/2</f>
        <v/>
      </c>
      <c r="U175">
        <f>(Table1[[#This Row],[TA 1 - Total Bonus (out of 13)]]+Table1[[#This Row],[TA 2 - Total Bonus (out of 13)]])/2</f>
        <v/>
      </c>
      <c r="V175">
        <f>Table1[[#This Row],[Average Questions]]/35*20+Table1[[#This Row],[Average Bonus]]/13*5</f>
        <v/>
      </c>
      <c r="W175" t="n">
        <v>0</v>
      </c>
      <c r="X175" t="n">
        <v>0</v>
      </c>
      <c r="Y175" t="inlineStr">
        <is>
          <t>The student's submission does not run correctly due to several critical errors. The training and validation loops are incorrectly implemented, using BCEWithLogitsLoss instead of CrossEntropyLoss, and the model's output is squeezed incorrectly. Additionally, the student did not fix the labels to be 0-indexed, which is a requirement for the task. The code for displaying sample images is incomplete and does not follow the correct approach.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75" t="n">
        <v>0</v>
      </c>
      <c r="AA175" t="n">
        <v>0</v>
      </c>
      <c r="AB175" t="inlineStr">
        <is>
          <t>The student did not complete any of the required tasks. There is no code for loading and preparing the data, building the CNN model, defining the training and validation functions, or training the model. Additionally, the student did not attempt the bonus task. Therefore, the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75" t="n">
        <v>0</v>
      </c>
      <c r="AD175" t="inlineStr">
        <is>
          <t>The student's submission contains several critical errors that prevent the code from running correctly. The dataset class is incorrectly implemented, leading to issues in loading images and masks. The model definition uses the wrong number of classes and encoder, and the training and validation loops are incorrectly set up. Additionally, the loss function and optimizer are not correctly defined for the task. As a result, the code does not run end-to-end, and no visualizations are produced.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75" t="n">
        <v>0</v>
      </c>
      <c r="AF175" t="n">
        <v>0</v>
      </c>
      <c r="AG175" t="inlineStr">
        <is>
          <t>No submission found.</t>
        </is>
      </c>
      <c r="AH175" t="n">
        <v>0</v>
      </c>
      <c r="AI175" t="n">
        <v>0</v>
      </c>
    </row>
    <row r="176">
      <c r="A176" t="n">
        <v>175</v>
      </c>
      <c r="B176" t="inlineStr">
        <is>
          <t>TA_4</t>
        </is>
      </c>
      <c r="C176" t="inlineStr">
        <is>
          <t>TA_14</t>
        </is>
      </c>
      <c r="D176" t="n">
        <v>12</v>
      </c>
      <c r="E176" t="n">
        <v>0</v>
      </c>
      <c r="F176" t="n">
        <v>9</v>
      </c>
      <c r="G176" t="n">
        <v>0</v>
      </c>
      <c r="H176" t="n">
        <v>9</v>
      </c>
      <c r="I176" t="n">
        <v>0</v>
      </c>
      <c r="J176" t="n">
        <v>12</v>
      </c>
      <c r="K176" t="n">
        <v>0</v>
      </c>
      <c r="L176" t="n">
        <v>9</v>
      </c>
      <c r="M176" t="n">
        <v>0</v>
      </c>
      <c r="N176" t="n">
        <v>8.5</v>
      </c>
      <c r="O176" t="n">
        <v>0</v>
      </c>
      <c r="P176">
        <f>Table1[[#This Row],[TA 1 - Q1 Score]]+Table1[[#This Row],[TA 1 - Q2 Score]]+Table1[[#This Row],[TA 1 - Q3 Score]]</f>
        <v/>
      </c>
      <c r="Q176">
        <f>Table1[[#This Row],[TA 1 - Q1 Bonus]]+Table1[[#This Row],[TA 1 - Q2 Bonus]]+Table1[[#This Row],[TA 1 - Q4 Bonus]]</f>
        <v/>
      </c>
      <c r="R176">
        <f>Table1[[#This Row],[TA 2 - Q1 Score]]+Table1[[#This Row],[TA 2 - Q2 Score]]+Table1[[#This Row],[TA 2 - Q3 Score]]</f>
        <v/>
      </c>
      <c r="S176">
        <f>Table1[[#This Row],[TA 2 - Q1 Bonus]]+Table1[[#This Row],[TA 2 - Q2 Bonus]]+Table1[[#This Row],[TA 2 - Q4 Bonus]]</f>
        <v/>
      </c>
      <c r="T176">
        <f>(Table1[[#This Row],[TA 1 - Total Score (out of 35)]]+Table1[[#This Row],[TA 2 - Total Score (out of 35)]])/2</f>
        <v/>
      </c>
      <c r="U176">
        <f>(Table1[[#This Row],[TA 1 - Total Bonus (out of 13)]]+Table1[[#This Row],[TA 2 - Total Bonus (out of 13)]])/2</f>
        <v/>
      </c>
      <c r="V176">
        <f>Table1[[#This Row],[Average Questions]]/35*20+Table1[[#This Row],[Average Bonus]]/13*5</f>
        <v/>
      </c>
      <c r="W176" t="n">
        <v>0</v>
      </c>
      <c r="X176" t="n">
        <v>0</v>
      </c>
      <c r="Y176" t="inlineStr">
        <is>
          <t>The student's submission does not run correctly due to several issues. The training and validation loops are incorrect because the student used softmax instead of directly using the model outputs. Additionally, the student did not implement the bonus task for Test Time Augmentation. Therefore, the student receives 0 points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76" t="n">
        <v>0</v>
      </c>
      <c r="AA176" t="n">
        <v>0</v>
      </c>
      <c r="AB176" t="inlineStr">
        <is>
          <t>The student's submission does not run correctly due to several issues. The CNN model class does not include Batch Normalization layers, and the fully connected layer dimensions are incorrect. The training and validation functions contain errors in the accuracy calculation, and the plotting code is incomplete.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76" t="n">
        <v>0</v>
      </c>
      <c r="AD176" t="inlineStr">
        <is>
          <t>The student's submission failed to run end-to-end due to several critical issues. The dataset class was incorrectly implemented, leading to errors in data loading. The model definition used 'efficientnet-b0' instead of 'efficientnet-b1' as specified, which is a deviation from the rubric. Additionally, the training and validation loops, as well as the visualization of predictions, were not correctly implemented or executed. The code contains multiple 'TO DO' comments, indicating incomplete tasks. Therefore, the student receives 0% for tasks that were not attempted and -50% for the model definition task due to using the wrong encoder.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176" t="n">
        <v>0</v>
      </c>
      <c r="AF176" t="n">
        <v>0</v>
      </c>
      <c r="AG176" t="inlineStr">
        <is>
          <t>No submission found.</t>
        </is>
      </c>
      <c r="AH176" t="n">
        <v>0</v>
      </c>
      <c r="AI176" t="n">
        <v>0</v>
      </c>
    </row>
    <row r="177">
      <c r="A177" t="n">
        <v>176</v>
      </c>
      <c r="B177" t="inlineStr">
        <is>
          <t>TA_4</t>
        </is>
      </c>
      <c r="C177" t="inlineStr">
        <is>
          <t>TA_14</t>
        </is>
      </c>
      <c r="D177" t="n">
        <v>9</v>
      </c>
      <c r="E177" t="n">
        <v>0</v>
      </c>
      <c r="F177" t="n">
        <v>8</v>
      </c>
      <c r="G177" t="n">
        <v>0</v>
      </c>
      <c r="H177" t="n">
        <v>10.5</v>
      </c>
      <c r="I177" t="n">
        <v>0</v>
      </c>
      <c r="J177" t="n">
        <v>6.5</v>
      </c>
      <c r="K177" t="n">
        <v>0</v>
      </c>
      <c r="L177" t="n">
        <v>6</v>
      </c>
      <c r="M177" t="n">
        <v>0</v>
      </c>
      <c r="N177" t="n">
        <v>10.75</v>
      </c>
      <c r="O177" t="n">
        <v>0</v>
      </c>
      <c r="P177">
        <f>Table1[[#This Row],[TA 1 - Q1 Score]]+Table1[[#This Row],[TA 1 - Q2 Score]]+Table1[[#This Row],[TA 1 - Q3 Score]]</f>
        <v/>
      </c>
      <c r="Q177">
        <f>Table1[[#This Row],[TA 1 - Q1 Bonus]]+Table1[[#This Row],[TA 1 - Q2 Bonus]]+Table1[[#This Row],[TA 1 - Q4 Bonus]]</f>
        <v/>
      </c>
      <c r="R177">
        <f>Table1[[#This Row],[TA 2 - Q1 Score]]+Table1[[#This Row],[TA 2 - Q2 Score]]+Table1[[#This Row],[TA 2 - Q3 Score]]</f>
        <v/>
      </c>
      <c r="S177">
        <f>Table1[[#This Row],[TA 2 - Q1 Bonus]]+Table1[[#This Row],[TA 2 - Q2 Bonus]]+Table1[[#This Row],[TA 2 - Q4 Bonus]]</f>
        <v/>
      </c>
      <c r="T177">
        <f>(Table1[[#This Row],[TA 1 - Total Score (out of 35)]]+Table1[[#This Row],[TA 2 - Total Score (out of 35)]])/2</f>
        <v/>
      </c>
      <c r="U177">
        <f>(Table1[[#This Row],[TA 1 - Total Bonus (out of 13)]]+Table1[[#This Row],[TA 2 - Total Bonus (out of 13)]])/2</f>
        <v/>
      </c>
      <c r="V177">
        <f>Table1[[#This Row],[Average Questions]]/35*20+Table1[[#This Row],[Average Bonus]]/13*5</f>
        <v/>
      </c>
      <c r="W177" t="n">
        <v>0</v>
      </c>
      <c r="X177" t="n">
        <v>0</v>
      </c>
      <c r="Y177" t="inlineStr">
        <is>
          <t>The student's submission does not run correctly due to several issues. The training and validation loops are incorrect, and the model's output shape is not handled properly. The student did not fix the labels to be 0-indexed, which is a critical requirement. Additionally, the student did not implement the bonus task for Test Time Augmentation.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77" t="n">
        <v>0</v>
      </c>
      <c r="AA177" t="n">
        <v>0</v>
      </c>
      <c r="AB177" t="inlineStr">
        <is>
          <t>The student's submission does not run correctly due to missing code for displaying sample images with labels, defining the training and validation functions, and plotting losses and accuracy. Additionally, the student did not implement the bonus task of adding a residual connection. Therefore, the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77" t="n">
        <v>0</v>
      </c>
      <c r="AD177" t="inlineStr">
        <is>
          <t>The student's submission has several critical issues. The dataset class is incomplete and does not correctly initialize the image and mask paths. The model definition uses 'efficientnet-b0' instead of 'efficientnet-b1' as specified, which is a significant deviation from the instructions. Additionally, the training and validation loops, as well as the visualization of predictions, are not correctly implemented or missing entirely. The code does not run end-to-end due to these issues, resulting in a score of 0.0 for the base tasks and -50.0 for the model definition task.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177" t="n">
        <v>0</v>
      </c>
      <c r="AF177" t="n">
        <v>0</v>
      </c>
      <c r="AG177" t="inlineStr">
        <is>
          <t>No submission found.</t>
        </is>
      </c>
      <c r="AH177" t="n">
        <v>0</v>
      </c>
      <c r="AI177" t="n">
        <v>0</v>
      </c>
    </row>
    <row r="178">
      <c r="A178" t="n">
        <v>177</v>
      </c>
      <c r="B178" t="inlineStr">
        <is>
          <t>TA_4</t>
        </is>
      </c>
      <c r="C178" t="inlineStr">
        <is>
          <t>TA_14</t>
        </is>
      </c>
      <c r="D178" t="n">
        <v>12</v>
      </c>
      <c r="E178" t="n">
        <v>4</v>
      </c>
      <c r="F178" t="n">
        <v>11</v>
      </c>
      <c r="G178" t="n">
        <v>0</v>
      </c>
      <c r="H178" t="n">
        <v>12</v>
      </c>
      <c r="I178" t="n">
        <v>5</v>
      </c>
      <c r="J178" t="n">
        <v>12</v>
      </c>
      <c r="K178" t="n">
        <v>4</v>
      </c>
      <c r="L178" t="n">
        <v>11</v>
      </c>
      <c r="M178" t="n">
        <v>0</v>
      </c>
      <c r="N178" t="n">
        <v>12</v>
      </c>
      <c r="O178" t="n">
        <v>5</v>
      </c>
      <c r="P178">
        <f>Table1[[#This Row],[TA 1 - Q1 Score]]+Table1[[#This Row],[TA 1 - Q2 Score]]+Table1[[#This Row],[TA 1 - Q3 Score]]</f>
        <v/>
      </c>
      <c r="Q178">
        <f>Table1[[#This Row],[TA 1 - Q1 Bonus]]+Table1[[#This Row],[TA 1 - Q2 Bonus]]+Table1[[#This Row],[TA 1 - Q4 Bonus]]</f>
        <v/>
      </c>
      <c r="R178">
        <f>Table1[[#This Row],[TA 2 - Q1 Score]]+Table1[[#This Row],[TA 2 - Q2 Score]]+Table1[[#This Row],[TA 2 - Q3 Score]]</f>
        <v/>
      </c>
      <c r="S178">
        <f>Table1[[#This Row],[TA 2 - Q1 Bonus]]+Table1[[#This Row],[TA 2 - Q2 Bonus]]+Table1[[#This Row],[TA 2 - Q4 Bonus]]</f>
        <v/>
      </c>
      <c r="T178">
        <f>(Table1[[#This Row],[TA 1 - Total Score (out of 35)]]+Table1[[#This Row],[TA 2 - Total Score (out of 35)]])/2</f>
        <v/>
      </c>
      <c r="U178">
        <f>(Table1[[#This Row],[TA 1 - Total Bonus (out of 13)]]+Table1[[#This Row],[TA 2 - Total Bonus (out of 13)]])/2</f>
        <v/>
      </c>
      <c r="V178">
        <f>Table1[[#This Row],[Average Questions]]/35*20+Table1[[#This Row],[Average Bonus]]/13*5</f>
        <v/>
      </c>
      <c r="W178" t="n">
        <v>0</v>
      </c>
      <c r="X178" t="n">
        <v>0</v>
      </c>
      <c r="Y178" t="inlineStr">
        <is>
          <t>The student's submission does not run end-to-end due to multiple issues. The transforms are incomplete, the DataLoaders are not correctly created, and the model setup is incorrect. The training and validation loops have logical errors, and the plots are not generated correctly. Additionally, the bonus task for Test Time Augmentation (TTA) is not implemented correctly.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78" t="n">
        <v>0</v>
      </c>
      <c r="AA178" t="n">
        <v>0</v>
      </c>
      <c r="AB178" t="inlineStr">
        <is>
          <t>The student's submission does not run correctly due to multiple issues. The dataset class is incorrectly implemented, leading to errors in loading the data. The CNN model does not follow the specified architecture, and the training and validation functions are flawed.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78" t="n">
        <v>0</v>
      </c>
      <c r="AD178" t="inlineStr">
        <is>
          <t>The student's submission does not run correctly due to multiple issues. The dataset paths are incorrect, leading to errors in loading images and masks. The model definition and training loops are incomplete or incorrect, resulting in a non-functional codebase. Therefore, no points are awarded for any task as the code does not execute as intended.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78" t="n">
        <v>0</v>
      </c>
      <c r="AF178" t="n">
        <v>0</v>
      </c>
      <c r="AG178" t="inlineStr">
        <is>
          <t>The student's implementation of the `ColorizationDataset` class contains several critical errors. The `rgb_to_grayscale` method incorrectly accesses the image tensor, leading to a shape mismatch. Additionally, the `__getitem__` method returns the wrong shape for the color image, which should be (3, H, W) but is returned as (1, H, W). These issues prevent the code from running correctly, resulting in a score of 0.0 for the task.
Breakdown:
- Correctly implemented `ColorizationDataset` class: 0.0/5.0</t>
        </is>
      </c>
      <c r="AH178" t="n">
        <v>0</v>
      </c>
      <c r="AI178" t="n">
        <v>0</v>
      </c>
    </row>
    <row r="179">
      <c r="A179" t="n">
        <v>178</v>
      </c>
      <c r="B179" t="inlineStr">
        <is>
          <t>TA_4</t>
        </is>
      </c>
      <c r="C179" t="inlineStr">
        <is>
          <t>TA_14</t>
        </is>
      </c>
      <c r="D179" t="n">
        <v>11.5</v>
      </c>
      <c r="E179" t="n">
        <v>4</v>
      </c>
      <c r="F179" t="n">
        <v>9</v>
      </c>
      <c r="G179" t="n">
        <v>4</v>
      </c>
      <c r="H179" t="n">
        <v>12</v>
      </c>
      <c r="I179" t="n">
        <v>0</v>
      </c>
      <c r="J179" t="n">
        <v>10</v>
      </c>
      <c r="K179" t="n">
        <v>4</v>
      </c>
      <c r="L179" t="n">
        <v>9</v>
      </c>
      <c r="M179" t="n">
        <v>0</v>
      </c>
      <c r="N179" t="n">
        <v>12</v>
      </c>
      <c r="O179" t="n">
        <v>0</v>
      </c>
      <c r="P179">
        <f>Table1[[#This Row],[TA 1 - Q1 Score]]+Table1[[#This Row],[TA 1 - Q2 Score]]+Table1[[#This Row],[TA 1 - Q3 Score]]</f>
        <v/>
      </c>
      <c r="Q179">
        <f>Table1[[#This Row],[TA 1 - Q1 Bonus]]+Table1[[#This Row],[TA 1 - Q2 Bonus]]+Table1[[#This Row],[TA 1 - Q4 Bonus]]</f>
        <v/>
      </c>
      <c r="R179">
        <f>Table1[[#This Row],[TA 2 - Q1 Score]]+Table1[[#This Row],[TA 2 - Q2 Score]]+Table1[[#This Row],[TA 2 - Q3 Score]]</f>
        <v/>
      </c>
      <c r="S179">
        <f>Table1[[#This Row],[TA 2 - Q1 Bonus]]+Table1[[#This Row],[TA 2 - Q2 Bonus]]+Table1[[#This Row],[TA 2 - Q4 Bonus]]</f>
        <v/>
      </c>
      <c r="T179">
        <f>(Table1[[#This Row],[TA 1 - Total Score (out of 35)]]+Table1[[#This Row],[TA 2 - Total Score (out of 35)]])/2</f>
        <v/>
      </c>
      <c r="U179">
        <f>(Table1[[#This Row],[TA 1 - Total Bonus (out of 13)]]+Table1[[#This Row],[TA 2 - Total Bonus (out of 13)]])/2</f>
        <v/>
      </c>
      <c r="V179">
        <f>Table1[[#This Row],[Average Questions]]/35*20+Table1[[#This Row],[Average Bonus]]/13*5</f>
        <v/>
      </c>
      <c r="W179" t="n">
        <v>0</v>
      </c>
      <c r="X179" t="n">
        <v>0</v>
      </c>
      <c r="Y179" t="inlineStr">
        <is>
          <t>The student's submission has several critical issues that prevent it from running correctly. The transforms are correctly defined, and the DataLoaders are created, but the code for displaying sample images is incomplete and does not run. The model loading and adaptation tasks are partially completed but contain errors that prevent the model from being correctly set up for training. The training and validation loops are incorrectly implemented, leading to runtime errors. Additionally, the label fixing task is not addressed, and the training process does not run correctly due to these issues. The bonus task for Test Time Augmentation is also incomplete and does not run.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79" t="n">
        <v>0</v>
      </c>
      <c r="AA179" t="n">
        <v>0</v>
      </c>
      <c r="AB179" t="inlineStr">
        <is>
          <t>The student's submission does not run correctly due to multiple issues. The dataset loading and preparation tasks are incomplete and incorrect. The CNN model definition is flawed, missing batch normalization, and the residual connection implementation is incorrect. The training and validation functions are present but do not run correctly due to the issues in the model definition. The plotting of losses and accuracy is attempted but fails due to the previous errors. The bonus task is not attempted correctly, and the code does not run end-to-end.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79" t="n">
        <v>0</v>
      </c>
      <c r="AD179" t="inlineStr">
        <is>
          <t>The student's submission does not run end-to-end due to missing code in critical sections, such as the dataset class initialization and the training loop. The code provided does not follow the rubric's instructions, leading to a complete failure in executing the tasks.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79" t="n">
        <v>0</v>
      </c>
      <c r="AF179" t="n">
        <v>0</v>
      </c>
      <c r="AG179" t="inlineStr">
        <is>
          <t>The student's implementation of the `ColorizationDataset` class contains several critical errors. The `rgb_to_grayscale` method incorrectly applies the grayscale formula by summing the RGB channels instead of weighting them properly. Additionally, the `__getitem__` method returns the color image and grayscale image in the wrong order, and the grayscale image is not correctly shaped. These issues prevent the code from running correctly and producing the expected output, resulting in a score of 0.0 for the task.
Breakdown:
- Correctly implemented `ColorizationDataset` class: 0.0/5.0</t>
        </is>
      </c>
      <c r="AH179" t="n">
        <v>0</v>
      </c>
      <c r="AI179" t="n">
        <v>0</v>
      </c>
    </row>
    <row r="180">
      <c r="A180" t="n">
        <v>179</v>
      </c>
      <c r="B180" t="inlineStr">
        <is>
          <t>TA_4</t>
        </is>
      </c>
      <c r="C180" t="inlineStr">
        <is>
          <t>TA_14</t>
        </is>
      </c>
      <c r="D180" t="n">
        <v>6</v>
      </c>
      <c r="E180" t="n">
        <v>0</v>
      </c>
      <c r="F180" t="n">
        <v>5.5</v>
      </c>
      <c r="G180" t="n">
        <v>0</v>
      </c>
      <c r="H180" t="n">
        <v>10</v>
      </c>
      <c r="I180" t="n">
        <v>0</v>
      </c>
      <c r="J180" t="n">
        <v>4.5</v>
      </c>
      <c r="K180" t="n">
        <v>0</v>
      </c>
      <c r="L180" t="n">
        <v>4.25</v>
      </c>
      <c r="M180" t="n">
        <v>0</v>
      </c>
      <c r="N180" t="n">
        <v>5.75</v>
      </c>
      <c r="O180" t="n">
        <v>0</v>
      </c>
      <c r="P180">
        <f>Table1[[#This Row],[TA 1 - Q1 Score]]+Table1[[#This Row],[TA 1 - Q2 Score]]+Table1[[#This Row],[TA 1 - Q3 Score]]</f>
        <v/>
      </c>
      <c r="Q180">
        <f>Table1[[#This Row],[TA 1 - Q1 Bonus]]+Table1[[#This Row],[TA 1 - Q2 Bonus]]+Table1[[#This Row],[TA 1 - Q4 Bonus]]</f>
        <v/>
      </c>
      <c r="R180">
        <f>Table1[[#This Row],[TA 2 - Q1 Score]]+Table1[[#This Row],[TA 2 - Q2 Score]]+Table1[[#This Row],[TA 2 - Q3 Score]]</f>
        <v/>
      </c>
      <c r="S180">
        <f>Table1[[#This Row],[TA 2 - Q1 Bonus]]+Table1[[#This Row],[TA 2 - Q2 Bonus]]+Table1[[#This Row],[TA 2 - Q4 Bonus]]</f>
        <v/>
      </c>
      <c r="T180">
        <f>(Table1[[#This Row],[TA 1 - Total Score (out of 35)]]+Table1[[#This Row],[TA 2 - Total Score (out of 35)]])/2</f>
        <v/>
      </c>
      <c r="U180">
        <f>(Table1[[#This Row],[TA 1 - Total Bonus (out of 13)]]+Table1[[#This Row],[TA 2 - Total Bonus (out of 13)]])/2</f>
        <v/>
      </c>
      <c r="V180">
        <f>Table1[[#This Row],[Average Questions]]/35*20+Table1[[#This Row],[Average Bonus]]/13*5</f>
        <v/>
      </c>
      <c r="W180" t="n">
        <v>0</v>
      </c>
      <c r="X180" t="n">
        <v>0</v>
      </c>
      <c r="Y180" t="inlineStr">
        <is>
          <t>The student's submission contains several critical errors that prevent the code from running correctly. The transforms are correctly defined, and the DataLoaders are created, but the display of sample images is missing. The model loading and adaptation tasks are incorrectly implemented, using the wrong model (EfficientNetB0 instead of EfficientNetV2-Small) and freezing all parameters instead of just the backbone. The training and validation loops are incorrectly implemented, using BCEWithLogitsLoss instead of CrossEntropyLoss and sigmoid activation instead of softmax. The training process does not run correctly due to these issues, and the plots for training and validation losses and accuracies are missing. The bonus task for Test Time Augmentation is not attempted.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80" t="n">
        <v>0</v>
      </c>
      <c r="AA180" t="n">
        <v>0</v>
      </c>
      <c r="AB180" t="inlineStr">
        <is>
          <t>The student's submission does not follow the rubric correctly. The dataset used is incorrect (Skin cancer ISIC dataset instead of Potato Disease Dataset). The transformations applied are incorrect (Resize to 32x32 instead of 128x128). The CNN model does not have the correct number of convolutional layers or batch normalization. The training and validation functions are incomplete and do not run correctly.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80" t="n">
        <v>0</v>
      </c>
      <c r="AD180" t="inlineStr">
        <is>
          <t>The student's submission does not run correctly due to several issues. The dataset class is incorrectly implemented, using a CSV file for metadata instead of directly loading images and masks from directories. The model definition uses 'efficientnet-b1' instead of 'efficientnet-b0' as specified. The loss function and optimizer are incorrectly defined for binary segmentation instead of multi-class segmentation. The training and validation loops are incorrectly implemented, and the visualization of predictions is flawed. These issues prevent the code from running end-to-end, resulting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80" t="n">
        <v>0</v>
      </c>
      <c r="AF180" t="n">
        <v>0</v>
      </c>
      <c r="AG180" t="inlineStr">
        <is>
          <t>No submission found.</t>
        </is>
      </c>
      <c r="AH180" t="n">
        <v>0</v>
      </c>
      <c r="AI180" t="n">
        <v>0</v>
      </c>
    </row>
    <row r="181">
      <c r="A181" t="n">
        <v>180</v>
      </c>
      <c r="B181" t="inlineStr">
        <is>
          <t>TA_4</t>
        </is>
      </c>
      <c r="C181" t="inlineStr">
        <is>
          <t>TA_14</t>
        </is>
      </c>
      <c r="D181" t="n">
        <v>12</v>
      </c>
      <c r="E181" t="n">
        <v>4</v>
      </c>
      <c r="F181" t="n">
        <v>11</v>
      </c>
      <c r="G181" t="n">
        <v>4</v>
      </c>
      <c r="H181" t="n">
        <v>9.75</v>
      </c>
      <c r="I181" t="n">
        <v>0</v>
      </c>
      <c r="J181" t="n">
        <v>12</v>
      </c>
      <c r="K181" t="n">
        <v>4</v>
      </c>
      <c r="L181" t="n">
        <v>11</v>
      </c>
      <c r="M181" t="n">
        <v>0</v>
      </c>
      <c r="N181" t="n">
        <v>6.25</v>
      </c>
      <c r="O181" t="n">
        <v>0</v>
      </c>
      <c r="P181">
        <f>Table1[[#This Row],[TA 1 - Q1 Score]]+Table1[[#This Row],[TA 1 - Q2 Score]]+Table1[[#This Row],[TA 1 - Q3 Score]]</f>
        <v/>
      </c>
      <c r="Q181">
        <f>Table1[[#This Row],[TA 1 - Q1 Bonus]]+Table1[[#This Row],[TA 1 - Q2 Bonus]]+Table1[[#This Row],[TA 1 - Q4 Bonus]]</f>
        <v/>
      </c>
      <c r="R181">
        <f>Table1[[#This Row],[TA 2 - Q1 Score]]+Table1[[#This Row],[TA 2 - Q2 Score]]+Table1[[#This Row],[TA 2 - Q3 Score]]</f>
        <v/>
      </c>
      <c r="S181">
        <f>Table1[[#This Row],[TA 2 - Q1 Bonus]]+Table1[[#This Row],[TA 2 - Q2 Bonus]]+Table1[[#This Row],[TA 2 - Q4 Bonus]]</f>
        <v/>
      </c>
      <c r="T181">
        <f>(Table1[[#This Row],[TA 1 - Total Score (out of 35)]]+Table1[[#This Row],[TA 2 - Total Score (out of 35)]])/2</f>
        <v/>
      </c>
      <c r="U181">
        <f>(Table1[[#This Row],[TA 1 - Total Bonus (out of 13)]]+Table1[[#This Row],[TA 2 - Total Bonus (out of 13)]])/2</f>
        <v/>
      </c>
      <c r="V181">
        <f>Table1[[#This Row],[Average Questions]]/35*20+Table1[[#This Row],[Average Bonus]]/13*5</f>
        <v/>
      </c>
      <c r="W181" t="n">
        <v>0</v>
      </c>
      <c r="X181" t="n">
        <v>0</v>
      </c>
      <c r="Y181" t="inlineStr">
        <is>
          <t>The student's submission does not run correctly due to several issues. The training and validation loops are incorrect because the model outputs are squeezed, which changes the shape of the output tensor. This causes the loss function to fail. Additionally, the student did not correctly implement the label fixing for 0-indexed labels, which is a critical part of the task. The bonus task for Test Time Augmentation (TTA) is also incorrect because the predictions are not averaged correctly. Therefore, the student receives 0 points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81" t="n">
        <v>0</v>
      </c>
      <c r="AA181" t="n">
        <v>0</v>
      </c>
      <c r="AB181" t="inlineStr">
        <is>
          <t>The student's submission does not run correctly due to multiple issues. The dataset loading and transformation tasks are incomplete and incorrect. The CNN model definition is flawed, with incorrect layer configurations and missing components. The training and validation functions are incorrectly implemented, leading to runtime errors. The residual connection implementation is also incorrect and does not follow the specified requirements.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81" t="n">
        <v>0</v>
      </c>
      <c r="AD181" t="inlineStr">
        <is>
          <t>The student's submission has several critical issues. The dataset class is incomplete and does not correctly load images and masks. The model definition uses 'efficientnet-b0' instead of 'efficientnet-b1' as specified, which is a significant deviation from the instructions. The training and validation loops are incorrectly implemented, using BCEWithLogitsLoss instead of CrossEntropyLoss, which is inappropriate for multi-class segmentation. The training process does not run correctly due to these issues, resulting in no visualizations or loss plots. The student's code does not follow the rubric and contains multiple errors, leading to a score of 0.0 for the base tasks and -50.0 for the model definition task.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181" t="n">
        <v>0</v>
      </c>
      <c r="AF181" t="n">
        <v>0</v>
      </c>
      <c r="AG181" t="inlineStr">
        <is>
          <t>No submission found.</t>
        </is>
      </c>
      <c r="AH181" t="n">
        <v>0</v>
      </c>
      <c r="AI181" t="n">
        <v>0</v>
      </c>
    </row>
    <row r="182">
      <c r="A182" t="n">
        <v>181</v>
      </c>
      <c r="B182" t="inlineStr">
        <is>
          <t>TA_4</t>
        </is>
      </c>
      <c r="C182" t="inlineStr">
        <is>
          <t>TA_14</t>
        </is>
      </c>
      <c r="D182" t="n">
        <v>4.5</v>
      </c>
      <c r="E182" t="n">
        <v>0</v>
      </c>
      <c r="F182" t="n">
        <v>6.5</v>
      </c>
      <c r="G182" t="n">
        <v>0</v>
      </c>
      <c r="H182" t="n">
        <v>9</v>
      </c>
      <c r="I182" t="n">
        <v>0</v>
      </c>
      <c r="J182" t="n">
        <v>4.5</v>
      </c>
      <c r="K182" t="n">
        <v>0</v>
      </c>
      <c r="L182" t="n">
        <v>3.75</v>
      </c>
      <c r="M182" t="n">
        <v>0</v>
      </c>
      <c r="N182" t="n">
        <v>4.25</v>
      </c>
      <c r="O182" t="n">
        <v>0</v>
      </c>
      <c r="P182">
        <f>Table1[[#This Row],[TA 1 - Q1 Score]]+Table1[[#This Row],[TA 1 - Q2 Score]]+Table1[[#This Row],[TA 1 - Q3 Score]]</f>
        <v/>
      </c>
      <c r="Q182">
        <f>Table1[[#This Row],[TA 1 - Q1 Bonus]]+Table1[[#This Row],[TA 1 - Q2 Bonus]]+Table1[[#This Row],[TA 1 - Q4 Bonus]]</f>
        <v/>
      </c>
      <c r="R182">
        <f>Table1[[#This Row],[TA 2 - Q1 Score]]+Table1[[#This Row],[TA 2 - Q2 Score]]+Table1[[#This Row],[TA 2 - Q3 Score]]</f>
        <v/>
      </c>
      <c r="S182">
        <f>Table1[[#This Row],[TA 2 - Q1 Bonus]]+Table1[[#This Row],[TA 2 - Q2 Bonus]]+Table1[[#This Row],[TA 2 - Q4 Bonus]]</f>
        <v/>
      </c>
      <c r="T182">
        <f>(Table1[[#This Row],[TA 1 - Total Score (out of 35)]]+Table1[[#This Row],[TA 2 - Total Score (out of 35)]])/2</f>
        <v/>
      </c>
      <c r="U182">
        <f>(Table1[[#This Row],[TA 1 - Total Bonus (out of 13)]]+Table1[[#This Row],[TA 2 - Total Bonus (out of 13)]])/2</f>
        <v/>
      </c>
      <c r="V182">
        <f>Table1[[#This Row],[Average Questions]]/35*20+Table1[[#This Row],[Average Bonus]]/13*5</f>
        <v/>
      </c>
      <c r="W182" t="n">
        <v>0</v>
      </c>
      <c r="X182" t="n">
        <v>0</v>
      </c>
      <c r="Y182" t="inlineStr">
        <is>
          <t>The student's submission contains multiple critical errors that prevent the code from running correctly. The transforms are incorrectly defined with an extra test_transform that is not used. The DataLoader creation is incorrect as it uses a different batch size and num_workers. The model configuration is incorrect, with the classifier head replaced incorrectly and all parameters frozen. The training and validation loops are fundamentally flawed, using sigmoid activation and binary classification loss instead of the correct cross-entropy loss for multi-class classification. The training process does not run due to these errors, resulting in a score of 0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82" t="n">
        <v>0</v>
      </c>
      <c r="AA182" t="n">
        <v>0</v>
      </c>
      <c r="AB182" t="inlineStr">
        <is>
          <t>The student's submission does not correctly implement any of the required tasks. The dataset class is incorrectly defined, the transforms are not applied correctly, and the CNN model does not meet the specifications. Additionally, the training and validation functions are not correctly implemented, and the model is not trained or evaluated properly. There is no attempt to implement the bonus task. The code does not run end-to-end and deviates significantly from the rubric.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82" t="n">
        <v>0</v>
      </c>
      <c r="AD182" t="inlineStr">
        <is>
          <t>The student's submission deviates significantly from the rubric. The dataset class is incorrectly implemented, using a CSV file for metadata instead of directly loading images and masks from directories. The model definition uses 'efficientnet-b0' instead of 'efficientnet-b1' and is set up for binary segmentation instead of multi-class segmentation. The training and validation loops are incorrectly implemented, using BCEWithLogitsLoss instead of CrossEntropyLoss. The student also did not plot the loss curve or visualize predictions correctly. The overall approach is fundamentally flawed, leading to a score of 0.0 for the base tasks and -50.0 for the model definition task.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182" t="n">
        <v>0</v>
      </c>
      <c r="AF182" t="n">
        <v>0</v>
      </c>
      <c r="AG182" t="inlineStr">
        <is>
          <t>No submission found.</t>
        </is>
      </c>
      <c r="AH182" t="n">
        <v>0</v>
      </c>
      <c r="AI182" t="n">
        <v>0</v>
      </c>
    </row>
    <row r="183">
      <c r="A183" t="n">
        <v>182</v>
      </c>
      <c r="B183" t="inlineStr">
        <is>
          <t>TA_4</t>
        </is>
      </c>
      <c r="C183" t="inlineStr">
        <is>
          <t>TA_14</t>
        </is>
      </c>
      <c r="D183" t="n">
        <v>10.5</v>
      </c>
      <c r="E183" t="n">
        <v>0</v>
      </c>
      <c r="F183" t="n">
        <v>11</v>
      </c>
      <c r="G183" t="n">
        <v>4</v>
      </c>
      <c r="H183" t="n">
        <v>7</v>
      </c>
      <c r="I183" t="n">
        <v>5</v>
      </c>
      <c r="J183" t="n">
        <v>10.5</v>
      </c>
      <c r="K183" t="n">
        <v>0</v>
      </c>
      <c r="L183" t="n">
        <v>11</v>
      </c>
      <c r="M183" t="n">
        <v>4</v>
      </c>
      <c r="N183" t="n">
        <v>10</v>
      </c>
      <c r="O183" t="n">
        <v>5</v>
      </c>
      <c r="P183">
        <f>Table1[[#This Row],[TA 1 - Q1 Score]]+Table1[[#This Row],[TA 1 - Q2 Score]]+Table1[[#This Row],[TA 1 - Q3 Score]]</f>
        <v/>
      </c>
      <c r="Q183">
        <f>Table1[[#This Row],[TA 1 - Q1 Bonus]]+Table1[[#This Row],[TA 1 - Q2 Bonus]]+Table1[[#This Row],[TA 1 - Q4 Bonus]]</f>
        <v/>
      </c>
      <c r="R183">
        <f>Table1[[#This Row],[TA 2 - Q1 Score]]+Table1[[#This Row],[TA 2 - Q2 Score]]+Table1[[#This Row],[TA 2 - Q3 Score]]</f>
        <v/>
      </c>
      <c r="S183">
        <f>Table1[[#This Row],[TA 2 - Q1 Bonus]]+Table1[[#This Row],[TA 2 - Q2 Bonus]]+Table1[[#This Row],[TA 2 - Q4 Bonus]]</f>
        <v/>
      </c>
      <c r="T183">
        <f>(Table1[[#This Row],[TA 1 - Total Score (out of 35)]]+Table1[[#This Row],[TA 2 - Total Score (out of 35)]])/2</f>
        <v/>
      </c>
      <c r="U183">
        <f>(Table1[[#This Row],[TA 1 - Total Bonus (out of 13)]]+Table1[[#This Row],[TA 2 - Total Bonus (out of 13)]])/2</f>
        <v/>
      </c>
      <c r="V183">
        <f>Table1[[#This Row],[Average Questions]]/35*20+Table1[[#This Row],[Average Bonus]]/13*5</f>
        <v/>
      </c>
      <c r="W183" t="n">
        <v>0</v>
      </c>
      <c r="X183" t="n">
        <v>0</v>
      </c>
      <c r="Y183" t="inlineStr">
        <is>
          <t>The student's submission does not run correctly due to missing code for freezing the backbone of the model. This is a critical step that was not implemented, leading to a complete failure in the training process. Additionally, the student did not provide any code for the bonus task, resulting in a score of 0 for both the base tasks and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83" t="n">
        <v>8</v>
      </c>
      <c r="AA183" t="n">
        <v>0</v>
      </c>
      <c r="AB183" t="inlineStr">
        <is>
          <t>The student correctly implemented the dataset class or ImageFolder, created the train/test datasets and DataLoaders, applied the required transforms, and displayed sample images with labels. The CNN model class with 5 convolutional layers and batch normalization was correctly defined. The training and validation loop functions were implemented but did not run correctly due to issues in the training process. The model setup and plotting of losses and accuracy were partially correct. The bonus task for residual connection was not attempted, resulting in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0.0/?
- Task 3: Plot losses and accuracy: 0.5/?
- Bonus Task: Defined residual connection correctly: 0.0/?
- Bonus Task: Retrain + Plot losses and accuracy: 0.0/?</t>
        </is>
      </c>
      <c r="AC183" t="n">
        <v>0</v>
      </c>
      <c r="AD183" t="inlineStr">
        <is>
          <t>The student's submission does not run end-to-end due to multiple issues. The dataset class is incorrectly implemented, leading to errors in data loading. The model definition uses the wrong number of classes and the incorrect loss function. The training and validation loops are incorrectly implemented, and the loss plotting code is missing. Additionally, the visualization of predictions is not correctly implemented. Therefore, no tasks are awarded any points as the code does not run correctly and deviates significantly from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83" t="n">
        <v>0</v>
      </c>
      <c r="AF183" t="n">
        <v>0</v>
      </c>
      <c r="AG183" t="inlineStr">
        <is>
          <t>The student's implementation of the `ColorizationDataset` class contains a critical mistake in the `rgb_to_grayscale` method. The method does not correctly handle the dimensions of the grayscale image, resulting in an incorrect shape. Specifically, the method returns a tensor of shape (H, W) instead of (1, H, W). This error prevents the code from running correctly and producing the expected output. Therefore, the implementation does not meet the criteria for full credit and receives a score of 0.0.
Breakdown:
- Correctly implemented `ColorizationDataset` class: 0.0/5.0</t>
        </is>
      </c>
      <c r="AH183" t="n">
        <v>8</v>
      </c>
      <c r="AI183" t="n">
        <v>0</v>
      </c>
    </row>
    <row r="184">
      <c r="A184" t="n">
        <v>183</v>
      </c>
      <c r="B184" t="inlineStr">
        <is>
          <t>TA_4</t>
        </is>
      </c>
      <c r="C184" t="inlineStr">
        <is>
          <t>TA_14</t>
        </is>
      </c>
      <c r="D184" t="n">
        <v>12</v>
      </c>
      <c r="E184" t="n">
        <v>4</v>
      </c>
      <c r="F184" t="n">
        <v>9</v>
      </c>
      <c r="G184" t="n">
        <v>0</v>
      </c>
      <c r="H184" t="n">
        <v>12</v>
      </c>
      <c r="I184" t="n">
        <v>5</v>
      </c>
      <c r="J184" t="n">
        <v>12</v>
      </c>
      <c r="K184" t="n">
        <v>0</v>
      </c>
      <c r="L184" t="n">
        <v>9</v>
      </c>
      <c r="M184" t="n">
        <v>0</v>
      </c>
      <c r="N184" t="n">
        <v>12</v>
      </c>
      <c r="O184" t="n">
        <v>0</v>
      </c>
      <c r="P184">
        <f>Table1[[#This Row],[TA 1 - Q1 Score]]+Table1[[#This Row],[TA 1 - Q2 Score]]+Table1[[#This Row],[TA 1 - Q3 Score]]</f>
        <v/>
      </c>
      <c r="Q184">
        <f>Table1[[#This Row],[TA 1 - Q1 Bonus]]+Table1[[#This Row],[TA 1 - Q2 Bonus]]+Table1[[#This Row],[TA 1 - Q4 Bonus]]</f>
        <v/>
      </c>
      <c r="R184">
        <f>Table1[[#This Row],[TA 2 - Q1 Score]]+Table1[[#This Row],[TA 2 - Q2 Score]]+Table1[[#This Row],[TA 2 - Q3 Score]]</f>
        <v/>
      </c>
      <c r="S184">
        <f>Table1[[#This Row],[TA 2 - Q1 Bonus]]+Table1[[#This Row],[TA 2 - Q2 Bonus]]+Table1[[#This Row],[TA 2 - Q4 Bonus]]</f>
        <v/>
      </c>
      <c r="T184">
        <f>(Table1[[#This Row],[TA 1 - Total Score (out of 35)]]+Table1[[#This Row],[TA 2 - Total Score (out of 35)]])/2</f>
        <v/>
      </c>
      <c r="U184">
        <f>(Table1[[#This Row],[TA 1 - Total Bonus (out of 13)]]+Table1[[#This Row],[TA 2 - Total Bonus (out of 13)]])/2</f>
        <v/>
      </c>
      <c r="V184">
        <f>Table1[[#This Row],[Average Questions]]/35*20+Table1[[#This Row],[Average Bonus]]/13*5</f>
        <v/>
      </c>
      <c r="W184" t="n">
        <v>0</v>
      </c>
      <c r="X184" t="n">
        <v>0</v>
      </c>
      <c r="Y184" t="inlineStr">
        <is>
          <t>The student's submission does not run correctly due to multiple issues. The transforms are not correctly applied, the DataLoaders are not created properly, and the model is not correctly set up for training. Additionally, the training and validation loops contain errors, and the plots for losses and accuracies are not generated correctly. The bonus task for Test Time Augmentation is also incomplete and does not run correctly. Therefore, no points are awarded for any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84" t="n">
        <v>0</v>
      </c>
      <c r="AA184" t="n">
        <v>0</v>
      </c>
      <c r="AB184" t="inlineStr">
        <is>
          <t>The student's submission does not run correctly due to missing imports and undefined variables. The code for loading and preparing the data, building the CNN model, training and validation functions, and training the model is incomplete or incorrect. The student did not attempt the bonus task. Therefore, the minimum defensible score for each task is 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84" t="n">
        <v>0</v>
      </c>
      <c r="AD184" t="inlineStr">
        <is>
          <t>The student's submission does not run correctly due to several issues. The dataset class is incorrectly implemented, leading to errors in data loading. The model definition uses 'efficientnet-b1' instead of 'efficientnet-b0' as specified. The training and validation loops are present but do not run correctly due to the dataset issues. The visualization of predictions also fails because the model predictions are not correctly handled. Therefore, no points are awarded for any task as the code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84" t="n">
        <v>0</v>
      </c>
      <c r="AF184" t="n">
        <v>0</v>
      </c>
      <c r="AG184" t="inlineStr">
        <is>
          <t>The student's implementation of the `ColorizationDataset` class contains errors in the `rgb_to_grayscale` method. The method does not correctly convert the RGB image to grayscale, and the code does not add the channel dimension back to the grayscale image. Additionally, the `rgb_to_grayscale` method does not return the correct shape. The code does not run correctly due to these issues, so no partial credit can be awarded.
Breakdown:
- Correctly implemented `ColorizationDataset` class: 0.0/5.0</t>
        </is>
      </c>
      <c r="AH184" t="n">
        <v>0</v>
      </c>
      <c r="AI184" t="n">
        <v>0</v>
      </c>
    </row>
    <row r="185">
      <c r="A185" t="n">
        <v>184</v>
      </c>
      <c r="B185" t="inlineStr">
        <is>
          <t>TA_4</t>
        </is>
      </c>
      <c r="C185" t="inlineStr">
        <is>
          <t>TA_14</t>
        </is>
      </c>
      <c r="D185" t="n">
        <v>12</v>
      </c>
      <c r="E185" t="n">
        <v>0</v>
      </c>
      <c r="F185" t="n">
        <v>8.5</v>
      </c>
      <c r="G185" t="n">
        <v>0</v>
      </c>
      <c r="H185" t="n">
        <v>12</v>
      </c>
      <c r="I185" t="n">
        <v>0</v>
      </c>
      <c r="J185" t="n">
        <v>10.5</v>
      </c>
      <c r="K185" t="n">
        <v>0</v>
      </c>
      <c r="L185" t="n">
        <v>9</v>
      </c>
      <c r="M185" t="n">
        <v>0</v>
      </c>
      <c r="N185" t="n">
        <v>12</v>
      </c>
      <c r="O185" t="n">
        <v>0</v>
      </c>
      <c r="P185">
        <f>Table1[[#This Row],[TA 1 - Q1 Score]]+Table1[[#This Row],[TA 1 - Q2 Score]]+Table1[[#This Row],[TA 1 - Q3 Score]]</f>
        <v/>
      </c>
      <c r="Q185">
        <f>Table1[[#This Row],[TA 1 - Q1 Bonus]]+Table1[[#This Row],[TA 1 - Q2 Bonus]]+Table1[[#This Row],[TA 1 - Q4 Bonus]]</f>
        <v/>
      </c>
      <c r="R185">
        <f>Table1[[#This Row],[TA 2 - Q1 Score]]+Table1[[#This Row],[TA 2 - Q2 Score]]+Table1[[#This Row],[TA 2 - Q3 Score]]</f>
        <v/>
      </c>
      <c r="S185">
        <f>Table1[[#This Row],[TA 2 - Q1 Bonus]]+Table1[[#This Row],[TA 2 - Q2 Bonus]]+Table1[[#This Row],[TA 2 - Q4 Bonus]]</f>
        <v/>
      </c>
      <c r="T185">
        <f>(Table1[[#This Row],[TA 1 - Total Score (out of 35)]]+Table1[[#This Row],[TA 2 - Total Score (out of 35)]])/2</f>
        <v/>
      </c>
      <c r="U185">
        <f>(Table1[[#This Row],[TA 1 - Total Bonus (out of 13)]]+Table1[[#This Row],[TA 2 - Total Bonus (out of 13)]])/2</f>
        <v/>
      </c>
      <c r="V185">
        <f>Table1[[#This Row],[Average Questions]]/35*20+Table1[[#This Row],[Average Bonus]]/13*5</f>
        <v/>
      </c>
      <c r="W185" t="n">
        <v>0</v>
      </c>
      <c r="X185" t="n">
        <v>0</v>
      </c>
      <c r="Y185" t="inlineStr">
        <is>
          <t>The student's submission does not run correctly due to several issues. The normalization step in the transforms is missing, which is crucial for the model's performance. The DataLoader creation is incorrect as it shuffles the test data, which is not standard practice. The model training and validation loops have logical errors, such as incorrectly handling the model's output shape and using softmax before calculating the loss. Additionally, the student did not implement the bonus task for Test Time Augmentation. These issues prevent the code from running correctly, resulting in a score of 0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85" t="n">
        <v>0</v>
      </c>
      <c r="AA185" t="n">
        <v>0</v>
      </c>
      <c r="AB185" t="inlineStr">
        <is>
          <t>The student's submission does not follow the rubric correctly. The dataset class or ImageFolder is incorrectly implemented, the transforms do not match the required specifications, and the CNN model does not have the correct number of convolutional layers or batch normalization. The training and validation functions are incorrectly defined, and the training process does not set up the device, model, loss, and optimizer correctly. Additionally, the bonus task is not attempted correctly, and the model used for the bonus task is entirely different from the required CNN model with residual connections.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85" t="n">
        <v>0</v>
      </c>
      <c r="AD185" t="inlineStr">
        <is>
          <t>The student's submission does not run end-to-end due to several issues. The dataset class is incorrectly defined, leading to errors in data loading. The model definition uses 'efficientnet-b1' instead of 'efficientnet-b0' as specified. The training and validation loops are present but do not run correctly due to the dataset issues. The visualization of predictions also fails because the model training did not complete successfully. Therefore, no tasks receive any points.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85" t="n">
        <v>0</v>
      </c>
      <c r="AF185" t="n">
        <v>0</v>
      </c>
      <c r="AG185" t="inlineStr">
        <is>
          <t>No submission found.</t>
        </is>
      </c>
      <c r="AH185" t="n">
        <v>0</v>
      </c>
      <c r="AI185" t="n">
        <v>0</v>
      </c>
    </row>
    <row r="186">
      <c r="A186" t="n">
        <v>185</v>
      </c>
      <c r="B186" t="inlineStr">
        <is>
          <t>TA_4</t>
        </is>
      </c>
      <c r="C186" t="inlineStr">
        <is>
          <t>TA_14</t>
        </is>
      </c>
      <c r="D186" t="n">
        <v>12</v>
      </c>
      <c r="E186" t="n">
        <v>0</v>
      </c>
      <c r="F186" t="n">
        <v>8.5</v>
      </c>
      <c r="G186" t="n">
        <v>0</v>
      </c>
      <c r="H186" t="n">
        <v>12</v>
      </c>
      <c r="I186" t="n">
        <v>0</v>
      </c>
      <c r="J186" t="n">
        <v>12</v>
      </c>
      <c r="K186" t="n">
        <v>0</v>
      </c>
      <c r="L186" t="n">
        <v>8.5</v>
      </c>
      <c r="M186" t="n">
        <v>0</v>
      </c>
      <c r="N186" t="n">
        <v>12</v>
      </c>
      <c r="O186" t="n">
        <v>0</v>
      </c>
      <c r="P186">
        <f>Table1[[#This Row],[TA 1 - Q1 Score]]+Table1[[#This Row],[TA 1 - Q2 Score]]+Table1[[#This Row],[TA 1 - Q3 Score]]</f>
        <v/>
      </c>
      <c r="Q186">
        <f>Table1[[#This Row],[TA 1 - Q1 Bonus]]+Table1[[#This Row],[TA 1 - Q2 Bonus]]+Table1[[#This Row],[TA 1 - Q4 Bonus]]</f>
        <v/>
      </c>
      <c r="R186">
        <f>Table1[[#This Row],[TA 2 - Q1 Score]]+Table1[[#This Row],[TA 2 - Q2 Score]]+Table1[[#This Row],[TA 2 - Q3 Score]]</f>
        <v/>
      </c>
      <c r="S186">
        <f>Table1[[#This Row],[TA 2 - Q1 Bonus]]+Table1[[#This Row],[TA 2 - Q2 Bonus]]+Table1[[#This Row],[TA 2 - Q4 Bonus]]</f>
        <v/>
      </c>
      <c r="T186">
        <f>(Table1[[#This Row],[TA 1 - Total Score (out of 35)]]+Table1[[#This Row],[TA 2 - Total Score (out of 35)]])/2</f>
        <v/>
      </c>
      <c r="U186">
        <f>(Table1[[#This Row],[TA 1 - Total Bonus (out of 13)]]+Table1[[#This Row],[TA 2 - Total Bonus (out of 13)]])/2</f>
        <v/>
      </c>
      <c r="V186">
        <f>Table1[[#This Row],[Average Questions]]/35*20+Table1[[#This Row],[Average Bonus]]/13*5</f>
        <v/>
      </c>
      <c r="W186" t="n">
        <v>0</v>
      </c>
      <c r="X186" t="n">
        <v>0</v>
      </c>
      <c r="Y186" t="inlineStr">
        <is>
          <t>The student's submission does not run correctly due to several issues. The code for loading and preparing data is incomplete and contains errors. The model definition and training loops are incorrect and do not follow the required structure. Additionally, the student did not implement the bonus task for Test Time Augmentation.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86" t="n">
        <v>0</v>
      </c>
      <c r="AA186" t="n">
        <v>0</v>
      </c>
      <c r="AB186" t="inlineStr">
        <is>
          <t>The student's submission does not run correctly due to missing code in critical sections. Specifically, the code for setting up the device, model, loss, optimizer, and training the model is incomplete. Additionally, the code for plotting losses and accuracy is missing. The student also did not attempt the bonus task. Therefore, the minimum defensible score for each incomplete or missing task is 0.0.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86" t="n">
        <v>0</v>
      </c>
      <c r="AD186" t="inlineStr">
        <is>
          <t>The student's submission does not run correctly due to several issues. The dataset class is incomplete and does not correctly handle the image and mask paths. The model definition uses 'efficientnet-b1' instead of 'efficientnet-b0' as specified. The training and validation loops are not correctly implemented, and the loss and optimizer are not defined properly. Additionally, the visualization of predictions is missing critical steps. Therefore, the student receives 0 points for all tasks as the code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86" t="n">
        <v>0</v>
      </c>
      <c r="AF186" t="n">
        <v>0</v>
      </c>
      <c r="AG186" t="inlineStr">
        <is>
          <t>No submission found.</t>
        </is>
      </c>
      <c r="AH186" t="n">
        <v>0</v>
      </c>
      <c r="AI186" t="n">
        <v>0</v>
      </c>
    </row>
    <row r="187">
      <c r="A187" t="n">
        <v>186</v>
      </c>
      <c r="B187" t="inlineStr">
        <is>
          <t>TA_4</t>
        </is>
      </c>
      <c r="C187" t="inlineStr">
        <is>
          <t>TA_14</t>
        </is>
      </c>
      <c r="D187" t="n">
        <v>12</v>
      </c>
      <c r="E187" t="n">
        <v>0</v>
      </c>
      <c r="F187" t="n">
        <v>9</v>
      </c>
      <c r="G187" t="n">
        <v>0</v>
      </c>
      <c r="H187" t="n">
        <v>4.5</v>
      </c>
      <c r="I187" t="n">
        <v>0</v>
      </c>
      <c r="J187" t="n">
        <v>12</v>
      </c>
      <c r="K187" t="n">
        <v>0</v>
      </c>
      <c r="L187" t="n">
        <v>9</v>
      </c>
      <c r="M187" t="n">
        <v>0</v>
      </c>
      <c r="N187" t="n">
        <v>3</v>
      </c>
      <c r="O187" t="n">
        <v>0</v>
      </c>
      <c r="P187">
        <f>Table1[[#This Row],[TA 1 - Q1 Score]]+Table1[[#This Row],[TA 1 - Q2 Score]]+Table1[[#This Row],[TA 1 - Q3 Score]]</f>
        <v/>
      </c>
      <c r="Q187">
        <f>Table1[[#This Row],[TA 1 - Q1 Bonus]]+Table1[[#This Row],[TA 1 - Q2 Bonus]]+Table1[[#This Row],[TA 1 - Q4 Bonus]]</f>
        <v/>
      </c>
      <c r="R187">
        <f>Table1[[#This Row],[TA 2 - Q1 Score]]+Table1[[#This Row],[TA 2 - Q2 Score]]+Table1[[#This Row],[TA 2 - Q3 Score]]</f>
        <v/>
      </c>
      <c r="S187">
        <f>Table1[[#This Row],[TA 2 - Q1 Bonus]]+Table1[[#This Row],[TA 2 - Q2 Bonus]]+Table1[[#This Row],[TA 2 - Q4 Bonus]]</f>
        <v/>
      </c>
      <c r="T187">
        <f>(Table1[[#This Row],[TA 1 - Total Score (out of 35)]]+Table1[[#This Row],[TA 2 - Total Score (out of 35)]])/2</f>
        <v/>
      </c>
      <c r="U187">
        <f>(Table1[[#This Row],[TA 1 - Total Bonus (out of 13)]]+Table1[[#This Row],[TA 2 - Total Bonus (out of 13)]])/2</f>
        <v/>
      </c>
      <c r="V187">
        <f>Table1[[#This Row],[Average Questions]]/35*20+Table1[[#This Row],[Average Bonus]]/13*5</f>
        <v/>
      </c>
      <c r="W187" t="n">
        <v>0</v>
      </c>
      <c r="X187" t="n">
        <v>0</v>
      </c>
      <c r="Y187" t="inlineStr">
        <is>
          <t>The student's submission does not run correctly due to several issues. The training and validation loops are incorrect because the model outputs are not in the correct shape for the loss function. Additionally, the student did not fix the labels to be 0-indexed, which is a critical requirement. The code for displaying sample images is also incorrect as it does not denormalize the images properly.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87" t="n">
        <v>0</v>
      </c>
      <c r="AA187" t="n">
        <v>0</v>
      </c>
      <c r="AB187" t="inlineStr">
        <is>
          <t>The student's submission does not run correctly due to several issues. The model architecture is incorrect as it does not have 5 convolutional layers. The training and validation functions are incorrect as they use softmax instead of the logits directly. The plotting functions are also incorrect as they plot the wrong metrics. Additionally, the student did not attempt the bonus task.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87" t="n">
        <v>0</v>
      </c>
      <c r="AD187" t="inlineStr">
        <is>
          <t>The student's submission has several critical issues. The dataset class is incomplete and does not correctly load images and masks. The DataLoader creation is flawed, and the display of sample images and masks is missing. The model definition uses the wrong encoder (resnet34 instead of efficientnet-b1), which is a significant deviation from the instructions. The training and validation loops are incomplete and do not run correctly. The loss and optimizer are incorrectly defined, and the training process does not execute as required. Additionally, the visualization of predictions is not implemented. These issues result in a score of 0.0 for the base tasks and -50.0 for the model definition task due to the incorrect approach.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187" t="n">
        <v>0</v>
      </c>
      <c r="AF187" t="n">
        <v>0</v>
      </c>
      <c r="AG187" t="inlineStr">
        <is>
          <t>No submission found.</t>
        </is>
      </c>
      <c r="AH187" t="n">
        <v>0</v>
      </c>
      <c r="AI187" t="n">
        <v>0</v>
      </c>
    </row>
    <row r="188">
      <c r="A188" t="n">
        <v>187</v>
      </c>
      <c r="B188" t="inlineStr">
        <is>
          <t>TA_4</t>
        </is>
      </c>
      <c r="C188" t="inlineStr">
        <is>
          <t>TA_14</t>
        </is>
      </c>
      <c r="D188" t="n">
        <v>6</v>
      </c>
      <c r="E188" t="n">
        <v>0</v>
      </c>
      <c r="F188" t="n">
        <v>8.5</v>
      </c>
      <c r="G188" t="n">
        <v>0</v>
      </c>
      <c r="H188" t="n">
        <v>8</v>
      </c>
      <c r="I188" t="n">
        <v>0</v>
      </c>
      <c r="J188" t="n">
        <v>5</v>
      </c>
      <c r="K188" t="n">
        <v>0</v>
      </c>
      <c r="L188" t="n">
        <v>9</v>
      </c>
      <c r="M188" t="n">
        <v>0</v>
      </c>
      <c r="N188" t="n">
        <v>6.5</v>
      </c>
      <c r="O188" t="n">
        <v>0</v>
      </c>
      <c r="P188">
        <f>Table1[[#This Row],[TA 1 - Q1 Score]]+Table1[[#This Row],[TA 1 - Q2 Score]]+Table1[[#This Row],[TA 1 - Q3 Score]]</f>
        <v/>
      </c>
      <c r="Q188">
        <f>Table1[[#This Row],[TA 1 - Q1 Bonus]]+Table1[[#This Row],[TA 1 - Q2 Bonus]]+Table1[[#This Row],[TA 1 - Q4 Bonus]]</f>
        <v/>
      </c>
      <c r="R188">
        <f>Table1[[#This Row],[TA 2 - Q1 Score]]+Table1[[#This Row],[TA 2 - Q2 Score]]+Table1[[#This Row],[TA 2 - Q3 Score]]</f>
        <v/>
      </c>
      <c r="S188">
        <f>Table1[[#This Row],[TA 2 - Q1 Bonus]]+Table1[[#This Row],[TA 2 - Q2 Bonus]]+Table1[[#This Row],[TA 2 - Q4 Bonus]]</f>
        <v/>
      </c>
      <c r="T188">
        <f>(Table1[[#This Row],[TA 1 - Total Score (out of 35)]]+Table1[[#This Row],[TA 2 - Total Score (out of 35)]])/2</f>
        <v/>
      </c>
      <c r="U188">
        <f>(Table1[[#This Row],[TA 1 - Total Bonus (out of 13)]]+Table1[[#This Row],[TA 2 - Total Bonus (out of 13)]])/2</f>
        <v/>
      </c>
      <c r="V188">
        <f>Table1[[#This Row],[Average Questions]]/35*20+Table1[[#This Row],[Average Bonus]]/13*5</f>
        <v/>
      </c>
      <c r="W188" t="n">
        <v>0</v>
      </c>
      <c r="X188" t="n">
        <v>0</v>
      </c>
      <c r="Y188" t="inlineStr">
        <is>
          <t>The student's submission contains several critical errors that prevent the code from running correctly. The transforms include an incorrect custom module (SubtractOne) that alters the image data in a way that is not specified in the rubric. The model's classifier head is incorrectly set to 1 class instead of 26. The training and validation loops do not correctly handle the label adjustment from 1-26 to 0-25, and the plotting functions are missing. Additionally, the bonus task for Test Time Augmentation is not attempted. These issues collectively result in a score of 0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88" t="n">
        <v>0</v>
      </c>
      <c r="AA188" t="n">
        <v>0</v>
      </c>
      <c r="AB188" t="inlineStr">
        <is>
          <t>The student's submission does not run correctly due to several issues. The transformations applied to the test dataset include RandomRotation, which is not specified in the rubric. The model architecture does not follow the required specifications, missing Batch Normalization layers. The training and validation functions include incorrect usage of softmax, which is not needed when using CrossEntropyLoss. The training loop does not run correctly due to these issues, resulting in no output for the training and validation processes.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88" t="n">
        <v>0</v>
      </c>
      <c r="AD188" t="inlineStr">
        <is>
          <t>The student's submission contains several critical errors that prevent the code from running correctly. The dataset class is incorrectly implemented, leading to issues in loading images and masks. The model definition uses the wrong number of classes and the incorrect encoder. The training and validation loops have logical errors, and the visualization code does not correctly display the predictions. These issues collectively result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88" t="n">
        <v>0</v>
      </c>
      <c r="AF188" t="n">
        <v>0</v>
      </c>
      <c r="AG188" t="inlineStr">
        <is>
          <t>No submission found.</t>
        </is>
      </c>
      <c r="AH188" t="n">
        <v>0</v>
      </c>
      <c r="AI188" t="n">
        <v>0</v>
      </c>
    </row>
    <row r="189">
      <c r="A189" t="n">
        <v>188</v>
      </c>
      <c r="B189" t="inlineStr">
        <is>
          <t>TA_4</t>
        </is>
      </c>
      <c r="C189" t="inlineStr">
        <is>
          <t>TA_14</t>
        </is>
      </c>
      <c r="D189" t="n">
        <v>10.5</v>
      </c>
      <c r="E189" t="n">
        <v>0</v>
      </c>
      <c r="F189" t="n">
        <v>11</v>
      </c>
      <c r="G189" t="n">
        <v>0</v>
      </c>
      <c r="H189" t="n">
        <v>12</v>
      </c>
      <c r="I189" t="n">
        <v>0</v>
      </c>
      <c r="J189" t="n">
        <v>10.5</v>
      </c>
      <c r="K189" t="n">
        <v>0</v>
      </c>
      <c r="L189" t="n">
        <v>10.25</v>
      </c>
      <c r="M189" t="n">
        <v>0</v>
      </c>
      <c r="N189" t="n">
        <v>12</v>
      </c>
      <c r="O189" t="n">
        <v>0</v>
      </c>
      <c r="P189">
        <f>Table1[[#This Row],[TA 1 - Q1 Score]]+Table1[[#This Row],[TA 1 - Q2 Score]]+Table1[[#This Row],[TA 1 - Q3 Score]]</f>
        <v/>
      </c>
      <c r="Q189">
        <f>Table1[[#This Row],[TA 1 - Q1 Bonus]]+Table1[[#This Row],[TA 1 - Q2 Bonus]]+Table1[[#This Row],[TA 1 - Q4 Bonus]]</f>
        <v/>
      </c>
      <c r="R189">
        <f>Table1[[#This Row],[TA 2 - Q1 Score]]+Table1[[#This Row],[TA 2 - Q2 Score]]+Table1[[#This Row],[TA 2 - Q3 Score]]</f>
        <v/>
      </c>
      <c r="S189">
        <f>Table1[[#This Row],[TA 2 - Q1 Bonus]]+Table1[[#This Row],[TA 2 - Q2 Bonus]]+Table1[[#This Row],[TA 2 - Q4 Bonus]]</f>
        <v/>
      </c>
      <c r="T189">
        <f>(Table1[[#This Row],[TA 1 - Total Score (out of 35)]]+Table1[[#This Row],[TA 2 - Total Score (out of 35)]])/2</f>
        <v/>
      </c>
      <c r="U189">
        <f>(Table1[[#This Row],[TA 1 - Total Bonus (out of 13)]]+Table1[[#This Row],[TA 2 - Total Bonus (out of 13)]])/2</f>
        <v/>
      </c>
      <c r="V189">
        <f>Table1[[#This Row],[Average Questions]]/35*20+Table1[[#This Row],[Average Bonus]]/13*5</f>
        <v/>
      </c>
      <c r="W189" t="n">
        <v>0</v>
      </c>
      <c r="X189" t="n">
        <v>0</v>
      </c>
      <c r="Y189" t="inlineStr">
        <is>
          <t>The student's submission does not run correctly due to several issues. The transforms are incomplete, the DataLoaders are not created correctly, and the model is not set up properly. The training and validation loops are incorrect, and the plots are missing. Additionally, the bonus task for Test Time Augmentation is not attempted.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89" t="n">
        <v>0</v>
      </c>
      <c r="AA189" t="n">
        <v>0</v>
      </c>
      <c r="AB189" t="inlineStr">
        <is>
          <t>The student's submission does not run correctly due to several issues. The dataset class is implemented incorrectly, leading to errors in data loading. The transformations applied to the images do not match the required specifications, and the model architecture deviates from the rubric. Additionally, the training and validation functions contain errors, and the plotting code is incomplete. The bonus task is not attempted.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89" t="n">
        <v>0</v>
      </c>
      <c r="AD189" t="inlineStr">
        <is>
          <t>The student's submission does not run end-to-end due to missing or incorrect code in several critical areas. The dataset class is incomplete, with missing implementations for loading images and masks. The DataLoader creation is flawed, using incorrect paths and missing the split logic. The model definition is correct but not used properly in the training loop. The training and validation loops are defined but not executed correctly. The loss and optimizer are defined but not used in the training process. The visualization of predictions is attempted but fails due to the previous issues. Overall, the submission does not meet the requirements to run correctly, resulting in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89" t="n">
        <v>0</v>
      </c>
      <c r="AF189" t="n">
        <v>0</v>
      </c>
      <c r="AG189" t="inlineStr">
        <is>
          <t>No submission found.</t>
        </is>
      </c>
      <c r="AH189" t="n">
        <v>0</v>
      </c>
      <c r="AI189" t="n">
        <v>0</v>
      </c>
    </row>
    <row r="190">
      <c r="A190" t="n">
        <v>189</v>
      </c>
      <c r="B190" t="inlineStr">
        <is>
          <t>TA_4</t>
        </is>
      </c>
      <c r="C190" t="inlineStr">
        <is>
          <t>TA_14</t>
        </is>
      </c>
      <c r="D190" t="n">
        <v>12</v>
      </c>
      <c r="E190" t="n">
        <v>4</v>
      </c>
      <c r="F190" t="n">
        <v>11</v>
      </c>
      <c r="G190" t="n">
        <v>0</v>
      </c>
      <c r="H190" t="n">
        <v>0</v>
      </c>
      <c r="I190" t="n">
        <v>0</v>
      </c>
      <c r="J190" t="n">
        <v>12</v>
      </c>
      <c r="K190" t="n">
        <v>4</v>
      </c>
      <c r="L190" t="n">
        <v>10.5</v>
      </c>
      <c r="M190" t="n">
        <v>0</v>
      </c>
      <c r="N190" t="n">
        <v>0</v>
      </c>
      <c r="O190" t="n">
        <v>0</v>
      </c>
      <c r="P190">
        <f>Table1[[#This Row],[TA 1 - Q1 Score]]+Table1[[#This Row],[TA 1 - Q2 Score]]+Table1[[#This Row],[TA 1 - Q3 Score]]</f>
        <v/>
      </c>
      <c r="Q190">
        <f>Table1[[#This Row],[TA 1 - Q1 Bonus]]+Table1[[#This Row],[TA 1 - Q2 Bonus]]+Table1[[#This Row],[TA 1 - Q4 Bonus]]</f>
        <v/>
      </c>
      <c r="R190">
        <f>Table1[[#This Row],[TA 2 - Q1 Score]]+Table1[[#This Row],[TA 2 - Q2 Score]]+Table1[[#This Row],[TA 2 - Q3 Score]]</f>
        <v/>
      </c>
      <c r="S190">
        <f>Table1[[#This Row],[TA 2 - Q1 Bonus]]+Table1[[#This Row],[TA 2 - Q2 Bonus]]+Table1[[#This Row],[TA 2 - Q4 Bonus]]</f>
        <v/>
      </c>
      <c r="T190">
        <f>(Table1[[#This Row],[TA 1 - Total Score (out of 35)]]+Table1[[#This Row],[TA 2 - Total Score (out of 35)]])/2</f>
        <v/>
      </c>
      <c r="U190">
        <f>(Table1[[#This Row],[TA 1 - Total Bonus (out of 13)]]+Table1[[#This Row],[TA 2 - Total Bonus (out of 13)]])/2</f>
        <v/>
      </c>
      <c r="V190">
        <f>Table1[[#This Row],[Average Questions]]/35*20+Table1[[#This Row],[Average Bonus]]/13*5</f>
        <v/>
      </c>
      <c r="W190" t="n">
        <v>10.5</v>
      </c>
      <c r="X190" t="n">
        <v>4</v>
      </c>
      <c r="Y190" t="inlineStr">
        <is>
          <t>The student successfully completed the data loading and preparation tasks, including transforms, DataLoader creation, and displaying sample images. The model loading and adaptation tasks were also correctly implemented, with the pretrained EfficientNetV2-Small model loaded, the backbone frozen, and the classifier head replaced for 26 classes. The training and validation functions were correctly defined, including the label fix for 0-indexed labels. The training setup, including device, model, loss, and optimizer, was correctly implemented, and the model was trained. The training and validation losses and accuracies were plotted correctly. The bonus task for Test Time Augmentation (TTA) was also correctly implemented, with three predictions defined and averaged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190" t="n">
        <v>0</v>
      </c>
      <c r="AA190" t="n">
        <v>0</v>
      </c>
      <c r="AB190" t="inlineStr">
        <is>
          <t>The student's submission does not run correctly due to several issues. The dataset loading and transformation steps are incorrect, leading to errors in the data preparation phase. The CNN model definition is incomplete and contains errors, such as incorrect layer dimensions and missing residual connections. The training and validation functions are not correctly implemented, and the training loop does not execute properly.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90" t="n">
        <v>0</v>
      </c>
      <c r="AD190" t="inlineStr">
        <is>
          <t>The student did not complete any of the tasks. The submission contains only the dataset download code and the remap_mask function, with placeholders for the rest of the tasks.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90" t="n">
        <v>0</v>
      </c>
      <c r="AF190" t="n">
        <v>0</v>
      </c>
      <c r="AG190" t="inlineStr">
        <is>
          <t>No submission found.</t>
        </is>
      </c>
      <c r="AH190" t="n">
        <v>10.5</v>
      </c>
      <c r="AI190" t="n">
        <v>4</v>
      </c>
    </row>
    <row r="191">
      <c r="A191" t="n">
        <v>190</v>
      </c>
      <c r="B191" t="inlineStr">
        <is>
          <t>TA_4</t>
        </is>
      </c>
      <c r="C191" t="inlineStr">
        <is>
          <t>TA_14</t>
        </is>
      </c>
      <c r="D191" t="n">
        <v>12</v>
      </c>
      <c r="E191" t="n">
        <v>4</v>
      </c>
      <c r="F191" t="n">
        <v>10.5</v>
      </c>
      <c r="G191" t="n">
        <v>0</v>
      </c>
      <c r="H191" t="n">
        <v>12</v>
      </c>
      <c r="I191" t="n">
        <v>0</v>
      </c>
      <c r="J191" t="n">
        <v>11.5</v>
      </c>
      <c r="K191" t="n">
        <v>2</v>
      </c>
      <c r="L191" t="n">
        <v>10.25</v>
      </c>
      <c r="M191" t="n">
        <v>0</v>
      </c>
      <c r="N191" t="n">
        <v>11</v>
      </c>
      <c r="O191" t="n">
        <v>0</v>
      </c>
      <c r="P191">
        <f>Table1[[#This Row],[TA 1 - Q1 Score]]+Table1[[#This Row],[TA 1 - Q2 Score]]+Table1[[#This Row],[TA 1 - Q3 Score]]</f>
        <v/>
      </c>
      <c r="Q191">
        <f>Table1[[#This Row],[TA 1 - Q1 Bonus]]+Table1[[#This Row],[TA 1 - Q2 Bonus]]+Table1[[#This Row],[TA 1 - Q4 Bonus]]</f>
        <v/>
      </c>
      <c r="R191">
        <f>Table1[[#This Row],[TA 2 - Q1 Score]]+Table1[[#This Row],[TA 2 - Q2 Score]]+Table1[[#This Row],[TA 2 - Q3 Score]]</f>
        <v/>
      </c>
      <c r="S191">
        <f>Table1[[#This Row],[TA 2 - Q1 Bonus]]+Table1[[#This Row],[TA 2 - Q2 Bonus]]+Table1[[#This Row],[TA 2 - Q4 Bonus]]</f>
        <v/>
      </c>
      <c r="T191">
        <f>(Table1[[#This Row],[TA 1 - Total Score (out of 35)]]+Table1[[#This Row],[TA 2 - Total Score (out of 35)]])/2</f>
        <v/>
      </c>
      <c r="U191">
        <f>(Table1[[#This Row],[TA 1 - Total Bonus (out of 13)]]+Table1[[#This Row],[TA 2 - Total Bonus (out of 13)]])/2</f>
        <v/>
      </c>
      <c r="V191">
        <f>Table1[[#This Row],[Average Questions]]/35*20+Table1[[#This Row],[Average Bonus]]/13*5</f>
        <v/>
      </c>
      <c r="W191" t="n">
        <v>10</v>
      </c>
      <c r="X191" t="n">
        <v>0</v>
      </c>
      <c r="Y191" t="inlineStr">
        <is>
          <t>The student successfully completed the data loading and preparation tasks, including transforms, DataLoaders, and displaying sample images. However, the student failed to load the pretrained EfficientNetV2-Small model correctly, resulting in a penalty for the entire Part 2. The training and validation loops were implemented correctly, and the label fix was applied correctly. The training process was set up correctly, and the plots for training and validation losses and accuracies were generated. However, the bonus task for Test Time Augmentation (TTA) was not attempted, resulting in no bonus points.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91" t="n">
        <v>0</v>
      </c>
      <c r="AA191" t="n">
        <v>0</v>
      </c>
      <c r="AB191" t="inlineStr">
        <is>
          <t>The student's submission does not run correctly due to several issues. The dataset loading and preparation tasks are incomplete and incorrect. The CNN model definition is incorrect as it does not follow the specified architecture with 5 convolutional layers. The training and validation functions are not correctly implemented, and the training process does not run as expected. Additionally, the bonus task for residual connections is not attempted.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91" t="n">
        <v>0</v>
      </c>
      <c r="AD191" t="inlineStr">
        <is>
          <t>The student's submission does not run end-to-end due to multiple issues. The dataset class is incomplete and contains errors, leading to failures in data loading and preprocessing. The model definition uses 'efficientnet-b0' instead of 'efficientnet-b1' as specified. The training and validation loops are present but do not run correctly due to the earlier issues. The loss and optimizer are defined, but the training process fails to complete. The visualization of predictions is attempted but does not work due to the previous errors. Overall, the submission does not meet the requirements for any task to run correctly.
Breakdown:
- Build custom dataset class for images and masks: 0.0/2.0
- Create DataLoaders: 0.0/0.5
- Display sample images and masks: 0.0/0.5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191" t="n">
        <v>0</v>
      </c>
      <c r="AF191" t="n">
        <v>0</v>
      </c>
      <c r="AG191" t="inlineStr">
        <is>
          <t>No submission found.</t>
        </is>
      </c>
      <c r="AH191" t="n">
        <v>10</v>
      </c>
      <c r="AI191" t="n">
        <v>0</v>
      </c>
    </row>
    <row r="192">
      <c r="A192" t="n">
        <v>191</v>
      </c>
      <c r="B192" t="inlineStr">
        <is>
          <t>TA_4</t>
        </is>
      </c>
      <c r="C192" t="inlineStr">
        <is>
          <t>TA_14</t>
        </is>
      </c>
      <c r="D192" t="n">
        <v>12</v>
      </c>
      <c r="E192" t="n">
        <v>0</v>
      </c>
      <c r="F192" t="n">
        <v>11</v>
      </c>
      <c r="G192" t="n">
        <v>0</v>
      </c>
      <c r="H192" t="n">
        <v>6</v>
      </c>
      <c r="I192" t="n">
        <v>0</v>
      </c>
      <c r="J192" t="n">
        <v>12</v>
      </c>
      <c r="K192" t="n">
        <v>0</v>
      </c>
      <c r="L192" t="n">
        <v>11</v>
      </c>
      <c r="M192" t="n">
        <v>0</v>
      </c>
      <c r="N192" t="n">
        <v>4</v>
      </c>
      <c r="O192" t="n">
        <v>0</v>
      </c>
      <c r="P192">
        <f>Table1[[#This Row],[TA 1 - Q1 Score]]+Table1[[#This Row],[TA 1 - Q2 Score]]+Table1[[#This Row],[TA 1 - Q3 Score]]</f>
        <v/>
      </c>
      <c r="Q192">
        <f>Table1[[#This Row],[TA 1 - Q1 Bonus]]+Table1[[#This Row],[TA 1 - Q2 Bonus]]+Table1[[#This Row],[TA 1 - Q4 Bonus]]</f>
        <v/>
      </c>
      <c r="R192">
        <f>Table1[[#This Row],[TA 2 - Q1 Score]]+Table1[[#This Row],[TA 2 - Q2 Score]]+Table1[[#This Row],[TA 2 - Q3 Score]]</f>
        <v/>
      </c>
      <c r="S192">
        <f>Table1[[#This Row],[TA 2 - Q1 Bonus]]+Table1[[#This Row],[TA 2 - Q2 Bonus]]+Table1[[#This Row],[TA 2 - Q4 Bonus]]</f>
        <v/>
      </c>
      <c r="T192">
        <f>(Table1[[#This Row],[TA 1 - Total Score (out of 35)]]+Table1[[#This Row],[TA 2 - Total Score (out of 35)]])/2</f>
        <v/>
      </c>
      <c r="U192">
        <f>(Table1[[#This Row],[TA 1 - Total Bonus (out of 13)]]+Table1[[#This Row],[TA 2 - Total Bonus (out of 13)]])/2</f>
        <v/>
      </c>
      <c r="V192">
        <f>Table1[[#This Row],[Average Questions]]/35*20+Table1[[#This Row],[Average Bonus]]/13*5</f>
        <v/>
      </c>
      <c r="W192" t="n">
        <v>0</v>
      </c>
      <c r="X192" t="n">
        <v>0</v>
      </c>
      <c r="Y192" t="inlineStr">
        <is>
          <t>The student's submission does not run end-to-end due to missing code for the bonus task and incomplete implementation of the training and validation loops. The code for loading and preparing data, as well as setting up the model, is present but incomplete or incorrect in several places. For example, the DataLoader batch size is set to 10 instead of 64, and the visualization function is not correctly integrated. The training and validation loops are missing critical components such as the label adjustment and proper handling of the model's training and evaluation modes. Therefore, the code does not meet the requirements for any of the tasks, resulting in a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92" t="n">
        <v>0</v>
      </c>
      <c r="AA192" t="n">
        <v>0</v>
      </c>
      <c r="AB192" t="inlineStr">
        <is>
          <t>The student's submission does not run correctly due to multiple issues. The dataset class is incorrectly implemented, leading to errors in data loading. The CNN model definition is flawed, and the training and validation loops are not correctly implemented. Additionally, the residual connection implementation is incorrect and does not follow the specified requirements.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92" t="n">
        <v>0</v>
      </c>
      <c r="AD192" t="inlineStr">
        <is>
          <t>The student's submission does not run end-to-end due to several critical issues. The dataset class is incomplete and does not correctly load images and masks. The model definition uses the wrong encoder and the incorrect number of classes. The training and validation loops are incorrectly implemented, and the loss function and optimizer are not suitable for the task. Additionally, the student did not provide code for displaying sample images and masks or visualizing predictions. The submission disregards explicit instructions and uses an entirely wrong approach, resulting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92" t="n">
        <v>0</v>
      </c>
      <c r="AF192" t="n">
        <v>0</v>
      </c>
      <c r="AG192" t="inlineStr">
        <is>
          <t>The student did not implement any of the required methods in the `ColorizationDataset` class. The `__init__`, `__len__`, `rgb_to_grayscale`, and `__getitem__` methods are all left as 'TO DO' placeholders, indicating that no code was written for these tasks. Additionally, the visualization code will not run correctly because the dataset methods are not implemented. Therefore, the student receives 0 points for this task.
Breakdown:
- Correctly implemented `ColorizationDataset` class: 0.0/5.0</t>
        </is>
      </c>
      <c r="AH192" t="n">
        <v>0</v>
      </c>
      <c r="AI192" t="n">
        <v>0</v>
      </c>
    </row>
    <row r="193">
      <c r="A193" t="n">
        <v>192</v>
      </c>
      <c r="B193" t="inlineStr">
        <is>
          <t>TA_4</t>
        </is>
      </c>
      <c r="C193" t="inlineStr">
        <is>
          <t>TA_14</t>
        </is>
      </c>
      <c r="D193" t="n">
        <v>10</v>
      </c>
      <c r="E193" t="n">
        <v>0</v>
      </c>
      <c r="F193" t="n">
        <v>11</v>
      </c>
      <c r="G193" t="n">
        <v>0</v>
      </c>
      <c r="H193" t="n">
        <v>12</v>
      </c>
      <c r="I193" t="n">
        <v>0</v>
      </c>
      <c r="J193" t="n">
        <v>10</v>
      </c>
      <c r="K193" t="n">
        <v>0</v>
      </c>
      <c r="L193" t="n">
        <v>9</v>
      </c>
      <c r="M193" t="n">
        <v>0</v>
      </c>
      <c r="N193" t="n">
        <v>12</v>
      </c>
      <c r="O193" t="n">
        <v>0</v>
      </c>
      <c r="P193">
        <f>Table1[[#This Row],[TA 1 - Q1 Score]]+Table1[[#This Row],[TA 1 - Q2 Score]]+Table1[[#This Row],[TA 1 - Q3 Score]]</f>
        <v/>
      </c>
      <c r="Q193">
        <f>Table1[[#This Row],[TA 1 - Q1 Bonus]]+Table1[[#This Row],[TA 1 - Q2 Bonus]]+Table1[[#This Row],[TA 1 - Q4 Bonus]]</f>
        <v/>
      </c>
      <c r="R193">
        <f>Table1[[#This Row],[TA 2 - Q1 Score]]+Table1[[#This Row],[TA 2 - Q2 Score]]+Table1[[#This Row],[TA 2 - Q3 Score]]</f>
        <v/>
      </c>
      <c r="S193">
        <f>Table1[[#This Row],[TA 2 - Q1 Bonus]]+Table1[[#This Row],[TA 2 - Q2 Bonus]]+Table1[[#This Row],[TA 2 - Q4 Bonus]]</f>
        <v/>
      </c>
      <c r="T193">
        <f>(Table1[[#This Row],[TA 1 - Total Score (out of 35)]]+Table1[[#This Row],[TA 2 - Total Score (out of 35)]])/2</f>
        <v/>
      </c>
      <c r="U193">
        <f>(Table1[[#This Row],[TA 1 - Total Bonus (out of 13)]]+Table1[[#This Row],[TA 2 - Total Bonus (out of 13)]])/2</f>
        <v/>
      </c>
      <c r="V193">
        <f>Table1[[#This Row],[Average Questions]]/35*20+Table1[[#This Row],[Average Bonus]]/13*5</f>
        <v/>
      </c>
      <c r="W193" t="n">
        <v>0</v>
      </c>
      <c r="X193" t="n">
        <v>0</v>
      </c>
      <c r="Y193" t="inlineStr">
        <is>
          <t>The student's submission does not include the code to display sample images, which is a critical part of Part 1. Additionally, the training and validation loops are incorrect as they do not follow the optimal logic and contain syntax errors. The student also did not implement the bonus task for Test Time Augmentation. Therefore, the student receives 0 points for the base tasks and 0 points for the bonus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93" t="n">
        <v>0</v>
      </c>
      <c r="AA193" t="n">
        <v>0</v>
      </c>
      <c r="AB193" t="inlineStr">
        <is>
          <t>The student's submission does not run correctly due to several issues. The dataset paths are incorrect, leading to errors in loading the data. The model definition and training loops contain logical errors, such as incorrect normalization and incorrect handling of the output dimensions. Additionally, the student did not implement the bonus task.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93" t="n">
        <v>0</v>
      </c>
      <c r="AD193" t="inlineStr">
        <is>
          <t>The student's submission does not run correctly due to several issues. The dataset class is incomplete and does not correctly handle the remapping of masks. The model definition uses 'efficientnet-b1' instead of 'efficientnet-b0' as specified. The training and validation loops are present but do not run correctly due to the issues in the dataset class and model definition. The visualization of predictions is attempted but fails due to the previous issues. Therefore, no points are awarded for any task as the code does not run end-to-end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93" t="n">
        <v>0</v>
      </c>
      <c r="AF193" t="n">
        <v>0</v>
      </c>
      <c r="AG193" t="inlineStr">
        <is>
          <t>No submission found.</t>
        </is>
      </c>
      <c r="AH193" t="n">
        <v>0</v>
      </c>
      <c r="AI193" t="n">
        <v>0</v>
      </c>
    </row>
    <row r="194">
      <c r="A194" t="n">
        <v>193</v>
      </c>
      <c r="B194" t="inlineStr">
        <is>
          <t>TA_4</t>
        </is>
      </c>
      <c r="C194" t="inlineStr">
        <is>
          <t>TA_14</t>
        </is>
      </c>
      <c r="D194" t="n">
        <v>9.5</v>
      </c>
      <c r="E194" t="n">
        <v>0</v>
      </c>
      <c r="F194" t="n">
        <v>8.5</v>
      </c>
      <c r="G194" t="n">
        <v>0</v>
      </c>
      <c r="H194" t="n">
        <v>8.75</v>
      </c>
      <c r="I194" t="n">
        <v>0</v>
      </c>
      <c r="J194" t="n">
        <v>9.5</v>
      </c>
      <c r="K194" t="n">
        <v>0</v>
      </c>
      <c r="L194" t="n">
        <v>9</v>
      </c>
      <c r="M194" t="n">
        <v>0</v>
      </c>
      <c r="N194" t="n">
        <v>7.5</v>
      </c>
      <c r="O194" t="n">
        <v>0</v>
      </c>
      <c r="P194">
        <f>Table1[[#This Row],[TA 1 - Q1 Score]]+Table1[[#This Row],[TA 1 - Q2 Score]]+Table1[[#This Row],[TA 1 - Q3 Score]]</f>
        <v/>
      </c>
      <c r="Q194">
        <f>Table1[[#This Row],[TA 1 - Q1 Bonus]]+Table1[[#This Row],[TA 1 - Q2 Bonus]]+Table1[[#This Row],[TA 1 - Q4 Bonus]]</f>
        <v/>
      </c>
      <c r="R194">
        <f>Table1[[#This Row],[TA 2 - Q1 Score]]+Table1[[#This Row],[TA 2 - Q2 Score]]+Table1[[#This Row],[TA 2 - Q3 Score]]</f>
        <v/>
      </c>
      <c r="S194">
        <f>Table1[[#This Row],[TA 2 - Q1 Bonus]]+Table1[[#This Row],[TA 2 - Q2 Bonus]]+Table1[[#This Row],[TA 2 - Q4 Bonus]]</f>
        <v/>
      </c>
      <c r="T194">
        <f>(Table1[[#This Row],[TA 1 - Total Score (out of 35)]]+Table1[[#This Row],[TA 2 - Total Score (out of 35)]])/2</f>
        <v/>
      </c>
      <c r="U194">
        <f>(Table1[[#This Row],[TA 1 - Total Bonus (out of 13)]]+Table1[[#This Row],[TA 2 - Total Bonus (out of 13)]])/2</f>
        <v/>
      </c>
      <c r="V194">
        <f>Table1[[#This Row],[Average Questions]]/35*20+Table1[[#This Row],[Average Bonus]]/13*5</f>
        <v/>
      </c>
      <c r="W194" t="n">
        <v>0</v>
      </c>
      <c r="X194" t="n">
        <v>0</v>
      </c>
      <c r="Y194" t="inlineStr">
        <is>
          <t>The student's submission does not run end-to-end due to missing code for displaying sample images and the bonus task. Additionally, the student did not freeze the backbone of the model, which is a critical step in transfer learning. The training and validation loops are incorrect because the student used softmax instead of directly using the logits from the model output. The student also did not implement the bonus task for Test Time Augmentation (TTA).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94" t="n">
        <v>0</v>
      </c>
      <c r="AA194" t="n">
        <v>0</v>
      </c>
      <c r="AB194" t="inlineStr">
        <is>
          <t>The student's submission does not run correctly due to several issues. The transforms applied to the test dataset include RandomRotation, which is not specified in the rubric. The CNN model does not have the correct number of convolutional layers or batch normalization layers. The training and validation functions are incorrect and do not follow the optimal logic. The training process does not set up the device, model, loss, and optimizer correctly. Additionally, the student did not attempt the bonus task.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94" t="n">
        <v>0</v>
      </c>
      <c r="AD194" t="inlineStr">
        <is>
          <t>The student's submission does not run end-to-end due to multiple issues. The dataset class is incorrectly implemented, leading to errors in data loading. The training and validation loops are incomplete and contain syntax errors. Additionally, the model definition and training process are flawed, resulting in a non-functional codebase. Therefore, no points are awarded for any task as the code does not run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94" t="n">
        <v>0</v>
      </c>
      <c r="AF194" t="n">
        <v>0</v>
      </c>
      <c r="AG194" t="inlineStr">
        <is>
          <t>No submission found.</t>
        </is>
      </c>
      <c r="AH194" t="n">
        <v>0</v>
      </c>
      <c r="AI194" t="n">
        <v>0</v>
      </c>
    </row>
    <row r="195">
      <c r="A195" t="n">
        <v>194</v>
      </c>
      <c r="B195" t="inlineStr">
        <is>
          <t>TA_4</t>
        </is>
      </c>
      <c r="C195" t="inlineStr">
        <is>
          <t>TA_14</t>
        </is>
      </c>
      <c r="D195" t="n">
        <v>12</v>
      </c>
      <c r="E195" t="n">
        <v>0</v>
      </c>
      <c r="F195" t="n">
        <v>10.5</v>
      </c>
      <c r="G195" t="n">
        <v>0</v>
      </c>
      <c r="H195" t="n">
        <v>1</v>
      </c>
      <c r="I195" t="n">
        <v>0</v>
      </c>
      <c r="J195" t="n">
        <v>12</v>
      </c>
      <c r="K195" t="n">
        <v>0</v>
      </c>
      <c r="L195" t="n">
        <v>11</v>
      </c>
      <c r="M195" t="n">
        <v>0</v>
      </c>
      <c r="N195" t="n">
        <v>0.5</v>
      </c>
      <c r="O195" t="n">
        <v>0</v>
      </c>
      <c r="P195">
        <f>Table1[[#This Row],[TA 1 - Q1 Score]]+Table1[[#This Row],[TA 1 - Q2 Score]]+Table1[[#This Row],[TA 1 - Q3 Score]]</f>
        <v/>
      </c>
      <c r="Q195">
        <f>Table1[[#This Row],[TA 1 - Q1 Bonus]]+Table1[[#This Row],[TA 1 - Q2 Bonus]]+Table1[[#This Row],[TA 1 - Q4 Bonus]]</f>
        <v/>
      </c>
      <c r="R195">
        <f>Table1[[#This Row],[TA 2 - Q1 Score]]+Table1[[#This Row],[TA 2 - Q2 Score]]+Table1[[#This Row],[TA 2 - Q3 Score]]</f>
        <v/>
      </c>
      <c r="S195">
        <f>Table1[[#This Row],[TA 2 - Q1 Bonus]]+Table1[[#This Row],[TA 2 - Q2 Bonus]]+Table1[[#This Row],[TA 2 - Q4 Bonus]]</f>
        <v/>
      </c>
      <c r="T195">
        <f>(Table1[[#This Row],[TA 1 - Total Score (out of 35)]]+Table1[[#This Row],[TA 2 - Total Score (out of 35)]])/2</f>
        <v/>
      </c>
      <c r="U195">
        <f>(Table1[[#This Row],[TA 1 - Total Bonus (out of 13)]]+Table1[[#This Row],[TA 2 - Total Bonus (out of 13)]])/2</f>
        <v/>
      </c>
      <c r="V195">
        <f>Table1[[#This Row],[Average Questions]]/35*20+Table1[[#This Row],[Average Bonus]]/13*5</f>
        <v/>
      </c>
      <c r="W195" t="n">
        <v>0</v>
      </c>
      <c r="X195" t="n">
        <v>0</v>
      </c>
      <c r="Y195" t="inlineStr">
        <is>
          <t>The student's submission does not run correctly due to several issues. The training and validation loops are incorrect because the student used softmax in the training and validation loops, which is not necessary when using CrossEntropyLoss. Additionally, the student did not implement the bonus task for Test Time Augmentation.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95" t="n">
        <v>0</v>
      </c>
      <c r="AA195" t="n">
        <v>0</v>
      </c>
      <c r="AB195" t="inlineStr">
        <is>
          <t>The student's submission does not run correctly due to several issues. The dataset class is implemented incorrectly, leading to errors in data loading. The CNN model does not follow the specified architecture with 5 convolutional layers and batch normalization. The training and validation functions are incorrectly implemented, and the training process does not set up the device, model, loss, and optimizer correctly.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95" t="n">
        <v>0</v>
      </c>
      <c r="AD195" t="inlineStr">
        <is>
          <t>The student's submission does not run end-to-end due to incomplete and incorrect code in multiple tasks. The dataset class is incorrectly implemented, using a CSV file that was not provided or mentioned in the instructions. The model class is incomplete and does not define the U-Net architecture correctly. The training and validation loops, as well as the visualization of predictions, are not implemented. Therefore, the student receives 0 points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95" t="n">
        <v>0</v>
      </c>
      <c r="AF195" t="n">
        <v>0</v>
      </c>
      <c r="AG195" t="inlineStr">
        <is>
          <t>No submission found.</t>
        </is>
      </c>
      <c r="AH195" t="n">
        <v>0</v>
      </c>
      <c r="AI195" t="n">
        <v>0</v>
      </c>
    </row>
    <row r="196">
      <c r="A196" t="n">
        <v>195</v>
      </c>
      <c r="B196" t="inlineStr">
        <is>
          <t>TA_4</t>
        </is>
      </c>
      <c r="C196" t="inlineStr">
        <is>
          <t>TA_14</t>
        </is>
      </c>
      <c r="D196" t="n">
        <v>12</v>
      </c>
      <c r="E196" t="n">
        <v>4</v>
      </c>
      <c r="F196" t="n">
        <v>11</v>
      </c>
      <c r="G196" t="n">
        <v>0</v>
      </c>
      <c r="H196" t="n">
        <v>11.5</v>
      </c>
      <c r="I196" t="n">
        <v>0</v>
      </c>
      <c r="J196" t="n">
        <v>12</v>
      </c>
      <c r="K196" t="n">
        <v>3</v>
      </c>
      <c r="L196" t="n">
        <v>11</v>
      </c>
      <c r="M196" t="n">
        <v>0</v>
      </c>
      <c r="N196" t="n">
        <v>11.5</v>
      </c>
      <c r="P196">
        <f>Table1[[#This Row],[TA 1 - Q1 Score]]+Table1[[#This Row],[TA 1 - Q2 Score]]+Table1[[#This Row],[TA 1 - Q3 Score]]</f>
        <v/>
      </c>
      <c r="Q196">
        <f>Table1[[#This Row],[TA 1 - Q1 Bonus]]+Table1[[#This Row],[TA 1 - Q2 Bonus]]+Table1[[#This Row],[TA 1 - Q4 Bonus]]</f>
        <v/>
      </c>
      <c r="R196">
        <f>Table1[[#This Row],[TA 2 - Q1 Score]]+Table1[[#This Row],[TA 2 - Q2 Score]]+Table1[[#This Row],[TA 2 - Q3 Score]]</f>
        <v/>
      </c>
      <c r="S196">
        <f>Table1[[#This Row],[TA 2 - Q1 Bonus]]+Table1[[#This Row],[TA 2 - Q2 Bonus]]+Table1[[#This Row],[TA 2 - Q4 Bonus]]</f>
        <v/>
      </c>
      <c r="T196">
        <f>(Table1[[#This Row],[TA 1 - Total Score (out of 35)]]+Table1[[#This Row],[TA 2 - Total Score (out of 35)]])/2</f>
        <v/>
      </c>
      <c r="U196">
        <f>(Table1[[#This Row],[TA 1 - Total Bonus (out of 13)]]+Table1[[#This Row],[TA 2 - Total Bonus (out of 13)]])/2</f>
        <v/>
      </c>
      <c r="V196">
        <f>Table1[[#This Row],[Average Questions]]/35*20+Table1[[#This Row],[Average Bonus]]/13*5</f>
        <v/>
      </c>
      <c r="W196" t="n">
        <v>0</v>
      </c>
      <c r="X196" t="n">
        <v>0</v>
      </c>
      <c r="Y196" t="inlineStr">
        <is>
          <t>The student's submission does not run correctly due to several issues. The training and validation loops contain errors, such as applying softmax to the outputs before calculating the loss, which is incorrect for CrossEntropyLoss. Additionally, the student did not correctly implement the Test Time Augmentation (TTA) function, leading to incorrect averaging of predictions. The code also contains redundant and incorrect parts, such as multiple definitions of the validation function and incorrect handling of device placement. These issues prevent the code from running correctly, resulting in a score of 0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96" t="n">
        <v>0</v>
      </c>
      <c r="AA196" t="n">
        <v>0</v>
      </c>
      <c r="AB196" t="inlineStr">
        <is>
          <t>The student's submission does not run correctly due to several issues. The dataset paths are incorrectly defined, leading to errors in loading the data. The transforms applied to the test dataset are incorrect, and the model definition does not match the required specifications. Additionally, the training and validation functions contain errors, and the plotting code is incomplete. Therefore, no tasks are awarded any points.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96" t="n">
        <v>0</v>
      </c>
      <c r="AD196" t="inlineStr">
        <is>
          <t>The student's submission does not run end-to-end due to missing or incorrect code in several critical areas. The dataset class is incomplete, the model definition is incorrect, and the training loop does not execute properly. Additionally, the visualization of predictions is missing essential components. Therefore, no points are awarded for any task as the code does not run correctly and deviates from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96" t="n">
        <v>0</v>
      </c>
      <c r="AF196" t="n">
        <v>0</v>
      </c>
      <c r="AG196" t="inlineStr">
        <is>
          <t>The student's implementation of the `ColorizationDataset` class is incomplete and contains several errors. The `rgb_to_grayscale` method is not implemented correctly, and the `__getitem__` method has logical mistakes. Specifically, the grayscale conversion formula is incorrect, and the method does not return the correct tuple of (grayscale_image, color_image). Additionally, the code does not run correctly due to these issues, resulting in a score of 0.0 for this task.
Breakdown:
- Correctly implemented `ColorizationDataset` class: 0.0/5.0</t>
        </is>
      </c>
      <c r="AH196" t="n">
        <v>0</v>
      </c>
      <c r="AI196" t="n">
        <v>0</v>
      </c>
    </row>
    <row r="197">
      <c r="A197" t="n">
        <v>196</v>
      </c>
      <c r="B197" t="inlineStr">
        <is>
          <t>TA_4</t>
        </is>
      </c>
      <c r="C197" t="inlineStr">
        <is>
          <t>TA_14</t>
        </is>
      </c>
      <c r="D197" t="n">
        <v>6</v>
      </c>
      <c r="E197" t="n">
        <v>0</v>
      </c>
      <c r="F197" t="n">
        <v>8</v>
      </c>
      <c r="G197" t="n">
        <v>0</v>
      </c>
      <c r="H197" t="n">
        <v>10.5</v>
      </c>
      <c r="I197" t="n">
        <v>0</v>
      </c>
      <c r="J197" t="n">
        <v>3</v>
      </c>
      <c r="K197" t="n">
        <v>0</v>
      </c>
      <c r="L197" t="n">
        <v>5.5</v>
      </c>
      <c r="M197" t="n">
        <v>0</v>
      </c>
      <c r="N197" t="n">
        <v>6.5</v>
      </c>
      <c r="O197" t="n">
        <v>0</v>
      </c>
      <c r="P197">
        <f>Table1[[#This Row],[TA 1 - Q1 Score]]+Table1[[#This Row],[TA 1 - Q2 Score]]+Table1[[#This Row],[TA 1 - Q3 Score]]</f>
        <v/>
      </c>
      <c r="Q197">
        <f>Table1[[#This Row],[TA 1 - Q1 Bonus]]+Table1[[#This Row],[TA 1 - Q2 Bonus]]+Table1[[#This Row],[TA 1 - Q4 Bonus]]</f>
        <v/>
      </c>
      <c r="R197">
        <f>Table1[[#This Row],[TA 2 - Q1 Score]]+Table1[[#This Row],[TA 2 - Q2 Score]]+Table1[[#This Row],[TA 2 - Q3 Score]]</f>
        <v/>
      </c>
      <c r="S197">
        <f>Table1[[#This Row],[TA 2 - Q1 Bonus]]+Table1[[#This Row],[TA 2 - Q2 Bonus]]+Table1[[#This Row],[TA 2 - Q4 Bonus]]</f>
        <v/>
      </c>
      <c r="T197">
        <f>(Table1[[#This Row],[TA 1 - Total Score (out of 35)]]+Table1[[#This Row],[TA 2 - Total Score (out of 35)]])/2</f>
        <v/>
      </c>
      <c r="U197">
        <f>(Table1[[#This Row],[TA 1 - Total Bonus (out of 13)]]+Table1[[#This Row],[TA 2 - Total Bonus (out of 13)]])/2</f>
        <v/>
      </c>
      <c r="V197">
        <f>Table1[[#This Row],[Average Questions]]/35*20+Table1[[#This Row],[Average Bonus]]/13*5</f>
        <v/>
      </c>
      <c r="W197" t="n">
        <v>0</v>
      </c>
      <c r="X197" t="n">
        <v>0</v>
      </c>
      <c r="Y197" t="inlineStr">
        <is>
          <t>The student's submission deviates significantly from the required tasks. The student used a different model (U-Net) instead of EfficientNetV2-Small, which is a critical deviation from the instructions. Additionally, the student did not complete the transforms correctly, did not create DataLoaders properly, and did not display sample images as required. The training and validation loops are incorrect and do not follow the specified logic. The student also did not implement the bonus task correctly. Therefore, the student receives 0 points for the base tasks and 0 points for the bonus task.
Breakdown:
- Task 1: Complete transforms (Resize, ToTensor, Normalize): 0.0/?
- Task 2: Create DataLoaders: 0.0/?
- Task 3: Display sample images: 0.0/?
- Task 1: Load pretrained EfficientNetV2-Small: -50.0/?
- Task 2: Freeze the backbone (feature extractor): -50.0/?
- Task 3: Replace classifier head for 26 classes: -50.0/?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97" t="n">
        <v>0</v>
      </c>
      <c r="AA197" t="n">
        <v>0</v>
      </c>
      <c r="AB197" t="inlineStr">
        <is>
          <t>The student's submission contains several critical errors that prevent the code from running correctly. The dataset paths are incorrectly specified, leading to errors in loading the data. The CNN model does not follow the specified architecture with 5 convolutional layers and batch normalization. The training and validation functions are incorrectly implemented, and the plotting code is misplaced. Additionally, the student did not attempt the bonus task. Therefore, the minimum defensible score for each task is 0% due to the code not running correctly.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97" t="n">
        <v>0</v>
      </c>
      <c r="AD197" t="inlineStr">
        <is>
          <t>The student's submission does not run end-to-end due to multiple issues. The dataset class is incomplete and contains errors, such as incorrect file paths and missing transformations. The model definition uses the wrong encoder ('efficientnet-b0' instead of 'efficientnet-b1'). The training and validation loops are incorrectly implemented, leading to runtime errors. Additionally, the loss and optimizer are defined correctly but the training process does not execute properly due to the aforementioned issues. The visualization of predictions is attempted but fails due to the overall breakdown in the pipeline.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97" t="n">
        <v>0</v>
      </c>
      <c r="AF197" t="n">
        <v>0</v>
      </c>
      <c r="AG197" t="inlineStr">
        <is>
          <t>No submission found.</t>
        </is>
      </c>
      <c r="AH197" t="n">
        <v>0</v>
      </c>
      <c r="AI197" t="n">
        <v>0</v>
      </c>
    </row>
    <row r="198">
      <c r="A198" t="n">
        <v>197</v>
      </c>
      <c r="B198" t="inlineStr">
        <is>
          <t>TA_4</t>
        </is>
      </c>
      <c r="C198" t="inlineStr">
        <is>
          <t>TA_14</t>
        </is>
      </c>
      <c r="D198" t="n">
        <v>12</v>
      </c>
      <c r="E198" t="n">
        <v>0</v>
      </c>
      <c r="F198" t="n">
        <v>9</v>
      </c>
      <c r="G198" t="n">
        <v>0</v>
      </c>
      <c r="H198" t="n">
        <v>11</v>
      </c>
      <c r="I198" t="n">
        <v>0</v>
      </c>
      <c r="J198" t="n">
        <v>11.5</v>
      </c>
      <c r="K198" t="n">
        <v>0</v>
      </c>
      <c r="L198" t="n">
        <v>9</v>
      </c>
      <c r="M198" t="n">
        <v>0</v>
      </c>
      <c r="N198" t="n">
        <v>7</v>
      </c>
      <c r="P198">
        <f>Table1[[#This Row],[TA 1 - Q1 Score]]+Table1[[#This Row],[TA 1 - Q2 Score]]+Table1[[#This Row],[TA 1 - Q3 Score]]</f>
        <v/>
      </c>
      <c r="Q198">
        <f>Table1[[#This Row],[TA 1 - Q1 Bonus]]+Table1[[#This Row],[TA 1 - Q2 Bonus]]+Table1[[#This Row],[TA 1 - Q4 Bonus]]</f>
        <v/>
      </c>
      <c r="R198">
        <f>Table1[[#This Row],[TA 2 - Q1 Score]]+Table1[[#This Row],[TA 2 - Q2 Score]]+Table1[[#This Row],[TA 2 - Q3 Score]]</f>
        <v/>
      </c>
      <c r="S198">
        <f>Table1[[#This Row],[TA 2 - Q1 Bonus]]+Table1[[#This Row],[TA 2 - Q2 Bonus]]+Table1[[#This Row],[TA 2 - Q4 Bonus]]</f>
        <v/>
      </c>
      <c r="T198">
        <f>(Table1[[#This Row],[TA 1 - Total Score (out of 35)]]+Table1[[#This Row],[TA 2 - Total Score (out of 35)]])/2</f>
        <v/>
      </c>
      <c r="U198">
        <f>(Table1[[#This Row],[TA 1 - Total Bonus (out of 13)]]+Table1[[#This Row],[TA 2 - Total Bonus (out of 13)]])/2</f>
        <v/>
      </c>
      <c r="V198">
        <f>Table1[[#This Row],[Average Questions]]/35*20+Table1[[#This Row],[Average Bonus]]/13*5</f>
        <v/>
      </c>
      <c r="W198" t="n">
        <v>0</v>
      </c>
      <c r="X198" t="n">
        <v>0</v>
      </c>
      <c r="Y198" t="inlineStr">
        <is>
          <t>The student's submission contains several critical errors that prevent the code from running correctly. The transforms are incorrectly defined, with the resize operation set to 224x224 instead of 28x28. The DataLoaders are created but not used correctly in the training and validation loops. The model is loaded and the classifier head is replaced, but the backbone is not frozen correctly. The training and validation loops are incorrectly implemented, and the label fixing is not applied. Additionally, the plotting functions are not correctly implemented. Due to these issues, the code does not run end-to-end, and thus, no partial credit can be awarded for any task.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98" t="n">
        <v>0</v>
      </c>
      <c r="AA198" t="n">
        <v>0</v>
      </c>
      <c r="AB198" t="inlineStr">
        <is>
          <t>The student's submission does not run correctly due to several issues. The CNN model class does not follow the specified architecture with 5 convolutional layers and the correct kernel sizes. The transforms applied to the images do not match the required specifications, and the model training and validation functions contain errors that prevent the code from running.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98" t="n">
        <v>0</v>
      </c>
      <c r="AD198" t="inlineStr">
        <is>
          <t>The student's submission does not run end-to-end due to several issues. The dataset class is incorrectly implemented, leading to errors in data loading. The model definition is incomplete, and the training and validation loops are not correctly implemented. Additionally, the student did not define the loss and optimizer correctly, and the visualization of predictions is flawed. Therefore, no points are awarded for any task as the code does not run correctly and deviates from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98" t="n">
        <v>0</v>
      </c>
      <c r="AF198" t="n">
        <v>0</v>
      </c>
      <c r="AG198" t="inlineStr">
        <is>
          <t>No submission found.</t>
        </is>
      </c>
      <c r="AH198" t="n">
        <v>0</v>
      </c>
      <c r="AI198" t="n">
        <v>0</v>
      </c>
    </row>
    <row r="199">
      <c r="A199" t="n">
        <v>198</v>
      </c>
      <c r="B199" t="inlineStr">
        <is>
          <t>TA_4</t>
        </is>
      </c>
      <c r="C199" t="inlineStr">
        <is>
          <t>TA_14</t>
        </is>
      </c>
      <c r="D199" t="n">
        <v>5.5</v>
      </c>
      <c r="E199" t="n">
        <v>0</v>
      </c>
      <c r="F199" t="n">
        <v>9</v>
      </c>
      <c r="G199" t="n">
        <v>0</v>
      </c>
      <c r="H199" t="n">
        <v>11.5</v>
      </c>
      <c r="I199" t="n">
        <v>0</v>
      </c>
      <c r="J199" t="n">
        <v>4.5</v>
      </c>
      <c r="K199" t="n">
        <v>0</v>
      </c>
      <c r="L199" t="n">
        <v>9</v>
      </c>
      <c r="M199" t="n">
        <v>0</v>
      </c>
      <c r="N199" t="n">
        <v>10.5</v>
      </c>
      <c r="O199" t="n">
        <v>0</v>
      </c>
      <c r="P199">
        <f>Table1[[#This Row],[TA 1 - Q1 Score]]+Table1[[#This Row],[TA 1 - Q2 Score]]+Table1[[#This Row],[TA 1 - Q3 Score]]</f>
        <v/>
      </c>
      <c r="Q199">
        <f>Table1[[#This Row],[TA 1 - Q1 Bonus]]+Table1[[#This Row],[TA 1 - Q2 Bonus]]+Table1[[#This Row],[TA 1 - Q4 Bonus]]</f>
        <v/>
      </c>
      <c r="R199">
        <f>Table1[[#This Row],[TA 2 - Q1 Score]]+Table1[[#This Row],[TA 2 - Q2 Score]]+Table1[[#This Row],[TA 2 - Q3 Score]]</f>
        <v/>
      </c>
      <c r="S199">
        <f>Table1[[#This Row],[TA 2 - Q1 Bonus]]+Table1[[#This Row],[TA 2 - Q2 Bonus]]+Table1[[#This Row],[TA 2 - Q4 Bonus]]</f>
        <v/>
      </c>
      <c r="T199">
        <f>(Table1[[#This Row],[TA 1 - Total Score (out of 35)]]+Table1[[#This Row],[TA 2 - Total Score (out of 35)]])/2</f>
        <v/>
      </c>
      <c r="U199">
        <f>(Table1[[#This Row],[TA 1 - Total Bonus (out of 13)]]+Table1[[#This Row],[TA 2 - Total Bonus (out of 13)]])/2</f>
        <v/>
      </c>
      <c r="V199">
        <f>Table1[[#This Row],[Average Questions]]/35*20+Table1[[#This Row],[Average Bonus]]/13*5</f>
        <v/>
      </c>
      <c r="W199" t="n">
        <v>0</v>
      </c>
      <c r="X199" t="n">
        <v>0</v>
      </c>
      <c r="Y199" t="inlineStr">
        <is>
          <t>The student's submission has several critical issues that prevent it from running correctly. The student did not display sample images, did not freeze the backbone of the model, and did not correctly replace the classifier head. Additionally, the training and validation loops are incorrect, and the labels are not fixed for 0-indexing. As a result, the code does not run end-to-end, and the student receives 0 points for the base tasks. The bonus task is also not attempted, so the bonus score is 0.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99" t="n">
        <v>0</v>
      </c>
      <c r="AA199" t="n">
        <v>0</v>
      </c>
      <c r="AB199" t="inlineStr">
        <is>
          <t>The student's submission does not run correctly due to several issues. The transforms applied to the test dataset do not match the required specifications, and the model architecture does not follow the rubric's requirements. Additionally, the training and validation functions contain errors that prevent the code from running. The student did not attempt the bonus task, resulting in a score of 0 for the bonus section.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99" t="n">
        <v>0</v>
      </c>
      <c r="AD199" t="inlineStr">
        <is>
          <t>The student's submission does not run correctly due to several issues. The dataset class is incomplete and does not correctly load images and masks. The model definition uses 'efficientnet-b0' instead of 'efficientnet-b1' as specified. The training and validation loops are present but do not run correctly due to errors in the dataset class and model definition. The loss and optimizer are defined correctly, but the training process fails due to the aforementioned issues. The visualization of predictions is attempted but fails because the model training did not complete successfully.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99" t="n">
        <v>0</v>
      </c>
      <c r="AF199" t="n">
        <v>0</v>
      </c>
      <c r="AG199" t="inlineStr">
        <is>
          <t>No submission found.</t>
        </is>
      </c>
      <c r="AH199" t="n">
        <v>0</v>
      </c>
      <c r="AI199" t="n">
        <v>0</v>
      </c>
    </row>
    <row r="200">
      <c r="A200" t="n">
        <v>199</v>
      </c>
      <c r="B200" t="inlineStr">
        <is>
          <t>TA_4</t>
        </is>
      </c>
      <c r="C200" t="inlineStr">
        <is>
          <t>TA_14</t>
        </is>
      </c>
      <c r="D200" t="n">
        <v>12</v>
      </c>
      <c r="E200" t="n">
        <v>0</v>
      </c>
      <c r="F200" t="n">
        <v>-5.5</v>
      </c>
      <c r="G200" t="n">
        <v>0</v>
      </c>
      <c r="H200" t="n">
        <v>12</v>
      </c>
      <c r="I200" t="n">
        <v>0</v>
      </c>
      <c r="J200" t="n">
        <v>12</v>
      </c>
      <c r="K200" t="n">
        <v>0</v>
      </c>
      <c r="L200" t="n">
        <v>3.25</v>
      </c>
      <c r="M200" t="n">
        <v>0</v>
      </c>
      <c r="N200" t="n">
        <v>9</v>
      </c>
      <c r="O200" t="n">
        <v>0</v>
      </c>
      <c r="P200">
        <f>Table1[[#This Row],[TA 1 - Q1 Score]]+Table1[[#This Row],[TA 1 - Q2 Score]]+Table1[[#This Row],[TA 1 - Q3 Score]]</f>
        <v/>
      </c>
      <c r="Q200">
        <f>Table1[[#This Row],[TA 1 - Q1 Bonus]]+Table1[[#This Row],[TA 1 - Q2 Bonus]]+Table1[[#This Row],[TA 1 - Q4 Bonus]]</f>
        <v/>
      </c>
      <c r="R200">
        <f>Table1[[#This Row],[TA 2 - Q1 Score]]+Table1[[#This Row],[TA 2 - Q2 Score]]+Table1[[#This Row],[TA 2 - Q3 Score]]</f>
        <v/>
      </c>
      <c r="S200">
        <f>Table1[[#This Row],[TA 2 - Q1 Bonus]]+Table1[[#This Row],[TA 2 - Q2 Bonus]]+Table1[[#This Row],[TA 2 - Q4 Bonus]]</f>
        <v/>
      </c>
      <c r="T200">
        <f>(Table1[[#This Row],[TA 1 - Total Score (out of 35)]]+Table1[[#This Row],[TA 2 - Total Score (out of 35)]])/2</f>
        <v/>
      </c>
      <c r="U200">
        <f>(Table1[[#This Row],[TA 1 - Total Bonus (out of 13)]]+Table1[[#This Row],[TA 2 - Total Bonus (out of 13)]])/2</f>
        <v/>
      </c>
      <c r="V200">
        <f>Table1[[#This Row],[Average Questions]]/35*20+Table1[[#This Row],[Average Bonus]]/13*5</f>
        <v/>
      </c>
      <c r="W200" t="n">
        <v>0</v>
      </c>
      <c r="X200" t="n">
        <v>0</v>
      </c>
      <c r="Y200" t="inlineStr">
        <is>
          <t>The student's submission does not run correctly due to several issues. The transforms for the test dataset are incomplete, and the DataLoader for the test dataset is missing. The model's classifier head is incorrectly set up for binary classification instead of 26 classes. The training and validation loops have logical errors, such as incorrect label handling and unnecessary softmax application. The training process uses the training DataLoader for validation, which is incorrect. Additionally, the student did not implement the bonus task for Test Time Augmentation. Therefore, the student receives 0 points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00" t="n">
        <v>0</v>
      </c>
      <c r="AA200" t="n">
        <v>0</v>
      </c>
      <c r="AB200" t="inlineStr">
        <is>
          <t>The student's submission does not follow the rubric and uses the wrong dataset (FashionMNIST instead of the Potato Disease Dataset). The code is incomplete and does not run correctly, resulting in a score of 0 for all tasks. The student did not attempt to load and prepare the correct dataset, build the CNN model with the specified layers, or implement the training and validation functions correctly. Additionally, the student did not attempt the bonus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00" t="n">
        <v>0</v>
      </c>
      <c r="AD200" t="inlineStr">
        <is>
          <t>The student's submission does not run end-to-end due to missing code for several critical tasks, including defining the model, running the training loop, and visualizing predictions. The code provided for dataset creation and DataLoader setup is incomplete and does not follow the rubric's instructions. Additionally, the student did not define the loss and optimizer, nor did they plot the loss curve. Therefore, the minimum defensible score for each task is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00" t="n">
        <v>0</v>
      </c>
      <c r="AF200" t="n">
        <v>0</v>
      </c>
      <c r="AG200" t="inlineStr">
        <is>
          <t>No submission found.</t>
        </is>
      </c>
      <c r="AH200" t="n">
        <v>0</v>
      </c>
      <c r="AI200" t="n">
        <v>0</v>
      </c>
    </row>
    <row r="201">
      <c r="A201" t="n">
        <v>200</v>
      </c>
      <c r="B201" t="inlineStr">
        <is>
          <t>TA_4</t>
        </is>
      </c>
      <c r="C201" t="inlineStr">
        <is>
          <t>TA_14</t>
        </is>
      </c>
      <c r="D201" t="n">
        <v>4.5</v>
      </c>
      <c r="E201" t="n">
        <v>0</v>
      </c>
      <c r="F201" t="n">
        <v>6.5</v>
      </c>
      <c r="G201" t="n">
        <v>0</v>
      </c>
      <c r="H201" t="n">
        <v>6.5</v>
      </c>
      <c r="I201" t="n">
        <v>0</v>
      </c>
      <c r="J201" t="n">
        <v>0.5</v>
      </c>
      <c r="K201" t="n">
        <v>0</v>
      </c>
      <c r="L201" t="n">
        <v>5.5</v>
      </c>
      <c r="M201" t="n">
        <v>0</v>
      </c>
      <c r="N201" t="n">
        <v>4</v>
      </c>
      <c r="O201" t="n">
        <v>0</v>
      </c>
      <c r="P201">
        <f>Table1[[#This Row],[TA 1 - Q1 Score]]+Table1[[#This Row],[TA 1 - Q2 Score]]+Table1[[#This Row],[TA 1 - Q3 Score]]</f>
        <v/>
      </c>
      <c r="Q201">
        <f>Table1[[#This Row],[TA 1 - Q1 Bonus]]+Table1[[#This Row],[TA 1 - Q2 Bonus]]+Table1[[#This Row],[TA 1 - Q4 Bonus]]</f>
        <v/>
      </c>
      <c r="R201">
        <f>Table1[[#This Row],[TA 2 - Q1 Score]]+Table1[[#This Row],[TA 2 - Q2 Score]]+Table1[[#This Row],[TA 2 - Q3 Score]]</f>
        <v/>
      </c>
      <c r="S201">
        <f>Table1[[#This Row],[TA 2 - Q1 Bonus]]+Table1[[#This Row],[TA 2 - Q2 Bonus]]+Table1[[#This Row],[TA 2 - Q4 Bonus]]</f>
        <v/>
      </c>
      <c r="T201">
        <f>(Table1[[#This Row],[TA 1 - Total Score (out of 35)]]+Table1[[#This Row],[TA 2 - Total Score (out of 35)]])/2</f>
        <v/>
      </c>
      <c r="U201">
        <f>(Table1[[#This Row],[TA 1 - Total Bonus (out of 13)]]+Table1[[#This Row],[TA 2 - Total Bonus (out of 13)]])/2</f>
        <v/>
      </c>
      <c r="V201">
        <f>Table1[[#This Row],[Average Questions]]/35*20+Table1[[#This Row],[Average Bonus]]/13*5</f>
        <v/>
      </c>
      <c r="W201" t="n">
        <v>0</v>
      </c>
      <c r="X201" t="n">
        <v>0</v>
      </c>
      <c r="Y201" t="inlineStr">
        <is>
          <t>The student's submission does not follow the instructions and uses a different dataset (MNIST) instead of EMNIST. The code is also incomplete and does not address the tasks specified in the rubric. The student has implemented an autoencoder instead of adapting a pretrained EfficientNetV2-Small model for the classification task. Therefore, the submission does not meet the requirements for any of the tasks, resulting in a score of 0.0 for both the base tasks and the bonus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01" t="n">
        <v>0</v>
      </c>
      <c r="AA201" t="n">
        <v>0</v>
      </c>
      <c r="AB201" t="inlineStr">
        <is>
          <t>The student's submission does not follow the rubric. The student used a pre-trained EfficientNet model instead of building a CNN from scratch, which is a fundamental deviation from the task requirements. Additionally, the student did not implement the required transformations, dataset class, or the CNN model with the specified architecture. The training and validation functions are also incorrect and do not follow the specified structure. The bonus task is also not attempted correctly.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01" t="n">
        <v>0</v>
      </c>
      <c r="AD201" t="inlineStr">
        <is>
          <t>The student's submission does not follow the rubric correctly. The dataset class is incorrectly implemented, using a different structure and logic than required. The model class uses 'efficientnet-b0' instead of 'efficientnet-b1'. The training and validation loops are incorrectly implemented for multi-class segmentation, using binary segmentation logic instead. The loss function and optimizer are incorrectly defined for binary segmentation. The visualization of predictions is incomplete and incorrect.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01" t="n">
        <v>0</v>
      </c>
      <c r="AF201" t="n">
        <v>0</v>
      </c>
      <c r="AG201" t="inlineStr">
        <is>
          <t>The student's implementation of the `ColorizationDataset` class is incorrect and does not follow the required structure. The `__init__` method incorrectly attempts to load a CSV file instead of storing the dataset. The `rgb_to_grayscale` method is incorrectly implemented and does not convert the image to grayscale using the correct formula. The `__getitem__` method also contains errors and does not return the correct tuple of (grayscale, color) images. Additionally, the code does not run correctly due to these errors, resulting in a score of 0.0 for the task.
Breakdown:
- Correctly implemented `ColorizationDataset` class: 0.0/5.0</t>
        </is>
      </c>
      <c r="AH201" t="n">
        <v>0</v>
      </c>
      <c r="AI201" t="n">
        <v>0</v>
      </c>
    </row>
    <row r="202">
      <c r="A202" t="n">
        <v>201</v>
      </c>
      <c r="B202" t="inlineStr">
        <is>
          <t>TA_4</t>
        </is>
      </c>
      <c r="C202" t="inlineStr">
        <is>
          <t>TA_14</t>
        </is>
      </c>
      <c r="D202" t="n">
        <v>4.5</v>
      </c>
      <c r="E202" t="n">
        <v>0</v>
      </c>
      <c r="F202" t="n">
        <v>9</v>
      </c>
      <c r="G202" t="n">
        <v>0</v>
      </c>
      <c r="H202" t="n">
        <v>6.5</v>
      </c>
      <c r="I202" t="n">
        <v>0</v>
      </c>
      <c r="J202" t="n">
        <v>9.5</v>
      </c>
      <c r="K202" t="n">
        <v>0</v>
      </c>
      <c r="L202" t="n">
        <v>8.5</v>
      </c>
      <c r="M202" t="n">
        <v>0</v>
      </c>
      <c r="N202" t="n">
        <v>6.75</v>
      </c>
      <c r="O202" t="n">
        <v>0</v>
      </c>
      <c r="P202">
        <f>Table1[[#This Row],[TA 1 - Q1 Score]]+Table1[[#This Row],[TA 1 - Q2 Score]]+Table1[[#This Row],[TA 1 - Q3 Score]]</f>
        <v/>
      </c>
      <c r="Q202">
        <f>Table1[[#This Row],[TA 1 - Q1 Bonus]]+Table1[[#This Row],[TA 1 - Q2 Bonus]]+Table1[[#This Row],[TA 1 - Q4 Bonus]]</f>
        <v/>
      </c>
      <c r="R202">
        <f>Table1[[#This Row],[TA 2 - Q1 Score]]+Table1[[#This Row],[TA 2 - Q2 Score]]+Table1[[#This Row],[TA 2 - Q3 Score]]</f>
        <v/>
      </c>
      <c r="S202">
        <f>Table1[[#This Row],[TA 2 - Q1 Bonus]]+Table1[[#This Row],[TA 2 - Q2 Bonus]]+Table1[[#This Row],[TA 2 - Q4 Bonus]]</f>
        <v/>
      </c>
      <c r="T202">
        <f>(Table1[[#This Row],[TA 1 - Total Score (out of 35)]]+Table1[[#This Row],[TA 2 - Total Score (out of 35)]])/2</f>
        <v/>
      </c>
      <c r="U202">
        <f>(Table1[[#This Row],[TA 1 - Total Bonus (out of 13)]]+Table1[[#This Row],[TA 2 - Total Bonus (out of 13)]])/2</f>
        <v/>
      </c>
      <c r="V202">
        <f>Table1[[#This Row],[Average Questions]]/35*20+Table1[[#This Row],[Average Bonus]]/13*5</f>
        <v/>
      </c>
      <c r="W202" t="n">
        <v>0</v>
      </c>
      <c r="X202" t="n">
        <v>0</v>
      </c>
      <c r="Y202" t="inlineStr">
        <is>
          <t>The student completed the transforms correctly but failed to create DataLoaders and display sample images. The model loading and adaptation were partially correct, but the training and validation loops had significant issues, including incorrect label handling and logic errors. The training setup and plotting tasks were not attempted. The bonus task was not addressed.
Breakdown:
- Task 1: Complete transforms (Resize, ToTensor, Normalize): 1.5/?
- Task 2: Create DataLoaders: 0.0/?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02" t="n">
        <v>0</v>
      </c>
      <c r="AA202" t="n">
        <v>0</v>
      </c>
      <c r="AB202" t="inlineStr">
        <is>
          <t>The student's submission does not run correctly due to several issues. The dataset transformation resizes images to 32x32 instead of 128x128 as specified. The CNN model does not have the correct number of convolutional layers or batch normalization layers. The training and validation functions are incorrect, and the model is not set up correctly for training.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02" t="n">
        <v>0</v>
      </c>
      <c r="AD202" t="inlineStr">
        <is>
          <t>The student's submission does not run end-to-end due to multiple issues. The dataset class is incorrectly implemented, leading to errors in data loading. The model definition uses the wrong number of classes and the incorrect loss function. The training and validation loops are incorrectly implemented, and the loss plotting code is missing. Additionally, the visualization of predictions is not correctly implemented. Therefore, no tasks are awarded any points as the code does not run correctly and deviates significantly from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02" t="n">
        <v>0</v>
      </c>
      <c r="AF202" t="n">
        <v>0</v>
      </c>
      <c r="AG202" t="inlineStr">
        <is>
          <t>No submission found.</t>
        </is>
      </c>
      <c r="AH202" t="n">
        <v>0</v>
      </c>
      <c r="AI202" t="n">
        <v>0</v>
      </c>
    </row>
    <row r="203">
      <c r="A203" t="n">
        <v>202</v>
      </c>
      <c r="B203" t="inlineStr">
        <is>
          <t>TA_4</t>
        </is>
      </c>
      <c r="C203" t="inlineStr">
        <is>
          <t>TA_14</t>
        </is>
      </c>
      <c r="D203" t="n">
        <v>12</v>
      </c>
      <c r="E203" t="n">
        <v>0</v>
      </c>
      <c r="F203" t="n">
        <v>11</v>
      </c>
      <c r="G203" t="n">
        <v>0</v>
      </c>
      <c r="H203" t="n">
        <v>8</v>
      </c>
      <c r="I203" t="n">
        <v>0</v>
      </c>
      <c r="J203" t="n">
        <v>12</v>
      </c>
      <c r="K203" t="n">
        <v>0</v>
      </c>
      <c r="L203" t="n">
        <v>10</v>
      </c>
      <c r="M203" t="n">
        <v>0</v>
      </c>
      <c r="N203" t="n">
        <v>6.5</v>
      </c>
      <c r="O203" t="n">
        <v>0</v>
      </c>
      <c r="P203">
        <f>Table1[[#This Row],[TA 1 - Q1 Score]]+Table1[[#This Row],[TA 1 - Q2 Score]]+Table1[[#This Row],[TA 1 - Q3 Score]]</f>
        <v/>
      </c>
      <c r="Q203">
        <f>Table1[[#This Row],[TA 1 - Q1 Bonus]]+Table1[[#This Row],[TA 1 - Q2 Bonus]]+Table1[[#This Row],[TA 1 - Q4 Bonus]]</f>
        <v/>
      </c>
      <c r="R203">
        <f>Table1[[#This Row],[TA 2 - Q1 Score]]+Table1[[#This Row],[TA 2 - Q2 Score]]+Table1[[#This Row],[TA 2 - Q3 Score]]</f>
        <v/>
      </c>
      <c r="S203">
        <f>Table1[[#This Row],[TA 2 - Q1 Bonus]]+Table1[[#This Row],[TA 2 - Q2 Bonus]]+Table1[[#This Row],[TA 2 - Q4 Bonus]]</f>
        <v/>
      </c>
      <c r="T203">
        <f>(Table1[[#This Row],[TA 1 - Total Score (out of 35)]]+Table1[[#This Row],[TA 2 - Total Score (out of 35)]])/2</f>
        <v/>
      </c>
      <c r="U203">
        <f>(Table1[[#This Row],[TA 1 - Total Bonus (out of 13)]]+Table1[[#This Row],[TA 2 - Total Bonus (out of 13)]])/2</f>
        <v/>
      </c>
      <c r="V203">
        <f>Table1[[#This Row],[Average Questions]]/35*20+Table1[[#This Row],[Average Bonus]]/13*5</f>
        <v/>
      </c>
      <c r="W203" t="n">
        <v>0</v>
      </c>
      <c r="X203" t="n">
        <v>0</v>
      </c>
      <c r="Y203" t="inlineStr">
        <is>
          <t>The student's submission does not run end-to-end due to multiple issues. The DataLoader creation is incorrect, the model training and validation loops are not correctly implemented, and the plotting functions are missing. Additionally, the student did not implement the bonus task for Test Time Augmentation.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03" t="n">
        <v>0</v>
      </c>
      <c r="AA203" t="n">
        <v>0</v>
      </c>
      <c r="AB203" t="inlineStr">
        <is>
          <t>The student's submission does not run correctly due to several issues. The dataset class is incorrectly implemented, leading to errors in data loading. The CNN model does not follow the specified architecture with 5 convolutional layers and batch normalization. The training and validation functions are incorrectly implemented, and the training process does not follow the required steps. Additionally, the student did not attempt the bonus task. Therefore, the minimum defensible score for each task is 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03" t="n">
        <v>0</v>
      </c>
      <c r="AD203" t="inlineStr">
        <is>
          <t>The student's submission does not run end-to-end due to multiple issues. The dataset class is incorrectly implemented, leading to errors in DataLoader creation. The training and validation loops are not correctly defined, and the model training process is flawed. Additionally, the visualization of predictions is missing. The student's code does not follow the optimal logic and contains syntax errors, logical mistakes, and disregards specific instructions, resulting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03" t="n">
        <v>0</v>
      </c>
      <c r="AF203" t="n">
        <v>0</v>
      </c>
      <c r="AG203" t="inlineStr">
        <is>
          <t>No submission found.</t>
        </is>
      </c>
      <c r="AH203" t="n">
        <v>0</v>
      </c>
      <c r="AI203" t="n">
        <v>0</v>
      </c>
    </row>
    <row r="204">
      <c r="A204" t="n">
        <v>203</v>
      </c>
      <c r="B204" t="inlineStr">
        <is>
          <t>TA_4</t>
        </is>
      </c>
      <c r="C204" t="inlineStr">
        <is>
          <t>TA_14</t>
        </is>
      </c>
      <c r="D204" t="n">
        <v>12</v>
      </c>
      <c r="E204" t="n">
        <v>4</v>
      </c>
      <c r="F204" t="n">
        <v>11</v>
      </c>
      <c r="G204" t="n">
        <v>4</v>
      </c>
      <c r="H204" t="n">
        <v>12</v>
      </c>
      <c r="I204" t="n">
        <v>5</v>
      </c>
      <c r="J204" t="n">
        <v>12</v>
      </c>
      <c r="K204" t="n">
        <v>4</v>
      </c>
      <c r="L204" t="n">
        <v>11</v>
      </c>
      <c r="M204" t="n">
        <v>4</v>
      </c>
      <c r="N204" t="n">
        <v>11.5</v>
      </c>
      <c r="O204" t="n">
        <v>5</v>
      </c>
      <c r="P204">
        <f>Table1[[#This Row],[TA 1 - Q1 Score]]+Table1[[#This Row],[TA 1 - Q2 Score]]+Table1[[#This Row],[TA 1 - Q3 Score]]</f>
        <v/>
      </c>
      <c r="Q204">
        <f>Table1[[#This Row],[TA 1 - Q1 Bonus]]+Table1[[#This Row],[TA 1 - Q2 Bonus]]+Table1[[#This Row],[TA 1 - Q4 Bonus]]</f>
        <v/>
      </c>
      <c r="R204">
        <f>Table1[[#This Row],[TA 2 - Q1 Score]]+Table1[[#This Row],[TA 2 - Q2 Score]]+Table1[[#This Row],[TA 2 - Q3 Score]]</f>
        <v/>
      </c>
      <c r="S204">
        <f>Table1[[#This Row],[TA 2 - Q1 Bonus]]+Table1[[#This Row],[TA 2 - Q2 Bonus]]+Table1[[#This Row],[TA 2 - Q4 Bonus]]</f>
        <v/>
      </c>
      <c r="T204">
        <f>(Table1[[#This Row],[TA 1 - Total Score (out of 35)]]+Table1[[#This Row],[TA 2 - Total Score (out of 35)]])/2</f>
        <v/>
      </c>
      <c r="U204">
        <f>(Table1[[#This Row],[TA 1 - Total Bonus (out of 13)]]+Table1[[#This Row],[TA 2 - Total Bonus (out of 13)]])/2</f>
        <v/>
      </c>
      <c r="V204">
        <f>Table1[[#This Row],[Average Questions]]/35*20+Table1[[#This Row],[Average Bonus]]/13*5</f>
        <v/>
      </c>
      <c r="W204" t="n">
        <v>10</v>
      </c>
      <c r="X204" t="n">
        <v>4</v>
      </c>
      <c r="Y204" t="inlineStr">
        <is>
          <t>The student successfully completed all tasks in Parts 1, 2, 3, and 4, including the bonus task in Part 5. The code for transforming the data, creating DataLoaders, displaying sample images, loading the pretrained model, freezing the backbone, replacing the classifier head, and implementing the training and validation loops is correct and runs as expected. The student also correctly fixed the labels to be 0-indexed, which is crucial for the model's performance. The training and validation plots are correctly implemented. The bonus task for Test Time Augmentation (TTA) is also correctly implemented, with the student defining the three predictions and averaging them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04" t="n">
        <v>0</v>
      </c>
      <c r="AA204" t="n">
        <v>0</v>
      </c>
      <c r="AB204" t="inlineStr">
        <is>
          <t>The student's submission does not run correctly due to several issues. The dataset paths are hardcoded incorrectly, leading to errors in loading the data. The model architecture and training loops contain logical errors, such as incorrect dimensions in the fully connected layer and missing activation functions. The residual connection implementation is flawed, and the training process does not produce valid results. Therefore, no points are awarded for any task as the code does not run correctly and deviates from the rubric.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04" t="n">
        <v>0</v>
      </c>
      <c r="AD204" t="inlineStr">
        <is>
          <t>The student's submission does not run end-to-end due to missing code in critical sections. Specifically, the dataset class is incomplete as it does not handle the mask directory correctly, and the training and validation loops are not defined. Additionally, the visualization of predictions is missing. Therefore, the student receives 0 points for each task as the code does not run correctly and deviates from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04" t="n">
        <v>0</v>
      </c>
      <c r="AF204" t="n">
        <v>0</v>
      </c>
      <c r="AG204" t="inlineStr">
        <is>
          <t>The student's implementation of the `ColorizationDataset` class is incorrect. The `rgb_to_grayscale` method does not correctly handle the input tensor dimensions, leading to a mismatch in the expected output shape. Specifically, the method should return a tensor of shape (1, H, W), but the student's implementation returns a tensor of shape (H, W). This error prevents the code from running correctly, resulting in a score of 0.0 for the task.
Breakdown:
- Correctly implemented `ColorizationDataset` class: 0.0/5.0</t>
        </is>
      </c>
      <c r="AH204" t="n">
        <v>10</v>
      </c>
      <c r="AI204" t="n">
        <v>4</v>
      </c>
    </row>
    <row r="205">
      <c r="A205" t="n">
        <v>204</v>
      </c>
      <c r="B205" t="inlineStr">
        <is>
          <t>TA_4</t>
        </is>
      </c>
      <c r="C205" t="inlineStr">
        <is>
          <t>TA_14</t>
        </is>
      </c>
      <c r="D205" t="n">
        <v>12</v>
      </c>
      <c r="E205" t="n">
        <v>0</v>
      </c>
      <c r="F205" t="n">
        <v>9</v>
      </c>
      <c r="G205" t="n">
        <v>0</v>
      </c>
      <c r="H205" t="n">
        <v>7</v>
      </c>
      <c r="I205" t="n">
        <v>0</v>
      </c>
      <c r="J205" t="n">
        <v>12</v>
      </c>
      <c r="K205" t="n">
        <v>0</v>
      </c>
      <c r="L205" t="n">
        <v>9</v>
      </c>
      <c r="M205" t="n">
        <v>0</v>
      </c>
      <c r="N205" t="n">
        <v>7.5</v>
      </c>
      <c r="O205" t="n">
        <v>0</v>
      </c>
      <c r="P205">
        <f>Table1[[#This Row],[TA 1 - Q1 Score]]+Table1[[#This Row],[TA 1 - Q2 Score]]+Table1[[#This Row],[TA 1 - Q3 Score]]</f>
        <v/>
      </c>
      <c r="Q205">
        <f>Table1[[#This Row],[TA 1 - Q1 Bonus]]+Table1[[#This Row],[TA 1 - Q2 Bonus]]+Table1[[#This Row],[TA 1 - Q4 Bonus]]</f>
        <v/>
      </c>
      <c r="R205">
        <f>Table1[[#This Row],[TA 2 - Q1 Score]]+Table1[[#This Row],[TA 2 - Q2 Score]]+Table1[[#This Row],[TA 2 - Q3 Score]]</f>
        <v/>
      </c>
      <c r="S205">
        <f>Table1[[#This Row],[TA 2 - Q1 Bonus]]+Table1[[#This Row],[TA 2 - Q2 Bonus]]+Table1[[#This Row],[TA 2 - Q4 Bonus]]</f>
        <v/>
      </c>
      <c r="T205">
        <f>(Table1[[#This Row],[TA 1 - Total Score (out of 35)]]+Table1[[#This Row],[TA 2 - Total Score (out of 35)]])/2</f>
        <v/>
      </c>
      <c r="U205">
        <f>(Table1[[#This Row],[TA 1 - Total Bonus (out of 13)]]+Table1[[#This Row],[TA 2 - Total Bonus (out of 13)]])/2</f>
        <v/>
      </c>
      <c r="V205">
        <f>Table1[[#This Row],[Average Questions]]/35*20+Table1[[#This Row],[Average Bonus]]/13*5</f>
        <v/>
      </c>
      <c r="W205" t="n">
        <v>0</v>
      </c>
      <c r="X205" t="n">
        <v>0</v>
      </c>
      <c r="Y205" t="inlineStr">
        <is>
          <t>The student's submission does not run end-to-end due to missing code in several critical parts. Specifically, the code for creating DataLoaders and displaying sample images is incomplete. Additionally, the training and validation functions are incorrectly implemented, leading to a failure in the training process. The bonus task for Test Time Augmentation is also missing.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05" t="n">
        <v>0</v>
      </c>
      <c r="AA205" t="n">
        <v>0</v>
      </c>
      <c r="AB205" t="inlineStr">
        <is>
          <t>The student's submission does not run correctly due to several issues. The dataset class or ImageFolder is not correctly implemented, leading to errors in loading the data. The transforms applied do not match the rubric specifications, and the model architecture deviates significantly from the required specifications, including the number of convolutional layers and the absence of batch normalization. The training and validation functions are incorrectly implemented, and the plotting of losses and accuracy is flawed. Additionally, the bonus task is not attempted.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05" t="n">
        <v>0</v>
      </c>
      <c r="AD205" t="inlineStr">
        <is>
          <t>The student's submission does not run end-to-end due to multiple issues. The dataset class is incomplete and does not correctly split the data into training and testing sets. The model definition uses the wrong encoder (efficientnet-b1 instead of efficientnet-b0). The training and validation loops are incorrectly implemented, using BCEWithLogitsLoss instead of CrossEntropyLoss, and the model is not correctly evaluated. Additionally, the loss curve plotting is missing critical components. Therefore, no tasks are awarded any points as the code does not run correctly and deviates significantly from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05" t="n">
        <v>0</v>
      </c>
      <c r="AF205" t="n">
        <v>0</v>
      </c>
      <c r="AG205" t="inlineStr">
        <is>
          <t>No submission found.</t>
        </is>
      </c>
      <c r="AH205" t="n">
        <v>0</v>
      </c>
      <c r="AI205" t="n">
        <v>0</v>
      </c>
    </row>
    <row r="206">
      <c r="A206" t="n">
        <v>205</v>
      </c>
      <c r="B206" t="inlineStr">
        <is>
          <t>TA_4</t>
        </is>
      </c>
      <c r="C206" t="inlineStr">
        <is>
          <t>TA_14</t>
        </is>
      </c>
      <c r="D206" t="n">
        <v>7</v>
      </c>
      <c r="E206" t="n">
        <v>0</v>
      </c>
      <c r="F206" t="n">
        <v>6.5</v>
      </c>
      <c r="G206" t="n">
        <v>0</v>
      </c>
      <c r="H206" t="n">
        <v>8</v>
      </c>
      <c r="I206" t="n">
        <v>0</v>
      </c>
      <c r="J206" t="n">
        <v>6.25</v>
      </c>
      <c r="K206" t="n">
        <v>0</v>
      </c>
      <c r="L206" t="n">
        <v>5.5</v>
      </c>
      <c r="M206" t="n">
        <v>0</v>
      </c>
      <c r="N206" t="n">
        <v>3.75</v>
      </c>
      <c r="O206" t="n">
        <v>0</v>
      </c>
      <c r="P206">
        <f>Table1[[#This Row],[TA 1 - Q1 Score]]+Table1[[#This Row],[TA 1 - Q2 Score]]+Table1[[#This Row],[TA 1 - Q3 Score]]</f>
        <v/>
      </c>
      <c r="Q206">
        <f>Table1[[#This Row],[TA 1 - Q1 Bonus]]+Table1[[#This Row],[TA 1 - Q2 Bonus]]+Table1[[#This Row],[TA 1 - Q4 Bonus]]</f>
        <v/>
      </c>
      <c r="R206">
        <f>Table1[[#This Row],[TA 2 - Q1 Score]]+Table1[[#This Row],[TA 2 - Q2 Score]]+Table1[[#This Row],[TA 2 - Q3 Score]]</f>
        <v/>
      </c>
      <c r="S206">
        <f>Table1[[#This Row],[TA 2 - Q1 Bonus]]+Table1[[#This Row],[TA 2 - Q2 Bonus]]+Table1[[#This Row],[TA 2 - Q4 Bonus]]</f>
        <v/>
      </c>
      <c r="T206">
        <f>(Table1[[#This Row],[TA 1 - Total Score (out of 35)]]+Table1[[#This Row],[TA 2 - Total Score (out of 35)]])/2</f>
        <v/>
      </c>
      <c r="U206">
        <f>(Table1[[#This Row],[TA 1 - Total Bonus (out of 13)]]+Table1[[#This Row],[TA 2 - Total Bonus (out of 13)]])/2</f>
        <v/>
      </c>
      <c r="V206">
        <f>Table1[[#This Row],[Average Questions]]/35*20+Table1[[#This Row],[Average Bonus]]/13*5</f>
        <v/>
      </c>
      <c r="W206" t="n">
        <v>0</v>
      </c>
      <c r="X206" t="n">
        <v>0</v>
      </c>
      <c r="Y206" t="inlineStr">
        <is>
          <t>The student's submission does not run correctly due to several issues. The DataLoader creation is incorrect as it shuffles the test set, which is not allowed. The training and validation loops do not correctly handle the labels, leading to incorrect training and validation. The model initialization in the training section is incorrect, and the plotting section does not correctly plot the training and validation metrics. Additionally, the bonus section is missing entirely.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06" t="n">
        <v>0</v>
      </c>
      <c r="AA206" t="n">
        <v>0</v>
      </c>
      <c r="AB206" t="inlineStr">
        <is>
          <t>The student's submission does not follow the rubric correctly. The dataset class is incorrectly implemented, using a custom class instead of ImageFolder. The transformations do not resize images to 32x32 as specified. The CNN model does not have 5 convolutional layers and lacks batch normalization. The training and validation loops are incorrectly implemented, using sigmoid activation for a multi-class classification problem. The training process does not set up the device, model, loss, and optimizer correctly. The plotting of losses and accuracy is incorrect. The bonus task is not attempted.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06" t="n">
        <v>0</v>
      </c>
      <c r="AD206" t="inlineStr">
        <is>
          <t>The student's submission does not run correctly due to several issues. The dataset class is incorrectly implemented, using a CSV file for image and mask paths instead of directly loading from directories. The model definition uses 'efficientnet-b1' instead of 'efficientnet-b0' as specified. The loss function and optimizer are incorrectly defined for a multi-class segmentation task. The training and validation loops do not handle the multi-class nature of the problem. Additionally, the visualization of predictions is incorrect and does not follow the required format. These issues prevent the code from running end-to-end and achieving the task objectives.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06" t="n">
        <v>0</v>
      </c>
      <c r="AF206" t="n">
        <v>0</v>
      </c>
      <c r="AG206" t="inlineStr">
        <is>
          <t>No submission found.</t>
        </is>
      </c>
      <c r="AH206" t="n">
        <v>0</v>
      </c>
      <c r="AI206" t="n">
        <v>0</v>
      </c>
    </row>
    <row r="207">
      <c r="A207" t="n">
        <v>206</v>
      </c>
      <c r="B207" t="inlineStr">
        <is>
          <t>TA_4</t>
        </is>
      </c>
      <c r="C207" t="inlineStr">
        <is>
          <t>TA_14</t>
        </is>
      </c>
      <c r="D207" t="n">
        <v>12</v>
      </c>
      <c r="E207" t="n">
        <v>4</v>
      </c>
      <c r="F207" t="n">
        <v>11</v>
      </c>
      <c r="G207" t="n">
        <v>0</v>
      </c>
      <c r="H207" t="n">
        <v>12</v>
      </c>
      <c r="I207" t="n">
        <v>5</v>
      </c>
      <c r="J207" t="n">
        <v>12</v>
      </c>
      <c r="K207" t="n">
        <v>4</v>
      </c>
      <c r="L207" t="n">
        <v>11</v>
      </c>
      <c r="M207" t="n">
        <v>0</v>
      </c>
      <c r="N207" t="n">
        <v>12</v>
      </c>
      <c r="O207" t="n">
        <v>5</v>
      </c>
      <c r="P207">
        <f>Table1[[#This Row],[TA 1 - Q1 Score]]+Table1[[#This Row],[TA 1 - Q2 Score]]+Table1[[#This Row],[TA 1 - Q3 Score]]</f>
        <v/>
      </c>
      <c r="Q207">
        <f>Table1[[#This Row],[TA 1 - Q1 Bonus]]+Table1[[#This Row],[TA 1 - Q2 Bonus]]+Table1[[#This Row],[TA 1 - Q4 Bonus]]</f>
        <v/>
      </c>
      <c r="R207">
        <f>Table1[[#This Row],[TA 2 - Q1 Score]]+Table1[[#This Row],[TA 2 - Q2 Score]]+Table1[[#This Row],[TA 2 - Q3 Score]]</f>
        <v/>
      </c>
      <c r="S207">
        <f>Table1[[#This Row],[TA 2 - Q1 Bonus]]+Table1[[#This Row],[TA 2 - Q2 Bonus]]+Table1[[#This Row],[TA 2 - Q4 Bonus]]</f>
        <v/>
      </c>
      <c r="T207">
        <f>(Table1[[#This Row],[TA 1 - Total Score (out of 35)]]+Table1[[#This Row],[TA 2 - Total Score (out of 35)]])/2</f>
        <v/>
      </c>
      <c r="U207">
        <f>(Table1[[#This Row],[TA 1 - Total Bonus (out of 13)]]+Table1[[#This Row],[TA 2 - Total Bonus (out of 13)]])/2</f>
        <v/>
      </c>
      <c r="V207">
        <f>Table1[[#This Row],[Average Questions]]/35*20+Table1[[#This Row],[Average Bonus]]/13*5</f>
        <v/>
      </c>
      <c r="W207" t="n">
        <v>0</v>
      </c>
      <c r="X207" t="n">
        <v>0</v>
      </c>
      <c r="Y207" t="inlineStr">
        <is>
          <t>The student's submission does not run correctly due to several issues. The transforms are incomplete, the DataLoaders are not correctly created, and the model training and validation loops contain errors. Additionally, the student did not correctly implement the bonus task for Test Time Augmentation. Therefore, no points are awarded for any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07" t="n">
        <v>0</v>
      </c>
      <c r="AA207" t="n">
        <v>0</v>
      </c>
      <c r="AB207" t="inlineStr">
        <is>
          <t>The student's submission does not run correctly due to several issues. The dataset paths are incorrect, leading to errors in loading the data. The transforms applied to the images do not match the required specifications, and the model architecture deviates from the rubric. Additionally, the training and validation functions contain errors that prevent the model from training properly. The bonus task is not attempted, and there is no evidence of a residual connection being implemented. Therefore, the student receives 0 points for the base tasks and 0 points for the bonus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0.5/0.5
- Task 1: Set up device, model, loss, optimizer: 0.0/1.0
- Task 2: Train the model: 0.0/0.5
- Task 3: Plot losses and accuracy: 0.0/0.5
- Bonus Task: Defined residual connection correctly: 0.0/3.0
- Bonus Task: Retrain + Plot losses and accuracy: 0.0/1.0</t>
        </is>
      </c>
      <c r="AC207" t="n">
        <v>0</v>
      </c>
      <c r="AD207" t="inlineStr">
        <is>
          <t>The student's submission does not run correctly due to several issues. The dataset class is incorrectly implemented, leading to errors in loading images and masks. The model definition uses 'efficientnet-b1' instead of 'efficientnet-b0' as specified. The training and validation loops are present but do not run correctly due to the dataset issues. The loss and optimizer are defined correctly, but the training process fails due to the dataset errors. The visualization of predictions is attempted but fails due to the dataset issues. Therefore, no points are awarded for any task as the code does not run end-to-end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07" t="n">
        <v>0</v>
      </c>
      <c r="AF207" t="n">
        <v>0</v>
      </c>
      <c r="AG207" t="inlineStr">
        <is>
          <t>The student's implementation of the `ColorizationDataset` class contains several critical errors. The `rgb_to_grayscale` method incorrectly processes the image tensor, leading to a shape mismatch and incorrect grayscale conversion. Additionally, the `__getitem__` method returns the wrong tuple, missing the color image. These issues prevent the code from running correctly, resulting in a score of 0.0 for the task.
Breakdown:
- Correctly implemented `ColorizationDataset` class: 0.0/5.0</t>
        </is>
      </c>
      <c r="AH207" t="n">
        <v>0</v>
      </c>
      <c r="AI207" t="n">
        <v>0</v>
      </c>
    </row>
    <row r="208">
      <c r="A208" t="n">
        <v>207</v>
      </c>
      <c r="B208" t="inlineStr">
        <is>
          <t>TA_4</t>
        </is>
      </c>
      <c r="C208" t="inlineStr">
        <is>
          <t>TA_14</t>
        </is>
      </c>
      <c r="D208" t="n">
        <v>11</v>
      </c>
      <c r="E208" t="n">
        <v>4</v>
      </c>
      <c r="F208" t="n">
        <v>11</v>
      </c>
      <c r="G208" t="n">
        <v>4</v>
      </c>
      <c r="H208" t="n">
        <v>12</v>
      </c>
      <c r="I208" t="n">
        <v>5</v>
      </c>
      <c r="J208" t="n">
        <v>11</v>
      </c>
      <c r="K208" t="n">
        <v>4</v>
      </c>
      <c r="L208" t="n">
        <v>11</v>
      </c>
      <c r="M208" t="n">
        <v>0</v>
      </c>
      <c r="N208" t="n">
        <v>12</v>
      </c>
      <c r="O208" t="n">
        <v>0</v>
      </c>
      <c r="P208">
        <f>Table1[[#This Row],[TA 1 - Q1 Score]]+Table1[[#This Row],[TA 1 - Q2 Score]]+Table1[[#This Row],[TA 1 - Q3 Score]]</f>
        <v/>
      </c>
      <c r="Q208">
        <f>Table1[[#This Row],[TA 1 - Q1 Bonus]]+Table1[[#This Row],[TA 1 - Q2 Bonus]]+Table1[[#This Row],[TA 1 - Q4 Bonus]]</f>
        <v/>
      </c>
      <c r="R208">
        <f>Table1[[#This Row],[TA 2 - Q1 Score]]+Table1[[#This Row],[TA 2 - Q2 Score]]+Table1[[#This Row],[TA 2 - Q3 Score]]</f>
        <v/>
      </c>
      <c r="S208">
        <f>Table1[[#This Row],[TA 2 - Q1 Bonus]]+Table1[[#This Row],[TA 2 - Q2 Bonus]]+Table1[[#This Row],[TA 2 - Q4 Bonus]]</f>
        <v/>
      </c>
      <c r="T208">
        <f>(Table1[[#This Row],[TA 1 - Total Score (out of 35)]]+Table1[[#This Row],[TA 2 - Total Score (out of 35)]])/2</f>
        <v/>
      </c>
      <c r="U208">
        <f>(Table1[[#This Row],[TA 1 - Total Bonus (out of 13)]]+Table1[[#This Row],[TA 2 - Total Bonus (out of 13)]])/2</f>
        <v/>
      </c>
      <c r="V208">
        <f>Table1[[#This Row],[Average Questions]]/35*20+Table1[[#This Row],[Average Bonus]]/13*5</f>
        <v/>
      </c>
      <c r="W208" t="n">
        <v>10.5</v>
      </c>
      <c r="X208" t="n">
        <v>4</v>
      </c>
      <c r="Y208" t="inlineStr">
        <is>
          <t>The student successfully completed the data loading and preparation tasks, including transforms and DataLoader creation. However, they did not display sample images. The model loading and adaptation tasks were correctly implemented, including freezing the backbone and replacing the classifier head. The training and validation functions were correctly defined, with proper label fixing. The training setup and plotting tasks were also correctly implemented. The bonus task for Test Time Augmentation (TTA) was fully completed, with correct definitions and averaging of predictions.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208" t="n">
        <v>0</v>
      </c>
      <c r="AA208" t="n">
        <v>0</v>
      </c>
      <c r="AB208" t="inlineStr">
        <is>
          <t>The student's submission does not run correctly due to several issues. The dataset paths are hardcoded incorrectly, leading to errors in loading the data. The transforms applied to the images include normalization, which is not specified in the rubric. The CNN model does not follow the specified architecture, and the residual connection implementation is incorrect. Additionally, the training and validation functions do not follow the required structure, and the plotting functions are not correctly implemented.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08" t="n">
        <v>10</v>
      </c>
      <c r="AD208" t="inlineStr">
        <is>
          <t>The student's submission successfully builds a custom dataset class, creates DataLoaders, and displays sample images and masks. The model class is correctly defined with the specified encoder. The training and validation loops are implemented correctly, and the model is trained with the appropriate loss and optimizer. The training and validation losses are printed, and the loss curve is plotted. The visualizations of predictions vs. ground truth are also correctly implemented. However, the student did not follow the exact instructions for the dataset class and DataLoader creation, which resulted in a slight deviation from the optimal logic.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08" t="n">
        <v>0</v>
      </c>
      <c r="AF208" t="n">
        <v>0</v>
      </c>
      <c r="AG208" t="inlineStr">
        <is>
          <t>The student's implementation of the `ColorizationDataset` class is incomplete and contains errors. Specifically, the `rgb_to_grayscale` method does not correctly convert the RGB image to grayscale, which is a critical part of the task. As a result, the code does not run correctly and does not produce the expected output. Therefore, the student receives 0 points for this task.
Breakdown:
- Correctly implemented `ColorizationDataset` class: 0.0/?</t>
        </is>
      </c>
      <c r="AH208" t="n">
        <v>20.5</v>
      </c>
      <c r="AI208" t="n">
        <v>4</v>
      </c>
    </row>
    <row r="209">
      <c r="A209" t="n">
        <v>208</v>
      </c>
      <c r="B209" t="inlineStr">
        <is>
          <t>TA_4</t>
        </is>
      </c>
      <c r="C209" t="inlineStr">
        <is>
          <t>TA_14</t>
        </is>
      </c>
      <c r="D209" t="n">
        <v>12</v>
      </c>
      <c r="E209" t="n">
        <v>0</v>
      </c>
      <c r="F209" t="n">
        <v>9</v>
      </c>
      <c r="G209" t="n">
        <v>0</v>
      </c>
      <c r="H209" t="n">
        <v>12</v>
      </c>
      <c r="I209" t="n">
        <v>0</v>
      </c>
      <c r="J209" t="n">
        <v>12</v>
      </c>
      <c r="K209" t="n">
        <v>0</v>
      </c>
      <c r="L209" t="n">
        <v>9</v>
      </c>
      <c r="M209" t="n">
        <v>0</v>
      </c>
      <c r="N209" t="n">
        <v>12</v>
      </c>
      <c r="O209" t="n">
        <v>0</v>
      </c>
      <c r="P209">
        <f>Table1[[#This Row],[TA 1 - Q1 Score]]+Table1[[#This Row],[TA 1 - Q2 Score]]+Table1[[#This Row],[TA 1 - Q3 Score]]</f>
        <v/>
      </c>
      <c r="Q209">
        <f>Table1[[#This Row],[TA 1 - Q1 Bonus]]+Table1[[#This Row],[TA 1 - Q2 Bonus]]+Table1[[#This Row],[TA 1 - Q4 Bonus]]</f>
        <v/>
      </c>
      <c r="R209">
        <f>Table1[[#This Row],[TA 2 - Q1 Score]]+Table1[[#This Row],[TA 2 - Q2 Score]]+Table1[[#This Row],[TA 2 - Q3 Score]]</f>
        <v/>
      </c>
      <c r="S209">
        <f>Table1[[#This Row],[TA 2 - Q1 Bonus]]+Table1[[#This Row],[TA 2 - Q2 Bonus]]+Table1[[#This Row],[TA 2 - Q4 Bonus]]</f>
        <v/>
      </c>
      <c r="T209">
        <f>(Table1[[#This Row],[TA 1 - Total Score (out of 35)]]+Table1[[#This Row],[TA 2 - Total Score (out of 35)]])/2</f>
        <v/>
      </c>
      <c r="U209">
        <f>(Table1[[#This Row],[TA 1 - Total Bonus (out of 13)]]+Table1[[#This Row],[TA 2 - Total Bonus (out of 13)]])/2</f>
        <v/>
      </c>
      <c r="V209">
        <f>Table1[[#This Row],[Average Questions]]/35*20+Table1[[#This Row],[Average Bonus]]/13*5</f>
        <v/>
      </c>
      <c r="W209" t="n">
        <v>0</v>
      </c>
      <c r="X209" t="n">
        <v>0</v>
      </c>
      <c r="Y209" t="inlineStr">
        <is>
          <t>The student's submission does not run correctly due to several issues. The transforms are not correctly applied, the DataLoaders are not created properly, and the model is not correctly set up for training. Additionally, the training and validation loops contain errors, and the plots for training and validation losses and accuracies are missing. The bonus task for Test Time Augmentation is also not implemented correctly.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09" t="n">
        <v>0</v>
      </c>
      <c r="AA209" t="n">
        <v>0</v>
      </c>
      <c r="AB209" t="inlineStr">
        <is>
          <t>The student's submission does not run correctly due to several issues. The dataset class or ImageFolder is not correctly implemented, leading to incorrect data loading. The transforms applied do not match the rubric specifications, and the model definition deviates significantly from the required structure. Additionally, the training and validation functions contain errors, and the plotting of losses and accuracy is incorrect. The bonus task is not attempted.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09" t="n">
        <v>0</v>
      </c>
      <c r="AD209" t="inlineStr">
        <is>
          <t>The student's submission does not run correctly due to several issues. The dataset class is incomplete and does not follow the required structure. The model definition uses 'efficientnet-b1' instead of 'efficientnet-b0' as specified. The training and validation loops are present but do not run correctly due to missing or incorrect implementations. The loss and optimizer are defined but the training process does not complete successfully. The visualization of predictions is attempted but fails due to the overall issues in the code. Therefore, no points are awarded for any task as the code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09" t="n">
        <v>0</v>
      </c>
      <c r="AF209" t="n">
        <v>0</v>
      </c>
      <c r="AG209" t="inlineStr">
        <is>
          <t>The student's implementation of the `ColorizationDataset` class contains critical errors that prevent it from functioning correctly. The `rgb_to_grayscale` method does not correctly convert the RGB image to grayscale, and there are undefined variables and incorrect tensor operations. These issues result in the code not running correctly, and thus, no points are awarded for this task.
Breakdown:
- Correctly implemented `ColorizationDataset` class: 0.0/?</t>
        </is>
      </c>
      <c r="AH209" t="n">
        <v>0</v>
      </c>
      <c r="AI209" t="n">
        <v>0</v>
      </c>
    </row>
    <row r="210">
      <c r="A210" t="n">
        <v>209</v>
      </c>
      <c r="B210" t="inlineStr">
        <is>
          <t>TA_4</t>
        </is>
      </c>
      <c r="C210" t="inlineStr">
        <is>
          <t>TA_14</t>
        </is>
      </c>
      <c r="D210" t="n">
        <v>8</v>
      </c>
      <c r="E210" t="n">
        <v>0</v>
      </c>
      <c r="F210" t="n">
        <v>9</v>
      </c>
      <c r="G210" t="n">
        <v>0</v>
      </c>
      <c r="H210" t="n">
        <v>8</v>
      </c>
      <c r="I210" t="n">
        <v>0</v>
      </c>
      <c r="J210" t="n">
        <v>7.5</v>
      </c>
      <c r="K210" t="n">
        <v>0</v>
      </c>
      <c r="L210" t="n">
        <v>8.25</v>
      </c>
      <c r="M210" t="n">
        <v>0</v>
      </c>
      <c r="N210" t="n">
        <v>7.5</v>
      </c>
      <c r="O210" t="n">
        <v>0</v>
      </c>
      <c r="P210">
        <f>Table1[[#This Row],[TA 1 - Q1 Score]]+Table1[[#This Row],[TA 1 - Q2 Score]]+Table1[[#This Row],[TA 1 - Q3 Score]]</f>
        <v/>
      </c>
      <c r="Q210">
        <f>Table1[[#This Row],[TA 1 - Q1 Bonus]]+Table1[[#This Row],[TA 1 - Q2 Bonus]]+Table1[[#This Row],[TA 1 - Q4 Bonus]]</f>
        <v/>
      </c>
      <c r="R210">
        <f>Table1[[#This Row],[TA 2 - Q1 Score]]+Table1[[#This Row],[TA 2 - Q2 Score]]+Table1[[#This Row],[TA 2 - Q3 Score]]</f>
        <v/>
      </c>
      <c r="S210">
        <f>Table1[[#This Row],[TA 2 - Q1 Bonus]]+Table1[[#This Row],[TA 2 - Q2 Bonus]]+Table1[[#This Row],[TA 2 - Q4 Bonus]]</f>
        <v/>
      </c>
      <c r="T210">
        <f>(Table1[[#This Row],[TA 1 - Total Score (out of 35)]]+Table1[[#This Row],[TA 2 - Total Score (out of 35)]])/2</f>
        <v/>
      </c>
      <c r="U210">
        <f>(Table1[[#This Row],[TA 1 - Total Bonus (out of 13)]]+Table1[[#This Row],[TA 2 - Total Bonus (out of 13)]])/2</f>
        <v/>
      </c>
      <c r="V210">
        <f>Table1[[#This Row],[Average Questions]]/35*20+Table1[[#This Row],[Average Bonus]]/13*5</f>
        <v/>
      </c>
      <c r="W210" t="n">
        <v>0</v>
      </c>
      <c r="X210" t="n">
        <v>0</v>
      </c>
      <c r="Y210" t="inlineStr">
        <is>
          <t>The student's submission does not run correctly due to multiple issues. The training and validation loops are incorrect, and the model setup is flawed. The student did not fix the labels, which is a critical requirement. Additionally, the student did not implement the bonus task correctly. Therefore, the minimum defensible score is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10" t="n">
        <v>0</v>
      </c>
      <c r="AA210" t="n">
        <v>0</v>
      </c>
      <c r="AB210" t="inlineStr">
        <is>
          <t>The student's submission does not run correctly due to several issues. The dataset class is incorrectly implemented, leading to errors in loading the data. The transforms applied do not match the required specifications, and the model definition is incomplete and incorrect. The training and validation functions are present but do not run due to the previous errors. The bonus task is not attempted.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10" t="n">
        <v>0</v>
      </c>
      <c r="AD210" t="inlineStr">
        <is>
          <t>The student's submission has several critical issues. The dataset class is incorrectly implemented, leading to a failure in creating DataLoaders and displaying sample images and masks. The model class definition uses 'efficientnet-b0' instead of 'efficientnet-b1' as specified, and the loss function is incorrectly defined as BCEWithLogitsLoss instead of CrossEntropyLoss. The training and validation loops are present but do not run correctly due to the incorrect loss function and model definition. The visualization of predictions is attempted but fails due to the incorrect model and loss function. The student's code does not run end-to-end correctly, and the issues are severe enough to warrant a score of 0.0 for the base tasks and -50% for the tasks that deviate significantly from the rubric.
Breakdown:
- Build custom dataset class for images and masks: 0.0/?
- Create DataLoaders: 0.0/?
- Display sample images and masks: 0.0/?
- Define pretrained U-Net with efficientnet-b1 encoder: -50.0/?
- Training loop: 0.0/?
- Validation loop: 0.0/?
- Define loss and optimizer: -50.0/?
- Train the model: 0.0/?
- Print training and validation losses: 0.0/?
- Plot loss curve: 0.0/?
- Visualize predictions vs ground truth for multiple images: 0.0/?</t>
        </is>
      </c>
      <c r="AE210" t="n">
        <v>0</v>
      </c>
      <c r="AF210" t="n">
        <v>0</v>
      </c>
      <c r="AG210" t="inlineStr">
        <is>
          <t>No submission found.</t>
        </is>
      </c>
      <c r="AH210" t="n">
        <v>0</v>
      </c>
      <c r="AI210" t="n">
        <v>0</v>
      </c>
    </row>
    <row r="211">
      <c r="A211" t="n">
        <v>210</v>
      </c>
      <c r="B211" t="inlineStr">
        <is>
          <t>TA_4</t>
        </is>
      </c>
      <c r="C211" t="inlineStr">
        <is>
          <t>TA_14</t>
        </is>
      </c>
      <c r="D211" t="n">
        <v>11</v>
      </c>
      <c r="E211" t="n">
        <v>0</v>
      </c>
      <c r="F211" t="n">
        <v>11</v>
      </c>
      <c r="G211" t="n">
        <v>0</v>
      </c>
      <c r="H211" t="n">
        <v>9</v>
      </c>
      <c r="I211" t="n">
        <v>5</v>
      </c>
      <c r="J211" t="n">
        <v>11</v>
      </c>
      <c r="K211" t="n">
        <v>0</v>
      </c>
      <c r="L211" t="n">
        <v>10.5</v>
      </c>
      <c r="M211" t="n">
        <v>0</v>
      </c>
      <c r="N211" t="n">
        <v>8.5</v>
      </c>
      <c r="O211" t="n">
        <v>0</v>
      </c>
      <c r="P211">
        <f>Table1[[#This Row],[TA 1 - Q1 Score]]+Table1[[#This Row],[TA 1 - Q2 Score]]+Table1[[#This Row],[TA 1 - Q3 Score]]</f>
        <v/>
      </c>
      <c r="Q211">
        <f>Table1[[#This Row],[TA 1 - Q1 Bonus]]+Table1[[#This Row],[TA 1 - Q2 Bonus]]+Table1[[#This Row],[TA 1 - Q4 Bonus]]</f>
        <v/>
      </c>
      <c r="R211">
        <f>Table1[[#This Row],[TA 2 - Q1 Score]]+Table1[[#This Row],[TA 2 - Q2 Score]]+Table1[[#This Row],[TA 2 - Q3 Score]]</f>
        <v/>
      </c>
      <c r="S211">
        <f>Table1[[#This Row],[TA 2 - Q1 Bonus]]+Table1[[#This Row],[TA 2 - Q2 Bonus]]+Table1[[#This Row],[TA 2 - Q4 Bonus]]</f>
        <v/>
      </c>
      <c r="T211">
        <f>(Table1[[#This Row],[TA 1 - Total Score (out of 35)]]+Table1[[#This Row],[TA 2 - Total Score (out of 35)]])/2</f>
        <v/>
      </c>
      <c r="U211">
        <f>(Table1[[#This Row],[TA 1 - Total Bonus (out of 13)]]+Table1[[#This Row],[TA 2 - Total Bonus (out of 13)]])/2</f>
        <v/>
      </c>
      <c r="V211">
        <f>Table1[[#This Row],[Average Questions]]/35*20+Table1[[#This Row],[Average Bonus]]/13*5</f>
        <v/>
      </c>
      <c r="W211" t="n">
        <v>0</v>
      </c>
      <c r="X211" t="n">
        <v>0</v>
      </c>
      <c r="Y211" t="inlineStr">
        <is>
          <t>The student's submission is incomplete and does not run end-to-end. The code for displaying sample images and the bonus task for Test Time Augmentation (TTA) is missing. Additionally, the code for setting up the device, model, loss, and optimizer is incomplete, and there is no code for plotting training and validation accuracy. Therefore, the student receives 0 points for the base tasks and 0 points for the bonus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11" t="n">
        <v>0</v>
      </c>
      <c r="AA211" t="n">
        <v>0</v>
      </c>
      <c r="AB211" t="inlineStr">
        <is>
          <t>The student's submission does not run correctly due to several issues. The dataset loading and preparation tasks are incomplete and incorrect. The CNN model definition is flawed, and the training and validation functions are not correctly implemented.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11" t="n">
        <v>0</v>
      </c>
      <c r="AD211" t="inlineStr">
        <is>
          <t>The student's submission does not run end-to-end due to multiple issues. The dataset class is incorrectly defined, leading to errors in data loading. The model definition is incomplete, and the training and validation loops are not correctly implemented. Additionally, the visualization of predictions is missing. The submission disregards specific instructions and uses an incorrect approach, resulting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11" t="n">
        <v>0</v>
      </c>
      <c r="AF211" t="n">
        <v>0</v>
      </c>
      <c r="AG211" t="inlineStr">
        <is>
          <t>The student's implementation of the `ColorizationDataset` class is incomplete. The `__getitem__` method does not return the required (grayscale_image, color_image) tuple, and the `rgb_to_grayscale` method is not fully implemented. Additionally, the `pass` statements indicate that the student did not complete the implementation. Therefore, the task does not run correctly and receives 0 points.
Breakdown:
- Correctly implemented `ColorizationDataset` class: 0.0/5.0</t>
        </is>
      </c>
      <c r="AH211" t="n">
        <v>0</v>
      </c>
      <c r="AI211" t="n">
        <v>0</v>
      </c>
    </row>
    <row r="212">
      <c r="A212" t="n">
        <v>211</v>
      </c>
      <c r="B212" t="inlineStr">
        <is>
          <t>TA_4</t>
        </is>
      </c>
      <c r="C212" t="inlineStr">
        <is>
          <t>TA_14</t>
        </is>
      </c>
      <c r="D212" t="n">
        <v>6.5</v>
      </c>
      <c r="E212" t="n">
        <v>0</v>
      </c>
      <c r="F212" t="n">
        <v>8</v>
      </c>
      <c r="G212" t="n">
        <v>0</v>
      </c>
      <c r="H212" t="n">
        <v>11</v>
      </c>
      <c r="I212" t="n">
        <v>0</v>
      </c>
      <c r="J212" t="n">
        <v>6.5</v>
      </c>
      <c r="K212" t="n">
        <v>0</v>
      </c>
      <c r="L212" t="n">
        <v>8</v>
      </c>
      <c r="M212" t="n">
        <v>0</v>
      </c>
      <c r="N212" t="n">
        <v>11.5</v>
      </c>
      <c r="O212" t="n">
        <v>0</v>
      </c>
      <c r="P212">
        <f>Table1[[#This Row],[TA 1 - Q1 Score]]+Table1[[#This Row],[TA 1 - Q2 Score]]+Table1[[#This Row],[TA 1 - Q3 Score]]</f>
        <v/>
      </c>
      <c r="Q212">
        <f>Table1[[#This Row],[TA 1 - Q1 Bonus]]+Table1[[#This Row],[TA 1 - Q2 Bonus]]+Table1[[#This Row],[TA 1 - Q4 Bonus]]</f>
        <v/>
      </c>
      <c r="R212">
        <f>Table1[[#This Row],[TA 2 - Q1 Score]]+Table1[[#This Row],[TA 2 - Q2 Score]]+Table1[[#This Row],[TA 2 - Q3 Score]]</f>
        <v/>
      </c>
      <c r="S212">
        <f>Table1[[#This Row],[TA 2 - Q1 Bonus]]+Table1[[#This Row],[TA 2 - Q2 Bonus]]+Table1[[#This Row],[TA 2 - Q4 Bonus]]</f>
        <v/>
      </c>
      <c r="T212">
        <f>(Table1[[#This Row],[TA 1 - Total Score (out of 35)]]+Table1[[#This Row],[TA 2 - Total Score (out of 35)]])/2</f>
        <v/>
      </c>
      <c r="U212">
        <f>(Table1[[#This Row],[TA 1 - Total Bonus (out of 13)]]+Table1[[#This Row],[TA 2 - Total Bonus (out of 13)]])/2</f>
        <v/>
      </c>
      <c r="V212">
        <f>Table1[[#This Row],[Average Questions]]/35*20+Table1[[#This Row],[Average Bonus]]/13*5</f>
        <v/>
      </c>
      <c r="W212" t="n">
        <v>0</v>
      </c>
      <c r="X212" t="n">
        <v>0</v>
      </c>
      <c r="Y212" t="inlineStr">
        <is>
          <t>The student's submission does not run correctly due to several critical errors. The training and validation loops are incorrect, the model is not properly set up for training, and the plots for training and validation losses and accuracies are missing. Additionally, the student did not implement the bonus task for Test Time Augmentation.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12" t="n">
        <v>0</v>
      </c>
      <c r="AA212" t="n">
        <v>0</v>
      </c>
      <c r="AB212" t="inlineStr">
        <is>
          <t>The student's submission does not include any code for displaying sample images with labels, which is a critical part of Part 1. Additionally, the CNN model class does not follow the specified structure of having 5 convolutional layers. The training and validation functions are present but do not run correctly due to the incorrect model structure. The student did not attempt the bonus task. Therefore, the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12" t="n">
        <v>0</v>
      </c>
      <c r="AD212" t="inlineStr">
        <is>
          <t>The student's submission failed to run end-to-end due to multiple issues. The dataset class is incorrectly implemented, leading to errors in data loading. The model definition uses 'efficientnet-b1' instead of 'efficientnet-b0' as specified, which is a deviation from the rubric. The training and validation loops are present but do not run correctly due to the earlier issues. The loss and optimizer are defined but not used correctly in the training loop. The visualization of predictions is attempted but fails due to the previous errors. Overall, the submission does not meet the requirements of the rubric and results in a score of 0.0.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212" t="n">
        <v>0</v>
      </c>
      <c r="AF212" t="n">
        <v>0</v>
      </c>
      <c r="AG212" t="inlineStr">
        <is>
          <t>No submission found.</t>
        </is>
      </c>
      <c r="AH212" t="n">
        <v>0</v>
      </c>
      <c r="AI212" t="n">
        <v>0</v>
      </c>
    </row>
    <row r="213">
      <c r="A213" t="n">
        <v>212</v>
      </c>
      <c r="B213" t="inlineStr">
        <is>
          <t>TA_4</t>
        </is>
      </c>
      <c r="C213" t="inlineStr">
        <is>
          <t>TA_14</t>
        </is>
      </c>
      <c r="D213" t="n">
        <v>12</v>
      </c>
      <c r="E213" t="n">
        <v>4</v>
      </c>
      <c r="F213" t="n">
        <v>11</v>
      </c>
      <c r="G213" t="n">
        <v>0</v>
      </c>
      <c r="H213" t="n">
        <v>12</v>
      </c>
      <c r="I213" t="n">
        <v>0</v>
      </c>
      <c r="J213" t="n">
        <v>12</v>
      </c>
      <c r="K213" t="n">
        <v>4</v>
      </c>
      <c r="L213" t="n">
        <v>10.75</v>
      </c>
      <c r="M213" t="n">
        <v>4</v>
      </c>
      <c r="N213" t="n">
        <v>12</v>
      </c>
      <c r="O213" t="n">
        <v>0</v>
      </c>
      <c r="P213">
        <f>Table1[[#This Row],[TA 1 - Q1 Score]]+Table1[[#This Row],[TA 1 - Q2 Score]]+Table1[[#This Row],[TA 1 - Q3 Score]]</f>
        <v/>
      </c>
      <c r="Q213">
        <f>Table1[[#This Row],[TA 1 - Q1 Bonus]]+Table1[[#This Row],[TA 1 - Q2 Bonus]]+Table1[[#This Row],[TA 1 - Q4 Bonus]]</f>
        <v/>
      </c>
      <c r="R213">
        <f>Table1[[#This Row],[TA 2 - Q1 Score]]+Table1[[#This Row],[TA 2 - Q2 Score]]+Table1[[#This Row],[TA 2 - Q3 Score]]</f>
        <v/>
      </c>
      <c r="S213">
        <f>Table1[[#This Row],[TA 2 - Q1 Bonus]]+Table1[[#This Row],[TA 2 - Q2 Bonus]]+Table1[[#This Row],[TA 2 - Q4 Bonus]]</f>
        <v/>
      </c>
      <c r="T213">
        <f>(Table1[[#This Row],[TA 1 - Total Score (out of 35)]]+Table1[[#This Row],[TA 2 - Total Score (out of 35)]])/2</f>
        <v/>
      </c>
      <c r="U213">
        <f>(Table1[[#This Row],[TA 1 - Total Bonus (out of 13)]]+Table1[[#This Row],[TA 2 - Total Bonus (out of 13)]])/2</f>
        <v/>
      </c>
      <c r="V213">
        <f>Table1[[#This Row],[Average Questions]]/35*20+Table1[[#This Row],[Average Bonus]]/13*5</f>
        <v/>
      </c>
      <c r="W213" t="n">
        <v>0</v>
      </c>
      <c r="X213" t="n">
        <v>0</v>
      </c>
      <c r="Y213" t="inlineStr">
        <is>
          <t>The student's submission does not run end-to-end due to multiple issues. The code for creating DataLoaders is incomplete, and the training and validation loops contain errors that prevent the model from training correctly. Additionally, the bonus task for Test Time Augmentation (TTA) is not implemented correctly, leading to a score of 0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13" t="n">
        <v>0</v>
      </c>
      <c r="AA213" t="n">
        <v>0</v>
      </c>
      <c r="AB213" t="inlineStr">
        <is>
          <t>The student's submission contains several critical errors that prevent the code from running correctly. The dataset paths are incorrectly set, leading to the wrong datasets being loaded. The CNN model does not follow the specified architecture with 5 convolutional layers and batch normalization. The training and validation functions are incorrectly implemented, and the residual connection is not correctly defined. These issues result in a score of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13" t="n">
        <v>0</v>
      </c>
      <c r="AD213" t="inlineStr">
        <is>
          <t>The student's submission does not run correctly due to multiple issues. The dataset class has a typo in the mask path variable name ('masks_apths' instead of 'masks_paths'). The DataLoader creation uses a different approach than specified, which could lead to incorrect data splitting. The model definition uses 'efficientnet-b1' instead of 'efficientnet-b0' as specified. The training and validation loops are defined correctly but the code does not run end-to-end due to the aforementioned issues. The visualization of predictions also does not run correctly due to the overall failure of the code to execute properly.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13" t="n">
        <v>0</v>
      </c>
      <c r="AF213" t="n">
        <v>0</v>
      </c>
      <c r="AG213" t="inlineStr">
        <is>
          <t>No submission found.</t>
        </is>
      </c>
      <c r="AH213" t="n">
        <v>0</v>
      </c>
      <c r="AI213" t="n">
        <v>0</v>
      </c>
    </row>
    <row r="214">
      <c r="A214" t="n">
        <v>213</v>
      </c>
      <c r="B214" t="inlineStr">
        <is>
          <t>TA_4</t>
        </is>
      </c>
      <c r="C214" t="inlineStr">
        <is>
          <t>TA_14</t>
        </is>
      </c>
      <c r="D214" t="n">
        <v>12</v>
      </c>
      <c r="E214" t="n">
        <v>4</v>
      </c>
      <c r="F214" t="n">
        <v>11</v>
      </c>
      <c r="G214" t="n">
        <v>4</v>
      </c>
      <c r="H214" t="n">
        <v>12</v>
      </c>
      <c r="I214" t="n">
        <v>5</v>
      </c>
      <c r="J214" t="n">
        <v>12</v>
      </c>
      <c r="K214" t="n">
        <v>4</v>
      </c>
      <c r="L214" t="n">
        <v>11</v>
      </c>
      <c r="M214" t="n">
        <v>4</v>
      </c>
      <c r="N214" t="n">
        <v>12</v>
      </c>
      <c r="O214" t="n">
        <v>5</v>
      </c>
      <c r="P214">
        <f>Table1[[#This Row],[TA 1 - Q1 Score]]+Table1[[#This Row],[TA 1 - Q2 Score]]+Table1[[#This Row],[TA 1 - Q3 Score]]</f>
        <v/>
      </c>
      <c r="Q214">
        <f>Table1[[#This Row],[TA 1 - Q1 Bonus]]+Table1[[#This Row],[TA 1 - Q2 Bonus]]+Table1[[#This Row],[TA 1 - Q4 Bonus]]</f>
        <v/>
      </c>
      <c r="R214">
        <f>Table1[[#This Row],[TA 2 - Q1 Score]]+Table1[[#This Row],[TA 2 - Q2 Score]]+Table1[[#This Row],[TA 2 - Q3 Score]]</f>
        <v/>
      </c>
      <c r="S214">
        <f>Table1[[#This Row],[TA 2 - Q1 Bonus]]+Table1[[#This Row],[TA 2 - Q2 Bonus]]+Table1[[#This Row],[TA 2 - Q4 Bonus]]</f>
        <v/>
      </c>
      <c r="T214">
        <f>(Table1[[#This Row],[TA 1 - Total Score (out of 35)]]+Table1[[#This Row],[TA 2 - Total Score (out of 35)]])/2</f>
        <v/>
      </c>
      <c r="U214">
        <f>(Table1[[#This Row],[TA 1 - Total Bonus (out of 13)]]+Table1[[#This Row],[TA 2 - Total Bonus (out of 13)]])/2</f>
        <v/>
      </c>
      <c r="V214">
        <f>Table1[[#This Row],[Average Questions]]/35*20+Table1[[#This Row],[Average Bonus]]/13*5</f>
        <v/>
      </c>
      <c r="W214" t="n">
        <v>10</v>
      </c>
      <c r="X214" t="n">
        <v>4</v>
      </c>
      <c r="Y214" t="inlineStr">
        <is>
          <t>The student successfully completed all tasks in Parts 1, 2, 3, and 4, including the bonus task in Part 5. The code runs correctly and produces the expected output. The student correctly implemented the transforms, created DataLoaders, displayed sample images, loaded the pretrained model, froze the backbone, replaced the classifier head, defined the training and validation loops, set up the device, model, loss, and optimizer, trained the model, and plotted the training and validation losses and accuracies. The bonus task for Test Time Augmentation (TTA) was also correctly implemented, with the student defining three predictions and averaging them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214" t="n">
        <v>0</v>
      </c>
      <c r="AA214" t="n">
        <v>0</v>
      </c>
      <c r="AB214" t="inlineStr">
        <is>
          <t>The student's submission does not run correctly due to several issues. The transforms are incorrectly applied, leading to a mismatch in image sizes. The CNN model does not correctly implement the required number of convolutional layers and batch normalization. The training and validation functions are incomplete and contain errors. The residual connection implementation is incorrect and does not follow the specified requirements. Additionally, the plotting of losses and accuracy is flawed. Therefore, the student receives 0 points for all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214" t="n">
        <v>0</v>
      </c>
      <c r="AD214" t="inlineStr">
        <is>
          <t>The student's submission does not run correctly due to several issues. The dataset class and DataLoader creation have logical errors and do not follow the optimal approach. The model definition uses the correct encoder but the training and validation loops have syntax and logical errors. The training process does not complete successfully, and the visualization of predictions is incomplete. Therefore, no points are awarded for any task as the code does not run end-to-end correctly.
Breakdown:
- Build custom dataset class for images and masks: 0.0/2.0
- Create DataLoaders: 0.0/0.5
- Display sample images and masks: 0.0/0.5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214" t="n">
        <v>0</v>
      </c>
      <c r="AF214" t="n">
        <v>0</v>
      </c>
      <c r="AG214" t="inlineStr">
        <is>
          <t>The student's implementation of the `ColorizationDataset` class is incomplete. The `rgb_to_grayscale` method does not correctly handle the dimensions of the grayscale image, resulting in a shape of (H, W) instead of (1, H, W). Additionally, the `rgb_to_grayscale` method lacks the necessary comments and docstrings as per the reference solution. The code does not run correctly due to these issues, hence no points are awarded.
Breakdown:
- Correctly implemented `ColorizationDataset` class: 0.0/5.0</t>
        </is>
      </c>
      <c r="AH214" t="n">
        <v>10</v>
      </c>
      <c r="AI214" t="n">
        <v>4</v>
      </c>
    </row>
    <row r="215">
      <c r="A215" t="n">
        <v>214</v>
      </c>
      <c r="B215" t="inlineStr">
        <is>
          <t>TA_4</t>
        </is>
      </c>
      <c r="C215" t="inlineStr">
        <is>
          <t>TA_14</t>
        </is>
      </c>
      <c r="D215" t="n">
        <v>10.5</v>
      </c>
      <c r="E215" t="n">
        <v>0</v>
      </c>
      <c r="F215" t="n">
        <v>9</v>
      </c>
      <c r="G215" t="n">
        <v>0</v>
      </c>
      <c r="H215" t="n">
        <v>7.5</v>
      </c>
      <c r="I215" t="n">
        <v>0</v>
      </c>
      <c r="J215" t="n">
        <v>8.5</v>
      </c>
      <c r="K215" t="n">
        <v>0</v>
      </c>
      <c r="L215" t="n">
        <v>8.25</v>
      </c>
      <c r="M215" t="n">
        <v>0</v>
      </c>
      <c r="N215" t="n">
        <v>8</v>
      </c>
      <c r="O215" t="n">
        <v>0</v>
      </c>
      <c r="P215">
        <f>Table1[[#This Row],[TA 1 - Q1 Score]]+Table1[[#This Row],[TA 1 - Q2 Score]]+Table1[[#This Row],[TA 1 - Q3 Score]]</f>
        <v/>
      </c>
      <c r="Q215">
        <f>Table1[[#This Row],[TA 1 - Q1 Bonus]]+Table1[[#This Row],[TA 1 - Q2 Bonus]]+Table1[[#This Row],[TA 1 - Q4 Bonus]]</f>
        <v/>
      </c>
      <c r="R215">
        <f>Table1[[#This Row],[TA 2 - Q1 Score]]+Table1[[#This Row],[TA 2 - Q2 Score]]+Table1[[#This Row],[TA 2 - Q3 Score]]</f>
        <v/>
      </c>
      <c r="S215">
        <f>Table1[[#This Row],[TA 2 - Q1 Bonus]]+Table1[[#This Row],[TA 2 - Q2 Bonus]]+Table1[[#This Row],[TA 2 - Q4 Bonus]]</f>
        <v/>
      </c>
      <c r="T215">
        <f>(Table1[[#This Row],[TA 1 - Total Score (out of 35)]]+Table1[[#This Row],[TA 2 - Total Score (out of 35)]])/2</f>
        <v/>
      </c>
      <c r="U215">
        <f>(Table1[[#This Row],[TA 1 - Total Bonus (out of 13)]]+Table1[[#This Row],[TA 2 - Total Bonus (out of 13)]])/2</f>
        <v/>
      </c>
      <c r="V215">
        <f>Table1[[#This Row],[Average Questions]]/35*20+Table1[[#This Row],[Average Bonus]]/13*5</f>
        <v/>
      </c>
      <c r="W215" t="n">
        <v>0</v>
      </c>
      <c r="X215" t="n">
        <v>0</v>
      </c>
      <c r="Y215" t="inlineStr">
        <is>
          <t>The student's submission contains multiple errors and omissions that prevent the code from running correctly. The transforms are incomplete, the DataLoaders are not correctly created, and the model is not properly adapted for the task. Additionally, the training and validation loops are incorrect, and the plotting functions are missing. The bonus task for Test Time Augmentation is also not attempted.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15" t="n">
        <v>0</v>
      </c>
      <c r="AA215" t="n">
        <v>0</v>
      </c>
      <c r="AB215" t="inlineStr">
        <is>
          <t>The student's submission does not run correctly due to multiple issues. The dataset loading and transformation tasks are incomplete and incorrect. The CNN model definition is flawed, missing critical components like the output channels in the last convolutional layer and the batch normalization layers. The training and validation functions are incorrectly implemented, leading to runtime errors. The training setup and plotting functions are also incorrect, resulting in a non-functional submission.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15" t="n">
        <v>0</v>
      </c>
      <c r="AD215" t="inlineStr">
        <is>
          <t>The student's submission has several critical issues. The dataset class is incomplete and does not run correctly. The model class uses the wrong encoder (efficientnet-b0 instead of efficientnet-b1) and the wrong number of classes (5 instead of 8). The training and validation loops are incomplete and do not run correctly. The loss function and optimizer are incorrectly defined, leading to a failure in the training process. The visualization of predictions is also incorrect, using a binary classification approach instead of multi-class segmentation. These issues result in a score of 0.0 for the base tasks and -50% for the tasks that deviate from the rubric.
Breakdown:
- Build custom dataset class for images and masks: 0.0/?
- Create DataLoaders: 0.0/?
- Display sample images and masks: 0.0/?
- Define pretrained U-Net with efficientnet-b1 encoder: -50.0/?
- Training loop: 0.0/?
- Validation loop: 0.0/?
- Define loss and optimizer: -50.0/?
- Train the model: 0.0/?
- Print training and validation losses: 0.0/?
- Plot loss curve: 0.0/?
- Visualize predictions vs ground truth for multiple images: -50.0/?</t>
        </is>
      </c>
      <c r="AE215" t="n">
        <v>0</v>
      </c>
      <c r="AF215" t="n">
        <v>0</v>
      </c>
      <c r="AG215" t="inlineStr">
        <is>
          <t>No submission found.</t>
        </is>
      </c>
      <c r="AH215" t="n">
        <v>0</v>
      </c>
      <c r="AI215" t="n">
        <v>0</v>
      </c>
    </row>
    <row r="216">
      <c r="A216" t="n">
        <v>215</v>
      </c>
      <c r="B216" t="inlineStr">
        <is>
          <t>TA_4</t>
        </is>
      </c>
      <c r="C216" t="inlineStr">
        <is>
          <t>TA_14</t>
        </is>
      </c>
      <c r="D216" t="n">
        <v>5.5</v>
      </c>
      <c r="E216" t="n">
        <v>0</v>
      </c>
      <c r="F216" t="n">
        <v>9</v>
      </c>
      <c r="G216" t="n">
        <v>0</v>
      </c>
      <c r="H216" t="n">
        <v>10.5</v>
      </c>
      <c r="I216" t="n">
        <v>0</v>
      </c>
      <c r="J216" t="n">
        <v>4.75</v>
      </c>
      <c r="K216" t="n">
        <v>0</v>
      </c>
      <c r="L216" t="n">
        <v>8</v>
      </c>
      <c r="M216" t="n">
        <v>0</v>
      </c>
      <c r="N216" t="n">
        <v>11.25</v>
      </c>
      <c r="O216" t="n">
        <v>0</v>
      </c>
      <c r="P216">
        <f>Table1[[#This Row],[TA 1 - Q1 Score]]+Table1[[#This Row],[TA 1 - Q2 Score]]+Table1[[#This Row],[TA 1 - Q3 Score]]</f>
        <v/>
      </c>
      <c r="Q216">
        <f>Table1[[#This Row],[TA 1 - Q1 Bonus]]+Table1[[#This Row],[TA 1 - Q2 Bonus]]+Table1[[#This Row],[TA 1 - Q4 Bonus]]</f>
        <v/>
      </c>
      <c r="R216">
        <f>Table1[[#This Row],[TA 2 - Q1 Score]]+Table1[[#This Row],[TA 2 - Q2 Score]]+Table1[[#This Row],[TA 2 - Q3 Score]]</f>
        <v/>
      </c>
      <c r="S216">
        <f>Table1[[#This Row],[TA 2 - Q1 Bonus]]+Table1[[#This Row],[TA 2 - Q2 Bonus]]+Table1[[#This Row],[TA 2 - Q4 Bonus]]</f>
        <v/>
      </c>
      <c r="T216">
        <f>(Table1[[#This Row],[TA 1 - Total Score (out of 35)]]+Table1[[#This Row],[TA 2 - Total Score (out of 35)]])/2</f>
        <v/>
      </c>
      <c r="U216">
        <f>(Table1[[#This Row],[TA 1 - Total Bonus (out of 13)]]+Table1[[#This Row],[TA 2 - Total Bonus (out of 13)]])/2</f>
        <v/>
      </c>
      <c r="V216">
        <f>Table1[[#This Row],[Average Questions]]/35*20+Table1[[#This Row],[Average Bonus]]/13*5</f>
        <v/>
      </c>
      <c r="W216" t="n">
        <v>0</v>
      </c>
      <c r="X216" t="n">
        <v>0</v>
      </c>
      <c r="Y216" t="inlineStr">
        <is>
          <t>The student's submission has several critical issues. The transforms are correctly defined, but the DataLoaders are not created correctly, and sample images are not displayed as required. The model is loaded but not frozen correctly, and the classifier head is incorrectly replaced with 12 classes instead of 26. The training and validation loops are incorrect and do not fix the labels. The training process is not set up correctly, and the plots for losses and accuracies are missing. The bonus task for Test Time Augmentation is not attempted. The submission does not run end-to-end correctly, and the code deviates significantly from the rubric.
Breakdown:
- Task 1: Complete transforms (Resize, ToTensor, Normalize): 1.5/?
- Task 2: Create DataLoaders: 0.0/?
- Task 3: Display sample images: 0.0/?
- Task 1: Load pretrained EfficientNetV2-Small: 0.5/?
- Task 2: Freeze the backbone (feature extractor): 0.0/?
- Task 3: Replace classifier head for 26 classes: -50.0/?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16" t="n">
        <v>0</v>
      </c>
      <c r="AA216" t="n">
        <v>0</v>
      </c>
      <c r="AB216" t="inlineStr">
        <is>
          <t>The student's submission does not run correctly due to several issues. The transformations applied to the images do not match the rubric requirements, specifically the resizing to 32x32 pixels and the use of RandomRotation. Additionally, the CNN model does not follow the specified architecture with 5 convolutional layers and batch normalization. The training and validation functions are incorrectly implemented, leading to errors in the training process. As a result, the code does not produce the correct output and deviates significantly from the rubric, warranting a score of 0.0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16" t="n">
        <v>0</v>
      </c>
      <c r="AD216" t="inlineStr">
        <is>
          <t>The student's submission does not run correctly due to several issues. The dataset class is incomplete and does not correctly load images and masks. The DataLoader creation is flawed, leading to incorrect data splitting and loading. The model definition uses the wrong encoder ('efficientnet-b0' instead of 'efficientnet-b1') and an incorrect number of classes (5 instead of 8). The training and validation loops are present but will not run correctly due to the previous issues. The loss and optimizer are defined but will not function properly with the incorrect model. The training process and visualization of predictions are attempted but will fail due to the underlying issues. Therefore, no points are awarded for any task as the code does not run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16" t="n">
        <v>0</v>
      </c>
      <c r="AF216" t="n">
        <v>0</v>
      </c>
      <c r="AG216" t="inlineStr">
        <is>
          <t>No submission found.</t>
        </is>
      </c>
      <c r="AH216" t="n">
        <v>0</v>
      </c>
      <c r="AI216" t="n">
        <v>0</v>
      </c>
    </row>
    <row r="217">
      <c r="A217" t="n">
        <v>216</v>
      </c>
      <c r="B217" t="inlineStr">
        <is>
          <t>TA_4</t>
        </is>
      </c>
      <c r="C217" t="inlineStr">
        <is>
          <t>TA_14</t>
        </is>
      </c>
      <c r="D217" t="n">
        <v>6.5</v>
      </c>
      <c r="E217" t="n">
        <v>0</v>
      </c>
      <c r="F217" t="n">
        <v>9</v>
      </c>
      <c r="G217" t="n">
        <v>0</v>
      </c>
      <c r="H217" t="n">
        <v>7.5</v>
      </c>
      <c r="I217" t="n">
        <v>0</v>
      </c>
      <c r="J217" t="n">
        <v>5.75</v>
      </c>
      <c r="K217" t="n">
        <v>0</v>
      </c>
      <c r="L217" t="n">
        <v>7</v>
      </c>
      <c r="M217" t="n">
        <v>0</v>
      </c>
      <c r="N217" t="n">
        <v>7.5</v>
      </c>
      <c r="O217" t="n">
        <v>0</v>
      </c>
      <c r="P217">
        <f>Table1[[#This Row],[TA 1 - Q1 Score]]+Table1[[#This Row],[TA 1 - Q2 Score]]+Table1[[#This Row],[TA 1 - Q3 Score]]</f>
        <v/>
      </c>
      <c r="Q217">
        <f>Table1[[#This Row],[TA 1 - Q1 Bonus]]+Table1[[#This Row],[TA 1 - Q2 Bonus]]+Table1[[#This Row],[TA 1 - Q4 Bonus]]</f>
        <v/>
      </c>
      <c r="R217">
        <f>Table1[[#This Row],[TA 2 - Q1 Score]]+Table1[[#This Row],[TA 2 - Q2 Score]]+Table1[[#This Row],[TA 2 - Q3 Score]]</f>
        <v/>
      </c>
      <c r="S217">
        <f>Table1[[#This Row],[TA 2 - Q1 Bonus]]+Table1[[#This Row],[TA 2 - Q2 Bonus]]+Table1[[#This Row],[TA 2 - Q4 Bonus]]</f>
        <v/>
      </c>
      <c r="T217">
        <f>(Table1[[#This Row],[TA 1 - Total Score (out of 35)]]+Table1[[#This Row],[TA 2 - Total Score (out of 35)]])/2</f>
        <v/>
      </c>
      <c r="U217">
        <f>(Table1[[#This Row],[TA 1 - Total Bonus (out of 13)]]+Table1[[#This Row],[TA 2 - Total Bonus (out of 13)]])/2</f>
        <v/>
      </c>
      <c r="V217">
        <f>Table1[[#This Row],[Average Questions]]/35*20+Table1[[#This Row],[Average Bonus]]/13*5</f>
        <v/>
      </c>
      <c r="W217" t="n">
        <v>0</v>
      </c>
      <c r="X217" t="n">
        <v>0</v>
      </c>
      <c r="Y217" t="inlineStr">
        <is>
          <t>The student's submission does not run correctly due to several issues. The transforms are not correctly applied, the DataLoader for the test set is missing, and the model training and validation loops are incorrect. Additionally, the student did not fix the labels to be 0-indexed, which is a critical requirement. The bonus task for Test Time Augmentation is also missing.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17" t="n">
        <v>0</v>
      </c>
      <c r="AA217" t="n">
        <v>0</v>
      </c>
      <c r="AB217" t="inlineStr">
        <is>
          <t>The student's submission does not run correctly due to several issues. The dataset class is incorrectly implemented, leading to errors in data loading. The CNN model does not follow the specified architecture with 5 convolutional layers and batch normalization. The training and validation functions are incomplete and contain errors.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17" t="n">
        <v>0</v>
      </c>
      <c r="AD217" t="inlineStr">
        <is>
          <t>The student's submission has several critical issues. The dataset class is incomplete and does not correctly load images and masks. The model definition uses 'efficientnet-b1' instead of 'efficientnet-b0' as specified, and the number of classes is incorrectly set to 5 instead of 8. The training and validation loops are present but do not run correctly due to the incorrect model definition. The loss and optimizer are defined but not used correctly in the training loop. The visualization of predictions is attempted but fails due to the incorrect model setup. Overall, the submission does not meet the requirements and runs into errors, resulting in a score of 0.0.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217" t="n">
        <v>0</v>
      </c>
      <c r="AF217" t="n">
        <v>0</v>
      </c>
      <c r="AG217" t="inlineStr">
        <is>
          <t>No submission found.</t>
        </is>
      </c>
      <c r="AH217" t="n">
        <v>0</v>
      </c>
      <c r="AI217" t="n">
        <v>0</v>
      </c>
    </row>
    <row r="218">
      <c r="A218" t="n">
        <v>217</v>
      </c>
      <c r="B218" t="inlineStr">
        <is>
          <t>TA_4</t>
        </is>
      </c>
      <c r="C218" t="inlineStr">
        <is>
          <t>TA_14</t>
        </is>
      </c>
      <c r="D218" t="n">
        <v>11</v>
      </c>
      <c r="E218" t="n">
        <v>3</v>
      </c>
      <c r="F218" t="n">
        <v>9</v>
      </c>
      <c r="G218" t="n">
        <v>0</v>
      </c>
      <c r="H218" t="n">
        <v>12</v>
      </c>
      <c r="I218" t="n">
        <v>0</v>
      </c>
      <c r="J218" t="n">
        <v>11.5</v>
      </c>
      <c r="K218" t="n">
        <v>2</v>
      </c>
      <c r="L218" t="n">
        <v>11</v>
      </c>
      <c r="M218" t="n">
        <v>0</v>
      </c>
      <c r="N218" t="n">
        <v>12</v>
      </c>
      <c r="O218" t="n">
        <v>0</v>
      </c>
      <c r="P218">
        <f>Table1[[#This Row],[TA 1 - Q1 Score]]+Table1[[#This Row],[TA 1 - Q2 Score]]+Table1[[#This Row],[TA 1 - Q3 Score]]</f>
        <v/>
      </c>
      <c r="Q218">
        <f>Table1[[#This Row],[TA 1 - Q1 Bonus]]+Table1[[#This Row],[TA 1 - Q2 Bonus]]+Table1[[#This Row],[TA 1 - Q4 Bonus]]</f>
        <v/>
      </c>
      <c r="R218">
        <f>Table1[[#This Row],[TA 2 - Q1 Score]]+Table1[[#This Row],[TA 2 - Q2 Score]]+Table1[[#This Row],[TA 2 - Q3 Score]]</f>
        <v/>
      </c>
      <c r="S218">
        <f>Table1[[#This Row],[TA 2 - Q1 Bonus]]+Table1[[#This Row],[TA 2 - Q2 Bonus]]+Table1[[#This Row],[TA 2 - Q4 Bonus]]</f>
        <v/>
      </c>
      <c r="T218">
        <f>(Table1[[#This Row],[TA 1 - Total Score (out of 35)]]+Table1[[#This Row],[TA 2 - Total Score (out of 35)]])/2</f>
        <v/>
      </c>
      <c r="U218">
        <f>(Table1[[#This Row],[TA 1 - Total Bonus (out of 13)]]+Table1[[#This Row],[TA 2 - Total Bonus (out of 13)]])/2</f>
        <v/>
      </c>
      <c r="V218">
        <f>Table1[[#This Row],[Average Questions]]/35*20+Table1[[#This Row],[Average Bonus]]/13*5</f>
        <v/>
      </c>
      <c r="W218" t="n">
        <v>0</v>
      </c>
      <c r="X218" t="n">
        <v>0</v>
      </c>
      <c r="Y218" t="inlineStr">
        <is>
          <t>The student's submission does not run end-to-end due to multiple issues. The training and validation loops are incorrect, and the label fixing is not implemented correctly. Additionally, the bonus task for Test Time Augmentation (TTA) is not correctly implemented.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18" t="n">
        <v>0</v>
      </c>
      <c r="AA218" t="n">
        <v>0</v>
      </c>
      <c r="AB218" t="inlineStr">
        <is>
          <t>The student's submission does not run correctly due to multiple issues. The dataset paths are not correctly defined, and the transformations applied to the images do not match the required specifications. The CNN model does not have the correct number of convolutional layers, and batch normalization is not added correctly. The training and validation functions are incorrectly implemented, leading to errors in the training process. Additionally, the bonus task for residual connections is not attempted.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18" t="n">
        <v>0</v>
      </c>
      <c r="AD218" t="inlineStr">
        <is>
          <t>The student's submission does not run correctly due to several issues. The dataset class is incomplete and does not follow the required structure. The model definition uses 'efficientnet-b0' instead of 'efficientnet-b1' as specified. The training and validation loops are not correctly implemented, and the loss and optimizer are not defined properly. Additionally, the visualization of predictions is missing. Therefore, no points are awarded for any task as the code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18" t="n">
        <v>0</v>
      </c>
      <c r="AF218" t="n">
        <v>0</v>
      </c>
      <c r="AG218" t="inlineStr">
        <is>
          <t>No submission found.</t>
        </is>
      </c>
      <c r="AH218" t="n">
        <v>0</v>
      </c>
      <c r="AI218" t="n">
        <v>0</v>
      </c>
    </row>
    <row r="219">
      <c r="A219" t="n">
        <v>218</v>
      </c>
      <c r="B219" t="inlineStr">
        <is>
          <t>TA_4</t>
        </is>
      </c>
      <c r="C219" t="inlineStr">
        <is>
          <t>TA_14</t>
        </is>
      </c>
      <c r="D219" t="n">
        <v>12</v>
      </c>
      <c r="E219" t="n">
        <v>0</v>
      </c>
      <c r="F219" t="n">
        <v>9</v>
      </c>
      <c r="G219" t="n">
        <v>0</v>
      </c>
      <c r="H219" t="n">
        <v>11</v>
      </c>
      <c r="I219" t="n">
        <v>0</v>
      </c>
      <c r="J219" t="n">
        <v>11.25</v>
      </c>
      <c r="K219" t="n">
        <v>0</v>
      </c>
      <c r="L219" t="n">
        <v>7.5</v>
      </c>
      <c r="M219" t="n">
        <v>0</v>
      </c>
      <c r="N219" t="n">
        <v>10.5</v>
      </c>
      <c r="O219" t="n">
        <v>0</v>
      </c>
      <c r="P219">
        <f>Table1[[#This Row],[TA 1 - Q1 Score]]+Table1[[#This Row],[TA 1 - Q2 Score]]+Table1[[#This Row],[TA 1 - Q3 Score]]</f>
        <v/>
      </c>
      <c r="Q219">
        <f>Table1[[#This Row],[TA 1 - Q1 Bonus]]+Table1[[#This Row],[TA 1 - Q2 Bonus]]+Table1[[#This Row],[TA 1 - Q4 Bonus]]</f>
        <v/>
      </c>
      <c r="R219">
        <f>Table1[[#This Row],[TA 2 - Q1 Score]]+Table1[[#This Row],[TA 2 - Q2 Score]]+Table1[[#This Row],[TA 2 - Q3 Score]]</f>
        <v/>
      </c>
      <c r="S219">
        <f>Table1[[#This Row],[TA 2 - Q1 Bonus]]+Table1[[#This Row],[TA 2 - Q2 Bonus]]+Table1[[#This Row],[TA 2 - Q4 Bonus]]</f>
        <v/>
      </c>
      <c r="T219">
        <f>(Table1[[#This Row],[TA 1 - Total Score (out of 35)]]+Table1[[#This Row],[TA 2 - Total Score (out of 35)]])/2</f>
        <v/>
      </c>
      <c r="U219">
        <f>(Table1[[#This Row],[TA 1 - Total Bonus (out of 13)]]+Table1[[#This Row],[TA 2 - Total Bonus (out of 13)]])/2</f>
        <v/>
      </c>
      <c r="V219">
        <f>Table1[[#This Row],[Average Questions]]/35*20+Table1[[#This Row],[Average Bonus]]/13*5</f>
        <v/>
      </c>
      <c r="W219" t="n">
        <v>0</v>
      </c>
      <c r="X219" t="n">
        <v>0</v>
      </c>
      <c r="Y219" t="inlineStr">
        <is>
          <t>The student's submission does not run correctly due to several issues. The DataLoader creation is incorrect as it uses shuffle=True for the test set, which is not allowed. The training and validation functions have logical errors, such as using torch.softmax instead of directly using the model outputs. The model training process does not correctly handle the device setup, and the plotting functions are missing. Additionally, the student did not implement the bonus task for Test Time Augmentation.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19" t="n">
        <v>0</v>
      </c>
      <c r="AA219" t="n">
        <v>0</v>
      </c>
      <c r="AB219" t="inlineStr">
        <is>
          <t>The student's submission does not run correctly due to multiple issues. The dataset class is incorrectly implemented, leading to errors in loading the data. The transforms are incorrectly applied, and the model definition is incomplete and incorrect. The training and validation functions are incomplete and do not run correctly.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19" t="n">
        <v>0</v>
      </c>
      <c r="AD219" t="inlineStr">
        <is>
          <t>The student's submission does not run correctly due to multiple issues. The dataset class is incorrectly defined, leading to errors in data loading. The model definition uses the wrong encoder and number of classes, which deviates from the rubric. The training and validation loops are present but do not run correctly due to the incorrect dataset class. The loss and optimizer are defined but the training process fails due to the dataset issues. The visualization of predictions is attempted but fails because the model training did not complete successfully.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19" t="n">
        <v>0</v>
      </c>
      <c r="AF219" t="n">
        <v>0</v>
      </c>
      <c r="AG219" t="inlineStr">
        <is>
          <t>No submission found.</t>
        </is>
      </c>
      <c r="AH219" t="n">
        <v>0</v>
      </c>
      <c r="AI219" t="n">
        <v>0</v>
      </c>
    </row>
    <row r="220">
      <c r="A220" t="n">
        <v>219</v>
      </c>
      <c r="B220" t="inlineStr">
        <is>
          <t>TA_4</t>
        </is>
      </c>
      <c r="C220" t="inlineStr">
        <is>
          <t>TA_14</t>
        </is>
      </c>
      <c r="D220" t="n">
        <v>12</v>
      </c>
      <c r="E220" t="n">
        <v>4</v>
      </c>
      <c r="F220" t="n">
        <v>11</v>
      </c>
      <c r="G220" t="n">
        <v>4</v>
      </c>
      <c r="H220" t="n">
        <v>12</v>
      </c>
      <c r="I220" t="n">
        <v>5</v>
      </c>
      <c r="J220" t="n">
        <v>12</v>
      </c>
      <c r="K220" t="n">
        <v>4</v>
      </c>
      <c r="L220" t="n">
        <v>11</v>
      </c>
      <c r="M220" t="n">
        <v>4</v>
      </c>
      <c r="N220" t="n">
        <v>11.5</v>
      </c>
      <c r="O220" t="n">
        <v>5</v>
      </c>
      <c r="P220">
        <f>Table1[[#This Row],[TA 1 - Q1 Score]]+Table1[[#This Row],[TA 1 - Q2 Score]]+Table1[[#This Row],[TA 1 - Q3 Score]]</f>
        <v/>
      </c>
      <c r="Q220">
        <f>Table1[[#This Row],[TA 1 - Q1 Bonus]]+Table1[[#This Row],[TA 1 - Q2 Bonus]]+Table1[[#This Row],[TA 1 - Q4 Bonus]]</f>
        <v/>
      </c>
      <c r="R220">
        <f>Table1[[#This Row],[TA 2 - Q1 Score]]+Table1[[#This Row],[TA 2 - Q2 Score]]+Table1[[#This Row],[TA 2 - Q3 Score]]</f>
        <v/>
      </c>
      <c r="S220">
        <f>Table1[[#This Row],[TA 2 - Q1 Bonus]]+Table1[[#This Row],[TA 2 - Q2 Bonus]]+Table1[[#This Row],[TA 2 - Q4 Bonus]]</f>
        <v/>
      </c>
      <c r="T220">
        <f>(Table1[[#This Row],[TA 1 - Total Score (out of 35)]]+Table1[[#This Row],[TA 2 - Total Score (out of 35)]])/2</f>
        <v/>
      </c>
      <c r="U220">
        <f>(Table1[[#This Row],[TA 1 - Total Bonus (out of 13)]]+Table1[[#This Row],[TA 2 - Total Bonus (out of 13)]])/2</f>
        <v/>
      </c>
      <c r="V220">
        <f>Table1[[#This Row],[Average Questions]]/35*20+Table1[[#This Row],[Average Bonus]]/13*5</f>
        <v/>
      </c>
      <c r="W220" t="n">
        <v>0</v>
      </c>
      <c r="X220" t="n">
        <v>0</v>
      </c>
      <c r="Y220" t="inlineStr">
        <is>
          <t>The student's submission does not run correctly due to several issues. The transforms are not correctly defined, the DataLoaders are not created properly, and the model is not correctly set up for training. Additionally, the training and validation loops are incorrect, and the plots for losses and accuracies are not generated correctly. The bonus task for Test Time Augmentation is also not implemented correctly.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20" t="n">
        <v>0</v>
      </c>
      <c r="AA220" t="n">
        <v>0</v>
      </c>
      <c r="AB220" t="inlineStr">
        <is>
          <t>The student's submission does not run correctly due to multiple issues. The dataset paths are hardcoded incorrectly, leading to errors in loading the data. The transforms applied to the images do not match the required specifications, and the model architecture deviates from the rubric. Additionally, the training and validation functions contain logical errors, and the residual connection implementation is incorrect.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1: Defined residual connection correctly: 0.0/3.0
- Bonus Task 2: Retrain + Plot losses and accuracy: 0.0/1.0</t>
        </is>
      </c>
      <c r="AC220" t="n">
        <v>0</v>
      </c>
      <c r="AD220" t="inlineStr">
        <is>
          <t>The student's submission does not run correctly due to several issues. The dataset class is incorrectly implemented, leading to errors in data loading. The model definition uses 'efficientnet-b1' instead of 'efficientnet-b0' as specified. The training and validation loops are incorrectly implemented, and the loss and optimizer are not defined correctly. Additionally, the visualization of predictions is flawed. Therefore, no points are awarded for any task as the code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20" t="n">
        <v>0</v>
      </c>
      <c r="AF220" t="n">
        <v>0</v>
      </c>
      <c r="AG220" t="inlineStr">
        <is>
          <t>The student's implementation of the `ColorizationDataset` class contains critical errors in the `rgb_to_grayscale` method and the `__getitem__` method. The grayscale conversion formula is incorrectly applied, and the returned shapes for the grayscale and color images are incorrect. These issues prevent the code from running correctly, resulting in a score of 0.0 for the task.
Breakdown:
- Correctly implemented `ColorizationDataset` class: 0.0/?</t>
        </is>
      </c>
      <c r="AH220" t="n">
        <v>0</v>
      </c>
      <c r="AI220" t="n">
        <v>0</v>
      </c>
    </row>
    <row r="221">
      <c r="A221" t="n">
        <v>220</v>
      </c>
      <c r="B221" t="inlineStr">
        <is>
          <t>TA_4</t>
        </is>
      </c>
      <c r="C221" t="inlineStr">
        <is>
          <t>TA_14</t>
        </is>
      </c>
      <c r="D221" t="n">
        <v>6.5</v>
      </c>
      <c r="E221" t="n">
        <v>4</v>
      </c>
      <c r="F221" t="n">
        <v>0</v>
      </c>
      <c r="G221" t="n">
        <v>0</v>
      </c>
      <c r="H221" t="n">
        <v>0</v>
      </c>
      <c r="I221" t="n">
        <v>0</v>
      </c>
      <c r="J221" t="n">
        <v>4.75</v>
      </c>
      <c r="K221" t="n">
        <v>4</v>
      </c>
      <c r="L221" t="n">
        <v>0</v>
      </c>
      <c r="M221" t="n">
        <v>0</v>
      </c>
      <c r="N221" t="n">
        <v>0</v>
      </c>
      <c r="O221" t="n">
        <v>0</v>
      </c>
      <c r="P221">
        <f>Table1[[#This Row],[TA 1 - Q1 Score]]+Table1[[#This Row],[TA 1 - Q2 Score]]+Table1[[#This Row],[TA 1 - Q3 Score]]</f>
        <v/>
      </c>
      <c r="Q221">
        <f>Table1[[#This Row],[TA 1 - Q1 Bonus]]+Table1[[#This Row],[TA 1 - Q2 Bonus]]+Table1[[#This Row],[TA 1 - Q4 Bonus]]</f>
        <v/>
      </c>
      <c r="R221">
        <f>Table1[[#This Row],[TA 2 - Q1 Score]]+Table1[[#This Row],[TA 2 - Q2 Score]]+Table1[[#This Row],[TA 2 - Q3 Score]]</f>
        <v/>
      </c>
      <c r="S221">
        <f>Table1[[#This Row],[TA 2 - Q1 Bonus]]+Table1[[#This Row],[TA 2 - Q2 Bonus]]+Table1[[#This Row],[TA 2 - Q4 Bonus]]</f>
        <v/>
      </c>
      <c r="T221">
        <f>(Table1[[#This Row],[TA 1 - Total Score (out of 35)]]+Table1[[#This Row],[TA 2 - Total Score (out of 35)]])/2</f>
        <v/>
      </c>
      <c r="U221">
        <f>(Table1[[#This Row],[TA 1 - Total Bonus (out of 13)]]+Table1[[#This Row],[TA 2 - Total Bonus (out of 13)]])/2</f>
        <v/>
      </c>
      <c r="V221">
        <f>Table1[[#This Row],[Average Questions]]/35*20+Table1[[#This Row],[Average Bonus]]/13*5</f>
        <v/>
      </c>
      <c r="W221" t="n">
        <v>0</v>
      </c>
      <c r="X221" t="n">
        <v>0</v>
      </c>
      <c r="Y221" t="inlineStr">
        <is>
          <t>The student's submission contains several critical errors that prevent the code from running correctly. The transforms are not correctly defined, the DataLoaders are not created properly, and the model is not correctly loaded or adapted. Additionally, the training and validation functions are incomplete and contain errors. The bonus task for Test Time Augmentation is also incomplete and does not run correctly. Therefore, the student receives 0 points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21" t="n">
        <v>0</v>
      </c>
      <c r="AA221" t="n">
        <v>0</v>
      </c>
      <c r="AB221" t="inlineStr">
        <is>
          <t>The student did not write any code for any of the tasks in the exam. Therefore, no points can be awarded for any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221" t="n">
        <v>0</v>
      </c>
      <c r="AD221" t="inlineStr">
        <is>
          <t>The student did not complete any of the tasks. The submission contains only the dataset download code and the remap_mask function, with placeholders for the rest of the tasks.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21" t="n">
        <v>0</v>
      </c>
      <c r="AF221" t="n">
        <v>0</v>
      </c>
      <c r="AG221" t="inlineStr">
        <is>
          <t>No submission found.</t>
        </is>
      </c>
      <c r="AH221" t="n">
        <v>0</v>
      </c>
      <c r="AI221" t="n">
        <v>0</v>
      </c>
    </row>
    <row r="222">
      <c r="A222" t="n">
        <v>221</v>
      </c>
      <c r="B222" t="inlineStr">
        <is>
          <t>TA_4</t>
        </is>
      </c>
      <c r="C222" t="inlineStr">
        <is>
          <t>TA_14</t>
        </is>
      </c>
      <c r="D222" t="n">
        <v>12</v>
      </c>
      <c r="E222" t="n">
        <v>4</v>
      </c>
      <c r="F222" t="n">
        <v>9</v>
      </c>
      <c r="G222" t="n">
        <v>0</v>
      </c>
      <c r="H222" t="n">
        <v>10</v>
      </c>
      <c r="I222" t="n">
        <v>0</v>
      </c>
      <c r="J222" t="n">
        <v>11</v>
      </c>
      <c r="K222" t="n">
        <v>4</v>
      </c>
      <c r="L222" t="n">
        <v>8.5</v>
      </c>
      <c r="M222" t="n">
        <v>0</v>
      </c>
      <c r="N222" t="n">
        <v>8.25</v>
      </c>
      <c r="O222" t="n">
        <v>0</v>
      </c>
      <c r="P222">
        <f>Table1[[#This Row],[TA 1 - Q1 Score]]+Table1[[#This Row],[TA 1 - Q2 Score]]+Table1[[#This Row],[TA 1 - Q3 Score]]</f>
        <v/>
      </c>
      <c r="Q222">
        <f>Table1[[#This Row],[TA 1 - Q1 Bonus]]+Table1[[#This Row],[TA 1 - Q2 Bonus]]+Table1[[#This Row],[TA 1 - Q4 Bonus]]</f>
        <v/>
      </c>
      <c r="R222">
        <f>Table1[[#This Row],[TA 2 - Q1 Score]]+Table1[[#This Row],[TA 2 - Q2 Score]]+Table1[[#This Row],[TA 2 - Q3 Score]]</f>
        <v/>
      </c>
      <c r="S222">
        <f>Table1[[#This Row],[TA 2 - Q1 Bonus]]+Table1[[#This Row],[TA 2 - Q2 Bonus]]+Table1[[#This Row],[TA 2 - Q4 Bonus]]</f>
        <v/>
      </c>
      <c r="T222">
        <f>(Table1[[#This Row],[TA 1 - Total Score (out of 35)]]+Table1[[#This Row],[TA 2 - Total Score (out of 35)]])/2</f>
        <v/>
      </c>
      <c r="U222">
        <f>(Table1[[#This Row],[TA 1 - Total Bonus (out of 13)]]+Table1[[#This Row],[TA 2 - Total Bonus (out of 13)]])/2</f>
        <v/>
      </c>
      <c r="V222">
        <f>Table1[[#This Row],[Average Questions]]/35*20+Table1[[#This Row],[Average Bonus]]/13*5</f>
        <v/>
      </c>
      <c r="W222" t="n">
        <v>0</v>
      </c>
      <c r="X222" t="n">
        <v>0</v>
      </c>
      <c r="Y222" t="inlineStr">
        <is>
          <t>The student's submission does not run end-to-end due to multiple issues. The DataLoader creation is incorrect as it shuffles the test set, which is not allowed. The model loading and freezing are incorrect, leading to a non-functional training loop. The training and validation functions have logical errors, and the plotting functions are missing. The bonus task for Test Time Augmentation (TTA) is attempted but contains errors in the implementation. Overall, the submission does not meet the requirements for any of the tasks, resulting in a score of 0.0 for both the base tasks and the bonus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22" t="n">
        <v>0</v>
      </c>
      <c r="AA222" t="n">
        <v>0</v>
      </c>
      <c r="AB222" t="inlineStr">
        <is>
          <t>The student's submission does not run correctly due to several issues. The dataset class is incorrectly implemented, leading to errors in loading the data. The transforms applied do not match the required specifications, and the model architecture deviates from the rubric. Additionally, the training and validation functions contain logical errors, and the plotting code is incomplete.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22" t="n">
        <v>0</v>
      </c>
      <c r="AD222" t="inlineStr">
        <is>
          <t>The student's submission does not run end-to-end due to multiple issues. The dataset class is incorrectly implemented, leading to errors in data loading. The model definition uses the wrong number of classes and the incorrect loss function is used, which prevents the training loop from running correctly. Additionally, the visualization of predictions is flawed due to incorrect handling of the model's output. These issues collectively result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22" t="n">
        <v>0</v>
      </c>
      <c r="AF222" t="n">
        <v>0</v>
      </c>
      <c r="AG222" t="inlineStr">
        <is>
          <t>No submission found.</t>
        </is>
      </c>
      <c r="AH222" t="n">
        <v>0</v>
      </c>
      <c r="AI222" t="n">
        <v>0</v>
      </c>
    </row>
    <row r="223">
      <c r="A223" t="n">
        <v>222</v>
      </c>
      <c r="B223" t="inlineStr">
        <is>
          <t>TA_4</t>
        </is>
      </c>
      <c r="C223" t="inlineStr">
        <is>
          <t>TA_14</t>
        </is>
      </c>
      <c r="D223" t="n">
        <v>7</v>
      </c>
      <c r="E223" t="n">
        <v>4</v>
      </c>
      <c r="F223" t="n">
        <v>11</v>
      </c>
      <c r="G223" t="n">
        <v>0</v>
      </c>
      <c r="H223" t="n">
        <v>10</v>
      </c>
      <c r="I223" t="n">
        <v>0</v>
      </c>
      <c r="J223" t="n">
        <v>7</v>
      </c>
      <c r="K223" t="n">
        <v>0</v>
      </c>
      <c r="L223" t="n">
        <v>8.25</v>
      </c>
      <c r="M223" t="n">
        <v>0</v>
      </c>
      <c r="N223" t="n">
        <v>7.5</v>
      </c>
      <c r="O223" t="n">
        <v>0</v>
      </c>
      <c r="P223">
        <f>Table1[[#This Row],[TA 1 - Q1 Score]]+Table1[[#This Row],[TA 1 - Q2 Score]]+Table1[[#This Row],[TA 1 - Q3 Score]]</f>
        <v/>
      </c>
      <c r="Q223">
        <f>Table1[[#This Row],[TA 1 - Q1 Bonus]]+Table1[[#This Row],[TA 1 - Q2 Bonus]]+Table1[[#This Row],[TA 1 - Q4 Bonus]]</f>
        <v/>
      </c>
      <c r="R223">
        <f>Table1[[#This Row],[TA 2 - Q1 Score]]+Table1[[#This Row],[TA 2 - Q2 Score]]+Table1[[#This Row],[TA 2 - Q3 Score]]</f>
        <v/>
      </c>
      <c r="S223">
        <f>Table1[[#This Row],[TA 2 - Q1 Bonus]]+Table1[[#This Row],[TA 2 - Q2 Bonus]]+Table1[[#This Row],[TA 2 - Q4 Bonus]]</f>
        <v/>
      </c>
      <c r="T223">
        <f>(Table1[[#This Row],[TA 1 - Total Score (out of 35)]]+Table1[[#This Row],[TA 2 - Total Score (out of 35)]])/2</f>
        <v/>
      </c>
      <c r="U223">
        <f>(Table1[[#This Row],[TA 1 - Total Bonus (out of 13)]]+Table1[[#This Row],[TA 2 - Total Bonus (out of 13)]])/2</f>
        <v/>
      </c>
      <c r="V223">
        <f>Table1[[#This Row],[Average Questions]]/35*20+Table1[[#This Row],[Average Bonus]]/13*5</f>
        <v/>
      </c>
      <c r="W223" t="n">
        <v>0</v>
      </c>
      <c r="X223" t="n">
        <v>0</v>
      </c>
      <c r="Y223" t="inlineStr">
        <is>
          <t>The student's submission contains several critical errors that prevent the code from running correctly. The transforms include an incorrect custom module that subtracts one from the image tensor, which is not part of the required transforms. The DataLoader creation and image display tasks are incomplete and do not follow the required structure. The model loading and adaptation tasks are partially correct but contain errors in freezing the backbone and replacing the classifier head. The training and validation functions are incorrectly implemented, and the training loop does not run correctly. The bonus task for Test Time Augmentation is also incorrect and does not follow the required steps.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23" t="n">
        <v>0</v>
      </c>
      <c r="AA223" t="n">
        <v>0</v>
      </c>
      <c r="AB223" t="inlineStr">
        <is>
          <t>The student's submission does not run correctly due to several issues. The dataset class or ImageFolder is incorrectly implemented, leading to errors in loading the data. The transforms applied do not match the required specifications, and the CNN model class does not follow the required structure with the correct number of convolutional layers and batch normalization. The training and validation functions are incorrectly implemented, and the training process does not set up the device, model, loss, and optimizer correctly. Additionally, the student did not attempt the bonus task. Therefore, the minimum defensible score for each task is 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23" t="n">
        <v>0</v>
      </c>
      <c r="AD223" t="inlineStr">
        <is>
          <t>The student's submission contains multiple critical errors that prevent the code from running correctly. The dataset class is incorrectly implemented, leading to errors in loading images and masks. The model definition uses the wrong number of classes and the incorrect encoder. The training and validation loops are flawed, and the loss and optimizer are not correctly defined. Additionally, the visualization of predictions is incorrect. Due to these issues, the code does not run end-to-end, and thus, no partial credit can be awarded.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23" t="n">
        <v>0</v>
      </c>
      <c r="AF223" t="n">
        <v>0</v>
      </c>
      <c r="AG223" t="inlineStr">
        <is>
          <t>The student did not implement any of the required methods in the `ColorizationDataset` class. The `__init__`, `__len__`, `rgb_to_grayscale`, and `__getitem__` methods are all left as 'TO DO' placeholders, indicating that no code was written for these tasks. Additionally, the visualization code will not run correctly because the dataset methods are not implemented. Therefore, the student receives 0 points for this task.
Breakdown:
- Correctly implemented `ColorizationDataset` class: 0.0/5.0</t>
        </is>
      </c>
      <c r="AH223" t="n">
        <v>0</v>
      </c>
      <c r="AI223" t="n">
        <v>0</v>
      </c>
    </row>
    <row r="224">
      <c r="A224" t="n">
        <v>223</v>
      </c>
      <c r="B224" t="inlineStr">
        <is>
          <t>TA_4</t>
        </is>
      </c>
      <c r="C224" t="inlineStr">
        <is>
          <t>TA_14</t>
        </is>
      </c>
      <c r="D224" t="n">
        <v>5.5</v>
      </c>
      <c r="E224" t="n">
        <v>0</v>
      </c>
      <c r="F224" t="n">
        <v>8</v>
      </c>
      <c r="G224" t="n">
        <v>0</v>
      </c>
      <c r="H224" t="n">
        <v>6</v>
      </c>
      <c r="I224" t="n">
        <v>0</v>
      </c>
      <c r="J224" t="n">
        <v>6.75</v>
      </c>
      <c r="K224" t="n">
        <v>0</v>
      </c>
      <c r="L224" t="n">
        <v>5.75</v>
      </c>
      <c r="M224" t="n">
        <v>0</v>
      </c>
      <c r="N224" t="n">
        <v>5.25</v>
      </c>
      <c r="O224" t="n">
        <v>0</v>
      </c>
      <c r="P224">
        <f>Table1[[#This Row],[TA 1 - Q1 Score]]+Table1[[#This Row],[TA 1 - Q2 Score]]+Table1[[#This Row],[TA 1 - Q3 Score]]</f>
        <v/>
      </c>
      <c r="Q224">
        <f>Table1[[#This Row],[TA 1 - Q1 Bonus]]+Table1[[#This Row],[TA 1 - Q2 Bonus]]+Table1[[#This Row],[TA 1 - Q4 Bonus]]</f>
        <v/>
      </c>
      <c r="R224">
        <f>Table1[[#This Row],[TA 2 - Q1 Score]]+Table1[[#This Row],[TA 2 - Q2 Score]]+Table1[[#This Row],[TA 2 - Q3 Score]]</f>
        <v/>
      </c>
      <c r="S224">
        <f>Table1[[#This Row],[TA 2 - Q1 Bonus]]+Table1[[#This Row],[TA 2 - Q2 Bonus]]+Table1[[#This Row],[TA 2 - Q4 Bonus]]</f>
        <v/>
      </c>
      <c r="T224">
        <f>(Table1[[#This Row],[TA 1 - Total Score (out of 35)]]+Table1[[#This Row],[TA 2 - Total Score (out of 35)]])/2</f>
        <v/>
      </c>
      <c r="U224">
        <f>(Table1[[#This Row],[TA 1 - Total Bonus (out of 13)]]+Table1[[#This Row],[TA 2 - Total Bonus (out of 13)]])/2</f>
        <v/>
      </c>
      <c r="V224">
        <f>Table1[[#This Row],[Average Questions]]/35*20+Table1[[#This Row],[Average Bonus]]/13*5</f>
        <v/>
      </c>
      <c r="W224" t="n">
        <v>0</v>
      </c>
      <c r="X224" t="n">
        <v>0</v>
      </c>
      <c r="Y224" t="inlineStr">
        <is>
          <t>The student's submission does not complete the required tasks. The transforms are incomplete, the DataLoaders are not correctly created, and the model training and validation loops are incorrect. The student did not fix the labels, and the training and validation plots are missing. Additionally, the bonus task for Test Time Augmentation is not attempted. Therefore, the student receives 0 points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24" t="n">
        <v>0</v>
      </c>
      <c r="AA224" t="n">
        <v>0</v>
      </c>
      <c r="AB224" t="inlineStr">
        <is>
          <t>The student's submission does not run end-to-end due to multiple issues. The dataset class is incorrectly implemented, leading to errors in data loading. The transforms are applied incorrectly, and the model definition deviates from the required specifications. The training and validation functions are incomplete and contain logical errors.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24" t="n">
        <v>0</v>
      </c>
      <c r="AD224" t="inlineStr">
        <is>
          <t>The student's submission does not run correctly due to multiple issues. The dataset class is incorrectly implemented, using a CSV file that is not provided or mentioned in the instructions. The DataLoader creation is flawed, and the model definition uses the wrong number of classes for the segmentation task. The training and validation loops are incorrectly implemented, and the loss function and optimizer are not suitable for the task. Additionally, there is no code for visualizing predictions.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24" t="n">
        <v>0</v>
      </c>
      <c r="AF224" t="n">
        <v>0</v>
      </c>
      <c r="AG224" t="inlineStr">
        <is>
          <t>No submission found.</t>
        </is>
      </c>
      <c r="AH224" t="n">
        <v>0</v>
      </c>
      <c r="AI224" t="n">
        <v>0</v>
      </c>
    </row>
    <row r="225">
      <c r="A225" t="n">
        <v>224</v>
      </c>
      <c r="B225" t="inlineStr">
        <is>
          <t>TA_4</t>
        </is>
      </c>
      <c r="C225" t="inlineStr">
        <is>
          <t>TA_14</t>
        </is>
      </c>
      <c r="D225" t="n">
        <v>11</v>
      </c>
      <c r="E225" t="n">
        <v>0</v>
      </c>
      <c r="F225" t="n">
        <v>11</v>
      </c>
      <c r="G225" t="n">
        <v>0</v>
      </c>
      <c r="H225" t="n">
        <v>11</v>
      </c>
      <c r="I225" t="n">
        <v>0</v>
      </c>
      <c r="J225" t="n">
        <v>9.25</v>
      </c>
      <c r="K225" t="n">
        <v>0</v>
      </c>
      <c r="L225" t="n">
        <v>11</v>
      </c>
      <c r="M225" t="n">
        <v>0</v>
      </c>
      <c r="N225" t="n">
        <v>8.5</v>
      </c>
      <c r="O225" t="n">
        <v>0</v>
      </c>
      <c r="P225">
        <f>Table1[[#This Row],[TA 1 - Q1 Score]]+Table1[[#This Row],[TA 1 - Q2 Score]]+Table1[[#This Row],[TA 1 - Q3 Score]]</f>
        <v/>
      </c>
      <c r="Q225">
        <f>Table1[[#This Row],[TA 1 - Q1 Bonus]]+Table1[[#This Row],[TA 1 - Q2 Bonus]]+Table1[[#This Row],[TA 1 - Q4 Bonus]]</f>
        <v/>
      </c>
      <c r="R225">
        <f>Table1[[#This Row],[TA 2 - Q1 Score]]+Table1[[#This Row],[TA 2 - Q2 Score]]+Table1[[#This Row],[TA 2 - Q3 Score]]</f>
        <v/>
      </c>
      <c r="S225">
        <f>Table1[[#This Row],[TA 2 - Q1 Bonus]]+Table1[[#This Row],[TA 2 - Q2 Bonus]]+Table1[[#This Row],[TA 2 - Q4 Bonus]]</f>
        <v/>
      </c>
      <c r="T225">
        <f>(Table1[[#This Row],[TA 1 - Total Score (out of 35)]]+Table1[[#This Row],[TA 2 - Total Score (out of 35)]])/2</f>
        <v/>
      </c>
      <c r="U225">
        <f>(Table1[[#This Row],[TA 1 - Total Bonus (out of 13)]]+Table1[[#This Row],[TA 2 - Total Bonus (out of 13)]])/2</f>
        <v/>
      </c>
      <c r="V225">
        <f>Table1[[#This Row],[Average Questions]]/35*20+Table1[[#This Row],[Average Bonus]]/13*5</f>
        <v/>
      </c>
      <c r="W225" t="n">
        <v>0</v>
      </c>
      <c r="X225" t="n">
        <v>0</v>
      </c>
      <c r="Y225" t="inlineStr">
        <is>
          <t>The student's submission does not run end-to-end due to missing code for displaying sample images and the bonus task. The training and validation loops contain logical errors, such as incorrect handling of predictions and accuracy calculation. The student did not fix the labels to be 0-indexed, which is a critical requirement. Additionally, the student did not implement the bonus task for Test Time Augmentation (TTA).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25" t="n">
        <v>0</v>
      </c>
      <c r="AA225" t="n">
        <v>0</v>
      </c>
      <c r="AB225" t="inlineStr">
        <is>
          <t>The student's submission does not run correctly due to missing code for several tasks. Specifically, the student did not implement the dataset class or ImageFolder, create train/test datasets and DataLoaders, define the CNN model class with 5 convolutional layers, add Batch Normalization, set up the device, model, loss, and optimizer, or train the model. Additionally, the student did not implement the bonus tasks.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25" t="n">
        <v>0</v>
      </c>
      <c r="AD225" t="inlineStr">
        <is>
          <t>The student's submission does not run correctly due to multiple issues. The dataset class is incomplete and does not remap masks correctly. The DataLoader creation is flawed, and the model definition uses the wrong encoder. The training and validation loops are incorrectly implemented, and the loss and optimizer are not defined correctly. Additionally, the visualization of predictions is missing crucial steps and does not display the results correctly. Therefore, no points are awarded for any task as the code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25" t="n">
        <v>0</v>
      </c>
      <c r="AF225" t="n">
        <v>0</v>
      </c>
      <c r="AG225" t="inlineStr">
        <is>
          <t>No submission found.</t>
        </is>
      </c>
      <c r="AH225" t="n">
        <v>0</v>
      </c>
      <c r="AI225" t="n">
        <v>0</v>
      </c>
    </row>
    <row r="226">
      <c r="A226" t="n">
        <v>225</v>
      </c>
      <c r="B226" t="inlineStr">
        <is>
          <t>TA_4</t>
        </is>
      </c>
      <c r="C226" t="inlineStr">
        <is>
          <t>TA_14</t>
        </is>
      </c>
      <c r="D226" t="n">
        <v>11</v>
      </c>
      <c r="E226" t="n">
        <v>0</v>
      </c>
      <c r="F226" t="n">
        <v>7.5</v>
      </c>
      <c r="G226" t="n">
        <v>0</v>
      </c>
      <c r="H226" t="n">
        <v>6.75</v>
      </c>
      <c r="I226" t="n">
        <v>0</v>
      </c>
      <c r="J226" t="n">
        <v>11</v>
      </c>
      <c r="K226" t="n">
        <v>0</v>
      </c>
      <c r="L226" t="n">
        <v>7.5</v>
      </c>
      <c r="M226" t="n">
        <v>0</v>
      </c>
      <c r="N226" t="n">
        <v>6.75</v>
      </c>
      <c r="O226" t="n">
        <v>0</v>
      </c>
      <c r="P226">
        <f>Table1[[#This Row],[TA 1 - Q1 Score]]+Table1[[#This Row],[TA 1 - Q2 Score]]+Table1[[#This Row],[TA 1 - Q3 Score]]</f>
        <v/>
      </c>
      <c r="Q226">
        <f>Table1[[#This Row],[TA 1 - Q1 Bonus]]+Table1[[#This Row],[TA 1 - Q2 Bonus]]+Table1[[#This Row],[TA 1 - Q4 Bonus]]</f>
        <v/>
      </c>
      <c r="R226">
        <f>Table1[[#This Row],[TA 2 - Q1 Score]]+Table1[[#This Row],[TA 2 - Q2 Score]]+Table1[[#This Row],[TA 2 - Q3 Score]]</f>
        <v/>
      </c>
      <c r="S226">
        <f>Table1[[#This Row],[TA 2 - Q1 Bonus]]+Table1[[#This Row],[TA 2 - Q2 Bonus]]+Table1[[#This Row],[TA 2 - Q4 Bonus]]</f>
        <v/>
      </c>
      <c r="T226">
        <f>(Table1[[#This Row],[TA 1 - Total Score (out of 35)]]+Table1[[#This Row],[TA 2 - Total Score (out of 35)]])/2</f>
        <v/>
      </c>
      <c r="U226">
        <f>(Table1[[#This Row],[TA 1 - Total Bonus (out of 13)]]+Table1[[#This Row],[TA 2 - Total Bonus (out of 13)]])/2</f>
        <v/>
      </c>
      <c r="V226">
        <f>Table1[[#This Row],[Average Questions]]/35*20+Table1[[#This Row],[Average Bonus]]/13*5</f>
        <v/>
      </c>
      <c r="W226" t="n">
        <v>0</v>
      </c>
      <c r="X226" t="n">
        <v>0</v>
      </c>
      <c r="Y226" t="inlineStr">
        <is>
          <t>The student's submission does not run correctly due to several issues. The code for transforming the images is incomplete and incorrect, leading to errors in data loading and preprocessing. The model setup and training loops contain errors that prevent the code from executing properly. Additionally, the student did not implement the bonus task for Test Time Augmentation.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26" t="n">
        <v>0</v>
      </c>
      <c r="AA226" t="n">
        <v>0</v>
      </c>
      <c r="AB226" t="inlineStr">
        <is>
          <t>The student's submission does not run correctly due to several issues. The dataset loading and transformation steps are incomplete and incorrect. The CNN model definition is flawed, missing batch normalization and having incorrect layer configurations. The training and validation functions are not correctly implemented, and the training process is incomplete. Additionally, the bonus task for residual connections is not attempted. Therefore, no points are awarded for any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226" t="n">
        <v>0</v>
      </c>
      <c r="AD226" t="inlineStr">
        <is>
          <t>The student's submission does not run correctly due to several issues. The dataset class is incorrectly implemented, using ImageFolder instead of a custom dataset class, which does not load masks correctly. The model definition uses the wrong number of classes and the incorrect loss function for multi-class segmentation. The training and validation loops are incorrectly implemented, leading to errors in the training process. Additionally, the visualization of predictions is flawed due to incorrect handling of the model's output. Therefore, no points are awarded for any task as the code does not run correctly and deviates significantly from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26" t="n">
        <v>0</v>
      </c>
      <c r="AF226" t="n">
        <v>0</v>
      </c>
      <c r="AG226" t="inlineStr">
        <is>
          <t>No submission found.</t>
        </is>
      </c>
      <c r="AH226" t="n">
        <v>0</v>
      </c>
      <c r="AI226" t="n">
        <v>0</v>
      </c>
    </row>
    <row r="227">
      <c r="A227" t="n">
        <v>226</v>
      </c>
      <c r="B227" t="inlineStr">
        <is>
          <t>TA_4</t>
        </is>
      </c>
      <c r="C227" t="inlineStr">
        <is>
          <t>TA_14</t>
        </is>
      </c>
      <c r="D227" t="n">
        <v>12</v>
      </c>
      <c r="E227" t="n">
        <v>0</v>
      </c>
      <c r="F227" t="n">
        <v>11</v>
      </c>
      <c r="G227" t="n">
        <v>0</v>
      </c>
      <c r="H227" t="n">
        <v>7</v>
      </c>
      <c r="I227" t="n">
        <v>0</v>
      </c>
      <c r="J227" t="n">
        <v>10.5</v>
      </c>
      <c r="K227" t="n">
        <v>0</v>
      </c>
      <c r="L227" t="n">
        <v>11</v>
      </c>
      <c r="M227" t="n">
        <v>0</v>
      </c>
      <c r="N227" t="n">
        <v>7</v>
      </c>
      <c r="O227" t="n">
        <v>0</v>
      </c>
      <c r="P227">
        <f>Table1[[#This Row],[TA 1 - Q1 Score]]+Table1[[#This Row],[TA 1 - Q2 Score]]+Table1[[#This Row],[TA 1 - Q3 Score]]</f>
        <v/>
      </c>
      <c r="Q227">
        <f>Table1[[#This Row],[TA 1 - Q1 Bonus]]+Table1[[#This Row],[TA 1 - Q2 Bonus]]+Table1[[#This Row],[TA 1 - Q4 Bonus]]</f>
        <v/>
      </c>
      <c r="R227">
        <f>Table1[[#This Row],[TA 2 - Q1 Score]]+Table1[[#This Row],[TA 2 - Q2 Score]]+Table1[[#This Row],[TA 2 - Q3 Score]]</f>
        <v/>
      </c>
      <c r="S227">
        <f>Table1[[#This Row],[TA 2 - Q1 Bonus]]+Table1[[#This Row],[TA 2 - Q2 Bonus]]+Table1[[#This Row],[TA 2 - Q4 Bonus]]</f>
        <v/>
      </c>
      <c r="T227">
        <f>(Table1[[#This Row],[TA 1 - Total Score (out of 35)]]+Table1[[#This Row],[TA 2 - Total Score (out of 35)]])/2</f>
        <v/>
      </c>
      <c r="U227">
        <f>(Table1[[#This Row],[TA 1 - Total Bonus (out of 13)]]+Table1[[#This Row],[TA 2 - Total Bonus (out of 13)]])/2</f>
        <v/>
      </c>
      <c r="V227">
        <f>Table1[[#This Row],[Average Questions]]/35*20+Table1[[#This Row],[Average Bonus]]/13*5</f>
        <v/>
      </c>
      <c r="W227" t="n">
        <v>0</v>
      </c>
      <c r="X227" t="n">
        <v>0</v>
      </c>
      <c r="Y227" t="inlineStr">
        <is>
          <t>The student's submission does not run end-to-end due to missing or incorrect code in several critical parts. Specifically, the DataLoader creation and display of sample images are incomplete, the model freezing and classifier replacement are incorrect, and the training and validation loops contain errors. Additionally, the plotting of training and validation losses and accuracies is missing.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27" t="n">
        <v>0</v>
      </c>
      <c r="AA227" t="n">
        <v>0</v>
      </c>
      <c r="AB227" t="inlineStr">
        <is>
          <t>The student's submission does not run correctly due to multiple issues. The code for loading and preparing the data is incomplete and contains errors. The CNN model definition is incorrect as it does not follow the specified structure with 5 convolutional layers. The training and validation functions are incomplete and contain logical errors. The training process is not correctly set up, and the plotting of losses and accuracy is missing. Additionally, the bonus task for residual connections is not attempted.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27" t="n">
        <v>0</v>
      </c>
      <c r="AD227" t="inlineStr">
        <is>
          <t>The student's submission does not run end-to-end due to missing code for several critical tasks. The dataset class is incomplete, and there is no code for displaying sample images and masks. The model definition is incorrect as it uses 'efficientnet-b0' instead of 'efficientnet-b1'. The training and validation loops are not implemented correctly, and there is no code for plotting the loss curve or visualizing predictions. Therefore, the student receives 0 points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27" t="n">
        <v>0</v>
      </c>
      <c r="AF227" t="n">
        <v>0</v>
      </c>
      <c r="AG227" t="inlineStr">
        <is>
          <t>No submission found.</t>
        </is>
      </c>
      <c r="AH227" t="n">
        <v>0</v>
      </c>
      <c r="AI227" t="n">
        <v>0</v>
      </c>
    </row>
    <row r="228">
      <c r="A228" t="n">
        <v>227</v>
      </c>
      <c r="B228" t="inlineStr">
        <is>
          <t>TA_4</t>
        </is>
      </c>
      <c r="C228" t="inlineStr">
        <is>
          <t>TA_14</t>
        </is>
      </c>
      <c r="D228" t="n">
        <v>12</v>
      </c>
      <c r="E228" t="n">
        <v>0</v>
      </c>
      <c r="F228" t="n">
        <v>11</v>
      </c>
      <c r="G228" t="n">
        <v>0</v>
      </c>
      <c r="H228" t="n">
        <v>6</v>
      </c>
      <c r="I228" t="n">
        <v>0</v>
      </c>
      <c r="J228" t="n">
        <v>11</v>
      </c>
      <c r="K228" t="n">
        <v>0</v>
      </c>
      <c r="L228" t="n">
        <v>10.5</v>
      </c>
      <c r="M228" t="n">
        <v>0</v>
      </c>
      <c r="N228" t="n">
        <v>4.5</v>
      </c>
      <c r="O228" t="n">
        <v>0</v>
      </c>
      <c r="P228">
        <f>Table1[[#This Row],[TA 1 - Q1 Score]]+Table1[[#This Row],[TA 1 - Q2 Score]]+Table1[[#This Row],[TA 1 - Q3 Score]]</f>
        <v/>
      </c>
      <c r="Q228">
        <f>Table1[[#This Row],[TA 1 - Q1 Bonus]]+Table1[[#This Row],[TA 1 - Q2 Bonus]]+Table1[[#This Row],[TA 1 - Q4 Bonus]]</f>
        <v/>
      </c>
      <c r="R228">
        <f>Table1[[#This Row],[TA 2 - Q1 Score]]+Table1[[#This Row],[TA 2 - Q2 Score]]+Table1[[#This Row],[TA 2 - Q3 Score]]</f>
        <v/>
      </c>
      <c r="S228">
        <f>Table1[[#This Row],[TA 2 - Q1 Bonus]]+Table1[[#This Row],[TA 2 - Q2 Bonus]]+Table1[[#This Row],[TA 2 - Q4 Bonus]]</f>
        <v/>
      </c>
      <c r="T228">
        <f>(Table1[[#This Row],[TA 1 - Total Score (out of 35)]]+Table1[[#This Row],[TA 2 - Total Score (out of 35)]])/2</f>
        <v/>
      </c>
      <c r="U228">
        <f>(Table1[[#This Row],[TA 1 - Total Bonus (out of 13)]]+Table1[[#This Row],[TA 2 - Total Bonus (out of 13)]])/2</f>
        <v/>
      </c>
      <c r="V228">
        <f>Table1[[#This Row],[Average Questions]]/35*20+Table1[[#This Row],[Average Bonus]]/13*5</f>
        <v/>
      </c>
      <c r="W228" t="n">
        <v>0</v>
      </c>
      <c r="X228" t="n">
        <v>0</v>
      </c>
      <c r="Y228" t="inlineStr">
        <is>
          <t>The student's submission does not run correctly due to several issues. The transforms are incomplete, the DataLoaders are not created correctly, and the model setup and training loops contain errors. Additionally, the student did not implement the bonus task correctly.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28" t="n">
        <v>0</v>
      </c>
      <c r="AA228" t="n">
        <v>0</v>
      </c>
      <c r="AB228" t="inlineStr">
        <is>
          <t>The student's submission does not run correctly due to several issues. The dataset loading and transformation steps are incomplete and incorrect. The CNN model definition is flawed, missing critical components like the correct number of convolutional layers and batch normalization. The training and validation functions are incorrectly implemented, leading to errors in the training process.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28" t="n">
        <v>0</v>
      </c>
      <c r="AD228" t="inlineStr">
        <is>
          <t>The student's submission does not run end-to-end due to multiple issues. The dataset class is incorrectly implemented, leading to errors in data loading. The model definition uses 'efficientnet-b0' instead of 'efficientnet-b1', and the loss function is incorrectly defined for multi-class segmentation. Additionally, the training loop does not include validation, and there is no code for visualizing predictions. These issues result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28" t="n">
        <v>0</v>
      </c>
      <c r="AF228" t="n">
        <v>0</v>
      </c>
      <c r="AG228" t="inlineStr">
        <is>
          <t>No submission found.</t>
        </is>
      </c>
      <c r="AH228" t="n">
        <v>0</v>
      </c>
      <c r="AI228" t="n">
        <v>0</v>
      </c>
    </row>
    <row r="229">
      <c r="A229" t="n">
        <v>228</v>
      </c>
      <c r="B229" t="inlineStr">
        <is>
          <t>TA_5</t>
        </is>
      </c>
      <c r="C229" t="inlineStr">
        <is>
          <t>TA_15</t>
        </is>
      </c>
      <c r="D229" t="n">
        <v>11</v>
      </c>
      <c r="E229" t="n">
        <v>0</v>
      </c>
      <c r="F229" t="n">
        <v>7</v>
      </c>
      <c r="G229" t="n">
        <v>0</v>
      </c>
      <c r="H229" t="n">
        <v>11.5</v>
      </c>
      <c r="I229" t="n">
        <v>0</v>
      </c>
      <c r="J229" t="n">
        <v>11</v>
      </c>
      <c r="K229" t="n">
        <v>0</v>
      </c>
      <c r="L229" t="n">
        <v>8.6</v>
      </c>
      <c r="M229" t="n">
        <v>0</v>
      </c>
      <c r="N229" t="n">
        <v>11.5</v>
      </c>
      <c r="O229" t="n">
        <v>0</v>
      </c>
      <c r="P229">
        <f>Table1[[#This Row],[TA 1 - Q1 Score]]+Table1[[#This Row],[TA 1 - Q2 Score]]+Table1[[#This Row],[TA 1 - Q3 Score]]</f>
        <v/>
      </c>
      <c r="Q229">
        <f>Table1[[#This Row],[TA 1 - Q1 Bonus]]+Table1[[#This Row],[TA 1 - Q2 Bonus]]+Table1[[#This Row],[TA 1 - Q4 Bonus]]</f>
        <v/>
      </c>
      <c r="R229">
        <f>Table1[[#This Row],[TA 2 - Q1 Score]]+Table1[[#This Row],[TA 2 - Q2 Score]]+Table1[[#This Row],[TA 2 - Q3 Score]]</f>
        <v/>
      </c>
      <c r="S229">
        <f>Table1[[#This Row],[TA 2 - Q1 Bonus]]+Table1[[#This Row],[TA 2 - Q2 Bonus]]+Table1[[#This Row],[TA 2 - Q4 Bonus]]</f>
        <v/>
      </c>
      <c r="T229">
        <f>(Table1[[#This Row],[TA 1 - Total Score (out of 35)]]+Table1[[#This Row],[TA 2 - Total Score (out of 35)]])/2</f>
        <v/>
      </c>
      <c r="U229">
        <f>(Table1[[#This Row],[TA 1 - Total Bonus (out of 13)]]+Table1[[#This Row],[TA 2 - Total Bonus (out of 13)]])/2</f>
        <v/>
      </c>
      <c r="V229">
        <f>Table1[[#This Row],[Average Questions]]/35*20+Table1[[#This Row],[Average Bonus]]/13*5</f>
        <v/>
      </c>
      <c r="W229" t="n">
        <v>0</v>
      </c>
      <c r="X229" t="n">
        <v>0</v>
      </c>
      <c r="Y229" t="inlineStr">
        <is>
          <t>The student's submission does not run correctly due to several issues. The DataLoader creation is incorrect as it uses 'valid_loader' instead of 'test_loader'. The model training and validation loops have logical errors, such as incorrectly adjusting labels and using softmax in the training loop, which is unnecessary and incorrect for CrossEntropyLoss. The plotting code is present but will not run correctly due to the previous errors. Additionally, the bonus task for Test Time Augmentation is not attempted.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29" t="n">
        <v>0</v>
      </c>
      <c r="AA229" t="n">
        <v>0</v>
      </c>
      <c r="AB229" t="inlineStr">
        <is>
          <t>The student's submission does not run correctly due to several issues. The CNN model class does not match the required specifications, and the training and validation functions are incorrect. Additionally, the student did not implement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29" t="n">
        <v>0</v>
      </c>
      <c r="AD229" t="inlineStr">
        <is>
          <t>The student's submission does not run end-to-end due to missing code for displaying sample images and masks, and the visualization of predictions vs ground truth for multiple images. Additionally, the student used a different dataset name in the kagglehub dataset download, which is a deviation from the instructions. Therefore, the student receives 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29" t="n">
        <v>0</v>
      </c>
      <c r="AF229" t="n">
        <v>0</v>
      </c>
      <c r="AG229" t="inlineStr">
        <is>
          <t>No submission found.</t>
        </is>
      </c>
      <c r="AH229" t="n">
        <v>0</v>
      </c>
      <c r="AI229" t="n">
        <v>0</v>
      </c>
    </row>
    <row r="230">
      <c r="A230" t="n">
        <v>229</v>
      </c>
      <c r="B230" t="inlineStr">
        <is>
          <t>TA_5</t>
        </is>
      </c>
      <c r="C230" t="inlineStr">
        <is>
          <t>TA_15</t>
        </is>
      </c>
      <c r="D230" t="n">
        <v>12</v>
      </c>
      <c r="E230" t="n">
        <v>0</v>
      </c>
      <c r="F230" t="n">
        <v>7.5</v>
      </c>
      <c r="G230" t="n">
        <v>0</v>
      </c>
      <c r="H230" t="n">
        <v>12</v>
      </c>
      <c r="I230" t="n">
        <v>0</v>
      </c>
      <c r="J230" t="n">
        <v>12</v>
      </c>
      <c r="K230" t="n">
        <v>0</v>
      </c>
      <c r="L230" t="n">
        <v>8.5</v>
      </c>
      <c r="M230" t="n">
        <v>0</v>
      </c>
      <c r="N230" t="n">
        <v>12</v>
      </c>
      <c r="O230" t="n">
        <v>0</v>
      </c>
      <c r="P230">
        <f>Table1[[#This Row],[TA 1 - Q1 Score]]+Table1[[#This Row],[TA 1 - Q2 Score]]+Table1[[#This Row],[TA 1 - Q3 Score]]</f>
        <v/>
      </c>
      <c r="Q230">
        <f>Table1[[#This Row],[TA 1 - Q1 Bonus]]+Table1[[#This Row],[TA 1 - Q2 Bonus]]+Table1[[#This Row],[TA 1 - Q4 Bonus]]</f>
        <v/>
      </c>
      <c r="R230">
        <f>Table1[[#This Row],[TA 2 - Q1 Score]]+Table1[[#This Row],[TA 2 - Q2 Score]]+Table1[[#This Row],[TA 2 - Q3 Score]]</f>
        <v/>
      </c>
      <c r="S230">
        <f>Table1[[#This Row],[TA 2 - Q1 Bonus]]+Table1[[#This Row],[TA 2 - Q2 Bonus]]+Table1[[#This Row],[TA 2 - Q4 Bonus]]</f>
        <v/>
      </c>
      <c r="T230">
        <f>(Table1[[#This Row],[TA 1 - Total Score (out of 35)]]+Table1[[#This Row],[TA 2 - Total Score (out of 35)]])/2</f>
        <v/>
      </c>
      <c r="U230">
        <f>(Table1[[#This Row],[TA 1 - Total Bonus (out of 13)]]+Table1[[#This Row],[TA 2 - Total Bonus (out of 13)]])/2</f>
        <v/>
      </c>
      <c r="V230">
        <f>Table1[[#This Row],[Average Questions]]/35*20+Table1[[#This Row],[Average Bonus]]/13*5</f>
        <v/>
      </c>
      <c r="W230" t="n">
        <v>0</v>
      </c>
      <c r="X230" t="n">
        <v>0</v>
      </c>
      <c r="Y230" t="inlineStr">
        <is>
          <t>The student's submission does not run correctly due to missing or incorrect code in several critical parts. Specifically, the transforms are not fully defined, the DataLoaders are not created correctly, and the model training and validation functions are incomplete. Additionally, the bonus task for Test Time Augmentation is not implemented correctly.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30" t="n">
        <v>0</v>
      </c>
      <c r="AA230" t="n">
        <v>0</v>
      </c>
      <c r="AB230" t="inlineStr">
        <is>
          <t>The student's submission does not run correctly due to errors in the data loading and preparation phase. The dataset paths are incorrectly set, leading to issues in loading the training and testing datasets. Additionally, the student did not correctly implement the transforms, resulting in incorrect image sizes and transformations. These fundamental errors prevent the model from being trained and validated correctly, leading to a score of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30" t="n">
        <v>10</v>
      </c>
      <c r="AD230" t="inlineStr">
        <is>
          <t>The student's submission successfully builds a custom dataset class, creates DataLoaders, and displays sample images and masks. The model class is correctly defined with the specified encoder. The training and validation loops are implemented correctly, and the model is trained with the defined loss and optimizer. The training and validation losses are printed, and the loss curve is plotted. The predictions are visualized correctly against the ground truth. The student's code runs end-to-end without errors, adhering to the rubric.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30" t="n">
        <v>0</v>
      </c>
      <c r="AF230" t="n">
        <v>0</v>
      </c>
      <c r="AG230" t="inlineStr">
        <is>
          <t>The student's submission for Question 4 is incomplete. The `ColorizationDataset` class has several methods that are either not implemented or incorrectly implemented. Specifically, the `__init__` and `__len__` methods are missing, and the `rgb_to_grayscale` method does not fully convert the RGB image to grayscale. Additionally, the `__getitem__` method attempts to access `self.dataset`, which is not defined because the `__init__` method is incomplete. Therefore, the implementation does not run correctly and does not meet the criteria for any points.
Breakdown:
- Correctly implemented `ColorizationDataset` class: 0.0/?</t>
        </is>
      </c>
      <c r="AH230" t="n">
        <v>10</v>
      </c>
      <c r="AI230" t="n">
        <v>0</v>
      </c>
    </row>
    <row r="231">
      <c r="A231" t="n">
        <v>230</v>
      </c>
      <c r="B231" t="inlineStr">
        <is>
          <t>TA_5</t>
        </is>
      </c>
      <c r="C231" t="inlineStr">
        <is>
          <t>TA_15</t>
        </is>
      </c>
      <c r="D231" t="n">
        <v>11</v>
      </c>
      <c r="E231" t="n">
        <v>0</v>
      </c>
      <c r="F231" t="n">
        <v>9.5</v>
      </c>
      <c r="G231" t="n">
        <v>0</v>
      </c>
      <c r="H231" t="n">
        <v>11.5</v>
      </c>
      <c r="I231" t="n">
        <v>0</v>
      </c>
      <c r="J231" t="n">
        <v>11</v>
      </c>
      <c r="K231" t="n">
        <v>0</v>
      </c>
      <c r="L231" t="n">
        <v>10</v>
      </c>
      <c r="M231" t="n">
        <v>0</v>
      </c>
      <c r="N231" t="n">
        <v>11.5</v>
      </c>
      <c r="O231" t="n">
        <v>0</v>
      </c>
      <c r="P231">
        <f>Table1[[#This Row],[TA 1 - Q1 Score]]+Table1[[#This Row],[TA 1 - Q2 Score]]+Table1[[#This Row],[TA 1 - Q3 Score]]</f>
        <v/>
      </c>
      <c r="Q231">
        <f>Table1[[#This Row],[TA 1 - Q1 Bonus]]+Table1[[#This Row],[TA 1 - Q2 Bonus]]+Table1[[#This Row],[TA 1 - Q4 Bonus]]</f>
        <v/>
      </c>
      <c r="R231">
        <f>Table1[[#This Row],[TA 2 - Q1 Score]]+Table1[[#This Row],[TA 2 - Q2 Score]]+Table1[[#This Row],[TA 2 - Q3 Score]]</f>
        <v/>
      </c>
      <c r="S231">
        <f>Table1[[#This Row],[TA 2 - Q1 Bonus]]+Table1[[#This Row],[TA 2 - Q2 Bonus]]+Table1[[#This Row],[TA 2 - Q4 Bonus]]</f>
        <v/>
      </c>
      <c r="T231">
        <f>(Table1[[#This Row],[TA 1 - Total Score (out of 35)]]+Table1[[#This Row],[TA 2 - Total Score (out of 35)]])/2</f>
        <v/>
      </c>
      <c r="U231">
        <f>(Table1[[#This Row],[TA 1 - Total Bonus (out of 13)]]+Table1[[#This Row],[TA 2 - Total Bonus (out of 13)]])/2</f>
        <v/>
      </c>
      <c r="V231">
        <f>Table1[[#This Row],[Average Questions]]/35*20+Table1[[#This Row],[Average Bonus]]/13*5</f>
        <v/>
      </c>
      <c r="W231" t="n">
        <v>0</v>
      </c>
      <c r="X231" t="n">
        <v>0</v>
      </c>
      <c r="Y231" t="inlineStr">
        <is>
          <t>The student's submission does not run end-to-end due to missing or incorrect code in several critical parts. Specifically, the student did not complete the transforms correctly, did not create DataLoaders properly, and did not display sample images as required. Additionally, the model loading and adaptation steps are incomplete, and the training and validation functions are not correctly implemented. The student also did not set up the device, model, loss, and optimizer correctly, and did not plot the training and validation losses or accuracies. The bonus task for Test Time Augmentation (TTA) is also missing.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31" t="n">
        <v>0</v>
      </c>
      <c r="AA231" t="n">
        <v>0</v>
      </c>
      <c r="AB231" t="inlineStr">
        <is>
          <t>The student's submission does not run correctly due to multiple issues. The dataset loading and transformation tasks are incomplete and incorrect. The CNN model definition is flawed, and the training and validation loops contain errors. The residual connection implementation is incorrect and does not follow the specified requirements.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31" t="n">
        <v>0</v>
      </c>
      <c r="AD231" t="inlineStr">
        <is>
          <t>The student's submission does not run end-to-end due to several issues. The dataset class is incorrectly implemented, leading to errors in data loading. The model definition uses the wrong encoder (efficientnet-b1 instead of efficientnet-b0 as specified). The training and validation loops are present but do not run correctly due to the dataset issues. The visualization of predictions is attempted but fails because the model training did not complete successfully. Therefore, no points are awarded for any task as the code does not run correctly and deviates from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31" t="n">
        <v>0</v>
      </c>
      <c r="AF231" t="n">
        <v>0</v>
      </c>
      <c r="AG231" t="inlineStr">
        <is>
          <t>The student did not implement any of the required methods in the `ColorizationDataset` class. The `__init__`, `__len__`, `rgb_to_grayscale`, and `__getitem__` methods are all left as 'TO DO' placeholders, indicating that no code was written for these tasks. Additionally, the visualization code will not run correctly because the dataset methods are not implemented. Therefore, the student receives 0 points for this task.
Breakdown:
- Correctly implemented `ColorizationDataset` class: 0.0/5.0</t>
        </is>
      </c>
      <c r="AH231" t="n">
        <v>0</v>
      </c>
      <c r="AI231" t="n">
        <v>0</v>
      </c>
    </row>
    <row r="232">
      <c r="A232" t="n">
        <v>231</v>
      </c>
      <c r="B232" t="inlineStr">
        <is>
          <t>TA_5</t>
        </is>
      </c>
      <c r="C232" t="inlineStr">
        <is>
          <t>TA_15</t>
        </is>
      </c>
      <c r="D232" t="n">
        <v>12</v>
      </c>
      <c r="E232" t="n">
        <v>0</v>
      </c>
      <c r="F232" t="n">
        <v>11</v>
      </c>
      <c r="G232" t="n">
        <v>0</v>
      </c>
      <c r="H232" t="n">
        <v>7</v>
      </c>
      <c r="I232" t="n">
        <v>0</v>
      </c>
      <c r="J232" t="n">
        <v>12</v>
      </c>
      <c r="K232" t="n">
        <v>0</v>
      </c>
      <c r="L232" t="n">
        <v>10.5</v>
      </c>
      <c r="M232" t="n">
        <v>0</v>
      </c>
      <c r="N232" t="n">
        <v>10.25</v>
      </c>
      <c r="O232" t="n">
        <v>0</v>
      </c>
      <c r="P232">
        <f>Table1[[#This Row],[TA 1 - Q1 Score]]+Table1[[#This Row],[TA 1 - Q2 Score]]+Table1[[#This Row],[TA 1 - Q3 Score]]</f>
        <v/>
      </c>
      <c r="Q232">
        <f>Table1[[#This Row],[TA 1 - Q1 Bonus]]+Table1[[#This Row],[TA 1 - Q2 Bonus]]+Table1[[#This Row],[TA 1 - Q4 Bonus]]</f>
        <v/>
      </c>
      <c r="R232">
        <f>Table1[[#This Row],[TA 2 - Q1 Score]]+Table1[[#This Row],[TA 2 - Q2 Score]]+Table1[[#This Row],[TA 2 - Q3 Score]]</f>
        <v/>
      </c>
      <c r="S232">
        <f>Table1[[#This Row],[TA 2 - Q1 Bonus]]+Table1[[#This Row],[TA 2 - Q2 Bonus]]+Table1[[#This Row],[TA 2 - Q4 Bonus]]</f>
        <v/>
      </c>
      <c r="T232">
        <f>(Table1[[#This Row],[TA 1 - Total Score (out of 35)]]+Table1[[#This Row],[TA 2 - Total Score (out of 35)]])/2</f>
        <v/>
      </c>
      <c r="U232">
        <f>(Table1[[#This Row],[TA 1 - Total Bonus (out of 13)]]+Table1[[#This Row],[TA 2 - Total Bonus (out of 13)]])/2</f>
        <v/>
      </c>
      <c r="V232">
        <f>Table1[[#This Row],[Average Questions]]/35*20+Table1[[#This Row],[Average Bonus]]/13*5</f>
        <v/>
      </c>
      <c r="W232" t="n">
        <v>0</v>
      </c>
      <c r="X232" t="n">
        <v>0</v>
      </c>
      <c r="Y232" t="inlineStr">
        <is>
          <t>The student's submission does not run correctly due to several issues. The code for displaying sample images is incomplete and does not show the labels. The training and validation loops are incorrect because they do not adjust the labels to be 0-indexed, which is a critical requirement. Additionally, the student did not implement the bonus task for Test Time Augmentation.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32" t="n">
        <v>0</v>
      </c>
      <c r="AA232" t="n">
        <v>0</v>
      </c>
      <c r="AB232" t="inlineStr">
        <is>
          <t>The student's submission does not run correctly due to missing code for the residual connection bonus task and incorrect implementation of the CNN model class. The CNN model class does not have 5 convolutional layers as specified in the rubric. Additionally, the student did not include the code for the bonus task, which results in a score of 0 for the bonus tasks. The student's code for setting up the device, model, loss, and optimizer is incomplete and does not run correctly, resulting in a score of 0 for those tasks as well.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32" t="n">
        <v>0</v>
      </c>
      <c r="AD232" t="inlineStr">
        <is>
          <t>The student's submission does not run correctly due to several issues. The dataset class is incorrectly implemented, leading to errors in loading images and masks. The model definition uses the wrong number of classes and the training loop does not correctly handle the data. Additionally, the visualization of predictions is flawed, and the loss curve plotting is missing. Therefore, no points are awarded for any task as the code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32" t="n">
        <v>0</v>
      </c>
      <c r="AF232" t="n">
        <v>0</v>
      </c>
      <c r="AG232" t="inlineStr">
        <is>
          <t>No submission found.</t>
        </is>
      </c>
      <c r="AH232" t="n">
        <v>0</v>
      </c>
      <c r="AI232" t="n">
        <v>0</v>
      </c>
    </row>
    <row r="233">
      <c r="A233" t="n">
        <v>232</v>
      </c>
      <c r="B233" t="inlineStr">
        <is>
          <t>TA_5</t>
        </is>
      </c>
      <c r="C233" t="inlineStr">
        <is>
          <t>TA_15</t>
        </is>
      </c>
      <c r="D233" t="n">
        <v>6.5</v>
      </c>
      <c r="E233" t="n">
        <v>0</v>
      </c>
      <c r="F233" t="n">
        <v>1</v>
      </c>
      <c r="G233" t="n">
        <v>0</v>
      </c>
      <c r="H233" t="n">
        <v>11.5</v>
      </c>
      <c r="I233" t="n">
        <v>0</v>
      </c>
      <c r="J233" t="n">
        <v>6</v>
      </c>
      <c r="K233" t="n">
        <v>0</v>
      </c>
      <c r="L233" t="n">
        <v>10.25</v>
      </c>
      <c r="M233" t="n">
        <v>0</v>
      </c>
      <c r="N233" t="n">
        <v>11</v>
      </c>
      <c r="O233" t="n">
        <v>0</v>
      </c>
      <c r="P233">
        <f>Table1[[#This Row],[TA 1 - Q1 Score]]+Table1[[#This Row],[TA 1 - Q2 Score]]+Table1[[#This Row],[TA 1 - Q3 Score]]</f>
        <v/>
      </c>
      <c r="Q233">
        <f>Table1[[#This Row],[TA 1 - Q1 Bonus]]+Table1[[#This Row],[TA 1 - Q2 Bonus]]+Table1[[#This Row],[TA 1 - Q4 Bonus]]</f>
        <v/>
      </c>
      <c r="R233">
        <f>Table1[[#This Row],[TA 2 - Q1 Score]]+Table1[[#This Row],[TA 2 - Q2 Score]]+Table1[[#This Row],[TA 2 - Q3 Score]]</f>
        <v/>
      </c>
      <c r="S233">
        <f>Table1[[#This Row],[TA 2 - Q1 Bonus]]+Table1[[#This Row],[TA 2 - Q2 Bonus]]+Table1[[#This Row],[TA 2 - Q4 Bonus]]</f>
        <v/>
      </c>
      <c r="T233">
        <f>(Table1[[#This Row],[TA 1 - Total Score (out of 35)]]+Table1[[#This Row],[TA 2 - Total Score (out of 35)]])/2</f>
        <v/>
      </c>
      <c r="U233">
        <f>(Table1[[#This Row],[TA 1 - Total Bonus (out of 13)]]+Table1[[#This Row],[TA 2 - Total Bonus (out of 13)]])/2</f>
        <v/>
      </c>
      <c r="V233">
        <f>Table1[[#This Row],[Average Questions]]/35*20+Table1[[#This Row],[Average Bonus]]/13*5</f>
        <v/>
      </c>
      <c r="W233" t="n">
        <v>0</v>
      </c>
      <c r="X233" t="n">
        <v>0</v>
      </c>
      <c r="Y233" t="inlineStr">
        <is>
          <t>The student's submission does not run correctly due to several issues. The transforms are not correctly applied, the DataLoaders are not created properly, and the model is not correctly set up for training. Additionally, the training and validation loops are incorrect, and the plots for training and validation losses and accuracies are not generated correctly. The bonus task for Test Time Augmentation is also not implemented.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33" t="n">
        <v>0</v>
      </c>
      <c r="AA233" t="n">
        <v>0</v>
      </c>
      <c r="AB233" t="inlineStr">
        <is>
          <t>The student's submission contains several critical errors that prevent the code from running correctly. The dataset paths are incorrectly set, leading to the wrong directories being used for training and testing. Additionally, the model architecture is incorrect, with the wrong number of convolutional layers and improper handling of the input dimensions. The training and validation loops are also flawed, as they do not correctly handle the model's output. Furthermore, the student did not attempt the bonus task. These issues collectively result in a score of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33" t="n">
        <v>0</v>
      </c>
      <c r="AD233" t="inlineStr">
        <is>
          <t>The student's submission does not run correctly due to several issues. The dataset class is incomplete and does not follow the required structure. The model definition uses the wrong encoder (efficientnet-b1 instead of efficientnet-b0). The training and validation loops have logical errors, and the loss function is incorrectly applied. Additionally, the visualization of predictions is flawed. Therefore, no points are awarded for any task as the code does not run end-to-end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33" t="n">
        <v>0</v>
      </c>
      <c r="AF233" t="n">
        <v>0</v>
      </c>
      <c r="AG233" t="inlineStr">
        <is>
          <t>No submission found.</t>
        </is>
      </c>
      <c r="AH233" t="n">
        <v>0</v>
      </c>
      <c r="AI233" t="n">
        <v>0</v>
      </c>
    </row>
    <row r="234">
      <c r="A234" t="n">
        <v>233</v>
      </c>
      <c r="B234" t="inlineStr">
        <is>
          <t>TA_5</t>
        </is>
      </c>
      <c r="C234" t="inlineStr">
        <is>
          <t>TA_15</t>
        </is>
      </c>
      <c r="D234" t="n">
        <v>7</v>
      </c>
      <c r="E234" t="n">
        <v>0</v>
      </c>
      <c r="F234" t="n">
        <v>9</v>
      </c>
      <c r="G234" t="n">
        <v>0</v>
      </c>
      <c r="H234" t="n">
        <v>7</v>
      </c>
      <c r="I234" t="n">
        <v>0</v>
      </c>
      <c r="J234" t="n">
        <v>6.5</v>
      </c>
      <c r="K234" t="n">
        <v>0</v>
      </c>
      <c r="L234" t="n">
        <v>9</v>
      </c>
      <c r="M234" t="n">
        <v>0</v>
      </c>
      <c r="N234" t="n">
        <v>4.5</v>
      </c>
      <c r="O234" t="n">
        <v>0</v>
      </c>
      <c r="P234">
        <f>Table1[[#This Row],[TA 1 - Q1 Score]]+Table1[[#This Row],[TA 1 - Q2 Score]]+Table1[[#This Row],[TA 1 - Q3 Score]]</f>
        <v/>
      </c>
      <c r="Q234">
        <f>Table1[[#This Row],[TA 1 - Q1 Bonus]]+Table1[[#This Row],[TA 1 - Q2 Bonus]]+Table1[[#This Row],[TA 1 - Q4 Bonus]]</f>
        <v/>
      </c>
      <c r="R234">
        <f>Table1[[#This Row],[TA 2 - Q1 Score]]+Table1[[#This Row],[TA 2 - Q2 Score]]+Table1[[#This Row],[TA 2 - Q3 Score]]</f>
        <v/>
      </c>
      <c r="S234">
        <f>Table1[[#This Row],[TA 2 - Q1 Bonus]]+Table1[[#This Row],[TA 2 - Q2 Bonus]]+Table1[[#This Row],[TA 2 - Q4 Bonus]]</f>
        <v/>
      </c>
      <c r="T234">
        <f>(Table1[[#This Row],[TA 1 - Total Score (out of 35)]]+Table1[[#This Row],[TA 2 - Total Score (out of 35)]])/2</f>
        <v/>
      </c>
      <c r="U234">
        <f>(Table1[[#This Row],[TA 1 - Total Bonus (out of 13)]]+Table1[[#This Row],[TA 2 - Total Bonus (out of 13)]])/2</f>
        <v/>
      </c>
      <c r="V234">
        <f>Table1[[#This Row],[Average Questions]]/35*20+Table1[[#This Row],[Average Bonus]]/13*5</f>
        <v/>
      </c>
      <c r="W234" t="n">
        <v>0</v>
      </c>
      <c r="X234" t="n">
        <v>0</v>
      </c>
      <c r="Y234" t="inlineStr">
        <is>
          <t>The student's submission has several critical issues that prevent it from running correctly. The DataLoaders are created with shuffle=True for the test set, which is incorrect. The model definition and training loops do not correctly handle the label adjustment from 1-26 to 0-25, leading to errors in the loss calculation. Additionally, the training and validation functions are not correctly implemented, and the plots for training and validation losses/accuracies are missing. The bonus task for Test Time Augmentation is also not attempted. Therefore, the student receives 0 points for the base tasks and 0 points for the bonus task.
Breakdown:
- Task 1: Complete transforms (Resize, ToTensor, Normalize): 1.5/?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34" t="n">
        <v>0</v>
      </c>
      <c r="AA234" t="n">
        <v>0</v>
      </c>
      <c r="AB234" t="inlineStr">
        <is>
          <t>The student's submission does not run correctly due to missing code for several tasks. The code for loading and preparing the data is incomplete, and the CNN model definition is incorrect as it does not include Batch Normalization. The training and validation functions are present but do not run correctly due to the missing or incorrect code in previous steps. The bonus task is not attempted.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34" t="n">
        <v>0</v>
      </c>
      <c r="AD234" t="inlineStr">
        <is>
          <t>The student's submission contains several critical errors that prevent the code from running correctly. The dataset class is incorrectly implemented, leading to issues in loading images and masks. The model definition uses 'resnet34' instead of 'efficientnet-b1', and the number of classes is set to 7 instead of 8. The training and validation loops have syntax errors and logical mistakes, such as incorrect data types and missing code segments. Additionally, the loss and optimizer are defined but not used correctly in the training loop. The visualization of predictions is not implemented correctly. Due to these issues, the code does not run end-to-end, and thus, no partial credit can be awarded.
Breakdown:
- Build custom dataset class for images and masks: 0.0/2.0
- Create DataLoaders: 0.0/0.5
- Display sample images and masks: 0.0/0.5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234" t="n">
        <v>0</v>
      </c>
      <c r="AF234" t="n">
        <v>0</v>
      </c>
      <c r="AG234" t="inlineStr">
        <is>
          <t>No submission found.</t>
        </is>
      </c>
      <c r="AH234" t="n">
        <v>0</v>
      </c>
      <c r="AI234" t="n">
        <v>0</v>
      </c>
    </row>
    <row r="235">
      <c r="A235" t="n">
        <v>234</v>
      </c>
      <c r="B235" t="inlineStr">
        <is>
          <t>TA_5</t>
        </is>
      </c>
      <c r="C235" t="inlineStr">
        <is>
          <t>TA_15</t>
        </is>
      </c>
      <c r="D235" t="n">
        <v>7.5</v>
      </c>
      <c r="E235" t="n">
        <v>0</v>
      </c>
      <c r="F235" t="n">
        <v>8</v>
      </c>
      <c r="G235" t="n">
        <v>0</v>
      </c>
      <c r="H235" t="n">
        <v>0</v>
      </c>
      <c r="I235" t="n">
        <v>0</v>
      </c>
      <c r="J235" t="n">
        <v>8</v>
      </c>
      <c r="K235" t="n">
        <v>0</v>
      </c>
      <c r="L235" t="n">
        <v>8</v>
      </c>
      <c r="M235" t="n">
        <v>0</v>
      </c>
      <c r="N235" t="n">
        <v>4.75</v>
      </c>
      <c r="O235" t="n">
        <v>0</v>
      </c>
      <c r="P235">
        <f>Table1[[#This Row],[TA 1 - Q1 Score]]+Table1[[#This Row],[TA 1 - Q2 Score]]+Table1[[#This Row],[TA 1 - Q3 Score]]</f>
        <v/>
      </c>
      <c r="Q235">
        <f>Table1[[#This Row],[TA 1 - Q1 Bonus]]+Table1[[#This Row],[TA 1 - Q2 Bonus]]+Table1[[#This Row],[TA 1 - Q4 Bonus]]</f>
        <v/>
      </c>
      <c r="R235">
        <f>Table1[[#This Row],[TA 2 - Q1 Score]]+Table1[[#This Row],[TA 2 - Q2 Score]]+Table1[[#This Row],[TA 2 - Q3 Score]]</f>
        <v/>
      </c>
      <c r="S235">
        <f>Table1[[#This Row],[TA 2 - Q1 Bonus]]+Table1[[#This Row],[TA 2 - Q2 Bonus]]+Table1[[#This Row],[TA 2 - Q4 Bonus]]</f>
        <v/>
      </c>
      <c r="T235">
        <f>(Table1[[#This Row],[TA 1 - Total Score (out of 35)]]+Table1[[#This Row],[TA 2 - Total Score (out of 35)]])/2</f>
        <v/>
      </c>
      <c r="U235">
        <f>(Table1[[#This Row],[TA 1 - Total Bonus (out of 13)]]+Table1[[#This Row],[TA 2 - Total Bonus (out of 13)]])/2</f>
        <v/>
      </c>
      <c r="V235">
        <f>Table1[[#This Row],[Average Questions]]/35*20+Table1[[#This Row],[Average Bonus]]/13*5</f>
        <v/>
      </c>
      <c r="W235" t="n">
        <v>0</v>
      </c>
      <c r="X235" t="n">
        <v>0</v>
      </c>
      <c r="Y235" t="inlineStr">
        <is>
          <t>The student's submission does not run correctly due to several issues. The transforms are incomplete, the DataLoaders are not created correctly, and the sample images are not displayed as required. The model loading and adaptation steps are incorrect, and the training and validation loops contain significant errors. The training process does not set up the device, model, loss, and optimizer correctly, and the plots for training and validation losses and accuracies are missing. Additionally, the bonus task for Test Time Augmentation is not implemented correctly.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35" t="n">
        <v>0</v>
      </c>
      <c r="AA235" t="n">
        <v>0</v>
      </c>
      <c r="AB235" t="inlineStr">
        <is>
          <t>The student's submission does not run correctly due to missing imports and undefined variables. Specifically, the code for displaying sample images with labels and the training loop functions are incomplete or incorrect, leading to a complete failure in executing the tasks. The student did not define the residual connection or retrain the model with the residual connection, resulting in a score of 0 for the bonus tasks. The student's code does not follow the rubric's requirements, such as using the correct transforms and displaying sample images with labels.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35" t="n">
        <v>0</v>
      </c>
      <c r="AD235" t="inlineStr">
        <is>
          <t>The student's submission does not include the necessary code to build a custom dataset class, create DataLoaders, or display sample images and masks. The model definition is incorrect as it uses 'efficientnet-b1' instead of 'efficientnet-b0' and the number of classes is set to 1 instead of 8. The training and validation loops are defined but cannot run because the DataLoaders are not created. The loss function and optimizer are defined incorrectly for the task. The training loop does not run correctly due to the lack of DataLoaders. The visualization of predictions is attempted but fails because the model and DataLoaders are not correctly set up.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35" t="n">
        <v>0</v>
      </c>
      <c r="AF235" t="n">
        <v>0</v>
      </c>
      <c r="AG235" t="inlineStr">
        <is>
          <t>No submission found.</t>
        </is>
      </c>
      <c r="AH235" t="n">
        <v>0</v>
      </c>
      <c r="AI235" t="n">
        <v>0</v>
      </c>
    </row>
    <row r="236">
      <c r="A236" t="n">
        <v>235</v>
      </c>
      <c r="B236" t="inlineStr">
        <is>
          <t>TA_5</t>
        </is>
      </c>
      <c r="C236" t="inlineStr">
        <is>
          <t>TA_15</t>
        </is>
      </c>
      <c r="D236" t="n">
        <v>12</v>
      </c>
      <c r="E236" t="n">
        <v>3</v>
      </c>
      <c r="F236" t="n">
        <v>9</v>
      </c>
      <c r="G236" t="n">
        <v>0</v>
      </c>
      <c r="H236" t="n">
        <v>5</v>
      </c>
      <c r="I236" t="n">
        <v>0</v>
      </c>
      <c r="J236" t="n">
        <v>11.5</v>
      </c>
      <c r="K236" t="n">
        <v>3</v>
      </c>
      <c r="L236" t="n">
        <v>8.5</v>
      </c>
      <c r="M236" t="n">
        <v>0</v>
      </c>
      <c r="N236" t="n">
        <v>8.5</v>
      </c>
      <c r="O236" t="n">
        <v>0</v>
      </c>
      <c r="P236">
        <f>Table1[[#This Row],[TA 1 - Q1 Score]]+Table1[[#This Row],[TA 1 - Q2 Score]]+Table1[[#This Row],[TA 1 - Q3 Score]]</f>
        <v/>
      </c>
      <c r="Q236">
        <f>Table1[[#This Row],[TA 1 - Q1 Bonus]]+Table1[[#This Row],[TA 1 - Q2 Bonus]]+Table1[[#This Row],[TA 1 - Q4 Bonus]]</f>
        <v/>
      </c>
      <c r="R236">
        <f>Table1[[#This Row],[TA 2 - Q1 Score]]+Table1[[#This Row],[TA 2 - Q2 Score]]+Table1[[#This Row],[TA 2 - Q3 Score]]</f>
        <v/>
      </c>
      <c r="S236">
        <f>Table1[[#This Row],[TA 2 - Q1 Bonus]]+Table1[[#This Row],[TA 2 - Q2 Bonus]]+Table1[[#This Row],[TA 2 - Q4 Bonus]]</f>
        <v/>
      </c>
      <c r="T236">
        <f>(Table1[[#This Row],[TA 1 - Total Score (out of 35)]]+Table1[[#This Row],[TA 2 - Total Score (out of 35)]])/2</f>
        <v/>
      </c>
      <c r="U236">
        <f>(Table1[[#This Row],[TA 1 - Total Bonus (out of 13)]]+Table1[[#This Row],[TA 2 - Total Bonus (out of 13)]])/2</f>
        <v/>
      </c>
      <c r="V236">
        <f>Table1[[#This Row],[Average Questions]]/35*20+Table1[[#This Row],[Average Bonus]]/13*5</f>
        <v/>
      </c>
      <c r="W236" t="n">
        <v>0</v>
      </c>
      <c r="X236" t="n">
        <v>0</v>
      </c>
      <c r="Y236" t="inlineStr">
        <is>
          <t>The student's submission does not run correctly due to several issues. The transforms are incomplete, the DataLoaders are not correctly created, and the sample images are not displayed correctly. The model is not correctly loaded or adapted, and the training and validation loops contain errors. The bonus task for Test Time Augmentation is also incorrect.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36" t="n">
        <v>0</v>
      </c>
      <c r="AA236" t="n">
        <v>0</v>
      </c>
      <c r="AB236" t="inlineStr">
        <is>
          <t>The student's submission does not run correctly due to several issues. The transformations applied to the images do not match the required specifications (Resize to 32x32). The CNN model class does not include Batch Normalization layers as specified. The training and validation functions are incorrect because they use softmax on the outputs before calculating the loss, which is not necessary for CrossEntropyLoss. Additionally, the student did not implement the bonus task of adding a residual connection.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36" t="n">
        <v>0</v>
      </c>
      <c r="AD236" t="inlineStr">
        <is>
          <t>The student's submission contains several critical errors that prevent the code from running correctly. The dataset class is incorrectly implemented, leading to issues in loading images and masks. The DataLoader creation is incomplete and incorrect, resulting in no data being loaded for training or validation. The model definition uses the wrong encoder and the number of classes is incorrect. The training and validation loops are not correctly implemented, and the loss and optimizer are not defined properly. Additionally, the plotting and visualization of predictions are missing or incorrect. Due to these issues, the code does not run end-to-end, and thus, no partial credit can be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36" t="n">
        <v>0</v>
      </c>
      <c r="AF236" t="n">
        <v>0</v>
      </c>
      <c r="AG236" t="inlineStr">
        <is>
          <t>No submission found.</t>
        </is>
      </c>
      <c r="AH236" t="n">
        <v>0</v>
      </c>
      <c r="AI236" t="n">
        <v>0</v>
      </c>
    </row>
    <row r="237">
      <c r="A237" t="n">
        <v>236</v>
      </c>
      <c r="B237" t="inlineStr">
        <is>
          <t>TA_5</t>
        </is>
      </c>
      <c r="C237" t="inlineStr">
        <is>
          <t>TA_15</t>
        </is>
      </c>
      <c r="D237" t="n">
        <v>12</v>
      </c>
      <c r="E237" t="n">
        <v>4</v>
      </c>
      <c r="F237" t="n">
        <v>11</v>
      </c>
      <c r="G237" t="n">
        <v>3</v>
      </c>
      <c r="H237" t="n">
        <v>12</v>
      </c>
      <c r="I237" t="n">
        <v>5</v>
      </c>
      <c r="J237" t="n">
        <v>12</v>
      </c>
      <c r="K237" t="n">
        <v>4</v>
      </c>
      <c r="L237" t="n">
        <v>11</v>
      </c>
      <c r="M237" t="n">
        <v>3</v>
      </c>
      <c r="N237" t="n">
        <v>12</v>
      </c>
      <c r="O237" t="n">
        <v>5</v>
      </c>
      <c r="P237">
        <f>Table1[[#This Row],[TA 1 - Q1 Score]]+Table1[[#This Row],[TA 1 - Q2 Score]]+Table1[[#This Row],[TA 1 - Q3 Score]]</f>
        <v/>
      </c>
      <c r="Q237">
        <f>Table1[[#This Row],[TA 1 - Q1 Bonus]]+Table1[[#This Row],[TA 1 - Q2 Bonus]]+Table1[[#This Row],[TA 1 - Q4 Bonus]]</f>
        <v/>
      </c>
      <c r="R237">
        <f>Table1[[#This Row],[TA 2 - Q1 Score]]+Table1[[#This Row],[TA 2 - Q2 Score]]+Table1[[#This Row],[TA 2 - Q3 Score]]</f>
        <v/>
      </c>
      <c r="S237">
        <f>Table1[[#This Row],[TA 2 - Q1 Bonus]]+Table1[[#This Row],[TA 2 - Q2 Bonus]]+Table1[[#This Row],[TA 2 - Q4 Bonus]]</f>
        <v/>
      </c>
      <c r="T237">
        <f>(Table1[[#This Row],[TA 1 - Total Score (out of 35)]]+Table1[[#This Row],[TA 2 - Total Score (out of 35)]])/2</f>
        <v/>
      </c>
      <c r="U237">
        <f>(Table1[[#This Row],[TA 1 - Total Bonus (out of 13)]]+Table1[[#This Row],[TA 2 - Total Bonus (out of 13)]])/2</f>
        <v/>
      </c>
      <c r="V237">
        <f>Table1[[#This Row],[Average Questions]]/35*20+Table1[[#This Row],[Average Bonus]]/13*5</f>
        <v/>
      </c>
      <c r="W237" t="n">
        <v>0</v>
      </c>
      <c r="X237" t="n">
        <v>0</v>
      </c>
      <c r="Y237" t="inlineStr">
        <is>
          <t>The student's submission does not run end-to-end due to missing code for several tasks. Specifically, the student did not complete the transforms correctly, did not create DataLoaders properly, and did not display sample images. Additionally, the student did not load the pretrained EfficientNetV2-Small model correctly, did not freeze the backbone, and did not replace the classifier head for 26 classes. The training and validation functions are incomplete, and the training process is not set up correctly. The plots for training and validation losses and accuracies are missing. The bonus task for Test Time Augmentation (TTA) is also incomplete.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37" t="n">
        <v>0</v>
      </c>
      <c r="AA237" t="n">
        <v>0</v>
      </c>
      <c r="AB237" t="inlineStr">
        <is>
          <t>The student did not provide any code for the tasks in Part 1, Part 2, Part 3, Part 4, or the bonus tasks. Therefore, no points can be awarded for any of the tasks as there is no evidence of any attempt to complete the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237" t="n">
        <v>10</v>
      </c>
      <c r="AD237" t="inlineStr">
        <is>
          <t>The student's submission successfully builds a custom dataset class, creates DataLoaders, and displays sample images and masks. The model class is correctly defined with the pretrained U-Net using efficientnet-b1 encoder. The training and validation loops are implemented correctly. The model is trained, and the training and validation losses are printed and plotted. The predictions are visualized against the ground truth for multiple images. The student's code runs end-to-end without errors, adhering to the rubric.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37" t="n">
        <v>0</v>
      </c>
      <c r="AF237" t="n">
        <v>0</v>
      </c>
      <c r="AG237" t="inlineStr">
        <is>
          <t>The student's implementation of the `ColorizationDataset` class is correct and follows the required structure. However, the code does not run correctly because the `rgb_to_grayscale` method does not handle the input image dimensions correctly, leading to incorrect grayscale images. Since the task requires the code to run perfectly and produce the correct output, the student receives 0 points for this task.
Breakdown:
- Correctly implemented `ColorizationDataset` class: 0.0/5.0</t>
        </is>
      </c>
      <c r="AH237" t="n">
        <v>10</v>
      </c>
      <c r="AI237" t="n">
        <v>0</v>
      </c>
    </row>
    <row r="238">
      <c r="A238" t="n">
        <v>237</v>
      </c>
      <c r="B238" t="inlineStr">
        <is>
          <t>TA_5</t>
        </is>
      </c>
      <c r="C238" t="inlineStr">
        <is>
          <t>TA_15</t>
        </is>
      </c>
      <c r="D238" t="n">
        <v>12</v>
      </c>
      <c r="E238" t="n">
        <v>0</v>
      </c>
      <c r="F238" t="n">
        <v>11</v>
      </c>
      <c r="G238" t="n">
        <v>0</v>
      </c>
      <c r="H238" t="n">
        <v>12</v>
      </c>
      <c r="I238" t="n">
        <v>0</v>
      </c>
      <c r="J238" t="n">
        <v>12</v>
      </c>
      <c r="K238" t="n">
        <v>0</v>
      </c>
      <c r="L238" t="n">
        <v>11</v>
      </c>
      <c r="M238" t="n">
        <v>0</v>
      </c>
      <c r="N238" t="n">
        <v>12</v>
      </c>
      <c r="O238" t="n">
        <v>0</v>
      </c>
      <c r="P238">
        <f>Table1[[#This Row],[TA 1 - Q1 Score]]+Table1[[#This Row],[TA 1 - Q2 Score]]+Table1[[#This Row],[TA 1 - Q3 Score]]</f>
        <v/>
      </c>
      <c r="Q238">
        <f>Table1[[#This Row],[TA 1 - Q1 Bonus]]+Table1[[#This Row],[TA 1 - Q2 Bonus]]+Table1[[#This Row],[TA 1 - Q4 Bonus]]</f>
        <v/>
      </c>
      <c r="R238">
        <f>Table1[[#This Row],[TA 2 - Q1 Score]]+Table1[[#This Row],[TA 2 - Q2 Score]]+Table1[[#This Row],[TA 2 - Q3 Score]]</f>
        <v/>
      </c>
      <c r="S238">
        <f>Table1[[#This Row],[TA 2 - Q1 Bonus]]+Table1[[#This Row],[TA 2 - Q2 Bonus]]+Table1[[#This Row],[TA 2 - Q4 Bonus]]</f>
        <v/>
      </c>
      <c r="T238">
        <f>(Table1[[#This Row],[TA 1 - Total Score (out of 35)]]+Table1[[#This Row],[TA 2 - Total Score (out of 35)]])/2</f>
        <v/>
      </c>
      <c r="U238">
        <f>(Table1[[#This Row],[TA 1 - Total Bonus (out of 13)]]+Table1[[#This Row],[TA 2 - Total Bonus (out of 13)]])/2</f>
        <v/>
      </c>
      <c r="V238">
        <f>Table1[[#This Row],[Average Questions]]/35*20+Table1[[#This Row],[Average Bonus]]/13*5</f>
        <v/>
      </c>
      <c r="W238" t="n">
        <v>0</v>
      </c>
      <c r="X238" t="n">
        <v>0</v>
      </c>
      <c r="Y238" t="inlineStr">
        <is>
          <t>The student's submission does not run correctly due to several issues. The transforms are not correctly applied, the DataLoaders are not created properly, and the model is not correctly set up for training. Additionally, the training and validation loops contain errors, and the plots for training and validation losses and accuracies are not generated correctly. The bonus task for Test Time Augmentation is also not implemented. Therefore, the student receives 0 points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38" t="n">
        <v>0</v>
      </c>
      <c r="AA238" t="n">
        <v>0</v>
      </c>
      <c r="AB238" t="inlineStr">
        <is>
          <t>The student's submission does not run correctly due to several issues. The dataset loading and transformation tasks are incomplete and incorrect. The CNN model definition is incorrect as it does not follow the specified architecture with 5 convolutional layers. The training and validation functions are incorrectly implemented, leading to errors in the training process.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38" t="n">
        <v>0</v>
      </c>
      <c r="AD238" t="inlineStr">
        <is>
          <t>The student's submission does not run end-to-end due to multiple issues. The dataset class is incorrectly implemented, leading to errors in data loading. The model definition uses 'efficientnet-b1' instead of 'efficientnet-b0' as specified. The training and validation loops are incomplete and contain errors. The loss and optimizer are defined correctly, but the training process does not execute properly due to previous errors. The visualization of predictions is attempted but fails due to the overall breakdown in the pipeline.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38" t="n">
        <v>0</v>
      </c>
      <c r="AF238" t="n">
        <v>0</v>
      </c>
      <c r="AG238" t="inlineStr">
        <is>
          <t>No submission found.</t>
        </is>
      </c>
      <c r="AH238" t="n">
        <v>0</v>
      </c>
      <c r="AI238" t="n">
        <v>0</v>
      </c>
    </row>
    <row r="239">
      <c r="A239" t="n">
        <v>238</v>
      </c>
      <c r="B239" t="inlineStr">
        <is>
          <t>TA_5</t>
        </is>
      </c>
      <c r="C239" t="inlineStr">
        <is>
          <t>TA_15</t>
        </is>
      </c>
      <c r="D239" t="n">
        <v>8.5</v>
      </c>
      <c r="E239" t="n">
        <v>0</v>
      </c>
      <c r="F239" t="n">
        <v>7</v>
      </c>
      <c r="G239" t="n">
        <v>0</v>
      </c>
      <c r="H239" t="n">
        <v>3.5</v>
      </c>
      <c r="I239" t="n">
        <v>0</v>
      </c>
      <c r="J239" t="n">
        <v>7.75</v>
      </c>
      <c r="K239" t="n">
        <v>0</v>
      </c>
      <c r="L239" t="n">
        <v>7.5</v>
      </c>
      <c r="M239" t="n">
        <v>0</v>
      </c>
      <c r="N239" t="n">
        <v>7.75</v>
      </c>
      <c r="O239" t="n">
        <v>0</v>
      </c>
      <c r="P239">
        <f>Table1[[#This Row],[TA 1 - Q1 Score]]+Table1[[#This Row],[TA 1 - Q2 Score]]+Table1[[#This Row],[TA 1 - Q3 Score]]</f>
        <v/>
      </c>
      <c r="Q239">
        <f>Table1[[#This Row],[TA 1 - Q1 Bonus]]+Table1[[#This Row],[TA 1 - Q2 Bonus]]+Table1[[#This Row],[TA 1 - Q4 Bonus]]</f>
        <v/>
      </c>
      <c r="R239">
        <f>Table1[[#This Row],[TA 2 - Q1 Score]]+Table1[[#This Row],[TA 2 - Q2 Score]]+Table1[[#This Row],[TA 2 - Q3 Score]]</f>
        <v/>
      </c>
      <c r="S239">
        <f>Table1[[#This Row],[TA 2 - Q1 Bonus]]+Table1[[#This Row],[TA 2 - Q2 Bonus]]+Table1[[#This Row],[TA 2 - Q4 Bonus]]</f>
        <v/>
      </c>
      <c r="T239">
        <f>(Table1[[#This Row],[TA 1 - Total Score (out of 35)]]+Table1[[#This Row],[TA 2 - Total Score (out of 35)]])/2</f>
        <v/>
      </c>
      <c r="U239">
        <f>(Table1[[#This Row],[TA 1 - Total Bonus (out of 13)]]+Table1[[#This Row],[TA 2 - Total Bonus (out of 13)]])/2</f>
        <v/>
      </c>
      <c r="V239">
        <f>Table1[[#This Row],[Average Questions]]/35*20+Table1[[#This Row],[Average Bonus]]/13*5</f>
        <v/>
      </c>
      <c r="W239" t="n">
        <v>0</v>
      </c>
      <c r="X239" t="n">
        <v>0</v>
      </c>
      <c r="Y239" t="inlineStr">
        <is>
          <t>The student's submission does not run end-to-end due to missing code for displaying sample images, freezing the backbone, and plotting training and validation losses and accuracies. Additionally, the student did not implement the bonus task for Test Time Augmentation. Therefore, the score is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39" t="n">
        <v>0</v>
      </c>
      <c r="AA239" t="n">
        <v>0</v>
      </c>
      <c r="AB239" t="inlineStr">
        <is>
          <t>The student's submission does not run correctly due to several issues. The dataset class or ImageFolder is not correctly implemented, leading to incorrect data loading. The transforms are incorrectly applied, and the CNN model does not follow the specified architecture with 5 convolutional layers and batch normalization. The training and validation functions are incorrectly implemented, and the training process does not set up the device, model, loss, and optimizer correctly. Additionally, the student did not attempt the bonus task. Therefore, the minimum defensible score for each task is 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39" t="n">
        <v>0</v>
      </c>
      <c r="AD239" t="inlineStr">
        <is>
          <t>The student's submission does not run correctly due to several issues. The dataset class is incomplete and does not correctly load images and masks. The DataLoader creation is flawed, and the model definition uses the wrong encoder. The training and validation loops are incomplete and contain errors. The loss and optimizer are defined incorrectly, and the training process does not execute properly. The visualization of predictions is also incorrect and does not follow the required format.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39" t="n">
        <v>0</v>
      </c>
      <c r="AF239" t="n">
        <v>0</v>
      </c>
      <c r="AG239" t="inlineStr">
        <is>
          <t>No submission found.</t>
        </is>
      </c>
      <c r="AH239" t="n">
        <v>0</v>
      </c>
      <c r="AI239" t="n">
        <v>0</v>
      </c>
    </row>
    <row r="240">
      <c r="A240" t="n">
        <v>239</v>
      </c>
      <c r="B240" t="inlineStr">
        <is>
          <t>TA_5</t>
        </is>
      </c>
      <c r="C240" t="inlineStr">
        <is>
          <t>TA_15</t>
        </is>
      </c>
      <c r="D240" t="n">
        <v>11</v>
      </c>
      <c r="E240" t="n">
        <v>2</v>
      </c>
      <c r="F240" t="n">
        <v>11</v>
      </c>
      <c r="G240" t="n">
        <v>4</v>
      </c>
      <c r="H240" t="n">
        <v>7.5</v>
      </c>
      <c r="I240" t="n">
        <v>5</v>
      </c>
      <c r="J240" t="n">
        <v>9.25</v>
      </c>
      <c r="K240" t="n">
        <v>0</v>
      </c>
      <c r="L240" t="n">
        <v>10.5</v>
      </c>
      <c r="M240" t="n">
        <v>4</v>
      </c>
      <c r="N240" t="n">
        <v>6.75</v>
      </c>
      <c r="O240" t="n">
        <v>5</v>
      </c>
      <c r="P240">
        <f>Table1[[#This Row],[TA 1 - Q1 Score]]+Table1[[#This Row],[TA 1 - Q2 Score]]+Table1[[#This Row],[TA 1 - Q3 Score]]</f>
        <v/>
      </c>
      <c r="Q240">
        <f>Table1[[#This Row],[TA 1 - Q1 Bonus]]+Table1[[#This Row],[TA 1 - Q2 Bonus]]+Table1[[#This Row],[TA 1 - Q4 Bonus]]</f>
        <v/>
      </c>
      <c r="R240">
        <f>Table1[[#This Row],[TA 2 - Q1 Score]]+Table1[[#This Row],[TA 2 - Q2 Score]]+Table1[[#This Row],[TA 2 - Q3 Score]]</f>
        <v/>
      </c>
      <c r="S240">
        <f>Table1[[#This Row],[TA 2 - Q1 Bonus]]+Table1[[#This Row],[TA 2 - Q2 Bonus]]+Table1[[#This Row],[TA 2 - Q4 Bonus]]</f>
        <v/>
      </c>
      <c r="T240">
        <f>(Table1[[#This Row],[TA 1 - Total Score (out of 35)]]+Table1[[#This Row],[TA 2 - Total Score (out of 35)]])/2</f>
        <v/>
      </c>
      <c r="U240">
        <f>(Table1[[#This Row],[TA 1 - Total Bonus (out of 13)]]+Table1[[#This Row],[TA 2 - Total Bonus (out of 13)]])/2</f>
        <v/>
      </c>
      <c r="V240">
        <f>Table1[[#This Row],[Average Questions]]/35*20+Table1[[#This Row],[Average Bonus]]/13*5</f>
        <v/>
      </c>
      <c r="W240" t="n">
        <v>0</v>
      </c>
      <c r="X240" t="n">
        <v>0</v>
      </c>
      <c r="Y240" t="inlineStr">
        <is>
          <t>The student's submission does not run correctly due to several issues. The training and validation loops are incomplete and contain errors, such as missing the loss calculation in the validation loop. The bonus task for Test Time Augmentation (TTA) is also incomplete and does not correctly implement the averaging of predictions. Additionally, the student did not fix the labels to be 0-indexed, which is a critical requirement.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40" t="n">
        <v>0</v>
      </c>
      <c r="AA240" t="n">
        <v>0</v>
      </c>
      <c r="AB240" t="inlineStr">
        <is>
          <t>The student's submission does not run correctly due to multiple issues. The dataset class is incorrectly implemented, the transformations are not applied correctly, and the CNN model does not follow the specified structure. Additionally, the training and validation functions are not correctly defined, and the residual connection is not implemented as required. Therefore, no points are awarded for any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240" t="n">
        <v>0</v>
      </c>
      <c r="AD240" t="inlineStr">
        <is>
          <t>The student's submission does not run correctly due to several issues. The dataset class is incorrectly implemented, leading to errors in data loading. The model definition uses the wrong encoder (efficientnet-b1 instead of efficientnet-b0). The training and validation loops are incorrectly implemented, using BCEWithLogitsLoss instead of CrossEntropyLoss, which is inappropriate for multi-class segmentation. Additionally, the student did not implement the visualization of predictions. These issues prevent the code from running end-to-end, resulting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40" t="n">
        <v>0</v>
      </c>
      <c r="AF240" t="n">
        <v>0</v>
      </c>
      <c r="AG240" t="inlineStr">
        <is>
          <t>The student's implementation of the `ColorizationDataset` class contains several issues. The `rgb_to_grayscale` method incorrectly handles the input tensor dimensions and does not correctly apply the grayscale conversion formula. Additionally, the `__getitem__` method does not properly return the grayscale and color image tuple. These errors prevent the code from running correctly, resulting in a score of 0.0 for this task.
Breakdown:
- Correctly implemented `ColorizationDataset` class: 0.0/5.0</t>
        </is>
      </c>
      <c r="AH240" t="n">
        <v>0</v>
      </c>
      <c r="AI240" t="n">
        <v>0</v>
      </c>
    </row>
    <row r="241">
      <c r="A241" t="n">
        <v>240</v>
      </c>
      <c r="B241" t="inlineStr">
        <is>
          <t>TA_5</t>
        </is>
      </c>
      <c r="C241" t="inlineStr">
        <is>
          <t>TA_15</t>
        </is>
      </c>
      <c r="D241" t="n">
        <v>6.5</v>
      </c>
      <c r="E241" t="n">
        <v>0</v>
      </c>
      <c r="F241" t="n">
        <v>8.5</v>
      </c>
      <c r="G241" t="n">
        <v>0</v>
      </c>
      <c r="H241" t="n">
        <v>12</v>
      </c>
      <c r="I241" t="n">
        <v>0</v>
      </c>
      <c r="J241" t="n">
        <v>6.5</v>
      </c>
      <c r="K241" t="n">
        <v>0</v>
      </c>
      <c r="L241" t="n">
        <v>10.5</v>
      </c>
      <c r="M241" t="n">
        <v>0</v>
      </c>
      <c r="N241" t="n">
        <v>12</v>
      </c>
      <c r="O241" t="n">
        <v>0</v>
      </c>
      <c r="P241">
        <f>Table1[[#This Row],[TA 1 - Q1 Score]]+Table1[[#This Row],[TA 1 - Q2 Score]]+Table1[[#This Row],[TA 1 - Q3 Score]]</f>
        <v/>
      </c>
      <c r="Q241">
        <f>Table1[[#This Row],[TA 1 - Q1 Bonus]]+Table1[[#This Row],[TA 1 - Q2 Bonus]]+Table1[[#This Row],[TA 1 - Q4 Bonus]]</f>
        <v/>
      </c>
      <c r="R241">
        <f>Table1[[#This Row],[TA 2 - Q1 Score]]+Table1[[#This Row],[TA 2 - Q2 Score]]+Table1[[#This Row],[TA 2 - Q3 Score]]</f>
        <v/>
      </c>
      <c r="S241">
        <f>Table1[[#This Row],[TA 2 - Q1 Bonus]]+Table1[[#This Row],[TA 2 - Q2 Bonus]]+Table1[[#This Row],[TA 2 - Q4 Bonus]]</f>
        <v/>
      </c>
      <c r="T241">
        <f>(Table1[[#This Row],[TA 1 - Total Score (out of 35)]]+Table1[[#This Row],[TA 2 - Total Score (out of 35)]])/2</f>
        <v/>
      </c>
      <c r="U241">
        <f>(Table1[[#This Row],[TA 1 - Total Bonus (out of 13)]]+Table1[[#This Row],[TA 2 - Total Bonus (out of 13)]])/2</f>
        <v/>
      </c>
      <c r="V241">
        <f>Table1[[#This Row],[Average Questions]]/35*20+Table1[[#This Row],[Average Bonus]]/13*5</f>
        <v/>
      </c>
      <c r="W241" t="n">
        <v>0</v>
      </c>
      <c r="X241" t="n">
        <v>0</v>
      </c>
      <c r="Y241" t="inlineStr">
        <is>
          <t>The student's submission contains several critical errors that prevent the code from running correctly. The transforms are incorrectly set to resize images to 224x224 instead of 28x28, and the custom SubtractOne class is incorrectly applied within the transforms, which will cause the labels to be incorrectly adjusted. The DataLoaders are created but not used correctly in the training and validation loops. The model's classifier head is replaced with 27 classes instead of 26, and the training and validation loops do not correctly adjust the labels to be 0-indexed. Additionally, the training and validation functions do not correctly compute the accuracy, and the plots for training and validation losses and accuracies are not generated correctly. The bonus task for Test Time Augmentation is not attempted. Therefore, the student receives 0 points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41" t="n">
        <v>0</v>
      </c>
      <c r="AA241" t="n">
        <v>0</v>
      </c>
      <c r="AB241" t="inlineStr">
        <is>
          <t>The student's submission does not run correctly due to several issues. The dataset class is custom-built but does not follow the required structure for ImageFolder, leading to incorrect data loading. The transformations applied do not match the required specifications, and the model architecture deviates significantly from the rubric, lacking the specified number of convolutional layers and batch normalization. The training and validation functions are incomplete and do not follow the required logic.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41" t="n">
        <v>0</v>
      </c>
      <c r="AD241" t="inlineStr">
        <is>
          <t>The student's submission does not run end-to-end due to missing code in critical sections, such as the dataset class definition and the model training loop. The code provided does not follow the rubric's instructions, leading to a complete failure in executing the tasks.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41" t="n">
        <v>0</v>
      </c>
      <c r="AF241" t="n">
        <v>0</v>
      </c>
      <c r="AG241" t="inlineStr">
        <is>
          <t>The student's implementation of the `ColorizationDataset` class contains several critical errors. The `rgb_to_grayscale` method incorrectly returns both the original image and the grayscale image, which is not the required behavior. Additionally, the `__getitem__` method returns the original image instead of the grayscale image, and the `super().__init__()` call in the `__init__` method is unnecessary and incorrect. These issues prevent the code from running correctly and producing the expected output, resulting in a score of 0.0 for this task.
Breakdown:
- Correctly implemented `ColorizationDataset` class: 0.0/5.0</t>
        </is>
      </c>
      <c r="AH241" t="n">
        <v>0</v>
      </c>
      <c r="AI241" t="n">
        <v>0</v>
      </c>
    </row>
    <row r="242">
      <c r="A242" t="n">
        <v>241</v>
      </c>
      <c r="B242" t="inlineStr">
        <is>
          <t>TA_5</t>
        </is>
      </c>
      <c r="C242" t="inlineStr">
        <is>
          <t>TA_15</t>
        </is>
      </c>
      <c r="D242" t="n">
        <v>6.5</v>
      </c>
      <c r="E242" t="n">
        <v>0</v>
      </c>
      <c r="F242" t="n">
        <v>6.25</v>
      </c>
      <c r="G242" t="n">
        <v>0</v>
      </c>
      <c r="H242" t="n">
        <v>6</v>
      </c>
      <c r="I242" t="n">
        <v>0</v>
      </c>
      <c r="J242" t="n">
        <v>7.5</v>
      </c>
      <c r="K242" t="n">
        <v>0</v>
      </c>
      <c r="L242" t="n">
        <v>8.25</v>
      </c>
      <c r="M242" t="n">
        <v>0</v>
      </c>
      <c r="N242" t="n">
        <v>5</v>
      </c>
      <c r="O242" t="n">
        <v>0</v>
      </c>
      <c r="P242">
        <f>Table1[[#This Row],[TA 1 - Q1 Score]]+Table1[[#This Row],[TA 1 - Q2 Score]]+Table1[[#This Row],[TA 1 - Q3 Score]]</f>
        <v/>
      </c>
      <c r="Q242">
        <f>Table1[[#This Row],[TA 1 - Q1 Bonus]]+Table1[[#This Row],[TA 1 - Q2 Bonus]]+Table1[[#This Row],[TA 1 - Q4 Bonus]]</f>
        <v/>
      </c>
      <c r="R242">
        <f>Table1[[#This Row],[TA 2 - Q1 Score]]+Table1[[#This Row],[TA 2 - Q2 Score]]+Table1[[#This Row],[TA 2 - Q3 Score]]</f>
        <v/>
      </c>
      <c r="S242">
        <f>Table1[[#This Row],[TA 2 - Q1 Bonus]]+Table1[[#This Row],[TA 2 - Q2 Bonus]]+Table1[[#This Row],[TA 2 - Q4 Bonus]]</f>
        <v/>
      </c>
      <c r="T242">
        <f>(Table1[[#This Row],[TA 1 - Total Score (out of 35)]]+Table1[[#This Row],[TA 2 - Total Score (out of 35)]])/2</f>
        <v/>
      </c>
      <c r="U242">
        <f>(Table1[[#This Row],[TA 1 - Total Bonus (out of 13)]]+Table1[[#This Row],[TA 2 - Total Bonus (out of 13)]])/2</f>
        <v/>
      </c>
      <c r="V242">
        <f>Table1[[#This Row],[Average Questions]]/35*20+Table1[[#This Row],[Average Bonus]]/13*5</f>
        <v/>
      </c>
      <c r="W242" t="n">
        <v>0</v>
      </c>
      <c r="X242" t="n">
        <v>0</v>
      </c>
      <c r="Y242" t="inlineStr">
        <is>
          <t>The student's submission contains several critical errors that prevent the code from running correctly. The student used the wrong model (EfficientNetV2-M instead of EfficientNetV2-S), did not correctly freeze the backbone, and used an incorrect loss function and optimizer setup. Additionally, the training and validation loops are incorrect, and the plotting code is incomplete. The student did not attempt the bonus task.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42" t="n">
        <v>0</v>
      </c>
      <c r="AA242" t="n">
        <v>0</v>
      </c>
      <c r="AB242" t="inlineStr">
        <is>
          <t>The student's submission does not follow the rubric correctly. The dataset transformations do not match the required specifications (e.g., resizing to 32x32 and using RandomRotation). The CNN model does not have the correct number of convolutional layers or batch normalization. The training and validation functions are incorrectly implemented, and the training process does not follow the required steps.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42" t="n">
        <v>0</v>
      </c>
      <c r="AD242" t="inlineStr">
        <is>
          <t>The student's submission does not run end-to-end due to multiple issues. The dataset class is incorrectly implemented, using a CSV file that is not provided or defined. The model definition uses 'efficientnet-b1' instead of 'efficientnet-b0' as specified. The training and validation loops are incorrectly implemented, using BCEWithLogitsLoss instead of CrossEntropyLoss. The visualization code is missing. Therefore, no tasks are awarded any points.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42" t="n">
        <v>0</v>
      </c>
      <c r="AF242" t="n">
        <v>0</v>
      </c>
      <c r="AG242" t="inlineStr">
        <is>
          <t>No submission found.</t>
        </is>
      </c>
      <c r="AH242" t="n">
        <v>0</v>
      </c>
      <c r="AI242" t="n">
        <v>0</v>
      </c>
    </row>
    <row r="243">
      <c r="A243" t="n">
        <v>242</v>
      </c>
      <c r="B243" t="inlineStr">
        <is>
          <t>TA_5</t>
        </is>
      </c>
      <c r="C243" t="inlineStr">
        <is>
          <t>TA_15</t>
        </is>
      </c>
      <c r="D243" t="n">
        <v>10.5</v>
      </c>
      <c r="E243" t="n">
        <v>4</v>
      </c>
      <c r="F243" t="n">
        <v>11</v>
      </c>
      <c r="G243" t="n">
        <v>2</v>
      </c>
      <c r="H243" t="n">
        <v>12</v>
      </c>
      <c r="I243" t="n">
        <v>0</v>
      </c>
      <c r="J243" t="n">
        <v>10</v>
      </c>
      <c r="K243" t="n">
        <v>2</v>
      </c>
      <c r="L243" t="n">
        <v>9.75</v>
      </c>
      <c r="M243" t="n">
        <v>1</v>
      </c>
      <c r="N243" t="n">
        <v>12</v>
      </c>
      <c r="O243" t="n">
        <v>0</v>
      </c>
      <c r="P243">
        <f>Table1[[#This Row],[TA 1 - Q1 Score]]+Table1[[#This Row],[TA 1 - Q2 Score]]+Table1[[#This Row],[TA 1 - Q3 Score]]</f>
        <v/>
      </c>
      <c r="Q243">
        <f>Table1[[#This Row],[TA 1 - Q1 Bonus]]+Table1[[#This Row],[TA 1 - Q2 Bonus]]+Table1[[#This Row],[TA 1 - Q4 Bonus]]</f>
        <v/>
      </c>
      <c r="R243">
        <f>Table1[[#This Row],[TA 2 - Q1 Score]]+Table1[[#This Row],[TA 2 - Q2 Score]]+Table1[[#This Row],[TA 2 - Q3 Score]]</f>
        <v/>
      </c>
      <c r="S243">
        <f>Table1[[#This Row],[TA 2 - Q1 Bonus]]+Table1[[#This Row],[TA 2 - Q2 Bonus]]+Table1[[#This Row],[TA 2 - Q4 Bonus]]</f>
        <v/>
      </c>
      <c r="T243">
        <f>(Table1[[#This Row],[TA 1 - Total Score (out of 35)]]+Table1[[#This Row],[TA 2 - Total Score (out of 35)]])/2</f>
        <v/>
      </c>
      <c r="U243">
        <f>(Table1[[#This Row],[TA 1 - Total Bonus (out of 13)]]+Table1[[#This Row],[TA 2 - Total Bonus (out of 13)]])/2</f>
        <v/>
      </c>
      <c r="V243">
        <f>Table1[[#This Row],[Average Questions]]/35*20+Table1[[#This Row],[Average Bonus]]/13*5</f>
        <v/>
      </c>
      <c r="W243" t="n">
        <v>0</v>
      </c>
      <c r="X243" t="n">
        <v>0</v>
      </c>
      <c r="Y243" t="inlineStr">
        <is>
          <t>The student's submission does not run correctly due to several issues. The transforms include a custom module SubtractOne that modifies the labels during the transformation process, which is incorrect and leads to incorrect label handling throughout the training and validation loops. Additionally, the validation function for Test Time Augmentation (TTA) incorrectly averages the predictions before passing them to the criterion, leading to incorrect loss calculation. These issues result in a score of 0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43" t="n">
        <v>0</v>
      </c>
      <c r="AA243" t="n">
        <v>0</v>
      </c>
      <c r="AB243" t="inlineStr">
        <is>
          <t>The student's submission does not run correctly due to several issues. The dataset class or ImageFolder is not correctly implemented, leading to incorrect data loading. The transforms are incorrectly applied, and the model architecture deviates from the required specifications. The training and validation functions are flawed, and the residual connection implementation is incorrect. As a result, the code does not produce the correct output, and the tasks are incomplete.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43" t="n">
        <v>0</v>
      </c>
      <c r="AD243" t="inlineStr">
        <is>
          <t>The student's submission does not run correctly due to missing or incorrect code in several critical areas. The dataset class is incomplete, the model definition uses the wrong encoder, and the training and validation loops are not correctly implemented. Additionally, the visualization of predictions is missing. Therefore, no points are awarded for any task as the code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43" t="n">
        <v>0</v>
      </c>
      <c r="AF243" t="n">
        <v>0</v>
      </c>
      <c r="AG243" t="inlineStr">
        <is>
          <t>The student's implementation of the `ColorizationDataset` class contains critical errors. The `rgb_to_grayscale` method does not correctly convert the RGB image to grayscale, as it incorrectly applies the grayscale formula to the entire image tensor rather than to each channel separately. Additionally, the method returns the original image instead of the grayscale image. These issues prevent the code from running correctly, resulting in a score of 0.0 for the task.
Breakdown:
- Correctly implemented `ColorizationDataset` class: 0.0/5.0</t>
        </is>
      </c>
      <c r="AH243" t="n">
        <v>0</v>
      </c>
      <c r="AI243" t="n">
        <v>0</v>
      </c>
    </row>
    <row r="244">
      <c r="A244" t="n">
        <v>243</v>
      </c>
      <c r="B244" t="inlineStr">
        <is>
          <t>TA_5</t>
        </is>
      </c>
      <c r="C244" t="inlineStr">
        <is>
          <t>TA_15</t>
        </is>
      </c>
      <c r="D244" t="n">
        <v>11</v>
      </c>
      <c r="E244" t="n">
        <v>3</v>
      </c>
      <c r="F244" t="n">
        <v>11</v>
      </c>
      <c r="G244" t="n">
        <v>1</v>
      </c>
      <c r="H244" t="n">
        <v>8</v>
      </c>
      <c r="I244" t="n">
        <v>0</v>
      </c>
      <c r="J244" t="n">
        <v>10.5</v>
      </c>
      <c r="K244" t="n">
        <v>2</v>
      </c>
      <c r="L244" t="n">
        <v>11</v>
      </c>
      <c r="M244" t="n">
        <v>1</v>
      </c>
      <c r="N244" t="n">
        <v>11</v>
      </c>
      <c r="O244" t="n">
        <v>0</v>
      </c>
      <c r="P244">
        <f>Table1[[#This Row],[TA 1 - Q1 Score]]+Table1[[#This Row],[TA 1 - Q2 Score]]+Table1[[#This Row],[TA 1 - Q3 Score]]</f>
        <v/>
      </c>
      <c r="Q244">
        <f>Table1[[#This Row],[TA 1 - Q1 Bonus]]+Table1[[#This Row],[TA 1 - Q2 Bonus]]+Table1[[#This Row],[TA 1 - Q4 Bonus]]</f>
        <v/>
      </c>
      <c r="R244">
        <f>Table1[[#This Row],[TA 2 - Q1 Score]]+Table1[[#This Row],[TA 2 - Q2 Score]]+Table1[[#This Row],[TA 2 - Q3 Score]]</f>
        <v/>
      </c>
      <c r="S244">
        <f>Table1[[#This Row],[TA 2 - Q1 Bonus]]+Table1[[#This Row],[TA 2 - Q2 Bonus]]+Table1[[#This Row],[TA 2 - Q4 Bonus]]</f>
        <v/>
      </c>
      <c r="T244">
        <f>(Table1[[#This Row],[TA 1 - Total Score (out of 35)]]+Table1[[#This Row],[TA 2 - Total Score (out of 35)]])/2</f>
        <v/>
      </c>
      <c r="U244">
        <f>(Table1[[#This Row],[TA 1 - Total Bonus (out of 13)]]+Table1[[#This Row],[TA 2 - Total Bonus (out of 13)]])/2</f>
        <v/>
      </c>
      <c r="V244">
        <f>Table1[[#This Row],[Average Questions]]/35*20+Table1[[#This Row],[Average Bonus]]/13*5</f>
        <v/>
      </c>
      <c r="W244" t="n">
        <v>0</v>
      </c>
      <c r="X244" t="n">
        <v>0</v>
      </c>
      <c r="Y244" t="inlineStr">
        <is>
          <t>The student's submission does not run correctly due to multiple issues. The transforms are incomplete, the DataLoaders are not created correctly, and the model setup is incorrect. The training and validation loops have logical errors, and the plotting functions are missing. Additionally, the bonus task for Test Time Augmentation (TTA) is not implemented correctly.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44" t="n">
        <v>0</v>
      </c>
      <c r="AA244" t="n">
        <v>0</v>
      </c>
      <c r="AB244" t="inlineStr">
        <is>
          <t>The student's submission contains multiple issues that prevent the code from running correctly. The dataset paths are incorrectly set, leading to errors in loading the data. The CNN model definition is incorrect and does not follow the specified structure of 5 convolutional layers. The training and validation functions are incomplete and contain errors. Additionally, the residual connection implementation is incorrect and does not follow the specified requirements. Therefore, no points are awarded for any of the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44" t="n">
        <v>0</v>
      </c>
      <c r="AD244" t="inlineStr">
        <is>
          <t>The student's submission does not run correctly due to multiple issues. The dataset class is incorrectly defined and does not follow the required structure. The model definition uses the wrong number of classes and the incorrect encoder. The training and validation loops are incorrectly implemented, leading to errors in the loss calculation. Additionally, the loss function and optimizer are not correctly defined for the task. As a result, the model training does not proceed correctly, and the visualization of predictions is not possible.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44" t="n">
        <v>0</v>
      </c>
      <c r="AF244" t="n">
        <v>0</v>
      </c>
      <c r="AG244" t="inlineStr">
        <is>
          <t>No submission found.</t>
        </is>
      </c>
      <c r="AH244" t="n">
        <v>0</v>
      </c>
      <c r="AI244" t="n">
        <v>0</v>
      </c>
    </row>
    <row r="245">
      <c r="A245" t="n">
        <v>244</v>
      </c>
      <c r="B245" t="inlineStr">
        <is>
          <t>TA_5</t>
        </is>
      </c>
      <c r="C245" t="inlineStr">
        <is>
          <t>TA_15</t>
        </is>
      </c>
      <c r="D245" t="n">
        <v>1.5</v>
      </c>
      <c r="E245" t="n">
        <v>0</v>
      </c>
      <c r="F245" t="n">
        <v>1.5</v>
      </c>
      <c r="G245" t="n">
        <v>0</v>
      </c>
      <c r="H245" t="n">
        <v>0</v>
      </c>
      <c r="I245" t="n">
        <v>0</v>
      </c>
      <c r="J245" t="n">
        <v>3.5</v>
      </c>
      <c r="K245" t="n">
        <v>0</v>
      </c>
      <c r="L245" t="n">
        <v>2</v>
      </c>
      <c r="M245" t="n">
        <v>0</v>
      </c>
      <c r="N245" t="n">
        <v>5</v>
      </c>
      <c r="O245" t="n">
        <v>0</v>
      </c>
      <c r="P245">
        <f>Table1[[#This Row],[TA 1 - Q1 Score]]+Table1[[#This Row],[TA 1 - Q2 Score]]+Table1[[#This Row],[TA 1 - Q3 Score]]</f>
        <v/>
      </c>
      <c r="Q245">
        <f>Table1[[#This Row],[TA 1 - Q1 Bonus]]+Table1[[#This Row],[TA 1 - Q2 Bonus]]+Table1[[#This Row],[TA 1 - Q4 Bonus]]</f>
        <v/>
      </c>
      <c r="R245">
        <f>Table1[[#This Row],[TA 2 - Q1 Score]]+Table1[[#This Row],[TA 2 - Q2 Score]]+Table1[[#This Row],[TA 2 - Q3 Score]]</f>
        <v/>
      </c>
      <c r="S245">
        <f>Table1[[#This Row],[TA 2 - Q1 Bonus]]+Table1[[#This Row],[TA 2 - Q2 Bonus]]+Table1[[#This Row],[TA 2 - Q4 Bonus]]</f>
        <v/>
      </c>
      <c r="T245">
        <f>(Table1[[#This Row],[TA 1 - Total Score (out of 35)]]+Table1[[#This Row],[TA 2 - Total Score (out of 35)]])/2</f>
        <v/>
      </c>
      <c r="U245">
        <f>(Table1[[#This Row],[TA 1 - Total Bonus (out of 13)]]+Table1[[#This Row],[TA 2 - Total Bonus (out of 13)]])/2</f>
        <v/>
      </c>
      <c r="V245">
        <f>Table1[[#This Row],[Average Questions]]/35*20+Table1[[#This Row],[Average Bonus]]/13*5</f>
        <v/>
      </c>
      <c r="W245" t="n">
        <v>0</v>
      </c>
      <c r="X245" t="n">
        <v>0</v>
      </c>
      <c r="Y245" t="inlineStr">
        <is>
          <t>The student's submission contains several critical errors that prevent the code from running correctly. The student used a binary classification loss function (BCEWithLogitsLoss) instead of the correct CrossEntropyLoss for multi-class classification. Additionally, the student modified the classifier head to 25 classes instead of 26, which is incorrect. The training and validation loops are also incorrect as they use sigmoid activation for binary classification instead of softmax for multi-class classification. Furthermore, the student did not implement the bonus task for Test Time Augmentation. These issues result in a score of 0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45" t="n">
        <v>0</v>
      </c>
      <c r="AA245" t="n">
        <v>0</v>
      </c>
      <c r="AB245" t="inlineStr">
        <is>
          <t>The student's submission does not include any code for loading and preparing the data, building the CNN model, defining training and validation functions, or training the model. The code provided is incomplete and does not run correctly, resulting in a score of 0.0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45" t="n">
        <v>0</v>
      </c>
      <c r="AD245" t="inlineStr">
        <is>
          <t>The student's submission deviates significantly from the rubric. The dataset class is incorrectly implemented using the EMNIST dataset instead of the provided underwater imagery dataset, which is a clear violation of the instructions. The model class is also incorrect as it does not use the pretrained U-Net with efficientnet-b1 encoder as specified. The training and validation loops, as well as the visualization of predictions, are not implemented correctly or are missing entirely. Therefore, the student receives 0 points for the base tasks and -50 points for the model class task due to using an entirely wrong approach.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245" t="n">
        <v>0</v>
      </c>
      <c r="AF245" t="n">
        <v>0</v>
      </c>
      <c r="AG245" t="inlineStr">
        <is>
          <t>No submission found.</t>
        </is>
      </c>
      <c r="AH245" t="n">
        <v>0</v>
      </c>
      <c r="AI245" t="n">
        <v>0</v>
      </c>
    </row>
    <row r="246">
      <c r="A246" t="n">
        <v>245</v>
      </c>
      <c r="B246" t="inlineStr">
        <is>
          <t>TA_5</t>
        </is>
      </c>
      <c r="C246" t="inlineStr">
        <is>
          <t>TA_15</t>
        </is>
      </c>
      <c r="D246" t="n">
        <v>9.5</v>
      </c>
      <c r="E246" t="n">
        <v>0</v>
      </c>
      <c r="F246" t="n">
        <v>11</v>
      </c>
      <c r="G246" t="n">
        <v>0</v>
      </c>
      <c r="H246" t="n">
        <v>6</v>
      </c>
      <c r="I246" t="n">
        <v>0</v>
      </c>
      <c r="J246" t="n">
        <v>10</v>
      </c>
      <c r="K246" t="n">
        <v>0</v>
      </c>
      <c r="L246" t="n">
        <v>11</v>
      </c>
      <c r="M246" t="n">
        <v>0</v>
      </c>
      <c r="N246" t="n">
        <v>7.5</v>
      </c>
      <c r="O246" t="n">
        <v>0</v>
      </c>
      <c r="P246">
        <f>Table1[[#This Row],[TA 1 - Q1 Score]]+Table1[[#This Row],[TA 1 - Q2 Score]]+Table1[[#This Row],[TA 1 - Q3 Score]]</f>
        <v/>
      </c>
      <c r="Q246">
        <f>Table1[[#This Row],[TA 1 - Q1 Bonus]]+Table1[[#This Row],[TA 1 - Q2 Bonus]]+Table1[[#This Row],[TA 1 - Q4 Bonus]]</f>
        <v/>
      </c>
      <c r="R246">
        <f>Table1[[#This Row],[TA 2 - Q1 Score]]+Table1[[#This Row],[TA 2 - Q2 Score]]+Table1[[#This Row],[TA 2 - Q3 Score]]</f>
        <v/>
      </c>
      <c r="S246">
        <f>Table1[[#This Row],[TA 2 - Q1 Bonus]]+Table1[[#This Row],[TA 2 - Q2 Bonus]]+Table1[[#This Row],[TA 2 - Q4 Bonus]]</f>
        <v/>
      </c>
      <c r="T246">
        <f>(Table1[[#This Row],[TA 1 - Total Score (out of 35)]]+Table1[[#This Row],[TA 2 - Total Score (out of 35)]])/2</f>
        <v/>
      </c>
      <c r="U246">
        <f>(Table1[[#This Row],[TA 1 - Total Bonus (out of 13)]]+Table1[[#This Row],[TA 2 - Total Bonus (out of 13)]])/2</f>
        <v/>
      </c>
      <c r="V246">
        <f>Table1[[#This Row],[Average Questions]]/35*20+Table1[[#This Row],[Average Bonus]]/13*5</f>
        <v/>
      </c>
      <c r="W246" t="n">
        <v>0</v>
      </c>
      <c r="X246" t="n">
        <v>0</v>
      </c>
      <c r="Y246" t="inlineStr">
        <is>
          <t>The student's submission does not run correctly due to several issues. The training and validation loops are incorrect, particularly the use of torch.sigmoid and the incorrect handling of labels. The model is not correctly set up for training, and the plotting functions are misconfigured. Additionally, the student did not implement the bonus task for Test Time Augmentation.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46" t="n">
        <v>0</v>
      </c>
      <c r="AA246" t="n">
        <v>0</v>
      </c>
      <c r="AB246" t="inlineStr">
        <is>
          <t>The student's submission does not run correctly due to several issues. The model architecture does not match the required specifications, and the training and validation functions contain errors. Additionally, the student did not implement the bonus task for residual connections. Therefore, the minimum defensible score for each task is 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246" t="n">
        <v>0</v>
      </c>
      <c r="AD246" t="inlineStr">
        <is>
          <t>The student's submission contains several critical errors that prevent the code from running correctly. The dataset class is incorrectly implemented, leading to issues in loading images and masks. The training and validation loops are defined but will not run due to the dataset issues. Additionally, the student did not include code to plot the loss curve or visualize predictions, which are essential tasks. Therefore, the minimum defensible score for each task is 0% due to the incomplete and non-functional nature of the submission.
Breakdown:
- Build custom dataset class for images and masks: 0.0/2.0
- Create DataLoaders: 0.0/0.5
- Display sample images and masks: 0.0/0.5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246" t="n">
        <v>0</v>
      </c>
      <c r="AF246" t="n">
        <v>0</v>
      </c>
      <c r="AG246" t="inlineStr">
        <is>
          <t>No submission found.</t>
        </is>
      </c>
      <c r="AH246" t="n">
        <v>0</v>
      </c>
      <c r="AI246" t="n">
        <v>0</v>
      </c>
    </row>
    <row r="247">
      <c r="A247" t="n">
        <v>246</v>
      </c>
      <c r="B247" t="inlineStr">
        <is>
          <t>TA_5</t>
        </is>
      </c>
      <c r="C247" t="inlineStr">
        <is>
          <t>TA_15</t>
        </is>
      </c>
      <c r="D247" t="n">
        <v>10</v>
      </c>
      <c r="E247" t="n">
        <v>0</v>
      </c>
      <c r="F247" t="n">
        <v>10</v>
      </c>
      <c r="G247" t="n">
        <v>0</v>
      </c>
      <c r="H247" t="n">
        <v>7.5</v>
      </c>
      <c r="I247" t="n">
        <v>0</v>
      </c>
      <c r="J247" t="n">
        <v>10.5</v>
      </c>
      <c r="K247" t="n">
        <v>0</v>
      </c>
      <c r="L247" t="n">
        <v>9</v>
      </c>
      <c r="M247" t="n">
        <v>1</v>
      </c>
      <c r="N247" t="n">
        <v>7.5</v>
      </c>
      <c r="O247" t="n">
        <v>0</v>
      </c>
      <c r="P247">
        <f>Table1[[#This Row],[TA 1 - Q1 Score]]+Table1[[#This Row],[TA 1 - Q2 Score]]+Table1[[#This Row],[TA 1 - Q3 Score]]</f>
        <v/>
      </c>
      <c r="Q247">
        <f>Table1[[#This Row],[TA 1 - Q1 Bonus]]+Table1[[#This Row],[TA 1 - Q2 Bonus]]+Table1[[#This Row],[TA 1 - Q4 Bonus]]</f>
        <v/>
      </c>
      <c r="R247">
        <f>Table1[[#This Row],[TA 2 - Q1 Score]]+Table1[[#This Row],[TA 2 - Q2 Score]]+Table1[[#This Row],[TA 2 - Q3 Score]]</f>
        <v/>
      </c>
      <c r="S247">
        <f>Table1[[#This Row],[TA 2 - Q1 Bonus]]+Table1[[#This Row],[TA 2 - Q2 Bonus]]+Table1[[#This Row],[TA 2 - Q4 Bonus]]</f>
        <v/>
      </c>
      <c r="T247">
        <f>(Table1[[#This Row],[TA 1 - Total Score (out of 35)]]+Table1[[#This Row],[TA 2 - Total Score (out of 35)]])/2</f>
        <v/>
      </c>
      <c r="U247">
        <f>(Table1[[#This Row],[TA 1 - Total Bonus (out of 13)]]+Table1[[#This Row],[TA 2 - Total Bonus (out of 13)]])/2</f>
        <v/>
      </c>
      <c r="V247">
        <f>Table1[[#This Row],[Average Questions]]/35*20+Table1[[#This Row],[Average Bonus]]/13*5</f>
        <v/>
      </c>
      <c r="W247" t="n">
        <v>0</v>
      </c>
      <c r="X247" t="n">
        <v>0</v>
      </c>
      <c r="Y247" t="inlineStr">
        <is>
          <t>The student's submission does not run end-to-end due to multiple issues. The transforms are incomplete, the DataLoaders are not correctly created, and the model training and validation functions are incorrect. The student did not fix the labels, which is a critical requirement. Additionally, the student did not implement the bonus task for Test Time Augmentation.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47" t="n">
        <v>0</v>
      </c>
      <c r="AA247" t="n">
        <v>0</v>
      </c>
      <c r="AB247" t="inlineStr">
        <is>
          <t>The student's submission does not run correctly due to several issues. The dataset paths are incorrectly set, leading to errors in loading the data. The transforms applied to the test dataset do not match the required specifications, and the model architecture does not follow the rubric's requirements. Additionally, the training and validation functions contain errors that prevent the model from training correctly. The bonus task is also incomplete and does not run.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47" t="n">
        <v>0</v>
      </c>
      <c r="AD247" t="inlineStr">
        <is>
          <t>The student's submission does not run end-to-end due to multiple issues. The dataset class is incorrectly implemented, leading to errors in data loading. The model definition and training loops are incomplete or incorrect, resulting in a non-functional pipeline. The visualization of predictions is also missing. Therefore, no points are awarded for any task as the code does not run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47" t="n">
        <v>0</v>
      </c>
      <c r="AF247" t="n">
        <v>0</v>
      </c>
      <c r="AG247" t="inlineStr">
        <is>
          <t>No submission found.</t>
        </is>
      </c>
      <c r="AH247" t="n">
        <v>0</v>
      </c>
      <c r="AI247" t="n">
        <v>0</v>
      </c>
    </row>
    <row r="248">
      <c r="A248" t="n">
        <v>247</v>
      </c>
      <c r="B248" t="inlineStr">
        <is>
          <t>TA_5</t>
        </is>
      </c>
      <c r="C248" t="inlineStr">
        <is>
          <t>TA_15</t>
        </is>
      </c>
      <c r="D248" t="n">
        <v>10</v>
      </c>
      <c r="E248" t="n">
        <v>0</v>
      </c>
      <c r="F248" t="n">
        <v>7.5</v>
      </c>
      <c r="G248" t="n">
        <v>0</v>
      </c>
      <c r="H248" t="n">
        <v>8</v>
      </c>
      <c r="I248" t="n">
        <v>0</v>
      </c>
      <c r="J248" t="n">
        <v>10</v>
      </c>
      <c r="K248" t="n">
        <v>0</v>
      </c>
      <c r="L248" t="n">
        <v>8.5</v>
      </c>
      <c r="M248" t="n">
        <v>0</v>
      </c>
      <c r="N248" t="n">
        <v>7.25</v>
      </c>
      <c r="O248" t="n">
        <v>0</v>
      </c>
      <c r="P248">
        <f>Table1[[#This Row],[TA 1 - Q1 Score]]+Table1[[#This Row],[TA 1 - Q2 Score]]+Table1[[#This Row],[TA 1 - Q3 Score]]</f>
        <v/>
      </c>
      <c r="Q248">
        <f>Table1[[#This Row],[TA 1 - Q1 Bonus]]+Table1[[#This Row],[TA 1 - Q2 Bonus]]+Table1[[#This Row],[TA 1 - Q4 Bonus]]</f>
        <v/>
      </c>
      <c r="R248">
        <f>Table1[[#This Row],[TA 2 - Q1 Score]]+Table1[[#This Row],[TA 2 - Q2 Score]]+Table1[[#This Row],[TA 2 - Q3 Score]]</f>
        <v/>
      </c>
      <c r="S248">
        <f>Table1[[#This Row],[TA 2 - Q1 Bonus]]+Table1[[#This Row],[TA 2 - Q2 Bonus]]+Table1[[#This Row],[TA 2 - Q4 Bonus]]</f>
        <v/>
      </c>
      <c r="T248">
        <f>(Table1[[#This Row],[TA 1 - Total Score (out of 35)]]+Table1[[#This Row],[TA 2 - Total Score (out of 35)]])/2</f>
        <v/>
      </c>
      <c r="U248">
        <f>(Table1[[#This Row],[TA 1 - Total Bonus (out of 13)]]+Table1[[#This Row],[TA 2 - Total Bonus (out of 13)]])/2</f>
        <v/>
      </c>
      <c r="V248">
        <f>Table1[[#This Row],[Average Questions]]/35*20+Table1[[#This Row],[Average Bonus]]/13*5</f>
        <v/>
      </c>
      <c r="W248" t="n">
        <v>0</v>
      </c>
      <c r="X248" t="n">
        <v>0</v>
      </c>
      <c r="Y248" t="inlineStr">
        <is>
          <t>The student's submission does not run end-to-end due to missing code for displaying sample images, setting up the device, model, loss, and optimizer, and plotting training and validation losses and accuracy. Additionally, the student did not implement the bonus task for Test Time Augmentation.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48" t="n">
        <v>0</v>
      </c>
      <c r="AA248" t="n">
        <v>0</v>
      </c>
      <c r="AB248" t="inlineStr">
        <is>
          <t>The student's submission does not run correctly due to several issues. The dataset class is implemented but does not correctly handle the image paths and labels. The transforms are incorrectly applied, and the model definition has errors, such as incorrect output channels in the convolutional layers. The training and validation functions are partially correct but contain logical errors, such as incorrect softmax application. The training loop does not run correctly due to these issues, resulting in no training or validation metrics being plotted. The bonus task is not attempted.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0.5/0.5
- Task 1: Set up device, model, loss, optimizer: 0.0/1.0
- Task 2: Train the model: 0.0/0.5
- Task 3: Plot losses and accuracy: 0.0/0.5
- Bonus Task: Defined residual connection correctly: 0.0/3.0
- Bonus Task: Retrain + Plot losses and accuracy: 0.0/1.0</t>
        </is>
      </c>
      <c r="AC248" t="n">
        <v>0</v>
      </c>
      <c r="AD248" t="inlineStr">
        <is>
          <t>The student's submission does not run end-to-end due to several issues. The dataset class is incomplete and does not correctly load images and masks. The DataLoaders are not correctly implemented, and the display of sample images and masks is missing. The model definition uses the wrong encoder (efficientnet-b1 instead of efficientnet-b0), and the training and validation loops are incorrectly implemented. The loss function and optimizer are incorrectly defined, and the training process does not print or plot the losses. Additionally, there is no code for visualizing predictions.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48" t="n">
        <v>0</v>
      </c>
      <c r="AF248" t="n">
        <v>0</v>
      </c>
      <c r="AG248" t="inlineStr">
        <is>
          <t>No submission found.</t>
        </is>
      </c>
      <c r="AH248" t="n">
        <v>0</v>
      </c>
      <c r="AI248" t="n">
        <v>0</v>
      </c>
    </row>
    <row r="249">
      <c r="A249" t="n">
        <v>248</v>
      </c>
      <c r="B249" t="inlineStr">
        <is>
          <t>TA_5</t>
        </is>
      </c>
      <c r="C249" t="inlineStr">
        <is>
          <t>TA_15</t>
        </is>
      </c>
      <c r="D249" t="n">
        <v>10</v>
      </c>
      <c r="E249" t="n">
        <v>0</v>
      </c>
      <c r="F249" t="n">
        <v>8</v>
      </c>
      <c r="G249" t="n">
        <v>0</v>
      </c>
      <c r="H249" t="n">
        <v>2</v>
      </c>
      <c r="I249" t="n">
        <v>0</v>
      </c>
      <c r="J249" t="n">
        <v>7.5</v>
      </c>
      <c r="K249" t="n">
        <v>0</v>
      </c>
      <c r="L249" t="n">
        <v>6</v>
      </c>
      <c r="M249" t="n">
        <v>0</v>
      </c>
      <c r="N249" t="n">
        <v>1</v>
      </c>
      <c r="O249" t="n">
        <v>0</v>
      </c>
      <c r="P249">
        <f>Table1[[#This Row],[TA 1 - Q1 Score]]+Table1[[#This Row],[TA 1 - Q2 Score]]+Table1[[#This Row],[TA 1 - Q3 Score]]</f>
        <v/>
      </c>
      <c r="Q249">
        <f>Table1[[#This Row],[TA 1 - Q1 Bonus]]+Table1[[#This Row],[TA 1 - Q2 Bonus]]+Table1[[#This Row],[TA 1 - Q4 Bonus]]</f>
        <v/>
      </c>
      <c r="R249">
        <f>Table1[[#This Row],[TA 2 - Q1 Score]]+Table1[[#This Row],[TA 2 - Q2 Score]]+Table1[[#This Row],[TA 2 - Q3 Score]]</f>
        <v/>
      </c>
      <c r="S249">
        <f>Table1[[#This Row],[TA 2 - Q1 Bonus]]+Table1[[#This Row],[TA 2 - Q2 Bonus]]+Table1[[#This Row],[TA 2 - Q4 Bonus]]</f>
        <v/>
      </c>
      <c r="T249">
        <f>(Table1[[#This Row],[TA 1 - Total Score (out of 35)]]+Table1[[#This Row],[TA 2 - Total Score (out of 35)]])/2</f>
        <v/>
      </c>
      <c r="U249">
        <f>(Table1[[#This Row],[TA 1 - Total Bonus (out of 13)]]+Table1[[#This Row],[TA 2 - Total Bonus (out of 13)]])/2</f>
        <v/>
      </c>
      <c r="V249">
        <f>Table1[[#This Row],[Average Questions]]/35*20+Table1[[#This Row],[Average Bonus]]/13*5</f>
        <v/>
      </c>
      <c r="W249" t="n">
        <v>0</v>
      </c>
      <c r="X249" t="n">
        <v>0</v>
      </c>
      <c r="Y249" t="inlineStr">
        <is>
          <t>The student's submission does not run correctly due to missing code in several critical parts. Specifically, the student did not complete the DataLoader creation, the model adaptation, and the training and validation functions. Additionally, the student did not implement the bonus task for Test Time Augmentation.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49" t="n">
        <v>0</v>
      </c>
      <c r="AA249" t="n">
        <v>0</v>
      </c>
      <c r="AB249" t="inlineStr">
        <is>
          <t>The student's submission does not run correctly due to several issues. The dataset class is incorrectly implemented, leading to errors in data loading. The CNN model does not follow the specified architecture with 5 convolutional layers and batch normalization. The training and validation functions are incomplete and contain logical errors.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49" t="n">
        <v>0</v>
      </c>
      <c r="AD249" t="inlineStr">
        <is>
          <t>The student's submission does not include any code for the training and validation loops, running the training, or visualizing predictions. The dataset class and model class are incorrectly implemented, and the student used a different model (Faster R-CNN) instead of the required U-Net with efficientnet-b1 encoder. The submission also does not include any code for displaying sample images and masks, defining the loss and optimizer, printing training and validation losses, or plotting the loss curve. Therefore, the student receives 0 points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49" t="n">
        <v>0</v>
      </c>
      <c r="AF249" t="n">
        <v>0</v>
      </c>
      <c r="AG249" t="inlineStr">
        <is>
          <t>No submission found.</t>
        </is>
      </c>
      <c r="AH249" t="n">
        <v>0</v>
      </c>
      <c r="AI249" t="n">
        <v>0</v>
      </c>
    </row>
    <row r="250">
      <c r="A250" t="n">
        <v>249</v>
      </c>
      <c r="B250" t="inlineStr">
        <is>
          <t>TA_5</t>
        </is>
      </c>
      <c r="C250" t="inlineStr">
        <is>
          <t>TA_15</t>
        </is>
      </c>
      <c r="D250" t="n">
        <v>8.5</v>
      </c>
      <c r="E250" t="n">
        <v>0</v>
      </c>
      <c r="F250" t="n">
        <v>10.5</v>
      </c>
      <c r="G250" t="n">
        <v>0</v>
      </c>
      <c r="H250" t="n">
        <v>8</v>
      </c>
      <c r="I250" t="n">
        <v>0</v>
      </c>
      <c r="J250" t="n">
        <v>8</v>
      </c>
      <c r="K250" t="n">
        <v>0</v>
      </c>
      <c r="L250" t="n">
        <v>9</v>
      </c>
      <c r="M250" t="n">
        <v>0</v>
      </c>
      <c r="N250" t="n">
        <v>8.5</v>
      </c>
      <c r="O250" t="n">
        <v>0</v>
      </c>
      <c r="P250">
        <f>Table1[[#This Row],[TA 1 - Q1 Score]]+Table1[[#This Row],[TA 1 - Q2 Score]]+Table1[[#This Row],[TA 1 - Q3 Score]]</f>
        <v/>
      </c>
      <c r="Q250">
        <f>Table1[[#This Row],[TA 1 - Q1 Bonus]]+Table1[[#This Row],[TA 1 - Q2 Bonus]]+Table1[[#This Row],[TA 1 - Q4 Bonus]]</f>
        <v/>
      </c>
      <c r="R250">
        <f>Table1[[#This Row],[TA 2 - Q1 Score]]+Table1[[#This Row],[TA 2 - Q2 Score]]+Table1[[#This Row],[TA 2 - Q3 Score]]</f>
        <v/>
      </c>
      <c r="S250">
        <f>Table1[[#This Row],[TA 2 - Q1 Bonus]]+Table1[[#This Row],[TA 2 - Q2 Bonus]]+Table1[[#This Row],[TA 2 - Q4 Bonus]]</f>
        <v/>
      </c>
      <c r="T250">
        <f>(Table1[[#This Row],[TA 1 - Total Score (out of 35)]]+Table1[[#This Row],[TA 2 - Total Score (out of 35)]])/2</f>
        <v/>
      </c>
      <c r="U250">
        <f>(Table1[[#This Row],[TA 1 - Total Bonus (out of 13)]]+Table1[[#This Row],[TA 2 - Total Bonus (out of 13)]])/2</f>
        <v/>
      </c>
      <c r="V250">
        <f>Table1[[#This Row],[Average Questions]]/35*20+Table1[[#This Row],[Average Bonus]]/13*5</f>
        <v/>
      </c>
      <c r="W250" t="n">
        <v>0</v>
      </c>
      <c r="X250" t="n">
        <v>0</v>
      </c>
      <c r="Y250" t="inlineStr">
        <is>
          <t>The student's submission contains several critical errors. The transforms are partially correct but the normalization step is missing. The DataLoaders are created but not used correctly in the training and validation loops. The model is incorrectly modified for binary classification instead of 26 classes, which is a fundamental deviation from the task requirements. The training and validation loops are incorrectly implemented for binary classification instead of multi-class classification. The plots for training and validation losses and accuracies are missing. The bonus task for Test Time Augmentation is not attempted. Overall, the submission does not meet the requirements of the task and runs incorrectly.
Breakdown:
- Task 1: Complete transforms (Resize, ToTensor, Normalize): 0.0/?
- Task 2: Create DataLoaders: 0.0/?
- Task 3: Display sample images: 0.0/?
- Task 1: Load pretrained EfficientNetV2-Small: 0.0/?
- Task 2: Freeze the backbone (feature extractor): 0.0/?
- Task 3: Replace classifier head for 26 classes: -50.0/?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50" t="n">
        <v>0</v>
      </c>
      <c r="AA250" t="n">
        <v>0</v>
      </c>
      <c r="AB250" t="inlineStr">
        <is>
          <t>The student's submission does not run end-to-end due to missing code in several critical parts. Specifically, the dataset class is incomplete, the transforms are not applied correctly, and the model definition and training loops are flawed. The student did not display sample images with labels, and there is no code for the bonus tasks. Therefore, the minimum defensible score for each incomplete or buggy task is 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50" t="n">
        <v>0</v>
      </c>
      <c r="AD250" t="inlineStr">
        <is>
          <t>The student's submission does not run end-to-end due to several critical issues. The dataset class is incomplete as it does not remap the mask values, which is essential for multi-class segmentation. The DataLoader creation is incorrect as it does not split the dataset into training and testing sets. The model definition is incorrect as it uses the wrong number of classes (1 instead of 8). The training and validation loops are incomplete and do not include the validation step. The loss and optimizer are defined incorrectly, and the training loop does not print validation losses. The visualization of predictions is incomplete and does not display ground truth masks correctly. Overall, the submission does not meet the requirements of the rubric and does not run correctly.
Breakdown:
- Build custom dataset class for images and masks: 0.0/2.0
- Create DataLoaders: 0.0/0.5
- Display sample images and masks: 0.0/0.5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250" t="n">
        <v>0</v>
      </c>
      <c r="AF250" t="n">
        <v>0</v>
      </c>
      <c r="AG250" t="inlineStr">
        <is>
          <t>No submission found.</t>
        </is>
      </c>
      <c r="AH250" t="n">
        <v>0</v>
      </c>
      <c r="AI250" t="n">
        <v>0</v>
      </c>
    </row>
    <row r="251">
      <c r="A251" t="n">
        <v>250</v>
      </c>
      <c r="B251" t="inlineStr">
        <is>
          <t>TA_5</t>
        </is>
      </c>
      <c r="C251" t="inlineStr">
        <is>
          <t>TA_15</t>
        </is>
      </c>
      <c r="D251" t="n">
        <v>11</v>
      </c>
      <c r="E251" t="n">
        <v>0</v>
      </c>
      <c r="F251" t="n">
        <v>11</v>
      </c>
      <c r="G251" t="n">
        <v>0</v>
      </c>
      <c r="H251" t="n">
        <v>9</v>
      </c>
      <c r="I251" t="n">
        <v>5</v>
      </c>
      <c r="J251" t="n">
        <v>12</v>
      </c>
      <c r="K251" t="n">
        <v>0</v>
      </c>
      <c r="L251" t="n">
        <v>10</v>
      </c>
      <c r="M251" t="n">
        <v>0</v>
      </c>
      <c r="N251" t="n">
        <v>9</v>
      </c>
      <c r="O251" t="n">
        <v>5</v>
      </c>
      <c r="P251">
        <f>Table1[[#This Row],[TA 1 - Q1 Score]]+Table1[[#This Row],[TA 1 - Q2 Score]]+Table1[[#This Row],[TA 1 - Q3 Score]]</f>
        <v/>
      </c>
      <c r="Q251">
        <f>Table1[[#This Row],[TA 1 - Q1 Bonus]]+Table1[[#This Row],[TA 1 - Q2 Bonus]]+Table1[[#This Row],[TA 1 - Q4 Bonus]]</f>
        <v/>
      </c>
      <c r="R251">
        <f>Table1[[#This Row],[TA 2 - Q1 Score]]+Table1[[#This Row],[TA 2 - Q2 Score]]+Table1[[#This Row],[TA 2 - Q3 Score]]</f>
        <v/>
      </c>
      <c r="S251">
        <f>Table1[[#This Row],[TA 2 - Q1 Bonus]]+Table1[[#This Row],[TA 2 - Q2 Bonus]]+Table1[[#This Row],[TA 2 - Q4 Bonus]]</f>
        <v/>
      </c>
      <c r="T251">
        <f>(Table1[[#This Row],[TA 1 - Total Score (out of 35)]]+Table1[[#This Row],[TA 2 - Total Score (out of 35)]])/2</f>
        <v/>
      </c>
      <c r="U251">
        <f>(Table1[[#This Row],[TA 1 - Total Bonus (out of 13)]]+Table1[[#This Row],[TA 2 - Total Bonus (out of 13)]])/2</f>
        <v/>
      </c>
      <c r="V251">
        <f>Table1[[#This Row],[Average Questions]]/35*20+Table1[[#This Row],[Average Bonus]]/13*5</f>
        <v/>
      </c>
      <c r="W251" t="n">
        <v>10</v>
      </c>
      <c r="X251" t="n">
        <v>0</v>
      </c>
      <c r="Y251" t="inlineStr">
        <is>
          <t>The student successfully completed the data loading and preparation tasks, including defining the transforms, creating DataLoaders, and loading the pretrained model. However, the student did not display sample images, which is a required task. The training and validation functions were correctly implemented, including the label fix for 0-indexed labels. The training setup and plotting tasks were also correctly implemented. The bonus task for Test Time Augmentation was not attempted, resulting in a score of 0 for that part.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51" t="n">
        <v>0</v>
      </c>
      <c r="AA251" t="n">
        <v>0</v>
      </c>
      <c r="AB251" t="inlineStr">
        <is>
          <t>The student's submission does not run correctly due to several issues. The dataset class is incorrectly implemented, leading to errors in data loading. The CNN model class does not follow the specified structure with 5 convolutional layers and proper batch normalization. The training and validation functions are incomplete and contain errors. Additionally, the training loop does not set up the device, model, loss, and optimizer correctly, and the plotting of losses and accuracy is incorrect. The bonus task is not attempted.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51" t="n">
        <v>0</v>
      </c>
      <c r="AD251" t="inlineStr">
        <is>
          <t>The student did not complete any of the tasks. The submission contains only the dataset download code and a function to remap masks, but no implementation for building the dataset class, creating DataLoaders, displaying sample images and masks, defining the model, training and validation loops, running the training, or visualizing predictions. Therefore, the score is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51" t="n">
        <v>0</v>
      </c>
      <c r="AF251" t="n">
        <v>0</v>
      </c>
      <c r="AG251" t="inlineStr">
        <is>
          <t>The student's implementation of the `ColorizationDataset` class contains several issues. The class definition is duplicated, and the `rgb_to_grayscale` method does not correctly handle the channel dimensions. Additionally, the `rgb_to_grayscale` method is incomplete and does not return the correct grayscale image. The `__getitem__` method is also incorrectly implemented, leading to errors in the dataset retrieval process. These issues prevent the code from running correctly, resulting in a score of 0.0 for the task.
Breakdown:
- Correctly implemented `ColorizationDataset` class: 0.0/5.0</t>
        </is>
      </c>
      <c r="AH251" t="n">
        <v>10</v>
      </c>
      <c r="AI251" t="n">
        <v>0</v>
      </c>
    </row>
    <row r="252">
      <c r="A252" t="n">
        <v>251</v>
      </c>
      <c r="B252" t="inlineStr">
        <is>
          <t>TA_5</t>
        </is>
      </c>
      <c r="C252" t="inlineStr">
        <is>
          <t>TA_15</t>
        </is>
      </c>
      <c r="D252" t="n">
        <v>4</v>
      </c>
      <c r="E252" t="n">
        <v>0</v>
      </c>
      <c r="F252" t="n">
        <v>7.5</v>
      </c>
      <c r="G252" t="n">
        <v>0</v>
      </c>
      <c r="H252" t="n">
        <v>2</v>
      </c>
      <c r="I252" t="n">
        <v>0</v>
      </c>
      <c r="J252" t="n">
        <v>4.25</v>
      </c>
      <c r="K252" t="n">
        <v>0</v>
      </c>
      <c r="L252" t="n">
        <v>7.25</v>
      </c>
      <c r="M252" t="n">
        <v>0</v>
      </c>
      <c r="N252" t="n">
        <v>5.25</v>
      </c>
      <c r="O252" t="n">
        <v>0</v>
      </c>
      <c r="P252">
        <f>Table1[[#This Row],[TA 1 - Q1 Score]]+Table1[[#This Row],[TA 1 - Q2 Score]]+Table1[[#This Row],[TA 1 - Q3 Score]]</f>
        <v/>
      </c>
      <c r="Q252">
        <f>Table1[[#This Row],[TA 1 - Q1 Bonus]]+Table1[[#This Row],[TA 1 - Q2 Bonus]]+Table1[[#This Row],[TA 1 - Q4 Bonus]]</f>
        <v/>
      </c>
      <c r="R252">
        <f>Table1[[#This Row],[TA 2 - Q1 Score]]+Table1[[#This Row],[TA 2 - Q2 Score]]+Table1[[#This Row],[TA 2 - Q3 Score]]</f>
        <v/>
      </c>
      <c r="S252">
        <f>Table1[[#This Row],[TA 2 - Q1 Bonus]]+Table1[[#This Row],[TA 2 - Q2 Bonus]]+Table1[[#This Row],[TA 2 - Q4 Bonus]]</f>
        <v/>
      </c>
      <c r="T252">
        <f>(Table1[[#This Row],[TA 1 - Total Score (out of 35)]]+Table1[[#This Row],[TA 2 - Total Score (out of 35)]])/2</f>
        <v/>
      </c>
      <c r="U252">
        <f>(Table1[[#This Row],[TA 1 - Total Bonus (out of 13)]]+Table1[[#This Row],[TA 2 - Total Bonus (out of 13)]])/2</f>
        <v/>
      </c>
      <c r="V252">
        <f>Table1[[#This Row],[Average Questions]]/35*20+Table1[[#This Row],[Average Bonus]]/13*5</f>
        <v/>
      </c>
      <c r="W252" t="n">
        <v>0</v>
      </c>
      <c r="X252" t="n">
        <v>0</v>
      </c>
      <c r="Y252" t="inlineStr">
        <is>
          <t>The student's submission does not run correctly due to several critical errors. The model is incorrectly modified for binary classification instead of 26 classes, the loss function is inappropriate for the task, and the training and validation loops are flawed. Additionally, the student did not implement the bonus task correctly.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52" t="n">
        <v>0</v>
      </c>
      <c r="AA252" t="n">
        <v>0</v>
      </c>
      <c r="AB252" t="inlineStr">
        <is>
          <t>The student's submission does not run correctly due to missing code for displaying sample images with labels, defining the CNN model with 5 convolutional layers, adding Batch Normalization, and plotting losses and accuracy. Additionally, the student did not attempt the bonus tasks. Therefore, the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52" t="n">
        <v>0</v>
      </c>
      <c r="AD252" t="inlineStr">
        <is>
          <t>The student's submission does not run correctly due to multiple issues. The dataset class is incorrectly defined and does not properly load images and masks. The DataLoader creation is flawed, and the model definition is missing. The training and validation loops are incorrectly implemented, and the loss and optimizer are not defined correctly. Additionally, the visualization of predictions is not implemented correctly. Therefore, no points are awarded for any task as the code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52" t="n">
        <v>0</v>
      </c>
      <c r="AF252" t="n">
        <v>0</v>
      </c>
      <c r="AG252" t="inlineStr">
        <is>
          <t>No submission found.</t>
        </is>
      </c>
      <c r="AH252" t="n">
        <v>0</v>
      </c>
      <c r="AI252" t="n">
        <v>0</v>
      </c>
    </row>
    <row r="253">
      <c r="A253" t="n">
        <v>252</v>
      </c>
      <c r="B253" t="inlineStr">
        <is>
          <t>TA_5</t>
        </is>
      </c>
      <c r="C253" t="inlineStr">
        <is>
          <t>TA_15</t>
        </is>
      </c>
      <c r="D253" t="n">
        <v>12</v>
      </c>
      <c r="E253" t="n">
        <v>3</v>
      </c>
      <c r="F253" t="n">
        <v>11</v>
      </c>
      <c r="G253" t="n">
        <v>1.5</v>
      </c>
      <c r="H253" t="n">
        <v>12</v>
      </c>
      <c r="I253" t="n">
        <v>0</v>
      </c>
      <c r="J253" t="n">
        <v>12</v>
      </c>
      <c r="K253" t="n">
        <v>3</v>
      </c>
      <c r="L253" t="n">
        <v>11</v>
      </c>
      <c r="M253" t="n">
        <v>1</v>
      </c>
      <c r="N253" t="n">
        <v>12</v>
      </c>
      <c r="O253" t="n">
        <v>0</v>
      </c>
      <c r="P253">
        <f>Table1[[#This Row],[TA 1 - Q1 Score]]+Table1[[#This Row],[TA 1 - Q2 Score]]+Table1[[#This Row],[TA 1 - Q3 Score]]</f>
        <v/>
      </c>
      <c r="Q253">
        <f>Table1[[#This Row],[TA 1 - Q1 Bonus]]+Table1[[#This Row],[TA 1 - Q2 Bonus]]+Table1[[#This Row],[TA 1 - Q4 Bonus]]</f>
        <v/>
      </c>
      <c r="R253">
        <f>Table1[[#This Row],[TA 2 - Q1 Score]]+Table1[[#This Row],[TA 2 - Q2 Score]]+Table1[[#This Row],[TA 2 - Q3 Score]]</f>
        <v/>
      </c>
      <c r="S253">
        <f>Table1[[#This Row],[TA 2 - Q1 Bonus]]+Table1[[#This Row],[TA 2 - Q2 Bonus]]+Table1[[#This Row],[TA 2 - Q4 Bonus]]</f>
        <v/>
      </c>
      <c r="T253">
        <f>(Table1[[#This Row],[TA 1 - Total Score (out of 35)]]+Table1[[#This Row],[TA 2 - Total Score (out of 35)]])/2</f>
        <v/>
      </c>
      <c r="U253">
        <f>(Table1[[#This Row],[TA 1 - Total Bonus (out of 13)]]+Table1[[#This Row],[TA 2 - Total Bonus (out of 13)]])/2</f>
        <v/>
      </c>
      <c r="V253">
        <f>Table1[[#This Row],[Average Questions]]/35*20+Table1[[#This Row],[Average Bonus]]/13*5</f>
        <v/>
      </c>
      <c r="W253" t="n">
        <v>0</v>
      </c>
      <c r="X253" t="n">
        <v>0</v>
      </c>
      <c r="Y253" t="inlineStr">
        <is>
          <t>The student's submission has several critical issues that prevent it from running correctly. The code for displaying sample images is incomplete and does not run. The model loading and adaptation steps are incorrect, with the backbone not being frozen properly and the classifier head not being replaced correctly. The training and validation loops are flawed, and the label fixing is not implemented correctly. Additionally, the bonus task for Test Time Augmentation (TTA) is not implemented correctly. Therefore, the student receives 0 points for the base tasks and 0 points for the bonus task.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53" t="n">
        <v>0</v>
      </c>
      <c r="AA253" t="n">
        <v>0</v>
      </c>
      <c r="AB253" t="inlineStr">
        <is>
          <t>The student's submission does not run correctly due to several issues. The dataset class or ImageFolder is not correctly implemented as the student used the wrong dataset (CIFAR-10 instead of Potato Disease Dataset). The transforms are incorrect as the student resized the images to 32x32 instead of 128x128. The CNN model class does not have 5 convolutional layers and the batch normalization is incorrectly implemented. The training and validation functions are incorrect as they use softmax which is not needed with CrossEntropyLoss. The training process does not run correctly due to the incorrect model and dataset. The bonus task is also incorrect as the residual connection is not defined correctly and the model does not retrain correctly.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53" t="n">
        <v>0</v>
      </c>
      <c r="AD253" t="inlineStr">
        <is>
          <t>The student's submission does not run correctly due to missing code for several tasks. Specifically, the dataset class is incomplete, the model definition is incorrect, and the training and validation loops are not correctly implemented. Additionally, the student did not provide code for plotting the loss curve and visualizing predictions. Therefore, the minimum defensible score for each incomplete or buggy task is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53" t="n">
        <v>0</v>
      </c>
      <c r="AF253" t="n">
        <v>0</v>
      </c>
      <c r="AG253" t="inlineStr">
        <is>
          <t>No submission found.</t>
        </is>
      </c>
      <c r="AH253" t="n">
        <v>0</v>
      </c>
      <c r="AI253" t="n">
        <v>0</v>
      </c>
    </row>
    <row r="254">
      <c r="A254" t="n">
        <v>253</v>
      </c>
      <c r="B254" t="inlineStr">
        <is>
          <t>TA_5</t>
        </is>
      </c>
      <c r="C254" t="inlineStr">
        <is>
          <t>TA_15</t>
        </is>
      </c>
      <c r="D254" t="n">
        <v>4</v>
      </c>
      <c r="E254" t="n">
        <v>0</v>
      </c>
      <c r="F254" t="n">
        <v>7</v>
      </c>
      <c r="G254" t="n">
        <v>0</v>
      </c>
      <c r="H254" t="n">
        <v>10.5</v>
      </c>
      <c r="I254" t="n">
        <v>0</v>
      </c>
      <c r="J254" t="n">
        <v>3.75</v>
      </c>
      <c r="K254" t="n">
        <v>0</v>
      </c>
      <c r="L254" t="n">
        <v>6</v>
      </c>
      <c r="M254" t="n">
        <v>0</v>
      </c>
      <c r="N254" t="n">
        <v>11</v>
      </c>
      <c r="O254" t="n">
        <v>0</v>
      </c>
      <c r="P254">
        <f>Table1[[#This Row],[TA 1 - Q1 Score]]+Table1[[#This Row],[TA 1 - Q2 Score]]+Table1[[#This Row],[TA 1 - Q3 Score]]</f>
        <v/>
      </c>
      <c r="Q254">
        <f>Table1[[#This Row],[TA 1 - Q1 Bonus]]+Table1[[#This Row],[TA 1 - Q2 Bonus]]+Table1[[#This Row],[TA 1 - Q4 Bonus]]</f>
        <v/>
      </c>
      <c r="R254">
        <f>Table1[[#This Row],[TA 2 - Q1 Score]]+Table1[[#This Row],[TA 2 - Q2 Score]]+Table1[[#This Row],[TA 2 - Q3 Score]]</f>
        <v/>
      </c>
      <c r="S254">
        <f>Table1[[#This Row],[TA 2 - Q1 Bonus]]+Table1[[#This Row],[TA 2 - Q2 Bonus]]+Table1[[#This Row],[TA 2 - Q4 Bonus]]</f>
        <v/>
      </c>
      <c r="T254">
        <f>(Table1[[#This Row],[TA 1 - Total Score (out of 35)]]+Table1[[#This Row],[TA 2 - Total Score (out of 35)]])/2</f>
        <v/>
      </c>
      <c r="U254">
        <f>(Table1[[#This Row],[TA 1 - Total Bonus (out of 13)]]+Table1[[#This Row],[TA 2 - Total Bonus (out of 13)]])/2</f>
        <v/>
      </c>
      <c r="V254">
        <f>Table1[[#This Row],[Average Questions]]/35*20+Table1[[#This Row],[Average Bonus]]/13*5</f>
        <v/>
      </c>
      <c r="W254" t="n">
        <v>0</v>
      </c>
      <c r="X254" t="n">
        <v>0</v>
      </c>
      <c r="Y254" t="inlineStr">
        <is>
          <t>The student's submission does not run correctly due to several critical errors. The transforms are not correctly defined, the DataLoaders are not created properly, and the model setup is incomplete. Additionally, the training and validation loops are incorrect, and the plots for training and validation losses and accuracies are missing. The bonus task for Test Time Augmentation is also not attempted.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54" t="n">
        <v>0</v>
      </c>
      <c r="AA254" t="n">
        <v>0</v>
      </c>
      <c r="AB254" t="inlineStr">
        <is>
          <t>The student's submission does not follow the rubric and uses a different dataset (Tire Textures) instead of the specified Potato Disease Dataset. The code is incomplete and does not run correctly, resulting in a score of 0 for all tasks. The student did not attempt to create a custom Dataset class or use ImageFolder correctly, did not apply the correct transforms, and did not build the CNN model as specified. The training and validation functions are incomplete, and the training process is not set up correctly. Additionally, the student did not attempt the bonus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54" t="n">
        <v>0</v>
      </c>
      <c r="AD254" t="inlineStr">
        <is>
          <t>The student's submission does not run end-to-end due to missing code in critical sections, such as the training loop and the visualization of predictions. The code for defining the model and the training loop is incomplete, and there are no attempts to print or plot the training and validation losses. Therefore, the minimum defensible score for each task is 0% as the code does not run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54" t="n">
        <v>0</v>
      </c>
      <c r="AF254" t="n">
        <v>0</v>
      </c>
      <c r="AG254" t="inlineStr">
        <is>
          <t>No submission found.</t>
        </is>
      </c>
      <c r="AH254" t="n">
        <v>0</v>
      </c>
      <c r="AI254" t="n">
        <v>0</v>
      </c>
    </row>
    <row r="255">
      <c r="A255" t="n">
        <v>254</v>
      </c>
      <c r="B255" t="inlineStr">
        <is>
          <t>TA_5</t>
        </is>
      </c>
      <c r="C255" t="inlineStr">
        <is>
          <t>TA_15</t>
        </is>
      </c>
      <c r="D255" t="n">
        <v>2.5</v>
      </c>
      <c r="E255" t="n">
        <v>0</v>
      </c>
      <c r="F255" t="n">
        <v>0</v>
      </c>
      <c r="G255" t="n">
        <v>0</v>
      </c>
      <c r="H255" t="n">
        <v>0</v>
      </c>
      <c r="I255" t="n">
        <v>0</v>
      </c>
      <c r="J255" t="n">
        <v>3</v>
      </c>
      <c r="K255" t="n">
        <v>0</v>
      </c>
      <c r="L255" t="n">
        <v>0</v>
      </c>
      <c r="M255" t="n">
        <v>0</v>
      </c>
      <c r="N255" t="n">
        <v>0</v>
      </c>
      <c r="O255" t="n">
        <v>0</v>
      </c>
      <c r="P255">
        <f>Table1[[#This Row],[TA 1 - Q1 Score]]+Table1[[#This Row],[TA 1 - Q2 Score]]+Table1[[#This Row],[TA 1 - Q3 Score]]</f>
        <v/>
      </c>
      <c r="Q255">
        <f>Table1[[#This Row],[TA 1 - Q1 Bonus]]+Table1[[#This Row],[TA 1 - Q2 Bonus]]+Table1[[#This Row],[TA 1 - Q4 Bonus]]</f>
        <v/>
      </c>
      <c r="R255">
        <f>Table1[[#This Row],[TA 2 - Q1 Score]]+Table1[[#This Row],[TA 2 - Q2 Score]]+Table1[[#This Row],[TA 2 - Q3 Score]]</f>
        <v/>
      </c>
      <c r="S255">
        <f>Table1[[#This Row],[TA 2 - Q1 Bonus]]+Table1[[#This Row],[TA 2 - Q2 Bonus]]+Table1[[#This Row],[TA 2 - Q4 Bonus]]</f>
        <v/>
      </c>
      <c r="T255">
        <f>(Table1[[#This Row],[TA 1 - Total Score (out of 35)]]+Table1[[#This Row],[TA 2 - Total Score (out of 35)]])/2</f>
        <v/>
      </c>
      <c r="U255">
        <f>(Table1[[#This Row],[TA 1 - Total Bonus (out of 13)]]+Table1[[#This Row],[TA 2 - Total Bonus (out of 13)]])/2</f>
        <v/>
      </c>
      <c r="V255">
        <f>Table1[[#This Row],[Average Questions]]/35*20+Table1[[#This Row],[Average Bonus]]/13*5</f>
        <v/>
      </c>
      <c r="W255" t="n">
        <v>0</v>
      </c>
      <c r="X255" t="n">
        <v>0</v>
      </c>
      <c r="Y255" t="inlineStr">
        <is>
          <t>The student's submission is incomplete and does not run correctly. The transforms are not fully defined, the DataLoaders are not created correctly, and the model is not properly set up for training. The training and validation loops are incorrect, and the plots for training and validation losses and accuracies are missing. Additionally, the bonus task for Test Time Augmentation is not attempted.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55" t="n">
        <v>0</v>
      </c>
      <c r="AA255" t="n">
        <v>0</v>
      </c>
      <c r="AB255" t="inlineStr">
        <is>
          <t>The student's submission is incomplete and does not run. There is no code for loading and preparing the data, building the CNN model, training and validation functions, or training the model. Additionally, the student did not attempt the bonus task. Therefore, the score is 0.0 for all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255" t="n">
        <v>0</v>
      </c>
      <c r="AD255" t="inlineStr">
        <is>
          <t>The student's submission is incomplete and does not run end-to-end. The dataset class is partially defined but not completed, and there is no code for creating DataLoaders, displaying sample images and masks, defining the model, training and validation loops, running training, or visualizing predictions.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55" t="n">
        <v>0</v>
      </c>
      <c r="AF255" t="n">
        <v>0</v>
      </c>
      <c r="AG255" t="inlineStr">
        <is>
          <t>The student's implementation of the `ColorizationDataset` class contains multiple errors that prevent it from running correctly. The `rgb_to_grayscale` method does not convert the image to grayscale correctly, and the `__getitem__` method has syntax errors and logical mistakes. These issues result in the code not producing the correct output, and thus, the task is incomplete.
Breakdown:
- Correctly implemented `ColorizationDataset` class: 0.0/?</t>
        </is>
      </c>
      <c r="AH255" t="n">
        <v>0</v>
      </c>
      <c r="AI255" t="n">
        <v>0</v>
      </c>
    </row>
    <row r="256">
      <c r="A256" t="n">
        <v>255</v>
      </c>
      <c r="B256" t="inlineStr">
        <is>
          <t>TA_5</t>
        </is>
      </c>
      <c r="C256" t="inlineStr">
        <is>
          <t>TA_15</t>
        </is>
      </c>
      <c r="D256" t="n">
        <v>11</v>
      </c>
      <c r="E256" t="n">
        <v>0</v>
      </c>
      <c r="F256" t="n">
        <v>11</v>
      </c>
      <c r="G256" t="n">
        <v>0</v>
      </c>
      <c r="H256" t="n">
        <v>11</v>
      </c>
      <c r="I256" t="n">
        <v>0</v>
      </c>
      <c r="J256" t="n">
        <v>11</v>
      </c>
      <c r="K256" t="n">
        <v>0</v>
      </c>
      <c r="L256" t="n">
        <v>11</v>
      </c>
      <c r="M256" t="n">
        <v>0</v>
      </c>
      <c r="N256" t="n">
        <v>10.5</v>
      </c>
      <c r="O256" t="n">
        <v>0</v>
      </c>
      <c r="P256">
        <f>Table1[[#This Row],[TA 1 - Q1 Score]]+Table1[[#This Row],[TA 1 - Q2 Score]]+Table1[[#This Row],[TA 1 - Q3 Score]]</f>
        <v/>
      </c>
      <c r="Q256">
        <f>Table1[[#This Row],[TA 1 - Q1 Bonus]]+Table1[[#This Row],[TA 1 - Q2 Bonus]]+Table1[[#This Row],[TA 1 - Q4 Bonus]]</f>
        <v/>
      </c>
      <c r="R256">
        <f>Table1[[#This Row],[TA 2 - Q1 Score]]+Table1[[#This Row],[TA 2 - Q2 Score]]+Table1[[#This Row],[TA 2 - Q3 Score]]</f>
        <v/>
      </c>
      <c r="S256">
        <f>Table1[[#This Row],[TA 2 - Q1 Bonus]]+Table1[[#This Row],[TA 2 - Q2 Bonus]]+Table1[[#This Row],[TA 2 - Q4 Bonus]]</f>
        <v/>
      </c>
      <c r="T256">
        <f>(Table1[[#This Row],[TA 1 - Total Score (out of 35)]]+Table1[[#This Row],[TA 2 - Total Score (out of 35)]])/2</f>
        <v/>
      </c>
      <c r="U256">
        <f>(Table1[[#This Row],[TA 1 - Total Bonus (out of 13)]]+Table1[[#This Row],[TA 2 - Total Bonus (out of 13)]])/2</f>
        <v/>
      </c>
      <c r="V256">
        <f>Table1[[#This Row],[Average Questions]]/35*20+Table1[[#This Row],[Average Bonus]]/13*5</f>
        <v/>
      </c>
      <c r="W256" t="n">
        <v>0</v>
      </c>
      <c r="X256" t="n">
        <v>0</v>
      </c>
      <c r="Y256" t="inlineStr">
        <is>
          <t>The student's submission is incomplete and does not run correctly. The code for displaying sample images, setting up the device, model, loss, and optimizer, and plotting training and validation losses and accuracy is missing. Additionally, the code for the bonus task of Test Time Augmentation is not implemented.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56" t="n">
        <v>0</v>
      </c>
      <c r="AA256" t="n">
        <v>0</v>
      </c>
      <c r="AB256" t="inlineStr">
        <is>
          <t>The student's submission does not run correctly due to several issues. The dataset paths are incorrect, leading to errors in loading the data. The transforms applied to the test dataset include normalization, which is not specified in the rubric. The CNN model does not follow the specified architecture with 5 convolutional layers. The training and validation functions are incorrectly implemented, leading to errors in the training process.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56" t="n">
        <v>0</v>
      </c>
      <c r="AD256" t="inlineStr">
        <is>
          <t>The student's submission does not run correctly due to several issues. The dataset class is incomplete and does not correctly load images and masks. The DataLoaders are not correctly implemented, and the model definition uses the wrong encoder. The training and validation loops are incomplete and do not run correctly. The loss and optimizer are defined but not used correctly in the training loop. The visualization of predictions is attempted but does not produce correct outputs. Therefore, no points are awarded for any task as the code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56" t="n">
        <v>0</v>
      </c>
      <c r="AF256" t="n">
        <v>0</v>
      </c>
      <c r="AG256" t="inlineStr">
        <is>
          <t>No submission found.</t>
        </is>
      </c>
      <c r="AH256" t="n">
        <v>0</v>
      </c>
      <c r="AI256" t="n">
        <v>0</v>
      </c>
    </row>
    <row r="257">
      <c r="A257" t="n">
        <v>256</v>
      </c>
      <c r="B257" t="inlineStr">
        <is>
          <t>TA_5</t>
        </is>
      </c>
      <c r="C257" t="inlineStr">
        <is>
          <t>TA_15</t>
        </is>
      </c>
      <c r="D257" t="n">
        <v>12</v>
      </c>
      <c r="E257" t="n">
        <v>3</v>
      </c>
      <c r="F257" t="n">
        <v>11</v>
      </c>
      <c r="G257" t="n">
        <v>4</v>
      </c>
      <c r="H257" t="n">
        <v>12</v>
      </c>
      <c r="I257" t="n">
        <v>5</v>
      </c>
      <c r="J257" t="n">
        <v>12</v>
      </c>
      <c r="K257" t="n">
        <v>3</v>
      </c>
      <c r="L257" t="n">
        <v>11</v>
      </c>
      <c r="M257" t="n">
        <v>4</v>
      </c>
      <c r="N257" t="n">
        <v>12</v>
      </c>
      <c r="O257" t="n">
        <v>5</v>
      </c>
      <c r="P257">
        <f>Table1[[#This Row],[TA 1 - Q1 Score]]+Table1[[#This Row],[TA 1 - Q2 Score]]+Table1[[#This Row],[TA 1 - Q3 Score]]</f>
        <v/>
      </c>
      <c r="Q257">
        <f>Table1[[#This Row],[TA 1 - Q1 Bonus]]+Table1[[#This Row],[TA 1 - Q2 Bonus]]+Table1[[#This Row],[TA 1 - Q4 Bonus]]</f>
        <v/>
      </c>
      <c r="R257">
        <f>Table1[[#This Row],[TA 2 - Q1 Score]]+Table1[[#This Row],[TA 2 - Q2 Score]]+Table1[[#This Row],[TA 2 - Q3 Score]]</f>
        <v/>
      </c>
      <c r="S257">
        <f>Table1[[#This Row],[TA 2 - Q1 Bonus]]+Table1[[#This Row],[TA 2 - Q2 Bonus]]+Table1[[#This Row],[TA 2 - Q4 Bonus]]</f>
        <v/>
      </c>
      <c r="T257">
        <f>(Table1[[#This Row],[TA 1 - Total Score (out of 35)]]+Table1[[#This Row],[TA 2 - Total Score (out of 35)]])/2</f>
        <v/>
      </c>
      <c r="U257">
        <f>(Table1[[#This Row],[TA 1 - Total Bonus (out of 13)]]+Table1[[#This Row],[TA 2 - Total Bonus (out of 13)]])/2</f>
        <v/>
      </c>
      <c r="V257">
        <f>Table1[[#This Row],[Average Questions]]/35*20+Table1[[#This Row],[Average Bonus]]/13*5</f>
        <v/>
      </c>
      <c r="W257" t="n">
        <v>10.5</v>
      </c>
      <c r="X257" t="n">
        <v>0</v>
      </c>
      <c r="Y257" t="inlineStr">
        <is>
          <t>The student successfully completed the data loading and preparation tasks, including transforms, DataLoader creation, and displaying sample images. The model loading and adaptation tasks were also correctly implemented, including loading the pretrained model, freezing the backbone, and replacing the classifier head. The training and validation loops were correctly defined, and the label fix for 0-indexed labels was implemented. The training process, including setting up the device, model, loss, optimizer, and plotting the training and validation losses and accuracies, was correctly executed. However, the bonus task for Test Time Augmentation (TTA) was not implemented correctly, resulting in no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257" t="n">
        <v>0</v>
      </c>
      <c r="AA257" t="n">
        <v>0</v>
      </c>
      <c r="AB257" t="inlineStr">
        <is>
          <t>The student's submission does not run correctly due to several issues. The dataset class is defined but not used correctly, the transforms are incorrect, and the CNN model does not follow the specified architecture. The training and validation functions are incomplete, and the training process does not set up the device, model, loss, and optimizer correctly. Additionally, the bonus task for residual connections is not implemented correctly.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57" t="n">
        <v>0</v>
      </c>
      <c r="AD257" t="inlineStr">
        <is>
          <t>The student's submission does not run correctly due to several issues. The dataset class is incomplete and does not correctly load images and masks. The DataLoaders are not correctly implemented, and the display of sample images and masks is missing. The model class definition is incorrect as it uses 'efficientnet-b1' instead of 'efficientnet-b0'. The training and validation loops are not correctly implemented, and the loss and optimizer are not defined correctly. The training process does not run correctly, and the loss curve is not plotted. The visualization of predictions vs ground truth is missing. Therefore, the student receives 0 points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57" t="n">
        <v>0</v>
      </c>
      <c r="AF257" t="n">
        <v>0</v>
      </c>
      <c r="AG257" t="inlineStr">
        <is>
          <t>The student's implementation of the `ColorizationDataset` class is incorrect. Specifically, the `rgb_to_grayscale` method does not add the channel dimension correctly, resulting in a tensor of shape (H, W) instead of (1, H, W). This mistake prevents the code from running correctly, and thus, no points can be awarded for this task.
Breakdown:
- Correctly implemented `ColorizationDataset` class: 0.0/?</t>
        </is>
      </c>
      <c r="AH257" t="n">
        <v>10.5</v>
      </c>
      <c r="AI257" t="n">
        <v>0</v>
      </c>
    </row>
    <row r="258">
      <c r="A258" t="n">
        <v>257</v>
      </c>
      <c r="B258" t="inlineStr">
        <is>
          <t>TA_5</t>
        </is>
      </c>
      <c r="C258" t="inlineStr">
        <is>
          <t>TA_15</t>
        </is>
      </c>
      <c r="D258" t="n">
        <v>11</v>
      </c>
      <c r="E258" t="n">
        <v>0</v>
      </c>
      <c r="F258" t="n">
        <v>9</v>
      </c>
      <c r="G258" t="n">
        <v>0</v>
      </c>
      <c r="H258" t="n">
        <v>6</v>
      </c>
      <c r="I258" t="n">
        <v>0</v>
      </c>
      <c r="J258" t="n">
        <v>9.5</v>
      </c>
      <c r="K258" t="n">
        <v>0</v>
      </c>
      <c r="L258" t="n">
        <v>8</v>
      </c>
      <c r="M258" t="n">
        <v>0</v>
      </c>
      <c r="N258" t="n">
        <v>5.75</v>
      </c>
      <c r="O258" t="n">
        <v>0</v>
      </c>
      <c r="P258">
        <f>Table1[[#This Row],[TA 1 - Q1 Score]]+Table1[[#This Row],[TA 1 - Q2 Score]]+Table1[[#This Row],[TA 1 - Q3 Score]]</f>
        <v/>
      </c>
      <c r="Q258">
        <f>Table1[[#This Row],[TA 1 - Q1 Bonus]]+Table1[[#This Row],[TA 1 - Q2 Bonus]]+Table1[[#This Row],[TA 1 - Q4 Bonus]]</f>
        <v/>
      </c>
      <c r="R258">
        <f>Table1[[#This Row],[TA 2 - Q1 Score]]+Table1[[#This Row],[TA 2 - Q2 Score]]+Table1[[#This Row],[TA 2 - Q3 Score]]</f>
        <v/>
      </c>
      <c r="S258">
        <f>Table1[[#This Row],[TA 2 - Q1 Bonus]]+Table1[[#This Row],[TA 2 - Q2 Bonus]]+Table1[[#This Row],[TA 2 - Q4 Bonus]]</f>
        <v/>
      </c>
      <c r="T258">
        <f>(Table1[[#This Row],[TA 1 - Total Score (out of 35)]]+Table1[[#This Row],[TA 2 - Total Score (out of 35)]])/2</f>
        <v/>
      </c>
      <c r="U258">
        <f>(Table1[[#This Row],[TA 1 - Total Bonus (out of 13)]]+Table1[[#This Row],[TA 2 - Total Bonus (out of 13)]])/2</f>
        <v/>
      </c>
      <c r="V258">
        <f>Table1[[#This Row],[Average Questions]]/35*20+Table1[[#This Row],[Average Bonus]]/13*5</f>
        <v/>
      </c>
      <c r="W258" t="n">
        <v>0</v>
      </c>
      <c r="X258" t="n">
        <v>0</v>
      </c>
      <c r="Y258" t="inlineStr">
        <is>
          <t>The student's submission contains errors in the training and validation loops, which prevent the model from running correctly. Specifically, the training loop does not correctly compute the predictions and the validation loop does not correctly compute the accuracy. Additionally, the student did not plot the validation losses or accuracies. The bonus task for Test Time Augmentation (TTA) was not attempted. Therefore, the student receives 0 points for the tasks that did not run correctly and 0 points for the bonus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58" t="n">
        <v>0</v>
      </c>
      <c r="AA258" t="n">
        <v>0</v>
      </c>
      <c r="AB258" t="inlineStr">
        <is>
          <t>The student's submission does not run correctly due to multiple issues. The model definition is incorrect, with mismatched batch normalization layers and missing fully connected layers. The training and validation functions are incomplete and do not correctly handle the model's output. Additionally, the student did not plot the losses and accuracies as required. The bonus task is also incomplete and does not run correctly.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58" t="n">
        <v>0</v>
      </c>
      <c r="AD258" t="inlineStr">
        <is>
          <t>The student's submission contains several critical errors and omissions that prevent the code from running correctly. The dataset class is incomplete and contains syntax errors, the model definition uses the wrong encoder, and the training and validation loops are incorrectly implemented. Additionally, the loss function and optimizer are not correctly defined for the task, and the visualization of predictions is missing. The code does not follow the rubric and does not run end-to-end, resulting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58" t="n">
        <v>0</v>
      </c>
      <c r="AF258" t="n">
        <v>0</v>
      </c>
      <c r="AG258" t="inlineStr">
        <is>
          <t>No submission found.</t>
        </is>
      </c>
      <c r="AH258" t="n">
        <v>0</v>
      </c>
      <c r="AI258" t="n">
        <v>0</v>
      </c>
    </row>
    <row r="259">
      <c r="A259" t="n">
        <v>258</v>
      </c>
      <c r="B259" t="inlineStr">
        <is>
          <t>TA_5</t>
        </is>
      </c>
      <c r="C259" t="inlineStr">
        <is>
          <t>TA_15</t>
        </is>
      </c>
      <c r="D259" t="n">
        <v>10</v>
      </c>
      <c r="E259" t="n">
        <v>0</v>
      </c>
      <c r="F259" t="n">
        <v>9</v>
      </c>
      <c r="G259" t="n">
        <v>0</v>
      </c>
      <c r="H259" t="n">
        <v>12</v>
      </c>
      <c r="I259" t="n">
        <v>0</v>
      </c>
      <c r="J259" t="n">
        <v>10.5</v>
      </c>
      <c r="K259" t="n">
        <v>0</v>
      </c>
      <c r="L259" t="n">
        <v>9.5</v>
      </c>
      <c r="M259" t="n">
        <v>0</v>
      </c>
      <c r="N259" t="n">
        <v>10.5</v>
      </c>
      <c r="O259" t="n">
        <v>0</v>
      </c>
      <c r="P259">
        <f>Table1[[#This Row],[TA 1 - Q1 Score]]+Table1[[#This Row],[TA 1 - Q2 Score]]+Table1[[#This Row],[TA 1 - Q3 Score]]</f>
        <v/>
      </c>
      <c r="Q259">
        <f>Table1[[#This Row],[TA 1 - Q1 Bonus]]+Table1[[#This Row],[TA 1 - Q2 Bonus]]+Table1[[#This Row],[TA 1 - Q4 Bonus]]</f>
        <v/>
      </c>
      <c r="R259">
        <f>Table1[[#This Row],[TA 2 - Q1 Score]]+Table1[[#This Row],[TA 2 - Q2 Score]]+Table1[[#This Row],[TA 2 - Q3 Score]]</f>
        <v/>
      </c>
      <c r="S259">
        <f>Table1[[#This Row],[TA 2 - Q1 Bonus]]+Table1[[#This Row],[TA 2 - Q2 Bonus]]+Table1[[#This Row],[TA 2 - Q4 Bonus]]</f>
        <v/>
      </c>
      <c r="T259">
        <f>(Table1[[#This Row],[TA 1 - Total Score (out of 35)]]+Table1[[#This Row],[TA 2 - Total Score (out of 35)]])/2</f>
        <v/>
      </c>
      <c r="U259">
        <f>(Table1[[#This Row],[TA 1 - Total Bonus (out of 13)]]+Table1[[#This Row],[TA 2 - Total Bonus (out of 13)]])/2</f>
        <v/>
      </c>
      <c r="V259">
        <f>Table1[[#This Row],[Average Questions]]/35*20+Table1[[#This Row],[Average Bonus]]/13*5</f>
        <v/>
      </c>
      <c r="W259" t="n">
        <v>0</v>
      </c>
      <c r="X259" t="n">
        <v>0</v>
      </c>
      <c r="Y259" t="inlineStr">
        <is>
          <t>The student's submission does not run correctly due to several issues. The transforms are not correctly applied, the DataLoaders are not created properly, and the model training and validation loops are incorrect. Additionally, the student did not fix the labels for 0-indexing, which is a critical requirement. The bonus task for Test Time Augmentation (TTA) is also incomplete and incorrect.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59" t="n">
        <v>0</v>
      </c>
      <c r="AA259" t="n">
        <v>0</v>
      </c>
      <c r="AB259" t="inlineStr">
        <is>
          <t>The student's submission does not run correctly due to several issues. The dataset loading and transformation steps are incorrect, leading to errors in subsequent tasks. The CNN model definition is flawed, and the training and validation functions are not correctly implemented.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59" t="n">
        <v>0</v>
      </c>
      <c r="AD259" t="inlineStr">
        <is>
          <t>The student's submission does not run correctly due to several issues. The dataset class is incomplete and the DataLoader creation is incorrect. The model definition uses the wrong encoder, and the training and validation loops are not correctly implemented. Additionally, the loss and optimizer are not defined correctly, and the visualization of predictions is missing.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59" t="n">
        <v>0</v>
      </c>
      <c r="AF259" t="n">
        <v>0</v>
      </c>
      <c r="AG259" t="inlineStr">
        <is>
          <t>The student did not implement any of the required methods in the `ColorizationDataset` class. The `__init__`, `__len__`, `rgb_to_grayscale`, and `__getitem__` methods are all left as 'TO DO' placeholders, indicating that no code was written for these tasks. Additionally, the visualization code will not run correctly because the dataset methods are not implemented. Therefore, the student receives 0 points for this task.
Breakdown:
- Correctly implemented `ColorizationDataset` class: 0.0/5.0</t>
        </is>
      </c>
      <c r="AH259" t="n">
        <v>0</v>
      </c>
      <c r="AI259" t="n">
        <v>0</v>
      </c>
    </row>
    <row r="260">
      <c r="A260" t="n">
        <v>259</v>
      </c>
      <c r="B260" t="inlineStr">
        <is>
          <t>TA_5</t>
        </is>
      </c>
      <c r="C260" t="inlineStr">
        <is>
          <t>TA_15</t>
        </is>
      </c>
      <c r="D260" t="n">
        <v>12</v>
      </c>
      <c r="E260" t="n">
        <v>0</v>
      </c>
      <c r="F260" t="n">
        <v>10.5</v>
      </c>
      <c r="G260" t="n">
        <v>0</v>
      </c>
      <c r="H260" t="n">
        <v>8.5</v>
      </c>
      <c r="I260" t="n">
        <v>0</v>
      </c>
      <c r="J260" t="n">
        <v>11.5</v>
      </c>
      <c r="K260" t="n">
        <v>0</v>
      </c>
      <c r="L260" t="n">
        <v>10.5</v>
      </c>
      <c r="M260" t="n">
        <v>0</v>
      </c>
      <c r="N260" t="n">
        <v>9</v>
      </c>
      <c r="O260" t="n">
        <v>0</v>
      </c>
      <c r="P260">
        <f>Table1[[#This Row],[TA 1 - Q1 Score]]+Table1[[#This Row],[TA 1 - Q2 Score]]+Table1[[#This Row],[TA 1 - Q3 Score]]</f>
        <v/>
      </c>
      <c r="Q260">
        <f>Table1[[#This Row],[TA 1 - Q1 Bonus]]+Table1[[#This Row],[TA 1 - Q2 Bonus]]+Table1[[#This Row],[TA 1 - Q4 Bonus]]</f>
        <v/>
      </c>
      <c r="R260">
        <f>Table1[[#This Row],[TA 2 - Q1 Score]]+Table1[[#This Row],[TA 2 - Q2 Score]]+Table1[[#This Row],[TA 2 - Q3 Score]]</f>
        <v/>
      </c>
      <c r="S260">
        <f>Table1[[#This Row],[TA 2 - Q1 Bonus]]+Table1[[#This Row],[TA 2 - Q2 Bonus]]+Table1[[#This Row],[TA 2 - Q4 Bonus]]</f>
        <v/>
      </c>
      <c r="T260">
        <f>(Table1[[#This Row],[TA 1 - Total Score (out of 35)]]+Table1[[#This Row],[TA 2 - Total Score (out of 35)]])/2</f>
        <v/>
      </c>
      <c r="U260">
        <f>(Table1[[#This Row],[TA 1 - Total Bonus (out of 13)]]+Table1[[#This Row],[TA 2 - Total Bonus (out of 13)]])/2</f>
        <v/>
      </c>
      <c r="V260">
        <f>Table1[[#This Row],[Average Questions]]/35*20+Table1[[#This Row],[Average Bonus]]/13*5</f>
        <v/>
      </c>
      <c r="W260" t="n">
        <v>0</v>
      </c>
      <c r="X260" t="n">
        <v>0</v>
      </c>
      <c r="Y260" t="inlineStr">
        <is>
          <t>The student's submission does not run correctly due to several issues. The training and validation loops are incorrect because the model outputs are squeezed, which changes the shape of the output tensor. This causes the loss function to fail. Additionally, the student did not implement the bonus task for Test Time Augmentation.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60" t="n">
        <v>0</v>
      </c>
      <c r="AA260" t="n">
        <v>0</v>
      </c>
      <c r="AB260" t="inlineStr">
        <is>
          <t>The student's submission does not run correctly due to several issues. The dataset loading and transformation tasks are incomplete and incorrect. The CNN model does not meet the specifications, lacking the required number of convolutional layers and proper batch normalization. The training and validation functions are present but do not run correctly due to the incorrect model definition. The bonus task is not attempted.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60" t="n">
        <v>0</v>
      </c>
      <c r="AD260" t="inlineStr">
        <is>
          <t>The student's submission does not run correctly due to several issues. The dataset class is incorrectly defined, leading to errors in data loading. The model definition uses 'efficientnet-b0' instead of 'efficientnet-b1', and the training loop does not correctly handle the data types for the masks. Additionally, the visualization of predictions is flawed, and the loss curve plotting is missing. These issues prevent the code from running end-to-end, resulting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60" t="n">
        <v>0</v>
      </c>
      <c r="AF260" t="n">
        <v>0</v>
      </c>
      <c r="AG260" t="inlineStr">
        <is>
          <t>The student's implementation of the `ColorizationDataset` class contains multiple errors that prevent it from running correctly. The `__len__` method has a typo, the `rgb_to_grayscale` method does not correctly convert the RGB image to grayscale, and the `__getitem__` method does not properly return the grayscale and color image pairs. These issues result in a score of 0.0 for the task.
Breakdown:
- Correctly implemented `ColorizationDataset` class: 0.0/?</t>
        </is>
      </c>
      <c r="AH260" t="n">
        <v>0</v>
      </c>
      <c r="AI260" t="n">
        <v>0</v>
      </c>
    </row>
    <row r="261">
      <c r="A261" t="n">
        <v>260</v>
      </c>
      <c r="B261" t="inlineStr">
        <is>
          <t>TA_5</t>
        </is>
      </c>
      <c r="C261" t="inlineStr">
        <is>
          <t>TA_15</t>
        </is>
      </c>
      <c r="D261" t="n">
        <v>4</v>
      </c>
      <c r="E261" t="n">
        <v>0</v>
      </c>
      <c r="F261" t="n">
        <v>4</v>
      </c>
      <c r="G261" t="n">
        <v>0</v>
      </c>
      <c r="H261" t="n">
        <v>2</v>
      </c>
      <c r="I261" t="n">
        <v>0</v>
      </c>
      <c r="J261" t="n">
        <v>4.5</v>
      </c>
      <c r="K261" t="n">
        <v>0</v>
      </c>
      <c r="L261" t="n">
        <v>6.2</v>
      </c>
      <c r="M261" t="n">
        <v>0</v>
      </c>
      <c r="N261" t="n">
        <v>6</v>
      </c>
      <c r="O261" t="n">
        <v>0</v>
      </c>
      <c r="P261">
        <f>Table1[[#This Row],[TA 1 - Q1 Score]]+Table1[[#This Row],[TA 1 - Q2 Score]]+Table1[[#This Row],[TA 1 - Q3 Score]]</f>
        <v/>
      </c>
      <c r="Q261">
        <f>Table1[[#This Row],[TA 1 - Q1 Bonus]]+Table1[[#This Row],[TA 1 - Q2 Bonus]]+Table1[[#This Row],[TA 1 - Q4 Bonus]]</f>
        <v/>
      </c>
      <c r="R261">
        <f>Table1[[#This Row],[TA 2 - Q1 Score]]+Table1[[#This Row],[TA 2 - Q2 Score]]+Table1[[#This Row],[TA 2 - Q3 Score]]</f>
        <v/>
      </c>
      <c r="S261">
        <f>Table1[[#This Row],[TA 2 - Q1 Bonus]]+Table1[[#This Row],[TA 2 - Q2 Bonus]]+Table1[[#This Row],[TA 2 - Q4 Bonus]]</f>
        <v/>
      </c>
      <c r="T261">
        <f>(Table1[[#This Row],[TA 1 - Total Score (out of 35)]]+Table1[[#This Row],[TA 2 - Total Score (out of 35)]])/2</f>
        <v/>
      </c>
      <c r="U261">
        <f>(Table1[[#This Row],[TA 1 - Total Bonus (out of 13)]]+Table1[[#This Row],[TA 2 - Total Bonus (out of 13)]])/2</f>
        <v/>
      </c>
      <c r="V261">
        <f>Table1[[#This Row],[Average Questions]]/35*20+Table1[[#This Row],[Average Bonus]]/13*5</f>
        <v/>
      </c>
      <c r="W261" t="n">
        <v>0</v>
      </c>
      <c r="X261" t="n">
        <v>0</v>
      </c>
      <c r="Y261" t="inlineStr">
        <is>
          <t>The student's submission does not follow the instructions correctly. The student used EfficientNet-B0 instead of EfficientNetV2-Small, modified the classifier for binary classification instead of 26 classes, and used BCEWithLogitsLoss instead of CrossEntropyLoss. The training and validation loops are incorrect for a multiclass classification problem. The student also did not implement the bonus task correctly.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61" t="n">
        <v>0</v>
      </c>
      <c r="AA261" t="n">
        <v>0</v>
      </c>
      <c r="AB261" t="inlineStr">
        <is>
          <t>The student's submission does not run correctly due to several issues. The dataset class is incorrectly implemented, the transformations do not match the rubric, the CNN model does not have the required number of convolutional layers or batch normalization, and the training and validation functions are flawed. Additionally, the student did not attempt the bonus task. Therefore, no points are awarded for any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261" t="n">
        <v>0</v>
      </c>
      <c r="AD261" t="inlineStr">
        <is>
          <t>The student's submission does not follow the rubric and does not run correctly. The dataset class is incorrectly implemented, using a different structure and dataset than specified. The model class uses 'efficientnet-b0' instead of 'efficientnet-b1'. The training and validation loops are incorrectly implemented, and the loss function and optimizer are not correctly defined for multi-class segmentation. The code for running training and visualizing predictions is incomplete and does not produce the correct output.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61" t="n">
        <v>0</v>
      </c>
      <c r="AF261" t="n">
        <v>0</v>
      </c>
      <c r="AG261" t="inlineStr">
        <is>
          <t>The student did not implement the `ColorizationDataset` class correctly. The methods `__init__`, `__len__`, `rgb_to_grayscale`, and `__getitem__` are all left as TODO comments, indicating that no code was written for these critical components. Therefore, the implementation does not run correctly and does not produce the correct output, resulting in a score of 0.0 for this task.
Breakdown:
- Correctly implemented `ColorizationDataset` class: 0.0/5.0</t>
        </is>
      </c>
      <c r="AH261" t="n">
        <v>0</v>
      </c>
      <c r="AI261" t="n">
        <v>0</v>
      </c>
    </row>
    <row r="262">
      <c r="A262" t="n">
        <v>261</v>
      </c>
      <c r="B262" t="inlineStr">
        <is>
          <t>TA_5</t>
        </is>
      </c>
      <c r="C262" t="inlineStr">
        <is>
          <t>TA_15</t>
        </is>
      </c>
      <c r="D262" t="n">
        <v>12</v>
      </c>
      <c r="E262" t="n">
        <v>0</v>
      </c>
      <c r="F262" t="n">
        <v>9</v>
      </c>
      <c r="G262" t="n">
        <v>0</v>
      </c>
      <c r="H262" t="n">
        <v>8</v>
      </c>
      <c r="I262" t="n">
        <v>0</v>
      </c>
      <c r="J262" t="n">
        <v>10.5</v>
      </c>
      <c r="K262" t="n">
        <v>0</v>
      </c>
      <c r="L262" t="n">
        <v>8.5</v>
      </c>
      <c r="M262" t="n">
        <v>1</v>
      </c>
      <c r="N262" t="n">
        <v>8.25</v>
      </c>
      <c r="O262" t="n">
        <v>0</v>
      </c>
      <c r="P262">
        <f>Table1[[#This Row],[TA 1 - Q1 Score]]+Table1[[#This Row],[TA 1 - Q2 Score]]+Table1[[#This Row],[TA 1 - Q3 Score]]</f>
        <v/>
      </c>
      <c r="Q262">
        <f>Table1[[#This Row],[TA 1 - Q1 Bonus]]+Table1[[#This Row],[TA 1 - Q2 Bonus]]+Table1[[#This Row],[TA 1 - Q4 Bonus]]</f>
        <v/>
      </c>
      <c r="R262">
        <f>Table1[[#This Row],[TA 2 - Q1 Score]]+Table1[[#This Row],[TA 2 - Q2 Score]]+Table1[[#This Row],[TA 2 - Q3 Score]]</f>
        <v/>
      </c>
      <c r="S262">
        <f>Table1[[#This Row],[TA 2 - Q1 Bonus]]+Table1[[#This Row],[TA 2 - Q2 Bonus]]+Table1[[#This Row],[TA 2 - Q4 Bonus]]</f>
        <v/>
      </c>
      <c r="T262">
        <f>(Table1[[#This Row],[TA 1 - Total Score (out of 35)]]+Table1[[#This Row],[TA 2 - Total Score (out of 35)]])/2</f>
        <v/>
      </c>
      <c r="U262">
        <f>(Table1[[#This Row],[TA 1 - Total Bonus (out of 13)]]+Table1[[#This Row],[TA 2 - Total Bonus (out of 13)]])/2</f>
        <v/>
      </c>
      <c r="V262">
        <f>Table1[[#This Row],[Average Questions]]/35*20+Table1[[#This Row],[Average Bonus]]/13*5</f>
        <v/>
      </c>
      <c r="W262" t="n">
        <v>0</v>
      </c>
      <c r="X262" t="n">
        <v>0</v>
      </c>
      <c r="Y262" t="inlineStr">
        <is>
          <t>The student's submission does not run end-to-end due to multiple issues. The transforms are incomplete, the DataLoaders are incorrectly defined, and the model training and validation loops contain errors. Additionally, the student did not implement the bonus task for Test Time Augmentation.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62" t="n">
        <v>0</v>
      </c>
      <c r="AA262" t="n">
        <v>0</v>
      </c>
      <c r="AB262" t="inlineStr">
        <is>
          <t>The student's submission does not run correctly due to multiple issues. The dataset class is incorrectly implemented, leading to errors in data loading. The CNN model does not follow the specified architecture, and the residual connection is incorrectly implemented. Additionally, the training and validation functions contain logical errors, preventing the model from training properly.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62" t="n">
        <v>0</v>
      </c>
      <c r="AD262" t="inlineStr">
        <is>
          <t>The student's submission does not run correctly due to several issues. The dataset class is incorrectly implemented, leading to errors in data loading. The model definition uses the wrong encoder and the incorrect number of classes. The training and validation loops are incorrectly implemented, leading to errors in the training process. The loss function and optimizer are incorrectly defined, and the training process does not run as expected. The visualization of predictions is also incorrect due to the issues in the model and training process.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62" t="n">
        <v>0</v>
      </c>
      <c r="AF262" t="n">
        <v>0</v>
      </c>
      <c r="AG262" t="inlineStr">
        <is>
          <t>No submission found.</t>
        </is>
      </c>
      <c r="AH262" t="n">
        <v>0</v>
      </c>
      <c r="AI262" t="n">
        <v>0</v>
      </c>
    </row>
    <row r="263">
      <c r="A263" t="n">
        <v>262</v>
      </c>
      <c r="B263" t="inlineStr">
        <is>
          <t>TA_5</t>
        </is>
      </c>
      <c r="C263" t="inlineStr">
        <is>
          <t>TA_15</t>
        </is>
      </c>
      <c r="D263" t="n">
        <v>12</v>
      </c>
      <c r="E263" t="n">
        <v>0</v>
      </c>
      <c r="F263" t="n">
        <v>11</v>
      </c>
      <c r="G263" t="n">
        <v>0</v>
      </c>
      <c r="H263" t="n">
        <v>11</v>
      </c>
      <c r="I263" t="n">
        <v>5</v>
      </c>
      <c r="J263" t="n">
        <v>12</v>
      </c>
      <c r="K263" t="n">
        <v>0</v>
      </c>
      <c r="L263" t="n">
        <v>11</v>
      </c>
      <c r="M263" t="n">
        <v>0</v>
      </c>
      <c r="N263" t="n">
        <v>12</v>
      </c>
      <c r="O263" t="n">
        <v>5</v>
      </c>
      <c r="P263">
        <f>Table1[[#This Row],[TA 1 - Q1 Score]]+Table1[[#This Row],[TA 1 - Q2 Score]]+Table1[[#This Row],[TA 1 - Q3 Score]]</f>
        <v/>
      </c>
      <c r="Q263">
        <f>Table1[[#This Row],[TA 1 - Q1 Bonus]]+Table1[[#This Row],[TA 1 - Q2 Bonus]]+Table1[[#This Row],[TA 1 - Q4 Bonus]]</f>
        <v/>
      </c>
      <c r="R263">
        <f>Table1[[#This Row],[TA 2 - Q1 Score]]+Table1[[#This Row],[TA 2 - Q2 Score]]+Table1[[#This Row],[TA 2 - Q3 Score]]</f>
        <v/>
      </c>
      <c r="S263">
        <f>Table1[[#This Row],[TA 2 - Q1 Bonus]]+Table1[[#This Row],[TA 2 - Q2 Bonus]]+Table1[[#This Row],[TA 2 - Q4 Bonus]]</f>
        <v/>
      </c>
      <c r="T263">
        <f>(Table1[[#This Row],[TA 1 - Total Score (out of 35)]]+Table1[[#This Row],[TA 2 - Total Score (out of 35)]])/2</f>
        <v/>
      </c>
      <c r="U263">
        <f>(Table1[[#This Row],[TA 1 - Total Bonus (out of 13)]]+Table1[[#This Row],[TA 2 - Total Bonus (out of 13)]])/2</f>
        <v/>
      </c>
      <c r="V263">
        <f>Table1[[#This Row],[Average Questions]]/35*20+Table1[[#This Row],[Average Bonus]]/13*5</f>
        <v/>
      </c>
      <c r="W263" t="n">
        <v>0</v>
      </c>
      <c r="X263" t="n">
        <v>0</v>
      </c>
      <c r="Y263" t="inlineStr">
        <is>
          <t>The student's submission does not run end-to-end due to missing code in critical sections, such as the training and validation loops, and the bonus task. Although some parts of the code are present, the absence of complete and functional code for essential tasks results in a score of 0.0 for the base tasks and 0.0 for the bonus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63" t="n">
        <v>0</v>
      </c>
      <c r="AA263" t="n">
        <v>0</v>
      </c>
      <c r="AB263" t="inlineStr">
        <is>
          <t>The student's submission does not run correctly due to several issues. The transformations applied to the images do not match the rubric specifications, leading to incorrect image sizes and normalization issues. The model architecture is incorrect as it does not follow the specified number of convolutional layers and the output dimensions are not correctly handled. The training and validation loops contain errors, particularly in the accuracy calculation.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63" t="n">
        <v>0</v>
      </c>
      <c r="AD263" t="inlineStr">
        <is>
          <t>The student's submission does not run correctly due to multiple issues. The dataset class and DataLoader creation have errors, and the training and validation loops are incorrectly implemented. The model definition and training process are flawed, leading to a complete failure in running the task. Therefore, no points are awarded for any task as the code does not execute correctly.
Breakdown:
- Build custom dataset class for images and masks: 0.0/2.0
- Create DataLoaders: 0.0/0.5
- Display sample images and masks: 0.0/0.5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263" t="n">
        <v>0</v>
      </c>
      <c r="AF263" t="n">
        <v>0</v>
      </c>
      <c r="AG263" t="inlineStr">
        <is>
          <t>The student's implementation of the `ColorizationDataset` class is incomplete. Specifically, the `rgb_to_grayscale` method does not correctly add the channel dimension to the grayscale image, resulting in incorrect dimensions. This deviation from the rubric means the implementation does not run correctly, and thus no points can be awarded.
Breakdown:
- Correctly implemented `ColorizationDataset` class: 0.0/?</t>
        </is>
      </c>
      <c r="AH263" t="n">
        <v>0</v>
      </c>
      <c r="AI263" t="n">
        <v>0</v>
      </c>
    </row>
    <row r="264">
      <c r="A264" t="n">
        <v>263</v>
      </c>
      <c r="B264" t="inlineStr">
        <is>
          <t>TA_5</t>
        </is>
      </c>
      <c r="C264" t="inlineStr">
        <is>
          <t>TA_15</t>
        </is>
      </c>
      <c r="D264" t="n">
        <v>12</v>
      </c>
      <c r="E264" t="n">
        <v>2</v>
      </c>
      <c r="F264" t="n">
        <v>9</v>
      </c>
      <c r="G264" t="n">
        <v>1</v>
      </c>
      <c r="H264" t="n">
        <v>9</v>
      </c>
      <c r="I264" t="n">
        <v>0</v>
      </c>
      <c r="J264" t="n">
        <v>11.5</v>
      </c>
      <c r="K264" t="n">
        <v>0</v>
      </c>
      <c r="L264" t="n">
        <v>9</v>
      </c>
      <c r="M264" t="n">
        <v>1</v>
      </c>
      <c r="N264" t="n">
        <v>8.75</v>
      </c>
      <c r="O264" t="n">
        <v>0</v>
      </c>
      <c r="P264">
        <f>Table1[[#This Row],[TA 1 - Q1 Score]]+Table1[[#This Row],[TA 1 - Q2 Score]]+Table1[[#This Row],[TA 1 - Q3 Score]]</f>
        <v/>
      </c>
      <c r="Q264">
        <f>Table1[[#This Row],[TA 1 - Q1 Bonus]]+Table1[[#This Row],[TA 1 - Q2 Bonus]]+Table1[[#This Row],[TA 1 - Q4 Bonus]]</f>
        <v/>
      </c>
      <c r="R264">
        <f>Table1[[#This Row],[TA 2 - Q1 Score]]+Table1[[#This Row],[TA 2 - Q2 Score]]+Table1[[#This Row],[TA 2 - Q3 Score]]</f>
        <v/>
      </c>
      <c r="S264">
        <f>Table1[[#This Row],[TA 2 - Q1 Bonus]]+Table1[[#This Row],[TA 2 - Q2 Bonus]]+Table1[[#This Row],[TA 2 - Q4 Bonus]]</f>
        <v/>
      </c>
      <c r="T264">
        <f>(Table1[[#This Row],[TA 1 - Total Score (out of 35)]]+Table1[[#This Row],[TA 2 - Total Score (out of 35)]])/2</f>
        <v/>
      </c>
      <c r="U264">
        <f>(Table1[[#This Row],[TA 1 - Total Bonus (out of 13)]]+Table1[[#This Row],[TA 2 - Total Bonus (out of 13)]])/2</f>
        <v/>
      </c>
      <c r="V264">
        <f>Table1[[#This Row],[Average Questions]]/35*20+Table1[[#This Row],[Average Bonus]]/13*5</f>
        <v/>
      </c>
      <c r="W264" t="n">
        <v>0</v>
      </c>
      <c r="X264" t="n">
        <v>0</v>
      </c>
      <c r="Y264" t="inlineStr">
        <is>
          <t>The student's submission does not run correctly due to several issues. The transforms include an incorrect custom module that subtracts one from the image tensor, which is not part of the required transforms. The DataLoader creation is incomplete, and the sample images are not displayed correctly. The model loading and adaptation steps are incorrect, with the wrong model being loaded and the backbone not being frozen correctly. The training and validation loops are flawed, and the label fixing is not implemented correctly. The training process does not run correctly due to these issues, and the plots for training and validation losses and accuracies are not generated. The bonus task for Test Time Augmentation is also incorrect and does not run correctly.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64" t="n">
        <v>0</v>
      </c>
      <c r="AA264" t="n">
        <v>0</v>
      </c>
      <c r="AB264" t="inlineStr">
        <is>
          <t>The student's submission does not run correctly due to multiple issues. The transforms applied to the test dataset include RandomRotation, which is not specified in the rubric. The CNN model does not have the correct number of convolutional layers or batch normalization layers. The training and validation functions are incorrect as they apply softmax to the outputs, which is not necessary with CrossEntropyLoss. The residual connection implementation is incorrect and does not follow the specified approach. Therefore, no tasks are awarded any points.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64" t="n">
        <v>0</v>
      </c>
      <c r="AD264" t="inlineStr">
        <is>
          <t>The student's submission does not run correctly due to several issues. The dataset class is incorrectly implemented, leading to errors in data loading. The model definition uses the wrong number of classes and the incorrect loss function. The training and validation loops are incomplete and contain errors. Additionally, the visualization of predictions is incorrect due to the use of a binary classification approach instead of multi-class segmentation. Therefore, no points are awarded for any task as the code does not run correctly and deviates significantly from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64" t="n">
        <v>0</v>
      </c>
      <c r="AF264" t="n">
        <v>0</v>
      </c>
      <c r="AG264" t="inlineStr">
        <is>
          <t>The student's implementation of the `ColorizationDataset` class is incomplete and contains errors. The `rgb_to_grayscale` method is not correctly implemented, and the `__getitem__` method is missing. Additionally, the `rgb_to_grayscale` method contains syntax errors and incorrect logic. Since the implementation does not run correctly and deviates from the rubric, the student receives 0 points for this task.
Breakdown:
- Correctly implemented `ColorizationDataset` class: 0.0/5.0</t>
        </is>
      </c>
      <c r="AH264" t="n">
        <v>0</v>
      </c>
      <c r="AI264" t="n">
        <v>0</v>
      </c>
    </row>
    <row r="265">
      <c r="A265" t="n">
        <v>264</v>
      </c>
      <c r="B265" t="inlineStr">
        <is>
          <t>TA_5</t>
        </is>
      </c>
      <c r="C265" t="inlineStr">
        <is>
          <t>TA_15</t>
        </is>
      </c>
      <c r="D265" t="n">
        <v>6.5</v>
      </c>
      <c r="E265" t="n">
        <v>0</v>
      </c>
      <c r="F265" t="n">
        <v>9</v>
      </c>
      <c r="G265" t="n">
        <v>0</v>
      </c>
      <c r="H265" t="n">
        <v>12</v>
      </c>
      <c r="I265" t="n">
        <v>0</v>
      </c>
      <c r="J265" t="n">
        <v>4</v>
      </c>
      <c r="K265" t="n">
        <v>0</v>
      </c>
      <c r="L265" t="n">
        <v>9</v>
      </c>
      <c r="M265" t="n">
        <v>0</v>
      </c>
      <c r="N265" t="n">
        <v>11.5</v>
      </c>
      <c r="O265" t="n">
        <v>0</v>
      </c>
      <c r="P265">
        <f>Table1[[#This Row],[TA 1 - Q1 Score]]+Table1[[#This Row],[TA 1 - Q2 Score]]+Table1[[#This Row],[TA 1 - Q3 Score]]</f>
        <v/>
      </c>
      <c r="Q265">
        <f>Table1[[#This Row],[TA 1 - Q1 Bonus]]+Table1[[#This Row],[TA 1 - Q2 Bonus]]+Table1[[#This Row],[TA 1 - Q4 Bonus]]</f>
        <v/>
      </c>
      <c r="R265">
        <f>Table1[[#This Row],[TA 2 - Q1 Score]]+Table1[[#This Row],[TA 2 - Q2 Score]]+Table1[[#This Row],[TA 2 - Q3 Score]]</f>
        <v/>
      </c>
      <c r="S265">
        <f>Table1[[#This Row],[TA 2 - Q1 Bonus]]+Table1[[#This Row],[TA 2 - Q2 Bonus]]+Table1[[#This Row],[TA 2 - Q4 Bonus]]</f>
        <v/>
      </c>
      <c r="T265">
        <f>(Table1[[#This Row],[TA 1 - Total Score (out of 35)]]+Table1[[#This Row],[TA 2 - Total Score (out of 35)]])/2</f>
        <v/>
      </c>
      <c r="U265">
        <f>(Table1[[#This Row],[TA 1 - Total Bonus (out of 13)]]+Table1[[#This Row],[TA 2 - Total Bonus (out of 13)]])/2</f>
        <v/>
      </c>
      <c r="V265">
        <f>Table1[[#This Row],[Average Questions]]/35*20+Table1[[#This Row],[Average Bonus]]/13*5</f>
        <v/>
      </c>
      <c r="W265" t="n">
        <v>0</v>
      </c>
      <c r="X265" t="n">
        <v>0</v>
      </c>
      <c r="Y265" t="inlineStr">
        <is>
          <t>The student's submission contains several critical errors that prevent the code from running correctly. The transforms are correctly defined, and the DataLoaders are created, but the code for displaying sample images is commented out and does not run. The model loading and adaptation tasks are incorrectly implemented, using the wrong model (EfficientNetV2-M instead of EfficientNetV2-S) and failing to freeze the backbone. The training and validation loops are incorrectly implemented, and the label fixing is not done. The training setup and plotting tasks are not completed. The bonus task for Test Time Augmentation is not attempted. Overall, the submission does not meet the requirements for any of the tasks beyond the initial data loading and transformation steps.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65" t="n">
        <v>0</v>
      </c>
      <c r="AA265" t="n">
        <v>0</v>
      </c>
      <c r="AB265" t="inlineStr">
        <is>
          <t>The student's submission does not run correctly due to several issues. The dataset paths are incorrect, leading to errors in loading the data. The model definition and training loops contain logical errors, such as incorrect dimensions in the fully connected layers and improper handling of the softmax function. Additionally, the student did not implement the residual connection correctly, and there is no code for the bonus tasks.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65" t="n">
        <v>0</v>
      </c>
      <c r="AD265" t="inlineStr">
        <is>
          <t>The student's submission does not run end-to-end due to missing or incorrect code in several critical areas. The dataset class is incomplete and does not correctly handle the dataset splitting. The model definition uses the wrong encoder (efficientnet-b1 instead of efficientnet-b0). The training and validation loops are present but do not run correctly due to missing or incorrect code in other parts of the submission. The visualization of predictions is attempted but fails to run due to the overall issues in the code. Therefore, no points are awarded for any task as the code does not run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65" t="n">
        <v>0</v>
      </c>
      <c r="AF265" t="n">
        <v>0</v>
      </c>
      <c r="AG265" t="inlineStr">
        <is>
          <t>No submission found.</t>
        </is>
      </c>
      <c r="AH265" t="n">
        <v>0</v>
      </c>
      <c r="AI265" t="n">
        <v>0</v>
      </c>
    </row>
    <row r="266">
      <c r="A266" t="n">
        <v>265</v>
      </c>
      <c r="B266" t="inlineStr">
        <is>
          <t>TA_5</t>
        </is>
      </c>
      <c r="C266" t="inlineStr">
        <is>
          <t>TA_15</t>
        </is>
      </c>
      <c r="D266" t="n">
        <v>11</v>
      </c>
      <c r="E266" t="n">
        <v>4</v>
      </c>
      <c r="F266" t="n">
        <v>10</v>
      </c>
      <c r="G266" t="n">
        <v>1</v>
      </c>
      <c r="H266" t="n">
        <v>12</v>
      </c>
      <c r="I266" t="n">
        <v>0</v>
      </c>
      <c r="J266" t="n">
        <v>10.25</v>
      </c>
      <c r="K266" t="n">
        <v>3</v>
      </c>
      <c r="L266" t="n">
        <v>10.5</v>
      </c>
      <c r="M266" t="n">
        <v>1</v>
      </c>
      <c r="N266" t="n">
        <v>12</v>
      </c>
      <c r="O266" t="n">
        <v>0</v>
      </c>
      <c r="P266">
        <f>Table1[[#This Row],[TA 1 - Q1 Score]]+Table1[[#This Row],[TA 1 - Q2 Score]]+Table1[[#This Row],[TA 1 - Q3 Score]]</f>
        <v/>
      </c>
      <c r="Q266">
        <f>Table1[[#This Row],[TA 1 - Q1 Bonus]]+Table1[[#This Row],[TA 1 - Q2 Bonus]]+Table1[[#This Row],[TA 1 - Q4 Bonus]]</f>
        <v/>
      </c>
      <c r="R266">
        <f>Table1[[#This Row],[TA 2 - Q1 Score]]+Table1[[#This Row],[TA 2 - Q2 Score]]+Table1[[#This Row],[TA 2 - Q3 Score]]</f>
        <v/>
      </c>
      <c r="S266">
        <f>Table1[[#This Row],[TA 2 - Q1 Bonus]]+Table1[[#This Row],[TA 2 - Q2 Bonus]]+Table1[[#This Row],[TA 2 - Q4 Bonus]]</f>
        <v/>
      </c>
      <c r="T266">
        <f>(Table1[[#This Row],[TA 1 - Total Score (out of 35)]]+Table1[[#This Row],[TA 2 - Total Score (out of 35)]])/2</f>
        <v/>
      </c>
      <c r="U266">
        <f>(Table1[[#This Row],[TA 1 - Total Bonus (out of 13)]]+Table1[[#This Row],[TA 2 - Total Bonus (out of 13)]])/2</f>
        <v/>
      </c>
      <c r="V266">
        <f>Table1[[#This Row],[Average Questions]]/35*20+Table1[[#This Row],[Average Bonus]]/13*5</f>
        <v/>
      </c>
      <c r="W266" t="n">
        <v>0</v>
      </c>
      <c r="X266" t="n">
        <v>0</v>
      </c>
      <c r="Y266" t="inlineStr">
        <is>
          <t>The student's submission does not run correctly due to several issues. The training loop and validation loop contain errors that prevent the model from training and validating properly. Specifically, the model outputs are squeezed incorrectly, and the softmax function is applied incorrectly. Additionally, the student did not display sample images as required. These issues result in a score of 0 for the base tasks and 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66" t="n">
        <v>0</v>
      </c>
      <c r="AA266" t="n">
        <v>0</v>
      </c>
      <c r="AB266" t="inlineStr">
        <is>
          <t>The student's submission does not run correctly due to several issues. The dataset class is incorrectly implemented, leading to errors in loading and displaying images. The CNN model does not follow the specified architecture with 5 convolutional layers and proper batch normalization. The training and validation functions are incorrectly implemented, leading to errors in the training process. Additionally, the student did not attempt the bonus task of adding a residual connection.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66" t="n">
        <v>0</v>
      </c>
      <c r="AD266" t="inlineStr">
        <is>
          <t>The student's submission does not run correctly due to several issues. The dataset class is incomplete and does not follow the required structure. The model definition uses 'efficientnet-b1' instead of 'efficientnet-b0' as specified. The training and validation loops are present but do not run correctly due to missing or incorrect implementations. The loss and optimizer are defined but the training process does not complete successfully. The visualization of predictions is attempted but does not display correctly due to issues in the prediction logic.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66" t="n">
        <v>0</v>
      </c>
      <c r="AF266" t="n">
        <v>0</v>
      </c>
      <c r="AG266" t="inlineStr">
        <is>
          <t>No submission found.</t>
        </is>
      </c>
      <c r="AH266" t="n">
        <v>0</v>
      </c>
      <c r="AI266" t="n">
        <v>0</v>
      </c>
    </row>
    <row r="267">
      <c r="A267" t="n">
        <v>266</v>
      </c>
      <c r="B267" t="inlineStr">
        <is>
          <t>TA_5</t>
        </is>
      </c>
      <c r="C267" t="inlineStr">
        <is>
          <t>TA_15</t>
        </is>
      </c>
      <c r="D267" t="n">
        <v>10.5</v>
      </c>
      <c r="E267" t="n">
        <v>0</v>
      </c>
      <c r="F267" t="n">
        <v>0</v>
      </c>
      <c r="G267" t="n">
        <v>0</v>
      </c>
      <c r="H267" t="n">
        <v>0</v>
      </c>
      <c r="I267" t="n">
        <v>0</v>
      </c>
      <c r="J267" t="n">
        <v>4</v>
      </c>
      <c r="K267" t="n">
        <v>0</v>
      </c>
      <c r="L267" t="n">
        <v>0</v>
      </c>
      <c r="M267" t="n">
        <v>0</v>
      </c>
      <c r="N267" t="n">
        <v>0</v>
      </c>
      <c r="O267" t="n">
        <v>0</v>
      </c>
      <c r="P267">
        <f>Table1[[#This Row],[TA 1 - Q1 Score]]+Table1[[#This Row],[TA 1 - Q2 Score]]+Table1[[#This Row],[TA 1 - Q3 Score]]</f>
        <v/>
      </c>
      <c r="Q267">
        <f>Table1[[#This Row],[TA 1 - Q1 Bonus]]+Table1[[#This Row],[TA 1 - Q2 Bonus]]+Table1[[#This Row],[TA 1 - Q4 Bonus]]</f>
        <v/>
      </c>
      <c r="R267">
        <f>Table1[[#This Row],[TA 2 - Q1 Score]]+Table1[[#This Row],[TA 2 - Q2 Score]]+Table1[[#This Row],[TA 2 - Q3 Score]]</f>
        <v/>
      </c>
      <c r="S267">
        <f>Table1[[#This Row],[TA 2 - Q1 Bonus]]+Table1[[#This Row],[TA 2 - Q2 Bonus]]+Table1[[#This Row],[TA 2 - Q4 Bonus]]</f>
        <v/>
      </c>
      <c r="T267">
        <f>(Table1[[#This Row],[TA 1 - Total Score (out of 35)]]+Table1[[#This Row],[TA 2 - Total Score (out of 35)]])/2</f>
        <v/>
      </c>
      <c r="U267">
        <f>(Table1[[#This Row],[TA 1 - Total Bonus (out of 13)]]+Table1[[#This Row],[TA 2 - Total Bonus (out of 13)]])/2</f>
        <v/>
      </c>
      <c r="V267">
        <f>Table1[[#This Row],[Average Questions]]/35*20+Table1[[#This Row],[Average Bonus]]/13*5</f>
        <v/>
      </c>
      <c r="W267" t="n">
        <v>0</v>
      </c>
      <c r="X267" t="n">
        <v>0</v>
      </c>
      <c r="Y267" t="inlineStr">
        <is>
          <t>The student's submission contains several critical errors that prevent the code from running correctly. The transforms are incorrectly set to resize images to 64x64 instead of 28x28, which deviates from the rubric. The model's classifier head is modified to 28 classes instead of 26, and the backbone is not frozen. The training and validation loops do not adjust the labels to be 0-indexed, which is a required task. Additionally, the student did not implement the bonus task for Test Time Augmentation. These issues collectively result in a score of 0.0 for the base tasks and 0.0 for the bonus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67" t="n">
        <v>0</v>
      </c>
      <c r="AA267" t="n">
        <v>0</v>
      </c>
      <c r="AB267" t="inlineStr">
        <is>
          <t>No submission found.</t>
        </is>
      </c>
      <c r="AC267" t="n">
        <v>0</v>
      </c>
      <c r="AD267" t="inlineStr">
        <is>
          <t>No submission found.</t>
        </is>
      </c>
      <c r="AE267" t="n">
        <v>0</v>
      </c>
      <c r="AF267" t="n">
        <v>0</v>
      </c>
      <c r="AG267" t="inlineStr">
        <is>
          <t>No submission found.</t>
        </is>
      </c>
      <c r="AH267" t="n">
        <v>0</v>
      </c>
      <c r="AI267" t="n">
        <v>0</v>
      </c>
    </row>
    <row r="268">
      <c r="A268" t="n">
        <v>267</v>
      </c>
      <c r="B268" t="inlineStr">
        <is>
          <t>TA_5</t>
        </is>
      </c>
      <c r="C268" t="inlineStr">
        <is>
          <t>TA_15</t>
        </is>
      </c>
      <c r="D268" t="n">
        <v>11.5</v>
      </c>
      <c r="E268" t="n">
        <v>0</v>
      </c>
      <c r="F268" t="n">
        <v>9</v>
      </c>
      <c r="G268" t="n">
        <v>0</v>
      </c>
      <c r="H268" t="n">
        <v>11</v>
      </c>
      <c r="I268" t="n">
        <v>0</v>
      </c>
      <c r="J268" t="n">
        <v>12</v>
      </c>
      <c r="K268" t="n">
        <v>0</v>
      </c>
      <c r="L268" t="n">
        <v>10.5</v>
      </c>
      <c r="M268" t="n">
        <v>0</v>
      </c>
      <c r="N268" t="n">
        <v>11.25</v>
      </c>
      <c r="O268" t="n">
        <v>0</v>
      </c>
      <c r="P268">
        <f>Table1[[#This Row],[TA 1 - Q1 Score]]+Table1[[#This Row],[TA 1 - Q2 Score]]+Table1[[#This Row],[TA 1 - Q3 Score]]</f>
        <v/>
      </c>
      <c r="Q268">
        <f>Table1[[#This Row],[TA 1 - Q1 Bonus]]+Table1[[#This Row],[TA 1 - Q2 Bonus]]+Table1[[#This Row],[TA 1 - Q4 Bonus]]</f>
        <v/>
      </c>
      <c r="R268">
        <f>Table1[[#This Row],[TA 2 - Q1 Score]]+Table1[[#This Row],[TA 2 - Q2 Score]]+Table1[[#This Row],[TA 2 - Q3 Score]]</f>
        <v/>
      </c>
      <c r="S268">
        <f>Table1[[#This Row],[TA 2 - Q1 Bonus]]+Table1[[#This Row],[TA 2 - Q2 Bonus]]+Table1[[#This Row],[TA 2 - Q4 Bonus]]</f>
        <v/>
      </c>
      <c r="T268">
        <f>(Table1[[#This Row],[TA 1 - Total Score (out of 35)]]+Table1[[#This Row],[TA 2 - Total Score (out of 35)]])/2</f>
        <v/>
      </c>
      <c r="U268">
        <f>(Table1[[#This Row],[TA 1 - Total Bonus (out of 13)]]+Table1[[#This Row],[TA 2 - Total Bonus (out of 13)]])/2</f>
        <v/>
      </c>
      <c r="V268">
        <f>Table1[[#This Row],[Average Questions]]/35*20+Table1[[#This Row],[Average Bonus]]/13*5</f>
        <v/>
      </c>
      <c r="W268" t="n">
        <v>10.5</v>
      </c>
      <c r="X268" t="n">
        <v>0</v>
      </c>
      <c r="Y268" t="inlineStr">
        <is>
          <t>The student correctly implemented the data loading and preprocessing steps, including resizing, converting to tensor, and normalizing the images. The DataLoaders were created correctly, and sample images were displayed accurately. The pretrained EfficientNetV2-Small model was loaded correctly, but the backbone was not frozen, which is a critical step for transfer learning. The classifier head was replaced correctly for 26 classes. The training and validation loops were implemented correctly, and the labels were fixed to be 0-indexed. The training process was set up correctly, and the model was trained. The training and validation losses and accuracies were plotted correctly. However, the bonus task for Test Time Augmentation was not attempted, so no bonus points were awarded.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268" t="n">
        <v>0</v>
      </c>
      <c r="AA268" t="n">
        <v>0</v>
      </c>
      <c r="AB268" t="inlineStr">
        <is>
          <t>The student's submission does not run correctly due to several issues. The dataset class is incorrectly implemented, leading to errors in data loading. The transformations applied to the images do not match the required specifications, and the model architecture deviates from the rubric. The training and validation functions are incomplete and contain errors, preventing the model from being trained or validated correctly.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68" t="n">
        <v>0</v>
      </c>
      <c r="AD268" t="inlineStr">
        <is>
          <t>The student's submission does not run correctly due to several issues. The dataset class is incorrectly implemented, leading to errors in data loading. The model definition uses 'efficientnet-b0' instead of 'efficientnet-b1' as specified. The training and validation loops are present but do not run correctly due to the dataset issues. The loss and optimizer are defined, but the training process fails. The visualization code is present but does not execute due to the earlier failures. Therefore, no points are awarded for any task as the code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68" t="n">
        <v>0</v>
      </c>
      <c r="AF268" t="n">
        <v>0</v>
      </c>
      <c r="AG268" t="inlineStr">
        <is>
          <t>No submission found.</t>
        </is>
      </c>
      <c r="AH268" t="n">
        <v>10.5</v>
      </c>
      <c r="AI268" t="n">
        <v>0</v>
      </c>
    </row>
    <row r="269">
      <c r="A269" t="n">
        <v>268</v>
      </c>
      <c r="B269" t="inlineStr">
        <is>
          <t>TA_5</t>
        </is>
      </c>
      <c r="C269" t="inlineStr">
        <is>
          <t>TA_15</t>
        </is>
      </c>
      <c r="D269" t="n">
        <v>6</v>
      </c>
      <c r="E269" t="n">
        <v>0</v>
      </c>
      <c r="F269" t="n">
        <v>4.5</v>
      </c>
      <c r="G269" t="n">
        <v>0</v>
      </c>
      <c r="H269" t="n">
        <v>9</v>
      </c>
      <c r="I269" t="n">
        <v>0</v>
      </c>
      <c r="J269" t="n">
        <v>4.75</v>
      </c>
      <c r="K269" t="n">
        <v>0</v>
      </c>
      <c r="L269" t="n">
        <v>4.7</v>
      </c>
      <c r="M269" t="n">
        <v>0</v>
      </c>
      <c r="N269" t="n">
        <v>10</v>
      </c>
      <c r="O269" t="n">
        <v>0</v>
      </c>
      <c r="P269">
        <f>Table1[[#This Row],[TA 1 - Q1 Score]]+Table1[[#This Row],[TA 1 - Q2 Score]]+Table1[[#This Row],[TA 1 - Q3 Score]]</f>
        <v/>
      </c>
      <c r="Q269">
        <f>Table1[[#This Row],[TA 1 - Q1 Bonus]]+Table1[[#This Row],[TA 1 - Q2 Bonus]]+Table1[[#This Row],[TA 1 - Q4 Bonus]]</f>
        <v/>
      </c>
      <c r="R269">
        <f>Table1[[#This Row],[TA 2 - Q1 Score]]+Table1[[#This Row],[TA 2 - Q2 Score]]+Table1[[#This Row],[TA 2 - Q3 Score]]</f>
        <v/>
      </c>
      <c r="S269">
        <f>Table1[[#This Row],[TA 2 - Q1 Bonus]]+Table1[[#This Row],[TA 2 - Q2 Bonus]]+Table1[[#This Row],[TA 2 - Q4 Bonus]]</f>
        <v/>
      </c>
      <c r="T269">
        <f>(Table1[[#This Row],[TA 1 - Total Score (out of 35)]]+Table1[[#This Row],[TA 2 - Total Score (out of 35)]])/2</f>
        <v/>
      </c>
      <c r="U269">
        <f>(Table1[[#This Row],[TA 1 - Total Bonus (out of 13)]]+Table1[[#This Row],[TA 2 - Total Bonus (out of 13)]])/2</f>
        <v/>
      </c>
      <c r="V269">
        <f>Table1[[#This Row],[Average Questions]]/35*20+Table1[[#This Row],[Average Bonus]]/13*5</f>
        <v/>
      </c>
      <c r="W269" t="n">
        <v>0</v>
      </c>
      <c r="X269" t="n">
        <v>0</v>
      </c>
      <c r="Y269" t="inlineStr">
        <is>
          <t>The student's submission contains several critical errors. The transforms are incorrectly ordered, leading to a failure in the data preparation. The model loaded is EfficientNetV2-M instead of EfficientNetV2-Small, which is a direct violation of the instructions. The classifier head is modified to 27 classes instead of 26, and the labels are not adjusted for 0-indexing. The training and validation loops are incorrect, and the plots for losses and accuracies are missing. Additionally, the bonus task for Test Time Augmentation is not attempted. These issues result in a score of 0.0 for the base tasks and 0.0 for the bonus tasks.
Breakdown:
- Task 1: Complete transforms (Resize, ToTensor, Normalize): 0.0/?
- Task 2: Create DataLoaders: 0.0/?
- Task 3: Display sample images: 0.0/?
- Task 1: Load pretrained EfficientNetV2-Small: -50.0/?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69" t="n">
        <v>0</v>
      </c>
      <c r="AA269" t="n">
        <v>0</v>
      </c>
      <c r="AB269" t="inlineStr">
        <is>
          <t>The student's submission deviates significantly from the rubric. The student used the CIFAR-10 dataset instead of the Potato Disease Dataset, which is a clear violation of the instructions. Additionally, the student's CNN model does not meet the specifications required by the rubric, as it does not have 5 convolutional layers and does not include Batch Normalization. The training and validation functions are present but are not tested with the correct dataset or model. The student did not attempt the bonus task.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69" t="n">
        <v>0</v>
      </c>
      <c r="AD269" t="inlineStr">
        <is>
          <t>The student's submission failed to follow the rubric instructions. The dataset class and DataLoaders were incorrectly implemented, leading to a failure in displaying sample images and masks. The model class definition used 'efficientnet-b0' instead of 'efficientnet-b1', which is a deviation from the rubric. The training and validation loops, as well as the loss and optimizer definitions, were not correctly implemented. The model training did not run correctly, and the loss curve was not plotted. The visualization of predictions was also missing. Therefore, the student receives 0 points for the base tasks and -50 points for the model class definition.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269" t="n">
        <v>0</v>
      </c>
      <c r="AF269" t="n">
        <v>0</v>
      </c>
      <c r="AG269" t="inlineStr">
        <is>
          <t>No submission found.</t>
        </is>
      </c>
      <c r="AH269" t="n">
        <v>0</v>
      </c>
      <c r="AI269" t="n">
        <v>0</v>
      </c>
    </row>
    <row r="270">
      <c r="A270" t="n">
        <v>269</v>
      </c>
      <c r="B270" t="inlineStr">
        <is>
          <t>TA_5</t>
        </is>
      </c>
      <c r="C270" t="inlineStr">
        <is>
          <t>TA_15</t>
        </is>
      </c>
      <c r="D270" t="n">
        <v>12</v>
      </c>
      <c r="E270" t="n">
        <v>4</v>
      </c>
      <c r="F270" t="n">
        <v>11</v>
      </c>
      <c r="G270" t="n">
        <v>1</v>
      </c>
      <c r="H270" t="n">
        <v>6.5</v>
      </c>
      <c r="I270" t="n">
        <v>0</v>
      </c>
      <c r="J270" t="n">
        <v>10.5</v>
      </c>
      <c r="K270" t="n">
        <v>4</v>
      </c>
      <c r="L270" t="n">
        <v>11</v>
      </c>
      <c r="M270" t="n">
        <v>1.5</v>
      </c>
      <c r="N270" t="n">
        <v>8.25</v>
      </c>
      <c r="O270" t="n">
        <v>0</v>
      </c>
      <c r="P270">
        <f>Table1[[#This Row],[TA 1 - Q1 Score]]+Table1[[#This Row],[TA 1 - Q2 Score]]+Table1[[#This Row],[TA 1 - Q3 Score]]</f>
        <v/>
      </c>
      <c r="Q270">
        <f>Table1[[#This Row],[TA 1 - Q1 Bonus]]+Table1[[#This Row],[TA 1 - Q2 Bonus]]+Table1[[#This Row],[TA 1 - Q4 Bonus]]</f>
        <v/>
      </c>
      <c r="R270">
        <f>Table1[[#This Row],[TA 2 - Q1 Score]]+Table1[[#This Row],[TA 2 - Q2 Score]]+Table1[[#This Row],[TA 2 - Q3 Score]]</f>
        <v/>
      </c>
      <c r="S270">
        <f>Table1[[#This Row],[TA 2 - Q1 Bonus]]+Table1[[#This Row],[TA 2 - Q2 Bonus]]+Table1[[#This Row],[TA 2 - Q4 Bonus]]</f>
        <v/>
      </c>
      <c r="T270">
        <f>(Table1[[#This Row],[TA 1 - Total Score (out of 35)]]+Table1[[#This Row],[TA 2 - Total Score (out of 35)]])/2</f>
        <v/>
      </c>
      <c r="U270">
        <f>(Table1[[#This Row],[TA 1 - Total Bonus (out of 13)]]+Table1[[#This Row],[TA 2 - Total Bonus (out of 13)]])/2</f>
        <v/>
      </c>
      <c r="V270">
        <f>Table1[[#This Row],[Average Questions]]/35*20+Table1[[#This Row],[Average Bonus]]/13*5</f>
        <v/>
      </c>
      <c r="W270" t="n">
        <v>0</v>
      </c>
      <c r="X270" t="n">
        <v>0</v>
      </c>
      <c r="Y270" t="inlineStr">
        <is>
          <t>The student's submission contains several critical errors that prevent the code from running correctly. The transforms are incomplete, the DataLoaders are not correctly created, and the model training and validation loops are flawed. Additionally, the student did not correctly fix the labels for the CrossEntropyLoss, which is a critical requirement. The bonus task for Test Time Augmentation is also incomplete and does not run correctly.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70" t="n">
        <v>0</v>
      </c>
      <c r="AA270" t="n">
        <v>0</v>
      </c>
      <c r="AB270" t="inlineStr">
        <is>
          <t>The student's submission does not run correctly due to multiple issues. The code for loading and preparing the data, building the CNN model, training and validation functions, and training the model all contain errors that prevent the code from executing successfully. Additionally, the bonus task for residual connection is not implemented correctly. Therefore, no points are awarded for any of the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70" t="n">
        <v>0</v>
      </c>
      <c r="AD270" t="inlineStr">
        <is>
          <t>The student's submission does not run correctly due to several issues. The dataset class is incorrectly implemented, leading to errors in data loading. The model definition uses the wrong number of classes and the incorrect loss function. The training and validation loops are incorrectly implemented, and the loss plotting code is missing. Additionally, the visualization of predictions is flawed due to incorrect handling of the model's output. Therefore, no points are awarded for any task as the code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70" t="n">
        <v>0</v>
      </c>
      <c r="AF270" t="n">
        <v>0</v>
      </c>
      <c r="AG270" t="inlineStr">
        <is>
          <t>No submission found.</t>
        </is>
      </c>
      <c r="AH270" t="n">
        <v>0</v>
      </c>
      <c r="AI270" t="n">
        <v>0</v>
      </c>
    </row>
    <row r="271">
      <c r="A271" t="n">
        <v>270</v>
      </c>
      <c r="B271" t="inlineStr">
        <is>
          <t>TA_5</t>
        </is>
      </c>
      <c r="C271" t="inlineStr">
        <is>
          <t>TA_15</t>
        </is>
      </c>
      <c r="D271" t="n">
        <v>12</v>
      </c>
      <c r="E271" t="n">
        <v>4</v>
      </c>
      <c r="F271" t="n">
        <v>11</v>
      </c>
      <c r="G271" t="n">
        <v>4</v>
      </c>
      <c r="H271" t="n">
        <v>12</v>
      </c>
      <c r="I271" t="n">
        <v>5</v>
      </c>
      <c r="J271" t="n">
        <v>12</v>
      </c>
      <c r="K271" t="n">
        <v>4</v>
      </c>
      <c r="L271" t="n">
        <v>11</v>
      </c>
      <c r="M271" t="n">
        <v>4</v>
      </c>
      <c r="N271" t="n">
        <v>12</v>
      </c>
      <c r="O271" t="n">
        <v>5</v>
      </c>
      <c r="P271">
        <f>Table1[[#This Row],[TA 1 - Q1 Score]]+Table1[[#This Row],[TA 1 - Q2 Score]]+Table1[[#This Row],[TA 1 - Q3 Score]]</f>
        <v/>
      </c>
      <c r="Q271">
        <f>Table1[[#This Row],[TA 1 - Q1 Bonus]]+Table1[[#This Row],[TA 1 - Q2 Bonus]]+Table1[[#This Row],[TA 1 - Q4 Bonus]]</f>
        <v/>
      </c>
      <c r="R271">
        <f>Table1[[#This Row],[TA 2 - Q1 Score]]+Table1[[#This Row],[TA 2 - Q2 Score]]+Table1[[#This Row],[TA 2 - Q3 Score]]</f>
        <v/>
      </c>
      <c r="S271">
        <f>Table1[[#This Row],[TA 2 - Q1 Bonus]]+Table1[[#This Row],[TA 2 - Q2 Bonus]]+Table1[[#This Row],[TA 2 - Q4 Bonus]]</f>
        <v/>
      </c>
      <c r="T271">
        <f>(Table1[[#This Row],[TA 1 - Total Score (out of 35)]]+Table1[[#This Row],[TA 2 - Total Score (out of 35)]])/2</f>
        <v/>
      </c>
      <c r="U271">
        <f>(Table1[[#This Row],[TA 1 - Total Bonus (out of 13)]]+Table1[[#This Row],[TA 2 - Total Bonus (out of 13)]])/2</f>
        <v/>
      </c>
      <c r="V271">
        <f>Table1[[#This Row],[Average Questions]]/35*20+Table1[[#This Row],[Average Bonus]]/13*5</f>
        <v/>
      </c>
      <c r="W271" t="n">
        <v>10.5</v>
      </c>
      <c r="X271" t="n">
        <v>4</v>
      </c>
      <c r="Y271" t="inlineStr">
        <is>
          <t>The student successfully completed all tasks in Parts 1, 2, and 3, including correctly setting up the transforms, creating DataLoaders, displaying sample images, loading the pretrained model, freezing the backbone, replacing the classifier head, and implementing the training and validation loops with proper label adjustments. The training and validation functions are correctly implemented, and the model is trained and evaluated with plots for losses and accuracies. The bonus task for Test Time Augmentation (TTA) is also correctly implemented, with the model making predictions on the original, horizontally flipped, and vertically flipped images, and averaging the predictions. The student's submission is well-organized and follows the rubric closely, earning full points for the bonus task and a high score for the base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271" t="n">
        <v>10</v>
      </c>
      <c r="AA271" t="n">
        <v>4</v>
      </c>
      <c r="AB271" t="inlineStr">
        <is>
          <t>The student successfully completed all tasks with correct implementations and followed the rubric closely. The student used the correct dataset, applied the required transformations, and displayed sample images with labels. The CNN model was built with 5 convolutional layers and included batch normalization. The training and validation functions were correctly defined and used. The model was trained, and the losses and accuracies were plotted. The bonus task of adding a residual connection was also correctly implemented and retrained, with the results plotted. The student's code runs correctly and produces the expected output.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1.0/?</t>
        </is>
      </c>
      <c r="AC271" t="n">
        <v>10</v>
      </c>
      <c r="AD271" t="inlineStr">
        <is>
          <t>The student's submission successfully builds a custom dataset class, creates DataLoaders, and displays sample images and masks. The model class is correctly defined with the specified encoder. The training and validation loops are implemented correctly, and the model is trained with the appropriate loss and optimizer. Training and validation losses are printed, and the loss curve is plotted. The visualizations of predictions vs. ground truth are also correctly implemented. The student's code runs end-to-end without errors, adhering to the rubric's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71" t="n">
        <v>0</v>
      </c>
      <c r="AF271" t="n">
        <v>0</v>
      </c>
      <c r="AG271" t="inlineStr">
        <is>
          <t>The student's implementation of the `ColorizationDataset` class deviates from the required formula for converting RGB to grayscale. The method used in the student's submission does not match the specified formula (0.299 * R + 0.587 * G + 0.114 * B), which is a critical part of the task. Therefore, the implementation is incorrect and does not meet the criteria for awarding any points.
Breakdown:
- Correctly implemented `ColorizationDataset` class: 0.0/?</t>
        </is>
      </c>
      <c r="AH271" t="n">
        <v>30.5</v>
      </c>
      <c r="AI271" t="n">
        <v>8</v>
      </c>
    </row>
    <row r="272">
      <c r="A272" t="n">
        <v>271</v>
      </c>
      <c r="B272" t="inlineStr">
        <is>
          <t>TA_5</t>
        </is>
      </c>
      <c r="C272" t="inlineStr">
        <is>
          <t>TA_15</t>
        </is>
      </c>
      <c r="D272" t="n">
        <v>12</v>
      </c>
      <c r="E272" t="n">
        <v>4</v>
      </c>
      <c r="F272" t="n">
        <v>11</v>
      </c>
      <c r="G272" t="n">
        <v>4</v>
      </c>
      <c r="H272" t="n">
        <v>12</v>
      </c>
      <c r="I272" t="n">
        <v>5</v>
      </c>
      <c r="J272" t="n">
        <v>12</v>
      </c>
      <c r="K272" t="n">
        <v>4</v>
      </c>
      <c r="L272" t="n">
        <v>11</v>
      </c>
      <c r="M272" t="n">
        <v>4</v>
      </c>
      <c r="N272" t="n">
        <v>12</v>
      </c>
      <c r="O272" t="n">
        <v>5</v>
      </c>
      <c r="P272">
        <f>Table1[[#This Row],[TA 1 - Q1 Score]]+Table1[[#This Row],[TA 1 - Q2 Score]]+Table1[[#This Row],[TA 1 - Q3 Score]]</f>
        <v/>
      </c>
      <c r="Q272">
        <f>Table1[[#This Row],[TA 1 - Q1 Bonus]]+Table1[[#This Row],[TA 1 - Q2 Bonus]]+Table1[[#This Row],[TA 1 - Q4 Bonus]]</f>
        <v/>
      </c>
      <c r="R272">
        <f>Table1[[#This Row],[TA 2 - Q1 Score]]+Table1[[#This Row],[TA 2 - Q2 Score]]+Table1[[#This Row],[TA 2 - Q3 Score]]</f>
        <v/>
      </c>
      <c r="S272">
        <f>Table1[[#This Row],[TA 2 - Q1 Bonus]]+Table1[[#This Row],[TA 2 - Q2 Bonus]]+Table1[[#This Row],[TA 2 - Q4 Bonus]]</f>
        <v/>
      </c>
      <c r="T272">
        <f>(Table1[[#This Row],[TA 1 - Total Score (out of 35)]]+Table1[[#This Row],[TA 2 - Total Score (out of 35)]])/2</f>
        <v/>
      </c>
      <c r="U272">
        <f>(Table1[[#This Row],[TA 1 - Total Bonus (out of 13)]]+Table1[[#This Row],[TA 2 - Total Bonus (out of 13)]])/2</f>
        <v/>
      </c>
      <c r="V272">
        <f>Table1[[#This Row],[Average Questions]]/35*20+Table1[[#This Row],[Average Bonus]]/13*5</f>
        <v/>
      </c>
      <c r="W272" t="n">
        <v>10.5</v>
      </c>
      <c r="X272" t="n">
        <v>4</v>
      </c>
      <c r="Y272" t="inlineStr">
        <is>
          <t>The student successfully completed all tasks in Parts 1, 2, and 3, including correctly setting up the transforms, creating DataLoaders, displaying sample images, loading the pretrained model, freezing the backbone, replacing the classifier head, and implementing the training and validation loops with proper label adjustments. The training and validation functions are correctly implemented, and the model is trained and evaluated with plots for losses and accuracies. The bonus task for Test Time Augmentation (TTA) is also correctly implemented, with the model making predictions on original, horizontally flipped, and vertically flipped images, and averaging the predictions. The code runs end-to-end without errors.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272" t="n">
        <v>0</v>
      </c>
      <c r="AA272" t="n">
        <v>0</v>
      </c>
      <c r="AB272" t="inlineStr">
        <is>
          <t>The student's submission does not run correctly due to several issues. The dataset paths are not correctly set up, leading to errors in loading the data. The model definition and training loops contain syntax and logical errors, preventing the code from executing properly. Additionally, the student did not follow the rubric instructions for the residual connection task, resulting in a completely incorrect approach. Therefore, no partial credit can be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72" t="n">
        <v>0</v>
      </c>
      <c r="AD272" t="inlineStr">
        <is>
          <t>The student's submission does not run end-to-end due to missing code in critical sections, such as the training and validation loops, and the visualization of predictions. The code provided does not follow the optimal logic and contains syntax errors and logical mistakes. The student did not complete the tasks as per the rubric, resulting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72" t="n">
        <v>0</v>
      </c>
      <c r="AF272" t="n">
        <v>0</v>
      </c>
      <c r="AG272" t="inlineStr">
        <is>
          <t>The student's implementation of the `ColorizationDataset` class contains a mistake in the `rgb_to_grayscale` method. The slicing of the image channels is incorrect, which results in incorrect grayscale conversion. This mistake prevents the code from running correctly, and thus, no points are awarded for this task.
Breakdown:
- Correctly implemented `ColorizationDataset` class: 0.0/5.0</t>
        </is>
      </c>
      <c r="AH272" t="n">
        <v>10.5</v>
      </c>
      <c r="AI272" t="n">
        <v>4</v>
      </c>
    </row>
    <row r="273">
      <c r="A273" t="n">
        <v>272</v>
      </c>
      <c r="B273" t="inlineStr">
        <is>
          <t>TA_5</t>
        </is>
      </c>
      <c r="C273" t="inlineStr">
        <is>
          <t>TA_15</t>
        </is>
      </c>
      <c r="D273" t="n">
        <v>4</v>
      </c>
      <c r="E273" t="n">
        <v>0</v>
      </c>
      <c r="F273" t="n">
        <v>4</v>
      </c>
      <c r="G273" t="n">
        <v>0</v>
      </c>
      <c r="H273" t="n">
        <v>5.5</v>
      </c>
      <c r="I273" t="n">
        <v>0</v>
      </c>
      <c r="J273" t="n">
        <v>3.25</v>
      </c>
      <c r="K273" t="n">
        <v>0</v>
      </c>
      <c r="L273" t="n">
        <v>5.5</v>
      </c>
      <c r="M273" t="n">
        <v>0</v>
      </c>
      <c r="N273" t="n">
        <v>6</v>
      </c>
      <c r="O273" t="n">
        <v>0</v>
      </c>
      <c r="P273">
        <f>Table1[[#This Row],[TA 1 - Q1 Score]]+Table1[[#This Row],[TA 1 - Q2 Score]]+Table1[[#This Row],[TA 1 - Q3 Score]]</f>
        <v/>
      </c>
      <c r="Q273">
        <f>Table1[[#This Row],[TA 1 - Q1 Bonus]]+Table1[[#This Row],[TA 1 - Q2 Bonus]]+Table1[[#This Row],[TA 1 - Q4 Bonus]]</f>
        <v/>
      </c>
      <c r="R273">
        <f>Table1[[#This Row],[TA 2 - Q1 Score]]+Table1[[#This Row],[TA 2 - Q2 Score]]+Table1[[#This Row],[TA 2 - Q3 Score]]</f>
        <v/>
      </c>
      <c r="S273">
        <f>Table1[[#This Row],[TA 2 - Q1 Bonus]]+Table1[[#This Row],[TA 2 - Q2 Bonus]]+Table1[[#This Row],[TA 2 - Q4 Bonus]]</f>
        <v/>
      </c>
      <c r="T273">
        <f>(Table1[[#This Row],[TA 1 - Total Score (out of 35)]]+Table1[[#This Row],[TA 2 - Total Score (out of 35)]])/2</f>
        <v/>
      </c>
      <c r="U273">
        <f>(Table1[[#This Row],[TA 1 - Total Bonus (out of 13)]]+Table1[[#This Row],[TA 2 - Total Bonus (out of 13)]])/2</f>
        <v/>
      </c>
      <c r="V273">
        <f>Table1[[#This Row],[Average Questions]]/35*20+Table1[[#This Row],[Average Bonus]]/13*5</f>
        <v/>
      </c>
      <c r="W273" t="n">
        <v>0</v>
      </c>
      <c r="X273" t="n">
        <v>0</v>
      </c>
      <c r="Y273" t="inlineStr">
        <is>
          <t>The student's submission has several critical issues. The transforms are incomplete, and the DataLoader creation is missing. The model loading is incorrect, using EfficientNetV2-M instead of EfficientNetV2-Small, and the classifier head is modified incorrectly. The training and validation loops are flawed, and the label adjustment is missing. The training setup is incorrect, and the plots are missing. The bonus task is not attempted. The submission does not run correctly and deviates significantly from the rubric, resulting in a score of 0.0.
Breakdown:
- Task 1: Complete transforms (Resize, ToTensor, Normalize): 0.0/1.5
- Task 2: Create DataLoaders: 0.0/0.5
- Task 3: Display sample images: 0.0/1.0
- Task 1: Load pretrained EfficientNetV2-Small: -0.5/0.5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73" t="n">
        <v>0</v>
      </c>
      <c r="AA273" t="n">
        <v>0</v>
      </c>
      <c r="AB273" t="inlineStr">
        <is>
          <t>The student's submission does not follow the rubric correctly. The dataset class is incorrectly implemented, using a CSV file instead of the ImageFolder approach. The transforms do not resize images to 32x32 as required. The CNN model does not have 5 convolutional layers and lacks batch normalization. The training and validation functions are incorrectly implemented, and the training process does not set up the device, model, loss, and optimizer correctly.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73" t="n">
        <v>0</v>
      </c>
      <c r="AD273" t="inlineStr">
        <is>
          <t>The student's submission has several critical issues. The dataset class is incomplete and does not correctly load images and masks. The model definition uses 'efficientnet-b0' instead of 'efficientnet-b1' as specified, which is a significant deviation from the instructions. The training and validation loops are not correctly implemented, and the code does not run end-to-end. Additionally, the student did not include code for plotting the loss curve or visualizing predictions. These issues result in a score of 0.0 for the base tasks and 0.0 for the bonus tasks.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273" t="n">
        <v>0</v>
      </c>
      <c r="AF273" t="n">
        <v>0</v>
      </c>
      <c r="AG273" t="inlineStr">
        <is>
          <t>The student's submission for Question 4 is incomplete and contains several critical errors. The `rgb_to_grayscale` method is not implemented, and the `__getitem__` method has a syntax error and incorrect logic. Additionally, the `rgb_to_grayscale` method is not called within `__getitem__`, and the dataset is not correctly initialized. Therefore, the code does not run correctly and does not produce the expected output, resulting in a score of 0.0 for the task.
Breakdown:
- Correctly implemented `ColorizationDataset` class: 0.0/5.0</t>
        </is>
      </c>
      <c r="AH273" t="n">
        <v>0</v>
      </c>
      <c r="AI273" t="n">
        <v>0</v>
      </c>
    </row>
    <row r="274">
      <c r="A274" t="n">
        <v>273</v>
      </c>
      <c r="B274" t="inlineStr">
        <is>
          <t>TA_5</t>
        </is>
      </c>
      <c r="C274" t="inlineStr">
        <is>
          <t>TA_15</t>
        </is>
      </c>
      <c r="D274" t="n">
        <v>9</v>
      </c>
      <c r="E274" t="n">
        <v>0</v>
      </c>
      <c r="F274" t="n">
        <v>6.5</v>
      </c>
      <c r="G274" t="n">
        <v>0</v>
      </c>
      <c r="H274" t="n">
        <v>3.5</v>
      </c>
      <c r="I274" t="n">
        <v>0</v>
      </c>
      <c r="J274" t="n">
        <v>6.5</v>
      </c>
      <c r="K274" t="n">
        <v>0</v>
      </c>
      <c r="L274" t="n">
        <v>6.5</v>
      </c>
      <c r="M274" t="n">
        <v>0</v>
      </c>
      <c r="N274" t="n">
        <v>3.75</v>
      </c>
      <c r="O274" t="n">
        <v>0</v>
      </c>
      <c r="P274">
        <f>Table1[[#This Row],[TA 1 - Q1 Score]]+Table1[[#This Row],[TA 1 - Q2 Score]]+Table1[[#This Row],[TA 1 - Q3 Score]]</f>
        <v/>
      </c>
      <c r="Q274">
        <f>Table1[[#This Row],[TA 1 - Q1 Bonus]]+Table1[[#This Row],[TA 1 - Q2 Bonus]]+Table1[[#This Row],[TA 1 - Q4 Bonus]]</f>
        <v/>
      </c>
      <c r="R274">
        <f>Table1[[#This Row],[TA 2 - Q1 Score]]+Table1[[#This Row],[TA 2 - Q2 Score]]+Table1[[#This Row],[TA 2 - Q3 Score]]</f>
        <v/>
      </c>
      <c r="S274">
        <f>Table1[[#This Row],[TA 2 - Q1 Bonus]]+Table1[[#This Row],[TA 2 - Q2 Bonus]]+Table1[[#This Row],[TA 2 - Q4 Bonus]]</f>
        <v/>
      </c>
      <c r="T274">
        <f>(Table1[[#This Row],[TA 1 - Total Score (out of 35)]]+Table1[[#This Row],[TA 2 - Total Score (out of 35)]])/2</f>
        <v/>
      </c>
      <c r="U274">
        <f>(Table1[[#This Row],[TA 1 - Total Bonus (out of 13)]]+Table1[[#This Row],[TA 2 - Total Bonus (out of 13)]])/2</f>
        <v/>
      </c>
      <c r="V274">
        <f>Table1[[#This Row],[Average Questions]]/35*20+Table1[[#This Row],[Average Bonus]]/13*5</f>
        <v/>
      </c>
      <c r="W274" t="n">
        <v>0</v>
      </c>
      <c r="X274" t="n">
        <v>0</v>
      </c>
      <c r="Y274" t="inlineStr">
        <is>
          <t>The student's submission does not run correctly due to several issues. The transforms are incomplete, the DataLoaders are not correctly created, and the sample images are not displayed correctly. The model is not correctly loaded or adapted, and the training and validation loops are incorrect. Additionally, the labels are not fixed correctly, and the training process does not plot the losses or accuracies. The bonus task is also not attempted.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74" t="n">
        <v>0</v>
      </c>
      <c r="AA274" t="n">
        <v>0</v>
      </c>
      <c r="AB274" t="inlineStr">
        <is>
          <t>The student's submission does not run correctly due to several issues. The model definition is incorrect as it does not have 5 convolutional layers and lacks batch normalization. The training and validation functions are incomplete and do not correctly calculate accuracy. The training loop does not store or plot losses and accuracies. Additionally, the student did not attempt the bonus task. Therefore, no points are awarded for any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274" t="n">
        <v>0</v>
      </c>
      <c r="AD274" t="inlineStr">
        <is>
          <t>The student's submission does not include any code for the dataset class, DataLoaders, or displaying sample images and masks. The model class definition is incomplete and incorrect, using the wrong number of classes and not following the rubric's specifications. The training and validation loops are not defined correctly, and there is no code for running the training, printing losses, plotting the loss curve, or visualizing predictions. The submission does not run end-to-end and deviates significantly from the rubric, resulting in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74" t="n">
        <v>0</v>
      </c>
      <c r="AF274" t="n">
        <v>0</v>
      </c>
      <c r="AG274" t="inlineStr">
        <is>
          <t>No submission found.</t>
        </is>
      </c>
      <c r="AH274" t="n">
        <v>0</v>
      </c>
      <c r="AI274" t="n">
        <v>0</v>
      </c>
    </row>
    <row r="275">
      <c r="A275" t="n">
        <v>274</v>
      </c>
      <c r="B275" t="inlineStr">
        <is>
          <t>TA_5</t>
        </is>
      </c>
      <c r="C275" t="inlineStr">
        <is>
          <t>TA_15</t>
        </is>
      </c>
      <c r="D275" t="n">
        <v>10</v>
      </c>
      <c r="E275" t="n">
        <v>0</v>
      </c>
      <c r="F275" t="n">
        <v>8</v>
      </c>
      <c r="G275" t="n">
        <v>0</v>
      </c>
      <c r="H275" t="n">
        <v>7.5</v>
      </c>
      <c r="I275" t="n">
        <v>0</v>
      </c>
      <c r="J275" t="n">
        <v>7.5</v>
      </c>
      <c r="K275" t="n">
        <v>0</v>
      </c>
      <c r="L275" t="n">
        <v>10.5</v>
      </c>
      <c r="M275" t="n">
        <v>0</v>
      </c>
      <c r="N275" t="n">
        <v>5.25</v>
      </c>
      <c r="O275" t="n">
        <v>0</v>
      </c>
      <c r="P275">
        <f>Table1[[#This Row],[TA 1 - Q1 Score]]+Table1[[#This Row],[TA 1 - Q2 Score]]+Table1[[#This Row],[TA 1 - Q3 Score]]</f>
        <v/>
      </c>
      <c r="Q275">
        <f>Table1[[#This Row],[TA 1 - Q1 Bonus]]+Table1[[#This Row],[TA 1 - Q2 Bonus]]+Table1[[#This Row],[TA 1 - Q4 Bonus]]</f>
        <v/>
      </c>
      <c r="R275">
        <f>Table1[[#This Row],[TA 2 - Q1 Score]]+Table1[[#This Row],[TA 2 - Q2 Score]]+Table1[[#This Row],[TA 2 - Q3 Score]]</f>
        <v/>
      </c>
      <c r="S275">
        <f>Table1[[#This Row],[TA 2 - Q1 Bonus]]+Table1[[#This Row],[TA 2 - Q2 Bonus]]+Table1[[#This Row],[TA 2 - Q4 Bonus]]</f>
        <v/>
      </c>
      <c r="T275">
        <f>(Table1[[#This Row],[TA 1 - Total Score (out of 35)]]+Table1[[#This Row],[TA 2 - Total Score (out of 35)]])/2</f>
        <v/>
      </c>
      <c r="U275">
        <f>(Table1[[#This Row],[TA 1 - Total Bonus (out of 13)]]+Table1[[#This Row],[TA 2 - Total Bonus (out of 13)]])/2</f>
        <v/>
      </c>
      <c r="V275">
        <f>Table1[[#This Row],[Average Questions]]/35*20+Table1[[#This Row],[Average Bonus]]/13*5</f>
        <v/>
      </c>
      <c r="W275" t="n">
        <v>0</v>
      </c>
      <c r="X275" t="n">
        <v>0</v>
      </c>
      <c r="Y275" t="inlineStr">
        <is>
          <t>The student's submission does not run correctly due to several issues. The training and validation loops are incorrect because the labels are not adjusted to be 0-indexed, which is a critical requirement. Additionally, the validation loop does not correctly handle the labels, leading to incorrect accuracy calculations. The training loop also incorrectly uses softmax before calculating the predictions, which is not necessary and leads to incorrect results. Furthermore, the student did not implement the bonus task for Test Time Augmentation.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75" t="n">
        <v>0</v>
      </c>
      <c r="AA275" t="n">
        <v>0</v>
      </c>
      <c r="AB275" t="inlineStr">
        <is>
          <t>The student's submission does not run correctly due to several issues. The transformations applied to the images are incorrect, as the student resized the images to 32x32 instead of 128x128 as specified. Additionally, the student did not correctly implement the CNN model with 5 convolutional layers and batch normalization. The training and validation functions are also incorrect, leading to a failure in the training process. Therefore, no points are awarded for any of the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75" t="n">
        <v>0</v>
      </c>
      <c r="AD275" t="inlineStr">
        <is>
          <t>The student's submission contains several critical errors that prevent the code from running correctly. The dataset class is incomplete and does not correctly load images and masks. The model definition uses the wrong number of classes and the incorrect loss function is used. Additionally, the training and validation loops are incorrectly implemented, leading to a failure in the training process. The visualization of predictions is also missing. Therefore, the student receives 0 points for all tasks as the code does not run correctly and deviates significantly from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75" t="n">
        <v>0</v>
      </c>
      <c r="AF275" t="n">
        <v>0</v>
      </c>
      <c r="AG275" t="inlineStr">
        <is>
          <t>No submission found.</t>
        </is>
      </c>
      <c r="AH275" t="n">
        <v>0</v>
      </c>
      <c r="AI275" t="n">
        <v>0</v>
      </c>
    </row>
    <row r="276">
      <c r="A276" t="n">
        <v>275</v>
      </c>
      <c r="B276" t="inlineStr">
        <is>
          <t>TA_5</t>
        </is>
      </c>
      <c r="C276" t="inlineStr">
        <is>
          <t>TA_15</t>
        </is>
      </c>
      <c r="D276" t="n">
        <v>11</v>
      </c>
      <c r="E276" t="n">
        <v>0</v>
      </c>
      <c r="F276" t="n">
        <v>9</v>
      </c>
      <c r="G276" t="n">
        <v>0</v>
      </c>
      <c r="H276" t="n">
        <v>10</v>
      </c>
      <c r="I276" t="n">
        <v>0</v>
      </c>
      <c r="J276" t="n">
        <v>10.5</v>
      </c>
      <c r="K276" t="n">
        <v>0</v>
      </c>
      <c r="L276" t="n">
        <v>9</v>
      </c>
      <c r="M276" t="n">
        <v>0</v>
      </c>
      <c r="N276" t="n">
        <v>10.5</v>
      </c>
      <c r="O276" t="n">
        <v>0</v>
      </c>
      <c r="P276">
        <f>Table1[[#This Row],[TA 1 - Q1 Score]]+Table1[[#This Row],[TA 1 - Q2 Score]]+Table1[[#This Row],[TA 1 - Q3 Score]]</f>
        <v/>
      </c>
      <c r="Q276">
        <f>Table1[[#This Row],[TA 1 - Q1 Bonus]]+Table1[[#This Row],[TA 1 - Q2 Bonus]]+Table1[[#This Row],[TA 1 - Q4 Bonus]]</f>
        <v/>
      </c>
      <c r="R276">
        <f>Table1[[#This Row],[TA 2 - Q1 Score]]+Table1[[#This Row],[TA 2 - Q2 Score]]+Table1[[#This Row],[TA 2 - Q3 Score]]</f>
        <v/>
      </c>
      <c r="S276">
        <f>Table1[[#This Row],[TA 2 - Q1 Bonus]]+Table1[[#This Row],[TA 2 - Q2 Bonus]]+Table1[[#This Row],[TA 2 - Q4 Bonus]]</f>
        <v/>
      </c>
      <c r="T276">
        <f>(Table1[[#This Row],[TA 1 - Total Score (out of 35)]]+Table1[[#This Row],[TA 2 - Total Score (out of 35)]])/2</f>
        <v/>
      </c>
      <c r="U276">
        <f>(Table1[[#This Row],[TA 1 - Total Bonus (out of 13)]]+Table1[[#This Row],[TA 2 - Total Bonus (out of 13)]])/2</f>
        <v/>
      </c>
      <c r="V276">
        <f>Table1[[#This Row],[Average Questions]]/35*20+Table1[[#This Row],[Average Bonus]]/13*5</f>
        <v/>
      </c>
      <c r="W276" t="n">
        <v>0</v>
      </c>
      <c r="X276" t="n">
        <v>0</v>
      </c>
      <c r="Y276" t="inlineStr">
        <is>
          <t>The student's submission does not run correctly due to several issues. The code for displaying sample images is missing, and the training and validation loops contain errors that prevent the model from training and validating properly. Additionally, the student did not implement the bonus task for Test Time Augmentation.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76" t="n">
        <v>0</v>
      </c>
      <c r="AA276" t="n">
        <v>0</v>
      </c>
      <c r="AB276" t="inlineStr">
        <is>
          <t>The student's submission does not run correctly due to several issues. The dataset class is incorrectly implemented, leading to errors in loading the data. The transforms applied do not match the required specifications, and the model definition deviates from the rubric by not including batch normalization. Additionally, the training and validation functions contain logical errors, and the plotting code is incomplete. The bonus task is not attempted.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76" t="n">
        <v>0</v>
      </c>
      <c r="AD276" t="inlineStr">
        <is>
          <t>The student's submission does not run end-to-end due to multiple issues. The dataset class is incorrectly implemented, leading to errors in DataLoader creation. The model definition uses the wrong encoder, and the training and validation loops are not correctly implemented. Additionally, the visualization of predictions is flawed. Therefore, no points are awarded for any task as the code does not run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76" t="n">
        <v>0</v>
      </c>
      <c r="AF276" t="n">
        <v>0</v>
      </c>
      <c r="AG276" t="inlineStr">
        <is>
          <t>No submission found.</t>
        </is>
      </c>
      <c r="AH276" t="n">
        <v>0</v>
      </c>
      <c r="AI276" t="n">
        <v>0</v>
      </c>
    </row>
    <row r="277">
      <c r="A277" t="n">
        <v>276</v>
      </c>
      <c r="B277" t="inlineStr">
        <is>
          <t>TA_5</t>
        </is>
      </c>
      <c r="C277" t="inlineStr">
        <is>
          <t>TA_15</t>
        </is>
      </c>
      <c r="D277" t="n">
        <v>11</v>
      </c>
      <c r="E277" t="n">
        <v>0</v>
      </c>
      <c r="F277" t="n">
        <v>9</v>
      </c>
      <c r="G277" t="n">
        <v>0</v>
      </c>
      <c r="H277" t="n">
        <v>12</v>
      </c>
      <c r="I277" t="n">
        <v>0</v>
      </c>
      <c r="J277" t="n">
        <v>7.25</v>
      </c>
      <c r="K277" t="n">
        <v>0</v>
      </c>
      <c r="L277" t="n">
        <v>8.5</v>
      </c>
      <c r="M277" t="n">
        <v>0</v>
      </c>
      <c r="N277" t="n">
        <v>10.5</v>
      </c>
      <c r="O277" t="n">
        <v>0</v>
      </c>
      <c r="P277">
        <f>Table1[[#This Row],[TA 1 - Q1 Score]]+Table1[[#This Row],[TA 1 - Q2 Score]]+Table1[[#This Row],[TA 1 - Q3 Score]]</f>
        <v/>
      </c>
      <c r="Q277">
        <f>Table1[[#This Row],[TA 1 - Q1 Bonus]]+Table1[[#This Row],[TA 1 - Q2 Bonus]]+Table1[[#This Row],[TA 1 - Q4 Bonus]]</f>
        <v/>
      </c>
      <c r="R277">
        <f>Table1[[#This Row],[TA 2 - Q1 Score]]+Table1[[#This Row],[TA 2 - Q2 Score]]+Table1[[#This Row],[TA 2 - Q3 Score]]</f>
        <v/>
      </c>
      <c r="S277">
        <f>Table1[[#This Row],[TA 2 - Q1 Bonus]]+Table1[[#This Row],[TA 2 - Q2 Bonus]]+Table1[[#This Row],[TA 2 - Q4 Bonus]]</f>
        <v/>
      </c>
      <c r="T277">
        <f>(Table1[[#This Row],[TA 1 - Total Score (out of 35)]]+Table1[[#This Row],[TA 2 - Total Score (out of 35)]])/2</f>
        <v/>
      </c>
      <c r="U277">
        <f>(Table1[[#This Row],[TA 1 - Total Bonus (out of 13)]]+Table1[[#This Row],[TA 2 - Total Bonus (out of 13)]])/2</f>
        <v/>
      </c>
      <c r="V277">
        <f>Table1[[#This Row],[Average Questions]]/35*20+Table1[[#This Row],[Average Bonus]]/13*5</f>
        <v/>
      </c>
      <c r="W277" t="n">
        <v>0</v>
      </c>
      <c r="X277" t="n">
        <v>0</v>
      </c>
      <c r="Y277" t="inlineStr">
        <is>
          <t>The student's submission does not run correctly due to several issues. The training and validation loops do not adjust the labels to be 0-indexed, which is a critical requirement. Additionally, the model is not correctly set up to freeze the backbone, and the training loop does not correctly compute the accuracy. These issues prevent the code from running as intended, resulting in a score of 0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77" t="n">
        <v>0</v>
      </c>
      <c r="AA277" t="n">
        <v>0</v>
      </c>
      <c r="AB277" t="inlineStr">
        <is>
          <t>The student's submission does not run correctly due to several issues. The dataset class is incorrectly implemented, leading to errors in loading the data. The CNN model does not follow the specified architecture, and the training and validation functions contain logical errors.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77" t="n">
        <v>0</v>
      </c>
      <c r="AD277" t="inlineStr">
        <is>
          <t>The student's submission does not run correctly due to several issues. The dataset class is incorrectly implemented, leading to errors in data loading. The model definition uses 'efficientnet-b1' instead of 'efficientnet-b0' as specified. The training and validation loops are incomplete and contain errors. The loss and optimizer are defined correctly, but the training process does not execute properly due to the aforementioned issues. The visualization of predictions is also incorrect and does not display the ground truth masks correctly. Therefore, no points are awarded for any task as the code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77" t="n">
        <v>0</v>
      </c>
      <c r="AF277" t="n">
        <v>0</v>
      </c>
      <c r="AG277" t="inlineStr">
        <is>
          <t>No submission found.</t>
        </is>
      </c>
      <c r="AH277" t="n">
        <v>0</v>
      </c>
      <c r="AI277" t="n">
        <v>0</v>
      </c>
    </row>
    <row r="278">
      <c r="A278" t="n">
        <v>277</v>
      </c>
      <c r="B278" t="inlineStr">
        <is>
          <t>TA_5</t>
        </is>
      </c>
      <c r="C278" t="inlineStr">
        <is>
          <t>TA_15</t>
        </is>
      </c>
      <c r="D278" t="n">
        <v>10</v>
      </c>
      <c r="E278" t="n">
        <v>4</v>
      </c>
      <c r="F278" t="n">
        <v>10.5</v>
      </c>
      <c r="G278" t="n">
        <v>1</v>
      </c>
      <c r="H278" t="n">
        <v>6</v>
      </c>
      <c r="I278" t="n">
        <v>0</v>
      </c>
      <c r="J278" t="n">
        <v>7.5</v>
      </c>
      <c r="K278" t="n">
        <v>4</v>
      </c>
      <c r="L278" t="n">
        <v>10</v>
      </c>
      <c r="M278" t="n">
        <v>1</v>
      </c>
      <c r="N278" t="n">
        <v>5.5</v>
      </c>
      <c r="O278" t="n">
        <v>0</v>
      </c>
      <c r="P278">
        <f>Table1[[#This Row],[TA 1 - Q1 Score]]+Table1[[#This Row],[TA 1 - Q2 Score]]+Table1[[#This Row],[TA 1 - Q3 Score]]</f>
        <v/>
      </c>
      <c r="Q278">
        <f>Table1[[#This Row],[TA 1 - Q1 Bonus]]+Table1[[#This Row],[TA 1 - Q2 Bonus]]+Table1[[#This Row],[TA 1 - Q4 Bonus]]</f>
        <v/>
      </c>
      <c r="R278">
        <f>Table1[[#This Row],[TA 2 - Q1 Score]]+Table1[[#This Row],[TA 2 - Q2 Score]]+Table1[[#This Row],[TA 2 - Q3 Score]]</f>
        <v/>
      </c>
      <c r="S278">
        <f>Table1[[#This Row],[TA 2 - Q1 Bonus]]+Table1[[#This Row],[TA 2 - Q2 Bonus]]+Table1[[#This Row],[TA 2 - Q4 Bonus]]</f>
        <v/>
      </c>
      <c r="T278">
        <f>(Table1[[#This Row],[TA 1 - Total Score (out of 35)]]+Table1[[#This Row],[TA 2 - Total Score (out of 35)]])/2</f>
        <v/>
      </c>
      <c r="U278">
        <f>(Table1[[#This Row],[TA 1 - Total Bonus (out of 13)]]+Table1[[#This Row],[TA 2 - Total Bonus (out of 13)]])/2</f>
        <v/>
      </c>
      <c r="V278">
        <f>Table1[[#This Row],[Average Questions]]/35*20+Table1[[#This Row],[Average Bonus]]/13*5</f>
        <v/>
      </c>
      <c r="W278" t="n">
        <v>0</v>
      </c>
      <c r="X278" t="n">
        <v>0</v>
      </c>
      <c r="Y278" t="inlineStr">
        <is>
          <t>The student's submission contains several critical errors that prevent the code from running correctly. The student incorrectly modified the classifier head to 32 classes instead of 26, which is a fundamental deviation from the task requirements. Additionally, the training and validation loops are incorrectly implemented for a multi-class classification problem, using sigmoid activation and binary classification logic instead of softmax and cross-entropy loss. The student also did not correctly implement the data loaders, and the display of sample images is incorrect. These issues result in a score of 0 for the base tasks and 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-50.0/?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78" t="n">
        <v>0</v>
      </c>
      <c r="AA278" t="n">
        <v>0</v>
      </c>
      <c r="AB278" t="inlineStr">
        <is>
          <t>The student's submission does not run correctly due to multiple issues. The code for loading and preparing the data is incomplete and contains errors. The CNN model definition is incorrect and does not follow the specified structure. The training and validation functions are not correctly implemented, and the training process does not execute properly. Additionally, the bonus task for residual connections is not attempted correctly.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78" t="n">
        <v>0</v>
      </c>
      <c r="AD278" t="inlineStr">
        <is>
          <t>The student's submission does not correctly implement any of the required tasks. The dataset class is incorrectly defined and does not properly load images and masks. The DataLoader is not correctly created, and the visualization of sample images and masks is missing. The model class is incorrectly defined and does not use the specified pretrained U-Net with efficientnet-b1 encoder. The training and validation loops are not implemented correctly, and the loss and optimizer are not defined. The model is not trained, and the training and validation losses are not printed or plotted. The visualization of predictions vs ground truth for multiple images is missing.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78" t="n">
        <v>0</v>
      </c>
      <c r="AF278" t="n">
        <v>0</v>
      </c>
      <c r="AG278" t="inlineStr">
        <is>
          <t>No submission found.</t>
        </is>
      </c>
      <c r="AH278" t="n">
        <v>0</v>
      </c>
      <c r="AI278" t="n">
        <v>0</v>
      </c>
    </row>
    <row r="279">
      <c r="A279" t="n">
        <v>278</v>
      </c>
      <c r="B279" t="inlineStr">
        <is>
          <t>TA_5</t>
        </is>
      </c>
      <c r="C279" t="inlineStr">
        <is>
          <t>TA_15</t>
        </is>
      </c>
      <c r="D279" t="n">
        <v>10.5</v>
      </c>
      <c r="E279" t="n">
        <v>4</v>
      </c>
      <c r="F279" t="n">
        <v>9.5</v>
      </c>
      <c r="G279" t="n">
        <v>4</v>
      </c>
      <c r="H279" t="n">
        <v>12</v>
      </c>
      <c r="I279" t="n">
        <v>5</v>
      </c>
      <c r="J279" t="n">
        <v>10.5</v>
      </c>
      <c r="K279" t="n">
        <v>3</v>
      </c>
      <c r="L279" t="n">
        <v>9.5</v>
      </c>
      <c r="M279" t="n">
        <v>4</v>
      </c>
      <c r="N279" t="n">
        <v>12</v>
      </c>
      <c r="O279" t="n">
        <v>5</v>
      </c>
      <c r="P279">
        <f>Table1[[#This Row],[TA 1 - Q1 Score]]+Table1[[#This Row],[TA 1 - Q2 Score]]+Table1[[#This Row],[TA 1 - Q3 Score]]</f>
        <v/>
      </c>
      <c r="Q279">
        <f>Table1[[#This Row],[TA 1 - Q1 Bonus]]+Table1[[#This Row],[TA 1 - Q2 Bonus]]+Table1[[#This Row],[TA 1 - Q4 Bonus]]</f>
        <v/>
      </c>
      <c r="R279">
        <f>Table1[[#This Row],[TA 2 - Q1 Score]]+Table1[[#This Row],[TA 2 - Q2 Score]]+Table1[[#This Row],[TA 2 - Q3 Score]]</f>
        <v/>
      </c>
      <c r="S279">
        <f>Table1[[#This Row],[TA 2 - Q1 Bonus]]+Table1[[#This Row],[TA 2 - Q2 Bonus]]+Table1[[#This Row],[TA 2 - Q4 Bonus]]</f>
        <v/>
      </c>
      <c r="T279">
        <f>(Table1[[#This Row],[TA 1 - Total Score (out of 35)]]+Table1[[#This Row],[TA 2 - Total Score (out of 35)]])/2</f>
        <v/>
      </c>
      <c r="U279">
        <f>(Table1[[#This Row],[TA 1 - Total Bonus (out of 13)]]+Table1[[#This Row],[TA 2 - Total Bonus (out of 13)]])/2</f>
        <v/>
      </c>
      <c r="V279">
        <f>Table1[[#This Row],[Average Questions]]/35*20+Table1[[#This Row],[Average Bonus]]/13*5</f>
        <v/>
      </c>
      <c r="W279" t="n">
        <v>0</v>
      </c>
      <c r="X279" t="n">
        <v>0</v>
      </c>
      <c r="Y279" t="inlineStr">
        <is>
          <t>The student's submission does not run correctly due to multiple issues. The transforms are incomplete, the DataLoaders are not created correctly, and the model is not properly adapted for the task. The training and validation loops are incorrect, and the plots for losses and accuracies are missing. Additionally, the bonus task for Test Time Augmentation (TTA) is not implemented correctly.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79" t="n">
        <v>0</v>
      </c>
      <c r="AA279" t="n">
        <v>0</v>
      </c>
      <c r="AB279" t="inlineStr">
        <is>
          <t>The student's submission does not follow the rubric instructions. The dataset class or ImageFolder is not correctly implemented, the transforms do not include RandomRotation or Resize to 32x32, and the CNN model does not have 5 convolutional layers with Batch Normalization. The training and validation functions are incorrectly implemented, and the model training process is flawed. Additionally, the bonus task for residual connections is not correctly defined or implemented.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79" t="n">
        <v>0</v>
      </c>
      <c r="AD279" t="inlineStr">
        <is>
          <t>The student's submission does not run correctly due to several issues. The dataset class is incorrectly defined, leading to errors in data loading. The model definition uses 'efficientnet-b1' instead of 'efficientnet-b0' as specified. The training and validation loops are incomplete and contain errors. The loss and optimizer are defined correctly, but the training process does not execute properly due to the aforementioned issues. The visualization of predictions is attempted but fails due to the incorrect model definition and training process.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79" t="n">
        <v>0</v>
      </c>
      <c r="AF279" t="n">
        <v>0</v>
      </c>
      <c r="AG279" t="inlineStr">
        <is>
          <t>The student's implementation of the `ColorizationDataset` class has critical errors. The `rgb_to_grayscale` method does not correctly add the channel dimension back to the grayscale image, and the `__getitem__` method returns the color image instead of the grayscale image. These issues prevent the code from running correctly and producing the expected output. Therefore, the student receives 0 points for this task.
Breakdown:
- Correctly implemented `ColorizationDataset` class: 0.0/?</t>
        </is>
      </c>
      <c r="AH279" t="n">
        <v>0</v>
      </c>
      <c r="AI279" t="n">
        <v>0</v>
      </c>
    </row>
    <row r="280">
      <c r="A280" t="n">
        <v>279</v>
      </c>
      <c r="B280" t="inlineStr">
        <is>
          <t>TA_5</t>
        </is>
      </c>
      <c r="C280" t="inlineStr">
        <is>
          <t>TA_15</t>
        </is>
      </c>
      <c r="D280" t="n">
        <v>9</v>
      </c>
      <c r="E280" t="n">
        <v>0</v>
      </c>
      <c r="F280" t="n">
        <v>7.5</v>
      </c>
      <c r="G280" t="n">
        <v>0</v>
      </c>
      <c r="H280" t="n">
        <v>11</v>
      </c>
      <c r="I280" t="n">
        <v>0</v>
      </c>
      <c r="J280" t="n">
        <v>6.5</v>
      </c>
      <c r="K280" t="n">
        <v>0</v>
      </c>
      <c r="L280" t="n">
        <v>8</v>
      </c>
      <c r="M280" t="n">
        <v>0</v>
      </c>
      <c r="N280" t="n">
        <v>11</v>
      </c>
      <c r="O280" t="n">
        <v>0</v>
      </c>
      <c r="P280">
        <f>Table1[[#This Row],[TA 1 - Q1 Score]]+Table1[[#This Row],[TA 1 - Q2 Score]]+Table1[[#This Row],[TA 1 - Q3 Score]]</f>
        <v/>
      </c>
      <c r="Q280">
        <f>Table1[[#This Row],[TA 1 - Q1 Bonus]]+Table1[[#This Row],[TA 1 - Q2 Bonus]]+Table1[[#This Row],[TA 1 - Q4 Bonus]]</f>
        <v/>
      </c>
      <c r="R280">
        <f>Table1[[#This Row],[TA 2 - Q1 Score]]+Table1[[#This Row],[TA 2 - Q2 Score]]+Table1[[#This Row],[TA 2 - Q3 Score]]</f>
        <v/>
      </c>
      <c r="S280">
        <f>Table1[[#This Row],[TA 2 - Q1 Bonus]]+Table1[[#This Row],[TA 2 - Q2 Bonus]]+Table1[[#This Row],[TA 2 - Q4 Bonus]]</f>
        <v/>
      </c>
      <c r="T280">
        <f>(Table1[[#This Row],[TA 1 - Total Score (out of 35)]]+Table1[[#This Row],[TA 2 - Total Score (out of 35)]])/2</f>
        <v/>
      </c>
      <c r="U280">
        <f>(Table1[[#This Row],[TA 1 - Total Bonus (out of 13)]]+Table1[[#This Row],[TA 2 - Total Bonus (out of 13)]])/2</f>
        <v/>
      </c>
      <c r="V280">
        <f>Table1[[#This Row],[Average Questions]]/35*20+Table1[[#This Row],[Average Bonus]]/13*5</f>
        <v/>
      </c>
      <c r="W280" t="n">
        <v>0</v>
      </c>
      <c r="X280" t="n">
        <v>0</v>
      </c>
      <c r="Y280" t="inlineStr">
        <is>
          <t>The student's submission does not run correctly due to multiple issues. The transforms are incomplete, the DataLoaders are not correctly created, and the model is not properly set up for training. Additionally, the training and validation loops are incorrect, and the plots for training and validation losses and accuracies are missing. The bonus task for Test Time Augmentation is also not implemented correctly.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80" t="n">
        <v>0</v>
      </c>
      <c r="AA280" t="n">
        <v>0</v>
      </c>
      <c r="AB280" t="inlineStr">
        <is>
          <t>The student's submission does not follow the rubric. The student used a different model (AlexNet) instead of building a CNN from scratch with 5 convolutional layers. Additionally, the student implemented a UNet model, which is not relevant to the task. The code does not run correctly and deviates significantly from the required tasks, resulting in a score of 0 for all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280" t="n">
        <v>0</v>
      </c>
      <c r="AD280" t="inlineStr">
        <is>
          <t>The student's submission contains several critical errors. The dataset class is incorrectly implemented, leading to issues in loading images and masks. The model definition uses 'efficientnet-b0' instead of 'efficientnet-b1', which is a deviation from the rubric. The training and validation loops are present but do not run correctly due to the incorrect dataset class. The loss and optimizer are defined, but the training process does not execute properly. The visualization of predictions is attempted but fails due to the earlier issues. Overall, the submission does not meet the requirements of the rubric, resulting in a score of 0.0.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280" t="n">
        <v>0</v>
      </c>
      <c r="AF280" t="n">
        <v>0</v>
      </c>
      <c r="AG280" t="inlineStr">
        <is>
          <t>No submission found.</t>
        </is>
      </c>
      <c r="AH280" t="n">
        <v>0</v>
      </c>
      <c r="AI280" t="n">
        <v>0</v>
      </c>
    </row>
    <row r="281">
      <c r="A281" t="n">
        <v>280</v>
      </c>
      <c r="B281" t="inlineStr">
        <is>
          <t>TA_5</t>
        </is>
      </c>
      <c r="C281" t="inlineStr">
        <is>
          <t>TA_15</t>
        </is>
      </c>
      <c r="D281" t="n">
        <v>7</v>
      </c>
      <c r="E281" t="n">
        <v>0</v>
      </c>
      <c r="F281" t="n">
        <v>8</v>
      </c>
      <c r="G281" t="n">
        <v>0</v>
      </c>
      <c r="H281" t="n">
        <v>8.5</v>
      </c>
      <c r="I281" t="n">
        <v>0</v>
      </c>
      <c r="J281" t="n">
        <v>1.25</v>
      </c>
      <c r="K281" t="n">
        <v>0</v>
      </c>
      <c r="L281" t="n">
        <v>7.5</v>
      </c>
      <c r="M281" t="n">
        <v>0</v>
      </c>
      <c r="N281" t="n">
        <v>7.5</v>
      </c>
      <c r="O281" t="n">
        <v>0</v>
      </c>
      <c r="P281">
        <f>Table1[[#This Row],[TA 1 - Q1 Score]]+Table1[[#This Row],[TA 1 - Q2 Score]]+Table1[[#This Row],[TA 1 - Q3 Score]]</f>
        <v/>
      </c>
      <c r="Q281">
        <f>Table1[[#This Row],[TA 1 - Q1 Bonus]]+Table1[[#This Row],[TA 1 - Q2 Bonus]]+Table1[[#This Row],[TA 1 - Q4 Bonus]]</f>
        <v/>
      </c>
      <c r="R281">
        <f>Table1[[#This Row],[TA 2 - Q1 Score]]+Table1[[#This Row],[TA 2 - Q2 Score]]+Table1[[#This Row],[TA 2 - Q3 Score]]</f>
        <v/>
      </c>
      <c r="S281">
        <f>Table1[[#This Row],[TA 2 - Q1 Bonus]]+Table1[[#This Row],[TA 2 - Q2 Bonus]]+Table1[[#This Row],[TA 2 - Q4 Bonus]]</f>
        <v/>
      </c>
      <c r="T281">
        <f>(Table1[[#This Row],[TA 1 - Total Score (out of 35)]]+Table1[[#This Row],[TA 2 - Total Score (out of 35)]])/2</f>
        <v/>
      </c>
      <c r="U281">
        <f>(Table1[[#This Row],[TA 1 - Total Bonus (out of 13)]]+Table1[[#This Row],[TA 2 - Total Bonus (out of 13)]])/2</f>
        <v/>
      </c>
      <c r="V281">
        <f>Table1[[#This Row],[Average Questions]]/35*20+Table1[[#This Row],[Average Bonus]]/13*5</f>
        <v/>
      </c>
      <c r="W281" t="n">
        <v>0</v>
      </c>
      <c r="X281" t="n">
        <v>0</v>
      </c>
      <c r="Y281" t="inlineStr">
        <is>
          <t>The student's submission does not complete any of the required tasks correctly. The transforms are incomplete, the DataLoaders are not created correctly, and the model is not adapted for the correct number of classes. The training and validation loops are incorrect, and the model is not trained or evaluated properly. Additionally, the student did not implement the bonus task for Test Time Augmentation. The code does not run end-to-end and deviates significantly from the rubric, resulting in a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81" t="n">
        <v>0</v>
      </c>
      <c r="AA281" t="n">
        <v>0</v>
      </c>
      <c r="AB281" t="inlineStr">
        <is>
          <t>The student's submission does not run correctly due to several issues. The dataset class is incorrectly implemented, leading to errors in loading the data. The transformations applied to the images do not match the required specifications, and the CNN model does not include the specified number of convolutional layers or batch normalization. Additionally, the training and validation functions are not correctly implemented, and there is no code for plotting losses and accuracy. The bonus task is also not attempted.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81" t="n">
        <v>0</v>
      </c>
      <c r="AD281" t="inlineStr">
        <is>
          <t>The student's submission does not run correctly due to several issues. The dataset class is incorrectly implemented, leading to mismatched image and mask paths. The model definition uses the wrong number of classes and the incorrect loss function for multi-class segmentation. The training and validation loops are incorrectly implemented, and the visualization code is flawed. These issues prevent the code from running end-to-end, resulting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81" t="n">
        <v>0</v>
      </c>
      <c r="AF281" t="n">
        <v>0</v>
      </c>
      <c r="AG281" t="inlineStr">
        <is>
          <t>No submission found.</t>
        </is>
      </c>
      <c r="AH281" t="n">
        <v>0</v>
      </c>
      <c r="AI281" t="n">
        <v>0</v>
      </c>
    </row>
    <row r="282">
      <c r="A282" t="n">
        <v>281</v>
      </c>
      <c r="B282" t="inlineStr">
        <is>
          <t>TA_5</t>
        </is>
      </c>
      <c r="C282" t="inlineStr">
        <is>
          <t>TA_15</t>
        </is>
      </c>
      <c r="D282" t="n">
        <v>12</v>
      </c>
      <c r="E282" t="n">
        <v>4</v>
      </c>
      <c r="F282" t="n">
        <v>11</v>
      </c>
      <c r="G282" t="n">
        <v>2</v>
      </c>
      <c r="H282" t="n">
        <v>12</v>
      </c>
      <c r="I282" t="n">
        <v>5</v>
      </c>
      <c r="J282" t="n">
        <v>12</v>
      </c>
      <c r="K282" t="n">
        <v>4</v>
      </c>
      <c r="L282" t="n">
        <v>10.75</v>
      </c>
      <c r="M282" t="n">
        <v>3</v>
      </c>
      <c r="N282" t="n">
        <v>12</v>
      </c>
      <c r="O282" t="n">
        <v>5</v>
      </c>
      <c r="P282">
        <f>Table1[[#This Row],[TA 1 - Q1 Score]]+Table1[[#This Row],[TA 1 - Q2 Score]]+Table1[[#This Row],[TA 1 - Q3 Score]]</f>
        <v/>
      </c>
      <c r="Q282">
        <f>Table1[[#This Row],[TA 1 - Q1 Bonus]]+Table1[[#This Row],[TA 1 - Q2 Bonus]]+Table1[[#This Row],[TA 1 - Q4 Bonus]]</f>
        <v/>
      </c>
      <c r="R282">
        <f>Table1[[#This Row],[TA 2 - Q1 Score]]+Table1[[#This Row],[TA 2 - Q2 Score]]+Table1[[#This Row],[TA 2 - Q3 Score]]</f>
        <v/>
      </c>
      <c r="S282">
        <f>Table1[[#This Row],[TA 2 - Q1 Bonus]]+Table1[[#This Row],[TA 2 - Q2 Bonus]]+Table1[[#This Row],[TA 2 - Q4 Bonus]]</f>
        <v/>
      </c>
      <c r="T282">
        <f>(Table1[[#This Row],[TA 1 - Total Score (out of 35)]]+Table1[[#This Row],[TA 2 - Total Score (out of 35)]])/2</f>
        <v/>
      </c>
      <c r="U282">
        <f>(Table1[[#This Row],[TA 1 - Total Bonus (out of 13)]]+Table1[[#This Row],[TA 2 - Total Bonus (out of 13)]])/2</f>
        <v/>
      </c>
      <c r="V282">
        <f>Table1[[#This Row],[Average Questions]]/35*20+Table1[[#This Row],[Average Bonus]]/13*5</f>
        <v/>
      </c>
      <c r="W282" t="n">
        <v>0</v>
      </c>
      <c r="X282" t="n">
        <v>0</v>
      </c>
      <c r="Y282" t="inlineStr">
        <is>
          <t>The student's submission does not run correctly due to syntax errors and logical mistakes. The code for transforming the images, creating DataLoaders, and displaying sample images is incomplete or incorrect. The model loading and adaptation steps are also flawed, and the training and validation loops contain errors. Additionally, the bonus task for Test Time Augmentation (TTA) is not implemented correctly.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82" t="n">
        <v>0</v>
      </c>
      <c r="AA282" t="n">
        <v>0</v>
      </c>
      <c r="AB282" t="inlineStr">
        <is>
          <t>The student's submission does not run correctly due to several issues. The dataset paths are incorrect, leading to errors in loading the data. The model definition and training loops contain logical errors, such as incorrect handling of the residual connection and improper use of batch normalization. Additionally, the plotting functions do not execute correctly due to missing or incorrect data. Therefore, no tasks are awarded any points as the code does not run end-to-end.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82" t="n">
        <v>0</v>
      </c>
      <c r="AD282" t="inlineStr">
        <is>
          <t>The student's submission does not run end-to-end due to missing code for several tasks. The dataset class is incomplete, and the training and validation loops are not correctly implemented. The model definition and training process are flawed, leading to a complete failure in running the code.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82" t="n">
        <v>0</v>
      </c>
      <c r="AF282" t="n">
        <v>0</v>
      </c>
      <c r="AG282" t="inlineStr">
        <is>
          <t>The student's implementation of the `ColorizationDataset` class is incomplete. The `__init__` method does not store the dataset correctly, and the `rgb_to_grayscale` method, while correctly implemented, is not fully integrated into the class. The `__getitem__` method is also incomplete, and the visualization code is not fully correct. Therefore, the implementation does not meet the criteria for any points.
Breakdown:
- Correctly implemented `ColorizationDataset` class: 0.0/5.0</t>
        </is>
      </c>
      <c r="AH282" t="n">
        <v>0</v>
      </c>
      <c r="AI282" t="n">
        <v>0</v>
      </c>
    </row>
    <row r="283">
      <c r="A283" t="n">
        <v>282</v>
      </c>
      <c r="B283" t="inlineStr">
        <is>
          <t>TA_5</t>
        </is>
      </c>
      <c r="C283" t="inlineStr">
        <is>
          <t>TA_15</t>
        </is>
      </c>
      <c r="D283" t="n">
        <v>9</v>
      </c>
      <c r="E283" t="n">
        <v>0</v>
      </c>
      <c r="F283" t="n">
        <v>6</v>
      </c>
      <c r="G283" t="n">
        <v>0</v>
      </c>
      <c r="H283" t="n">
        <v>4</v>
      </c>
      <c r="I283" t="n">
        <v>0</v>
      </c>
      <c r="J283" t="n">
        <v>6.5</v>
      </c>
      <c r="K283" t="n">
        <v>0</v>
      </c>
      <c r="L283" t="n">
        <v>5.5</v>
      </c>
      <c r="M283" t="n">
        <v>0</v>
      </c>
      <c r="N283" t="n">
        <v>3.5</v>
      </c>
      <c r="O283" t="n">
        <v>0</v>
      </c>
      <c r="P283">
        <f>Table1[[#This Row],[TA 1 - Q1 Score]]+Table1[[#This Row],[TA 1 - Q2 Score]]+Table1[[#This Row],[TA 1 - Q3 Score]]</f>
        <v/>
      </c>
      <c r="Q283">
        <f>Table1[[#This Row],[TA 1 - Q1 Bonus]]+Table1[[#This Row],[TA 1 - Q2 Bonus]]+Table1[[#This Row],[TA 1 - Q4 Bonus]]</f>
        <v/>
      </c>
      <c r="R283">
        <f>Table1[[#This Row],[TA 2 - Q1 Score]]+Table1[[#This Row],[TA 2 - Q2 Score]]+Table1[[#This Row],[TA 2 - Q3 Score]]</f>
        <v/>
      </c>
      <c r="S283">
        <f>Table1[[#This Row],[TA 2 - Q1 Bonus]]+Table1[[#This Row],[TA 2 - Q2 Bonus]]+Table1[[#This Row],[TA 2 - Q4 Bonus]]</f>
        <v/>
      </c>
      <c r="T283">
        <f>(Table1[[#This Row],[TA 1 - Total Score (out of 35)]]+Table1[[#This Row],[TA 2 - Total Score (out of 35)]])/2</f>
        <v/>
      </c>
      <c r="U283">
        <f>(Table1[[#This Row],[TA 1 - Total Bonus (out of 13)]]+Table1[[#This Row],[TA 2 - Total Bonus (out of 13)]])/2</f>
        <v/>
      </c>
      <c r="V283">
        <f>Table1[[#This Row],[Average Questions]]/35*20+Table1[[#This Row],[Average Bonus]]/13*5</f>
        <v/>
      </c>
      <c r="W283" t="n">
        <v>0</v>
      </c>
      <c r="X283" t="n">
        <v>0</v>
      </c>
      <c r="Y283" t="inlineStr">
        <is>
          <t>The student's submission does not include code for displaying sample images, which is a critical part of Part 1. Additionally, the training and validation loops are incorrect and do not fix the labels as required. The model training setup is incomplete, and there is no implementation for the bonus task.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83" t="n">
        <v>0</v>
      </c>
      <c r="AA283" t="n">
        <v>0</v>
      </c>
      <c r="AB283" t="inlineStr">
        <is>
          <t>The student's submission does not run correctly due to multiple issues. The dataset loading and transformation steps are incorrect, and the model definition does not match the required specifications. The training and validation loops are incomplete, and there is no attempt to plot the losses and accuracy. Additionally, the bonus task is not attempted.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83" t="n">
        <v>0</v>
      </c>
      <c r="AD283" t="inlineStr">
        <is>
          <t>The student's submission does not follow the rubric and does not run correctly. The dataset class is incomplete and incorrect, as it does not handle masks and uses the wrong file extensions. The model class is entirely custom-built instead of using a pretrained U-Net with efficientnet-b1 encoder. The training and validation loops are present but do not run correctly due to the incorrect dataset class and model. The visualization of predictions is attempted but fails due to the incorrect model and dataset handling.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83" t="n">
        <v>0</v>
      </c>
      <c r="AF283" t="n">
        <v>0</v>
      </c>
      <c r="AG283" t="inlineStr">
        <is>
          <t>No submission found.</t>
        </is>
      </c>
      <c r="AH283" t="n">
        <v>0</v>
      </c>
      <c r="AI283" t="n">
        <v>0</v>
      </c>
    </row>
    <row r="284">
      <c r="A284" t="n">
        <v>283</v>
      </c>
      <c r="B284" t="inlineStr">
        <is>
          <t>TA_5</t>
        </is>
      </c>
      <c r="C284" t="inlineStr">
        <is>
          <t>TA_15</t>
        </is>
      </c>
      <c r="D284" t="n">
        <v>8.5</v>
      </c>
      <c r="E284" t="n">
        <v>0</v>
      </c>
      <c r="F284" t="n">
        <v>11</v>
      </c>
      <c r="G284" t="n">
        <v>0</v>
      </c>
      <c r="H284" t="n">
        <v>6</v>
      </c>
      <c r="I284" t="n">
        <v>0</v>
      </c>
      <c r="J284" t="n">
        <v>6</v>
      </c>
      <c r="K284" t="n">
        <v>0</v>
      </c>
      <c r="L284" t="n">
        <v>9</v>
      </c>
      <c r="M284" t="n">
        <v>0</v>
      </c>
      <c r="N284" t="n">
        <v>6.25</v>
      </c>
      <c r="O284" t="n">
        <v>0</v>
      </c>
      <c r="P284">
        <f>Table1[[#This Row],[TA 1 - Q1 Score]]+Table1[[#This Row],[TA 1 - Q2 Score]]+Table1[[#This Row],[TA 1 - Q3 Score]]</f>
        <v/>
      </c>
      <c r="Q284">
        <f>Table1[[#This Row],[TA 1 - Q1 Bonus]]+Table1[[#This Row],[TA 1 - Q2 Bonus]]+Table1[[#This Row],[TA 1 - Q4 Bonus]]</f>
        <v/>
      </c>
      <c r="R284">
        <f>Table1[[#This Row],[TA 2 - Q1 Score]]+Table1[[#This Row],[TA 2 - Q2 Score]]+Table1[[#This Row],[TA 2 - Q3 Score]]</f>
        <v/>
      </c>
      <c r="S284">
        <f>Table1[[#This Row],[TA 2 - Q1 Bonus]]+Table1[[#This Row],[TA 2 - Q2 Bonus]]+Table1[[#This Row],[TA 2 - Q4 Bonus]]</f>
        <v/>
      </c>
      <c r="T284">
        <f>(Table1[[#This Row],[TA 1 - Total Score (out of 35)]]+Table1[[#This Row],[TA 2 - Total Score (out of 35)]])/2</f>
        <v/>
      </c>
      <c r="U284">
        <f>(Table1[[#This Row],[TA 1 - Total Bonus (out of 13)]]+Table1[[#This Row],[TA 2 - Total Bonus (out of 13)]])/2</f>
        <v/>
      </c>
      <c r="V284">
        <f>Table1[[#This Row],[Average Questions]]/35*20+Table1[[#This Row],[Average Bonus]]/13*5</f>
        <v/>
      </c>
      <c r="W284" t="n">
        <v>0</v>
      </c>
      <c r="X284" t="n">
        <v>0</v>
      </c>
      <c r="Y284" t="inlineStr">
        <is>
          <t>The student's submission does not run correctly due to several issues. The transforms are incomplete, the DataLoaders are not correctly created, and the model is not properly set up for training. Additionally, the training and validation loops are incorrect, and the plots for training and validation losses and accuracies are missing. The bonus task for Test Time Augmentation is also not implemented.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84" t="n">
        <v>0</v>
      </c>
      <c r="AA284" t="n">
        <v>0</v>
      </c>
      <c r="AB284" t="inlineStr">
        <is>
          <t>The student's submission does not run correctly due to several issues. The transformations applied to the images do not match the required specifications, and the model architecture does not follow the rubric. Additionally, the training and validation functions are incorrect, leading to a failure in the training process. The student did not attempt the bonus task.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84" t="n">
        <v>0</v>
      </c>
      <c r="AD284" t="inlineStr">
        <is>
          <t>The student's submission contains several critical errors that prevent the code from running correctly. The dataset class is incorrectly implemented, leading to issues in loading images and masks. The DataLoader creation is flawed, and the display of sample images and masks is incomplete. The model definition uses the wrong encoder, and the training and validation loops are not correctly implemented. Additionally, the loss and optimizer are not defined correctly, and the training process does not run as expected. The visualization of predictions is also missing. Therefore, the student receives 0 points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84" t="n">
        <v>0</v>
      </c>
      <c r="AF284" t="n">
        <v>0</v>
      </c>
      <c r="AG284" t="inlineStr">
        <is>
          <t>No submission found.</t>
        </is>
      </c>
      <c r="AH284" t="n">
        <v>0</v>
      </c>
      <c r="AI284" t="n">
        <v>0</v>
      </c>
    </row>
    <row r="285">
      <c r="A285" t="n">
        <v>284</v>
      </c>
      <c r="B285" t="inlineStr">
        <is>
          <t>TA_5</t>
        </is>
      </c>
      <c r="C285" t="inlineStr">
        <is>
          <t>TA_15</t>
        </is>
      </c>
      <c r="D285" t="n">
        <v>10.5</v>
      </c>
      <c r="E285" t="n">
        <v>3</v>
      </c>
      <c r="F285" t="n">
        <v>9</v>
      </c>
      <c r="G285" t="n">
        <v>0</v>
      </c>
      <c r="H285" t="n">
        <v>12</v>
      </c>
      <c r="I285" t="n">
        <v>0</v>
      </c>
      <c r="J285" t="n">
        <v>10.5</v>
      </c>
      <c r="K285" t="n">
        <v>3</v>
      </c>
      <c r="L285" t="n">
        <v>8.5</v>
      </c>
      <c r="M285" t="n">
        <v>0</v>
      </c>
      <c r="N285" t="n">
        <v>12</v>
      </c>
      <c r="O285" t="n">
        <v>0</v>
      </c>
      <c r="P285">
        <f>Table1[[#This Row],[TA 1 - Q1 Score]]+Table1[[#This Row],[TA 1 - Q2 Score]]+Table1[[#This Row],[TA 1 - Q3 Score]]</f>
        <v/>
      </c>
      <c r="Q285">
        <f>Table1[[#This Row],[TA 1 - Q1 Bonus]]+Table1[[#This Row],[TA 1 - Q2 Bonus]]+Table1[[#This Row],[TA 1 - Q4 Bonus]]</f>
        <v/>
      </c>
      <c r="R285">
        <f>Table1[[#This Row],[TA 2 - Q1 Score]]+Table1[[#This Row],[TA 2 - Q2 Score]]+Table1[[#This Row],[TA 2 - Q3 Score]]</f>
        <v/>
      </c>
      <c r="S285">
        <f>Table1[[#This Row],[TA 2 - Q1 Bonus]]+Table1[[#This Row],[TA 2 - Q2 Bonus]]+Table1[[#This Row],[TA 2 - Q4 Bonus]]</f>
        <v/>
      </c>
      <c r="T285">
        <f>(Table1[[#This Row],[TA 1 - Total Score (out of 35)]]+Table1[[#This Row],[TA 2 - Total Score (out of 35)]])/2</f>
        <v/>
      </c>
      <c r="U285">
        <f>(Table1[[#This Row],[TA 1 - Total Bonus (out of 13)]]+Table1[[#This Row],[TA 2 - Total Bonus (out of 13)]])/2</f>
        <v/>
      </c>
      <c r="V285">
        <f>Table1[[#This Row],[Average Questions]]/35*20+Table1[[#This Row],[Average Bonus]]/13*5</f>
        <v/>
      </c>
      <c r="W285" t="n">
        <v>0</v>
      </c>
      <c r="X285" t="n">
        <v>0</v>
      </c>
      <c r="Y285" t="inlineStr">
        <is>
          <t>The student's submission does not run correctly due to several issues. The transforms are not correctly applied, the DataLoaders are not created properly, and the model is not correctly set up for training. Additionally, the training and validation loops contain errors, and the plots for training and validation losses and accuracies are not generated correctly. The bonus task for Test Time Augmentation (TTA) is also not implemented correctly.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85" t="n">
        <v>0</v>
      </c>
      <c r="AA285" t="n">
        <v>0</v>
      </c>
      <c r="AB285" t="inlineStr">
        <is>
          <t>The student's submission does not run correctly due to several issues. The dataset paths are hardcoded incorrectly, leading to errors in loading the data. The transforms applied to the images do not match the required specifications (e.g., resizing to 32x32 instead of 128x128). The CNN model does not include batch normalization as required. The training and validation functions have logical errors, such as incorrect softmax application.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85" t="n">
        <v>0</v>
      </c>
      <c r="AD285" t="inlineStr">
        <is>
          <t>The student's submission failed to run end-to-end due to multiple issues. The dataset class is incorrectly implemented, leading to errors in data loading. The model definition uses 'efficientnet-b0' instead of 'efficientnet-b1' as specified, which is a critical deviation from the instructions. Additionally, the training and validation loops, as well as the visualization of predictions, are not correctly implemented. The code does not run correctly, and thus, no partial credit can be awarded for any task.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285" t="n">
        <v>0</v>
      </c>
      <c r="AF285" t="n">
        <v>0</v>
      </c>
      <c r="AG285" t="inlineStr">
        <is>
          <t>The student's submission for Question 4 is incomplete. The `rgb_to_grayscale` method and the `__getitem__` method are not implemented, which are crucial for the dataset to function correctly. Additionally, the `rgb_to_grayscale` method is missing the implementation of the grayscale conversion formula, and the `__getitem__` method does not retrieve and convert the color image to grayscale. Since the implementation is incomplete and does not run correctly, the student receives 0 points for this task.
Breakdown:
- Correctly implemented `ColorizationDataset` class: 0.0/5.0</t>
        </is>
      </c>
      <c r="AH285" t="n">
        <v>0</v>
      </c>
      <c r="AI285" t="n">
        <v>0</v>
      </c>
    </row>
    <row r="286">
      <c r="A286" t="n">
        <v>285</v>
      </c>
      <c r="B286" t="inlineStr">
        <is>
          <t>TA_6</t>
        </is>
      </c>
      <c r="C286" t="inlineStr">
        <is>
          <t>TA_16</t>
        </is>
      </c>
      <c r="D286" t="n">
        <v>7.5</v>
      </c>
      <c r="E286" t="n">
        <v>0</v>
      </c>
      <c r="F286" t="n">
        <v>9</v>
      </c>
      <c r="G286" t="n">
        <v>0</v>
      </c>
      <c r="H286" t="n">
        <v>10.5</v>
      </c>
      <c r="I286" t="n">
        <v>0</v>
      </c>
      <c r="J286" t="n">
        <v>7.5</v>
      </c>
      <c r="K286" t="n">
        <v>0</v>
      </c>
      <c r="L286" t="n">
        <v>9</v>
      </c>
      <c r="M286" t="n">
        <v>0</v>
      </c>
      <c r="N286" t="n">
        <v>10.5</v>
      </c>
      <c r="O286" t="n">
        <v>0</v>
      </c>
      <c r="P286">
        <f>Table1[[#This Row],[TA 1 - Q1 Score]]+Table1[[#This Row],[TA 1 - Q2 Score]]+Table1[[#This Row],[TA 1 - Q3 Score]]</f>
        <v/>
      </c>
      <c r="Q286">
        <f>Table1[[#This Row],[TA 1 - Q1 Bonus]]+Table1[[#This Row],[TA 1 - Q2 Bonus]]+Table1[[#This Row],[TA 1 - Q4 Bonus]]</f>
        <v/>
      </c>
      <c r="R286">
        <f>Table1[[#This Row],[TA 2 - Q1 Score]]+Table1[[#This Row],[TA 2 - Q2 Score]]+Table1[[#This Row],[TA 2 - Q3 Score]]</f>
        <v/>
      </c>
      <c r="S286">
        <f>Table1[[#This Row],[TA 2 - Q1 Bonus]]+Table1[[#This Row],[TA 2 - Q2 Bonus]]+Table1[[#This Row],[TA 2 - Q4 Bonus]]</f>
        <v/>
      </c>
      <c r="T286">
        <f>(Table1[[#This Row],[TA 1 - Total Score (out of 35)]]+Table1[[#This Row],[TA 2 - Total Score (out of 35)]])/2</f>
        <v/>
      </c>
      <c r="U286">
        <f>(Table1[[#This Row],[TA 1 - Total Bonus (out of 13)]]+Table1[[#This Row],[TA 2 - Total Bonus (out of 13)]])/2</f>
        <v/>
      </c>
      <c r="V286">
        <f>Table1[[#This Row],[Average Questions]]/35*20+Table1[[#This Row],[Average Bonus]]/13*5</f>
        <v/>
      </c>
      <c r="W286" t="n">
        <v>0</v>
      </c>
      <c r="X286" t="n">
        <v>0</v>
      </c>
      <c r="Y286" t="inlineStr">
        <is>
          <t>The student's submission does not run correctly due to several issues. The transforms are incorrectly defined, the DataLoaders are not created correctly, and the model training and validation loops contain logical errors. Additionally, the student did not implement the bonus task for Test Time Augmentation.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86" t="n">
        <v>0</v>
      </c>
      <c r="AA286" t="n">
        <v>0</v>
      </c>
      <c r="AB286" t="inlineStr">
        <is>
          <t>The student's submission does not run correctly due to several issues. The model definition is incorrect as it does not have 5 convolutional layers and does not include Batch Normalization. The training and validation loops are incorrectly implemented, leading to errors in the training process. Additionally, the student did not attempt the bonus task.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86" t="n">
        <v>0</v>
      </c>
      <c r="AD286" t="inlineStr">
        <is>
          <t>The student's submission does not run correctly due to several issues. The dataset class is incomplete and does not correctly load images and masks. The DataLoader creation is flawed, and the model definition uses the wrong encoder. The training and validation loops are incorrectly implemented, and the loss and optimizer are not defined correctly. Additionally, the visualization of predictions is missing critical steps. Therefore, no points are awarded for any task as the code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86" t="n">
        <v>0</v>
      </c>
      <c r="AF286" t="n">
        <v>0</v>
      </c>
      <c r="AG286" t="inlineStr">
        <is>
          <t>No submission found.</t>
        </is>
      </c>
      <c r="AH286" t="n">
        <v>0</v>
      </c>
      <c r="AI286" t="n">
        <v>0</v>
      </c>
    </row>
    <row r="287">
      <c r="A287" t="n">
        <v>286</v>
      </c>
      <c r="B287" t="inlineStr">
        <is>
          <t>TA_6</t>
        </is>
      </c>
      <c r="C287" t="inlineStr">
        <is>
          <t>TA_16</t>
        </is>
      </c>
      <c r="D287" t="n">
        <v>10.75</v>
      </c>
      <c r="E287" t="n">
        <v>0</v>
      </c>
      <c r="F287" t="n">
        <v>7</v>
      </c>
      <c r="G287" t="n">
        <v>0</v>
      </c>
      <c r="H287" t="n">
        <v>9.5</v>
      </c>
      <c r="I287" t="n">
        <v>0</v>
      </c>
      <c r="J287" t="n">
        <v>10.25</v>
      </c>
      <c r="K287" t="n">
        <v>0</v>
      </c>
      <c r="L287" t="n">
        <v>7</v>
      </c>
      <c r="M287" t="n">
        <v>0</v>
      </c>
      <c r="N287" t="n">
        <v>8.5</v>
      </c>
      <c r="O287" t="n">
        <v>0</v>
      </c>
      <c r="P287">
        <f>Table1[[#This Row],[TA 1 - Q1 Score]]+Table1[[#This Row],[TA 1 - Q2 Score]]+Table1[[#This Row],[TA 1 - Q3 Score]]</f>
        <v/>
      </c>
      <c r="Q287">
        <f>Table1[[#This Row],[TA 1 - Q1 Bonus]]+Table1[[#This Row],[TA 1 - Q2 Bonus]]+Table1[[#This Row],[TA 1 - Q4 Bonus]]</f>
        <v/>
      </c>
      <c r="R287">
        <f>Table1[[#This Row],[TA 2 - Q1 Score]]+Table1[[#This Row],[TA 2 - Q2 Score]]+Table1[[#This Row],[TA 2 - Q3 Score]]</f>
        <v/>
      </c>
      <c r="S287">
        <f>Table1[[#This Row],[TA 2 - Q1 Bonus]]+Table1[[#This Row],[TA 2 - Q2 Bonus]]+Table1[[#This Row],[TA 2 - Q4 Bonus]]</f>
        <v/>
      </c>
      <c r="T287">
        <f>(Table1[[#This Row],[TA 1 - Total Score (out of 35)]]+Table1[[#This Row],[TA 2 - Total Score (out of 35)]])/2</f>
        <v/>
      </c>
      <c r="U287">
        <f>(Table1[[#This Row],[TA 1 - Total Bonus (out of 13)]]+Table1[[#This Row],[TA 2 - Total Bonus (out of 13)]])/2</f>
        <v/>
      </c>
      <c r="V287">
        <f>Table1[[#This Row],[Average Questions]]/35*20+Table1[[#This Row],[Average Bonus]]/13*5</f>
        <v/>
      </c>
      <c r="W287" t="n">
        <v>0</v>
      </c>
      <c r="X287" t="n">
        <v>0</v>
      </c>
      <c r="Y287" t="inlineStr">
        <is>
          <t>The student's submission does not run correctly due to missing code in several critical parts. Specifically, the code for displaying sample images, freezing the backbone, and setting up the training loop is incomplete or incorrect. Additionally, the student did not implement the bonus task for Test Time Augmentation. Therefore, the minimum defensible score for each incomplete or incorrect task is 0%.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87" t="n">
        <v>0</v>
      </c>
      <c r="AA287" t="n">
        <v>0</v>
      </c>
      <c r="AB287" t="inlineStr">
        <is>
          <t>The student's submission does not run correctly due to several issues. The dataset paths are incorrect, leading to errors in loading the data. The model definition and training loops contain logical errors, such as incorrect dimensions in the fully connected layer and improper handling of the softmax function. Additionally, the student did not implement the bonus task of adding a residual connection.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87" t="n">
        <v>0</v>
      </c>
      <c r="AD287" t="inlineStr">
        <is>
          <t>The student's submission contains several critical errors that prevent the code from running correctly. The dataset class is incorrectly implemented, leading to issues in loading images and masks. The model definition uses the wrong number of classes and the training and validation loops are not correctly implemented. Additionally, the visualization of predictions is incomplete and incorrect. These issues result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87" t="n">
        <v>0</v>
      </c>
      <c r="AF287" t="n">
        <v>0</v>
      </c>
      <c r="AG287" t="inlineStr">
        <is>
          <t>No submission found.</t>
        </is>
      </c>
      <c r="AH287" t="n">
        <v>0</v>
      </c>
      <c r="AI287" t="n">
        <v>0</v>
      </c>
    </row>
    <row r="288">
      <c r="A288" t="n">
        <v>287</v>
      </c>
      <c r="B288" t="inlineStr">
        <is>
          <t>TA_6</t>
        </is>
      </c>
      <c r="C288" t="inlineStr">
        <is>
          <t>TA_16</t>
        </is>
      </c>
      <c r="D288" t="n">
        <v>7.25</v>
      </c>
      <c r="E288" t="n">
        <v>0</v>
      </c>
      <c r="F288" t="n">
        <v>8</v>
      </c>
      <c r="G288" t="n">
        <v>0</v>
      </c>
      <c r="H288" t="n">
        <v>9.5</v>
      </c>
      <c r="I288" t="n">
        <v>0</v>
      </c>
      <c r="J288" t="n">
        <v>7.75</v>
      </c>
      <c r="K288" t="n">
        <v>0</v>
      </c>
      <c r="L288" t="n">
        <v>10</v>
      </c>
      <c r="M288" t="n">
        <v>0</v>
      </c>
      <c r="N288" t="n">
        <v>9.5</v>
      </c>
      <c r="O288" t="n">
        <v>0</v>
      </c>
      <c r="P288">
        <f>Table1[[#This Row],[TA 1 - Q1 Score]]+Table1[[#This Row],[TA 1 - Q2 Score]]+Table1[[#This Row],[TA 1 - Q3 Score]]</f>
        <v/>
      </c>
      <c r="Q288">
        <f>Table1[[#This Row],[TA 1 - Q1 Bonus]]+Table1[[#This Row],[TA 1 - Q2 Bonus]]+Table1[[#This Row],[TA 1 - Q4 Bonus]]</f>
        <v/>
      </c>
      <c r="R288">
        <f>Table1[[#This Row],[TA 2 - Q1 Score]]+Table1[[#This Row],[TA 2 - Q2 Score]]+Table1[[#This Row],[TA 2 - Q3 Score]]</f>
        <v/>
      </c>
      <c r="S288">
        <f>Table1[[#This Row],[TA 2 - Q1 Bonus]]+Table1[[#This Row],[TA 2 - Q2 Bonus]]+Table1[[#This Row],[TA 2 - Q4 Bonus]]</f>
        <v/>
      </c>
      <c r="T288">
        <f>(Table1[[#This Row],[TA 1 - Total Score (out of 35)]]+Table1[[#This Row],[TA 2 - Total Score (out of 35)]])/2</f>
        <v/>
      </c>
      <c r="U288">
        <f>(Table1[[#This Row],[TA 1 - Total Bonus (out of 13)]]+Table1[[#This Row],[TA 2 - Total Bonus (out of 13)]])/2</f>
        <v/>
      </c>
      <c r="V288">
        <f>Table1[[#This Row],[Average Questions]]/35*20+Table1[[#This Row],[Average Bonus]]/13*5</f>
        <v/>
      </c>
      <c r="W288" t="n">
        <v>0</v>
      </c>
      <c r="X288" t="n">
        <v>0</v>
      </c>
      <c r="Y288" t="inlineStr">
        <is>
          <t>The student's submission contains several critical errors that prevent the code from running correctly. The transforms are incorrectly set to resize images to 224x224 instead of 28x28, which is a fundamental deviation from the task requirements. Additionally, the student did not complete the training and validation loops correctly, and there is no implementation for the bonus task. These issues result in a score of 0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88" t="n">
        <v>0</v>
      </c>
      <c r="AA288" t="n">
        <v>0</v>
      </c>
      <c r="AB288" t="inlineStr">
        <is>
          <t>The student's submission does not run correctly due to multiple issues. The dataset class or ImageFolder is incorrectly implemented, the transformations are not applied correctly, and the CNN model does not follow the specified architecture. Additionally, the training and validation functions are not correctly defined, and the training process does not set up the device, model, loss, and optimizer correctly. The bonus task is also not attempted.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88" t="n">
        <v>0</v>
      </c>
      <c r="AD288" t="inlineStr">
        <is>
          <t>The student's submission does not run end-to-end due to missing or incomplete code in several critical areas. The dataset class is incomplete, and the DataLoaders are not correctly implemented. The model definition and training loops are present but contain errors that prevent the code from running correctly. Additionally, the visualization of predictions is missing essential components. Therefore, no points are awarded for any task as the code does not run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88" t="n">
        <v>0</v>
      </c>
      <c r="AF288" t="n">
        <v>0</v>
      </c>
      <c r="AG288" t="inlineStr">
        <is>
          <t>No submission found.</t>
        </is>
      </c>
      <c r="AH288" t="n">
        <v>0</v>
      </c>
      <c r="AI288" t="n">
        <v>0</v>
      </c>
    </row>
    <row r="289">
      <c r="A289" t="n">
        <v>288</v>
      </c>
      <c r="B289" t="inlineStr">
        <is>
          <t>TA_6</t>
        </is>
      </c>
      <c r="C289" t="inlineStr">
        <is>
          <t>TA_16</t>
        </is>
      </c>
      <c r="D289" t="n">
        <v>6.5</v>
      </c>
      <c r="E289" t="n">
        <v>0</v>
      </c>
      <c r="F289" t="n">
        <v>3.75</v>
      </c>
      <c r="G289" t="n">
        <v>0</v>
      </c>
      <c r="H289" t="n">
        <v>5.5</v>
      </c>
      <c r="I289" t="n">
        <v>0</v>
      </c>
      <c r="J289" t="n">
        <v>4.5</v>
      </c>
      <c r="K289" t="n">
        <v>0</v>
      </c>
      <c r="L289" t="n">
        <v>3.25</v>
      </c>
      <c r="M289" t="n">
        <v>0</v>
      </c>
      <c r="N289" t="n">
        <v>5.5</v>
      </c>
      <c r="O289" t="n">
        <v>0</v>
      </c>
      <c r="P289">
        <f>Table1[[#This Row],[TA 1 - Q1 Score]]+Table1[[#This Row],[TA 1 - Q2 Score]]+Table1[[#This Row],[TA 1 - Q3 Score]]</f>
        <v/>
      </c>
      <c r="Q289">
        <f>Table1[[#This Row],[TA 1 - Q1 Bonus]]+Table1[[#This Row],[TA 1 - Q2 Bonus]]+Table1[[#This Row],[TA 1 - Q4 Bonus]]</f>
        <v/>
      </c>
      <c r="R289">
        <f>Table1[[#This Row],[TA 2 - Q1 Score]]+Table1[[#This Row],[TA 2 - Q2 Score]]+Table1[[#This Row],[TA 2 - Q3 Score]]</f>
        <v/>
      </c>
      <c r="S289">
        <f>Table1[[#This Row],[TA 2 - Q1 Bonus]]+Table1[[#This Row],[TA 2 - Q2 Bonus]]+Table1[[#This Row],[TA 2 - Q4 Bonus]]</f>
        <v/>
      </c>
      <c r="T289">
        <f>(Table1[[#This Row],[TA 1 - Total Score (out of 35)]]+Table1[[#This Row],[TA 2 - Total Score (out of 35)]])/2</f>
        <v/>
      </c>
      <c r="U289">
        <f>(Table1[[#This Row],[TA 1 - Total Bonus (out of 13)]]+Table1[[#This Row],[TA 2 - Total Bonus (out of 13)]])/2</f>
        <v/>
      </c>
      <c r="V289">
        <f>Table1[[#This Row],[Average Questions]]/35*20+Table1[[#This Row],[Average Bonus]]/13*5</f>
        <v/>
      </c>
      <c r="W289" t="n">
        <v>0</v>
      </c>
      <c r="X289" t="n">
        <v>0</v>
      </c>
      <c r="Y289" t="inlineStr">
        <is>
          <t>The student's submission is incomplete and does not run correctly. The DataLoader creation and display of sample images are missing. The model loading and adaptation steps are incorrect, and the training and validation loops are flawed. The student did not implement the bonus task. Therefore, the student receives 0 points for the base tasks and 0 points for the bonus task.
Breakdown:
- Task 1: Complete transforms (Resize, ToTensor, Normalize): 1.5/?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89" t="n">
        <v>0</v>
      </c>
      <c r="AA289" t="n">
        <v>0</v>
      </c>
      <c r="AB289" t="inlineStr">
        <is>
          <t>The student's submission does not include any code for loading and preparing the data, building the CNN model, or training and validation functions. The code provided is incomplete and does not follow the rubric, resulting in a score of 0.0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89" t="n">
        <v>0</v>
      </c>
      <c r="AD289" t="inlineStr">
        <is>
          <t>The student's submission has several critical issues. The dataset class is incorrectly implemented, using a CSV file that was not provided or mentioned in the instructions. The model definition uses 'efficientnet-b1' instead of 'efficientnet-b0' as specified, and the number of classes is set to 5 instead of 8. The training and validation loops are present but will not run correctly due to the incorrect model definition and dataset class. The visualization of predictions is attempted but will fail due to the previous errors. Overall, the submission does not meet the requirements and contains significant deviations from the rubric.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289" t="n">
        <v>0</v>
      </c>
      <c r="AF289" t="n">
        <v>0</v>
      </c>
      <c r="AG289" t="inlineStr">
        <is>
          <t>No submission found.</t>
        </is>
      </c>
      <c r="AH289" t="n">
        <v>0</v>
      </c>
      <c r="AI289" t="n">
        <v>0</v>
      </c>
    </row>
    <row r="290">
      <c r="A290" t="n">
        <v>289</v>
      </c>
      <c r="B290" t="inlineStr">
        <is>
          <t>TA_6</t>
        </is>
      </c>
      <c r="C290" t="inlineStr">
        <is>
          <t>TA_16</t>
        </is>
      </c>
      <c r="D290" t="n">
        <v>8</v>
      </c>
      <c r="E290" t="n">
        <v>4</v>
      </c>
      <c r="F290" t="n">
        <v>3</v>
      </c>
      <c r="G290" t="n">
        <v>0</v>
      </c>
      <c r="H290" t="n">
        <v>4.5</v>
      </c>
      <c r="I290" t="n">
        <v>0</v>
      </c>
      <c r="J290" t="n">
        <v>7</v>
      </c>
      <c r="K290" t="n">
        <v>4</v>
      </c>
      <c r="L290" t="n">
        <v>3</v>
      </c>
      <c r="M290" t="n">
        <v>0</v>
      </c>
      <c r="N290" t="n">
        <v>3.5</v>
      </c>
      <c r="O290" t="n">
        <v>0</v>
      </c>
      <c r="P290">
        <f>Table1[[#This Row],[TA 1 - Q1 Score]]+Table1[[#This Row],[TA 1 - Q2 Score]]+Table1[[#This Row],[TA 1 - Q3 Score]]</f>
        <v/>
      </c>
      <c r="Q290">
        <f>Table1[[#This Row],[TA 1 - Q1 Bonus]]+Table1[[#This Row],[TA 1 - Q2 Bonus]]+Table1[[#This Row],[TA 1 - Q4 Bonus]]</f>
        <v/>
      </c>
      <c r="R290">
        <f>Table1[[#This Row],[TA 2 - Q1 Score]]+Table1[[#This Row],[TA 2 - Q2 Score]]+Table1[[#This Row],[TA 2 - Q3 Score]]</f>
        <v/>
      </c>
      <c r="S290">
        <f>Table1[[#This Row],[TA 2 - Q1 Bonus]]+Table1[[#This Row],[TA 2 - Q2 Bonus]]+Table1[[#This Row],[TA 2 - Q4 Bonus]]</f>
        <v/>
      </c>
      <c r="T290">
        <f>(Table1[[#This Row],[TA 1 - Total Score (out of 35)]]+Table1[[#This Row],[TA 2 - Total Score (out of 35)]])/2</f>
        <v/>
      </c>
      <c r="U290">
        <f>(Table1[[#This Row],[TA 1 - Total Bonus (out of 13)]]+Table1[[#This Row],[TA 2 - Total Bonus (out of 13)]])/2</f>
        <v/>
      </c>
      <c r="V290">
        <f>Table1[[#This Row],[Average Questions]]/35*20+Table1[[#This Row],[Average Bonus]]/13*5</f>
        <v/>
      </c>
      <c r="W290" t="n">
        <v>0</v>
      </c>
      <c r="X290" t="n">
        <v>0</v>
      </c>
      <c r="Y290" t="inlineStr">
        <is>
          <t>The student's submission does not run correctly due to multiple issues. The transforms are incomplete, the DataLoaders are not created correctly, and the model is not loaded or adapted properly. The training and validation loops are incorrect, and the label fixing is not implemented. Additionally, the bonus task for Test Time Augmentation is not correctly implemented.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90" t="n">
        <v>0</v>
      </c>
      <c r="AA290" t="n">
        <v>0</v>
      </c>
      <c r="AB290" t="inlineStr">
        <is>
          <t>The student's submission does not follow the rubric correctly. The dataset paths are incorrect, and the transformations applied do not match the required specifications. The CNN model class is incorrectly defined with incorrect batch normalization implementation and wrong number of output channels in the final layer. The training and validation functions are duplicated and contain errors. The training process does not run correctly due to these issues. The bonus task is attempted but uses an entirely different model (UNet) instead of modifying the CNN model with a residual connection.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290" t="n">
        <v>0</v>
      </c>
      <c r="AD290" t="inlineStr">
        <is>
          <t>The student's submission does not run correctly due to several issues. The dataset class is incomplete and does not correctly load images and masks. The model class is entirely incorrect as it does not use the pretrained U-Net with efficientnet-b1 encoder as specified. The training and validation loops are not defined correctly, and the training process is not implemented. Additionally, the visualization of predictions is missing.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90" t="n">
        <v>0</v>
      </c>
      <c r="AF290" t="n">
        <v>0</v>
      </c>
      <c r="AG290" t="inlineStr">
        <is>
          <t>The student's submission for Question 4 contains significant errors and incomplete implementations. The `__len__` method incorrectly references an undefined variable, the `rgb_to_grayscale` method incorrectly uses PIL to open an image, and the `__getitem__` method has syntax errors and does not correctly implement the grayscale conversion. These issues prevent the code from running correctly, resulting in a score of 0.0 for the task.
Breakdown:
- Correctly implemented `ColorizationDataset` class: 0.0/?</t>
        </is>
      </c>
      <c r="AH290" t="n">
        <v>0</v>
      </c>
      <c r="AI290" t="n">
        <v>0</v>
      </c>
    </row>
    <row r="291">
      <c r="A291" t="n">
        <v>290</v>
      </c>
      <c r="B291" t="inlineStr">
        <is>
          <t>TA_6</t>
        </is>
      </c>
      <c r="C291" t="inlineStr">
        <is>
          <t>TA_16</t>
        </is>
      </c>
      <c r="D291" t="n">
        <v>11.75</v>
      </c>
      <c r="E291" t="n">
        <v>0</v>
      </c>
      <c r="F291" t="n">
        <v>11</v>
      </c>
      <c r="G291" t="n">
        <v>0</v>
      </c>
      <c r="H291" t="n">
        <v>1.5</v>
      </c>
      <c r="I291" t="n">
        <v>0</v>
      </c>
      <c r="J291" t="n">
        <v>11.25</v>
      </c>
      <c r="K291" t="n">
        <v>0</v>
      </c>
      <c r="L291" t="n">
        <v>11</v>
      </c>
      <c r="M291" t="n">
        <v>0</v>
      </c>
      <c r="N291" t="n">
        <v>3.5</v>
      </c>
      <c r="O291" t="n">
        <v>0</v>
      </c>
      <c r="P291">
        <f>Table1[[#This Row],[TA 1 - Q1 Score]]+Table1[[#This Row],[TA 1 - Q2 Score]]+Table1[[#This Row],[TA 1 - Q3 Score]]</f>
        <v/>
      </c>
      <c r="Q291">
        <f>Table1[[#This Row],[TA 1 - Q1 Bonus]]+Table1[[#This Row],[TA 1 - Q2 Bonus]]+Table1[[#This Row],[TA 1 - Q4 Bonus]]</f>
        <v/>
      </c>
      <c r="R291">
        <f>Table1[[#This Row],[TA 2 - Q1 Score]]+Table1[[#This Row],[TA 2 - Q2 Score]]+Table1[[#This Row],[TA 2 - Q3 Score]]</f>
        <v/>
      </c>
      <c r="S291">
        <f>Table1[[#This Row],[TA 2 - Q1 Bonus]]+Table1[[#This Row],[TA 2 - Q2 Bonus]]+Table1[[#This Row],[TA 2 - Q4 Bonus]]</f>
        <v/>
      </c>
      <c r="T291">
        <f>(Table1[[#This Row],[TA 1 - Total Score (out of 35)]]+Table1[[#This Row],[TA 2 - Total Score (out of 35)]])/2</f>
        <v/>
      </c>
      <c r="U291">
        <f>(Table1[[#This Row],[TA 1 - Total Bonus (out of 13)]]+Table1[[#This Row],[TA 2 - Total Bonus (out of 13)]])/2</f>
        <v/>
      </c>
      <c r="V291">
        <f>Table1[[#This Row],[Average Questions]]/35*20+Table1[[#This Row],[Average Bonus]]/13*5</f>
        <v/>
      </c>
      <c r="W291" t="n">
        <v>0</v>
      </c>
      <c r="X291" t="n">
        <v>0</v>
      </c>
      <c r="Y291" t="inlineStr">
        <is>
          <t>The student's submission does not run correctly due to several issues. The transforms are not correctly applied, the model is not correctly loaded or adapted, and the training and validation loops are incomplete or incorrect. Additionally, the student did not plot the training and validation accuracy, and the bonus task for Test Time Augmentation (TTA) is not implemented.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91" t="n">
        <v>0</v>
      </c>
      <c r="AA291" t="n">
        <v>0</v>
      </c>
      <c r="AB291" t="inlineStr">
        <is>
          <t>The student's submission does not run correctly due to several issues. The dataset paths are incorrect, leading to errors in loading the data. The transformations applied to the images do not match the required specifications, and the model architecture deviates from the rubric. Additionally, the training and validation functions contain errors, and the plotting functions are not correctly implemented. The bonus task is also incomplete and does not run.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91" t="n">
        <v>0</v>
      </c>
      <c r="AD291" t="inlineStr">
        <is>
          <t>The student's submission is incomplete and does not run end-to-end. The dataset class is partially defined but lacks critical components such as loading images and masks correctly. The DataLoaders are not correctly implemented, and there is no code for displaying sample images and masks. The model class, training and validation loops, and visualization tasks are entirely missing.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91" t="n">
        <v>0</v>
      </c>
      <c r="AF291" t="n">
        <v>0</v>
      </c>
      <c r="AG291" t="inlineStr">
        <is>
          <t>No submission found.</t>
        </is>
      </c>
      <c r="AH291" t="n">
        <v>0</v>
      </c>
      <c r="AI291" t="n">
        <v>0</v>
      </c>
    </row>
    <row r="292">
      <c r="A292" t="n">
        <v>291</v>
      </c>
      <c r="B292" t="inlineStr">
        <is>
          <t>TA_6</t>
        </is>
      </c>
      <c r="C292" t="inlineStr">
        <is>
          <t>TA_16</t>
        </is>
      </c>
      <c r="D292" t="n">
        <v>3.75</v>
      </c>
      <c r="E292" t="n">
        <v>0</v>
      </c>
      <c r="F292" t="n">
        <v>6.5</v>
      </c>
      <c r="G292" t="n">
        <v>0</v>
      </c>
      <c r="H292" t="n">
        <v>4</v>
      </c>
      <c r="I292" t="n">
        <v>0</v>
      </c>
      <c r="J292" t="n">
        <v>3.25</v>
      </c>
      <c r="K292" t="n">
        <v>0</v>
      </c>
      <c r="L292" t="n">
        <v>6.5</v>
      </c>
      <c r="M292" t="n">
        <v>0</v>
      </c>
      <c r="N292" t="n">
        <v>4</v>
      </c>
      <c r="O292" t="n">
        <v>0</v>
      </c>
      <c r="P292">
        <f>Table1[[#This Row],[TA 1 - Q1 Score]]+Table1[[#This Row],[TA 1 - Q2 Score]]+Table1[[#This Row],[TA 1 - Q3 Score]]</f>
        <v/>
      </c>
      <c r="Q292">
        <f>Table1[[#This Row],[TA 1 - Q1 Bonus]]+Table1[[#This Row],[TA 1 - Q2 Bonus]]+Table1[[#This Row],[TA 1 - Q4 Bonus]]</f>
        <v/>
      </c>
      <c r="R292">
        <f>Table1[[#This Row],[TA 2 - Q1 Score]]+Table1[[#This Row],[TA 2 - Q2 Score]]+Table1[[#This Row],[TA 2 - Q3 Score]]</f>
        <v/>
      </c>
      <c r="S292">
        <f>Table1[[#This Row],[TA 2 - Q1 Bonus]]+Table1[[#This Row],[TA 2 - Q2 Bonus]]+Table1[[#This Row],[TA 2 - Q4 Bonus]]</f>
        <v/>
      </c>
      <c r="T292">
        <f>(Table1[[#This Row],[TA 1 - Total Score (out of 35)]]+Table1[[#This Row],[TA 2 - Total Score (out of 35)]])/2</f>
        <v/>
      </c>
      <c r="U292">
        <f>(Table1[[#This Row],[TA 1 - Total Bonus (out of 13)]]+Table1[[#This Row],[TA 2 - Total Bonus (out of 13)]])/2</f>
        <v/>
      </c>
      <c r="V292">
        <f>Table1[[#This Row],[Average Questions]]/35*20+Table1[[#This Row],[Average Bonus]]/13*5</f>
        <v/>
      </c>
      <c r="W292" t="n">
        <v>0</v>
      </c>
      <c r="X292" t="n">
        <v>0</v>
      </c>
      <c r="Y292" t="inlineStr">
        <is>
          <t>The student's submission does not run correctly due to several critical errors. The transforms are incomplete and incorrect, the DataLoaders are not created correctly, and the model is not set up properly. The training and validation loops are incorrect, and the model is not trained correctly. Additionally, the student did not implement the bonus task correctly.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92" t="n">
        <v>0</v>
      </c>
      <c r="AA292" t="n">
        <v>0</v>
      </c>
      <c r="AB292" t="inlineStr">
        <is>
          <t>The student's submission does not run correctly due to several issues. The dataset class is incorrectly implemented, leading to errors in loading the data. The transforms are applied incorrectly, and the model architecture does not match the required specifications. Additionally, the training and validation functions are flawed, and the plotting code is missing.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92" t="n">
        <v>0</v>
      </c>
      <c r="AD292" t="inlineStr">
        <is>
          <t>The student's submission contains several critical errors that prevent the code from running correctly. The dataset class is incomplete and does not correctly load images and masks. The DataLoaders are not correctly created due to incorrect splitting of the dataset. The model definition uses the wrong number of classes and the incorrect loss function is used. Additionally, the training and validation loops do not run correctly due to mismatched data types and incorrect loss calculations. The visualization of predictions is also incorrect due to the model's output not being processed correctly. Therefore, no points are awarded for any task as the code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92" t="n">
        <v>0</v>
      </c>
      <c r="AF292" t="n">
        <v>0</v>
      </c>
      <c r="AG292" t="inlineStr">
        <is>
          <t>No submission found.</t>
        </is>
      </c>
      <c r="AH292" t="n">
        <v>0</v>
      </c>
      <c r="AI292" t="n">
        <v>0</v>
      </c>
    </row>
    <row r="293">
      <c r="A293" t="n">
        <v>292</v>
      </c>
      <c r="B293" t="inlineStr">
        <is>
          <t>TA_6</t>
        </is>
      </c>
      <c r="C293" t="inlineStr">
        <is>
          <t>TA_16</t>
        </is>
      </c>
      <c r="D293" t="n">
        <v>12</v>
      </c>
      <c r="E293" t="n">
        <v>4</v>
      </c>
      <c r="F293" t="n">
        <v>8</v>
      </c>
      <c r="G293" t="n">
        <v>1</v>
      </c>
      <c r="H293" t="n">
        <v>12</v>
      </c>
      <c r="I293" t="n">
        <v>5</v>
      </c>
      <c r="J293" t="n">
        <v>12</v>
      </c>
      <c r="K293" t="n">
        <v>4</v>
      </c>
      <c r="L293" t="n">
        <v>8</v>
      </c>
      <c r="M293" t="n">
        <v>1</v>
      </c>
      <c r="N293" t="n">
        <v>12</v>
      </c>
      <c r="O293" t="n">
        <v>5</v>
      </c>
      <c r="P293">
        <f>Table1[[#This Row],[TA 1 - Q1 Score]]+Table1[[#This Row],[TA 1 - Q2 Score]]+Table1[[#This Row],[TA 1 - Q3 Score]]</f>
        <v/>
      </c>
      <c r="Q293">
        <f>Table1[[#This Row],[TA 1 - Q1 Bonus]]+Table1[[#This Row],[TA 1 - Q2 Bonus]]+Table1[[#This Row],[TA 1 - Q4 Bonus]]</f>
        <v/>
      </c>
      <c r="R293">
        <f>Table1[[#This Row],[TA 2 - Q1 Score]]+Table1[[#This Row],[TA 2 - Q2 Score]]+Table1[[#This Row],[TA 2 - Q3 Score]]</f>
        <v/>
      </c>
      <c r="S293">
        <f>Table1[[#This Row],[TA 2 - Q1 Bonus]]+Table1[[#This Row],[TA 2 - Q2 Bonus]]+Table1[[#This Row],[TA 2 - Q4 Bonus]]</f>
        <v/>
      </c>
      <c r="T293">
        <f>(Table1[[#This Row],[TA 1 - Total Score (out of 35)]]+Table1[[#This Row],[TA 2 - Total Score (out of 35)]])/2</f>
        <v/>
      </c>
      <c r="U293">
        <f>(Table1[[#This Row],[TA 1 - Total Bonus (out of 13)]]+Table1[[#This Row],[TA 2 - Total Bonus (out of 13)]])/2</f>
        <v/>
      </c>
      <c r="V293">
        <f>Table1[[#This Row],[Average Questions]]/35*20+Table1[[#This Row],[Average Bonus]]/13*5</f>
        <v/>
      </c>
      <c r="W293" t="n">
        <v>0</v>
      </c>
      <c r="X293" t="n">
        <v>0</v>
      </c>
      <c r="Y293" t="inlineStr">
        <is>
          <t>The student's submission does not run end-to-end due to multiple issues. The transforms are incomplete, the DataLoaders are not correctly created, and the model training and validation functions are flawed. Additionally, the bonus task for Test Time Augmentation (TTA) is not implemented correctly. Therefore, no points are awarded for any task as the code does not run correctly.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93" t="n">
        <v>0</v>
      </c>
      <c r="AA293" t="n">
        <v>0</v>
      </c>
      <c r="AB293" t="inlineStr">
        <is>
          <t>The student's submission does not run correctly due to multiple issues. The code for loading and preparing the data is incomplete and contains errors. The CNN model definition is incorrect and does not follow the specified structure. The training and validation functions are flawed, and the residual connection implementation is incorrect.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93" t="n">
        <v>10</v>
      </c>
      <c r="AD293" t="inlineStr">
        <is>
          <t>The student's submission successfully builds a custom dataset class, creates DataLoaders, and displays sample images and masks. The model class is correctly defined with the pretrained U-Net using efficientnet-b1 encoder. The training and validation loops are implemented correctly. The loss and optimizer are defined, and the model is trained with training and validation losses printed and plotted. The visualization of predictions vs ground truth for multiple images is also correctly implemented. The student's code runs end-to-end without errors, adhering to the rubric.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93" t="n">
        <v>0</v>
      </c>
      <c r="AF293" t="n">
        <v>0</v>
      </c>
      <c r="AG293" t="inlineStr">
        <is>
          <t>The student's implementation of the `ColorizationDataset` class contains several issues that prevent it from running correctly. The `rgb_to_grayscale` method does not return the correct shape and the `__getitem__` method does not return the grayscale image with the correct dimensions. Additionally, the `rgb_to_grayscale` method does not add the channel dimension as required. These errors result in the code not producing the correct output, and thus, the task is incomplete and does not run correctly.
Breakdown:
- Correctly implemented `ColorizationDataset` class: 0.0/5.0</t>
        </is>
      </c>
      <c r="AH293" t="n">
        <v>10</v>
      </c>
      <c r="AI293" t="n">
        <v>0</v>
      </c>
    </row>
    <row r="294">
      <c r="A294" t="n">
        <v>293</v>
      </c>
      <c r="B294" t="inlineStr">
        <is>
          <t>TA_6</t>
        </is>
      </c>
      <c r="C294" t="inlineStr">
        <is>
          <t>TA_16</t>
        </is>
      </c>
      <c r="D294" t="n">
        <v>12</v>
      </c>
      <c r="E294" t="n">
        <v>0</v>
      </c>
      <c r="F294" t="n">
        <v>11</v>
      </c>
      <c r="G294" t="n">
        <v>0</v>
      </c>
      <c r="H294" t="n">
        <v>9.5</v>
      </c>
      <c r="I294" t="n">
        <v>0</v>
      </c>
      <c r="J294" t="n">
        <v>12</v>
      </c>
      <c r="K294" t="n">
        <v>0</v>
      </c>
      <c r="L294" t="n">
        <v>11</v>
      </c>
      <c r="M294" t="n">
        <v>0</v>
      </c>
      <c r="N294" t="n">
        <v>9.5</v>
      </c>
      <c r="O294" t="n">
        <v>0</v>
      </c>
      <c r="P294">
        <f>Table1[[#This Row],[TA 1 - Q1 Score]]+Table1[[#This Row],[TA 1 - Q2 Score]]+Table1[[#This Row],[TA 1 - Q3 Score]]</f>
        <v/>
      </c>
      <c r="Q294">
        <f>Table1[[#This Row],[TA 1 - Q1 Bonus]]+Table1[[#This Row],[TA 1 - Q2 Bonus]]+Table1[[#This Row],[TA 1 - Q4 Bonus]]</f>
        <v/>
      </c>
      <c r="R294">
        <f>Table1[[#This Row],[TA 2 - Q1 Score]]+Table1[[#This Row],[TA 2 - Q2 Score]]+Table1[[#This Row],[TA 2 - Q3 Score]]</f>
        <v/>
      </c>
      <c r="S294">
        <f>Table1[[#This Row],[TA 2 - Q1 Bonus]]+Table1[[#This Row],[TA 2 - Q2 Bonus]]+Table1[[#This Row],[TA 2 - Q4 Bonus]]</f>
        <v/>
      </c>
      <c r="T294">
        <f>(Table1[[#This Row],[TA 1 - Total Score (out of 35)]]+Table1[[#This Row],[TA 2 - Total Score (out of 35)]])/2</f>
        <v/>
      </c>
      <c r="U294">
        <f>(Table1[[#This Row],[TA 1 - Total Bonus (out of 13)]]+Table1[[#This Row],[TA 2 - Total Bonus (out of 13)]])/2</f>
        <v/>
      </c>
      <c r="V294">
        <f>Table1[[#This Row],[Average Questions]]/35*20+Table1[[#This Row],[Average Bonus]]/13*5</f>
        <v/>
      </c>
      <c r="W294" t="n">
        <v>0</v>
      </c>
      <c r="X294" t="n">
        <v>0</v>
      </c>
      <c r="Y294" t="inlineStr">
        <is>
          <t>The student's submission does not run correctly due to several issues. The transforms are incomplete, the DataLoaders are not correctly created, and the sample images are not displayed correctly. The model is not correctly loaded or adapted, and the training and validation loops are incorrect. Additionally, the student did not implement the bonus task for Test Time Augmentation.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94" t="n">
        <v>0</v>
      </c>
      <c r="AA294" t="n">
        <v>0</v>
      </c>
      <c r="AB294" t="inlineStr">
        <is>
          <t>The student's submission does not follow the rubric correctly. The dataset class or ImageFolder is not correctly implemented, the transforms do not match the required specifications, and the CNN model does not have the correct number of convolutional layers. Additionally, the training and validation functions are incorrect, and the model training process is flawed. The bonus task is also not attempted correctly.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94" t="n">
        <v>0</v>
      </c>
      <c r="AD294" t="inlineStr">
        <is>
          <t>The student's submission does not run end-to-end due to missing or incorrect code in several critical areas. The dataset class is incomplete, and the DataLoaders are not correctly implemented. The model definition uses the wrong encoder, and the training and validation loops are not correctly defined. Additionally, the loss and optimizer are not properly set up, and the visualization of predictions is missing. Therefore, the student receives 0 points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94" t="n">
        <v>0</v>
      </c>
      <c r="AF294" t="n">
        <v>0</v>
      </c>
      <c r="AG294" t="inlineStr">
        <is>
          <t>No submission found.</t>
        </is>
      </c>
      <c r="AH294" t="n">
        <v>0</v>
      </c>
      <c r="AI294" t="n">
        <v>0</v>
      </c>
    </row>
    <row r="295">
      <c r="A295" t="n">
        <v>294</v>
      </c>
      <c r="B295" t="inlineStr">
        <is>
          <t>TA_6</t>
        </is>
      </c>
      <c r="C295" t="inlineStr">
        <is>
          <t>TA_16</t>
        </is>
      </c>
      <c r="D295" t="n">
        <v>10</v>
      </c>
      <c r="E295" t="n">
        <v>1</v>
      </c>
      <c r="F295" t="n">
        <v>10.5</v>
      </c>
      <c r="G295" t="n">
        <v>0</v>
      </c>
      <c r="H295" t="n">
        <v>8</v>
      </c>
      <c r="I295" t="n">
        <v>0</v>
      </c>
      <c r="J295" t="n">
        <v>10</v>
      </c>
      <c r="K295" t="n">
        <v>1</v>
      </c>
      <c r="L295" t="n">
        <v>10.5</v>
      </c>
      <c r="M295" t="n">
        <v>0</v>
      </c>
      <c r="N295" t="n">
        <v>8</v>
      </c>
      <c r="O295" t="n">
        <v>0</v>
      </c>
      <c r="P295">
        <f>Table1[[#This Row],[TA 1 - Q1 Score]]+Table1[[#This Row],[TA 1 - Q2 Score]]+Table1[[#This Row],[TA 1 - Q3 Score]]</f>
        <v/>
      </c>
      <c r="Q295">
        <f>Table1[[#This Row],[TA 1 - Q1 Bonus]]+Table1[[#This Row],[TA 1 - Q2 Bonus]]+Table1[[#This Row],[TA 1 - Q4 Bonus]]</f>
        <v/>
      </c>
      <c r="R295">
        <f>Table1[[#This Row],[TA 2 - Q1 Score]]+Table1[[#This Row],[TA 2 - Q2 Score]]+Table1[[#This Row],[TA 2 - Q3 Score]]</f>
        <v/>
      </c>
      <c r="S295">
        <f>Table1[[#This Row],[TA 2 - Q1 Bonus]]+Table1[[#This Row],[TA 2 - Q2 Bonus]]+Table1[[#This Row],[TA 2 - Q4 Bonus]]</f>
        <v/>
      </c>
      <c r="T295">
        <f>(Table1[[#This Row],[TA 1 - Total Score (out of 35)]]+Table1[[#This Row],[TA 2 - Total Score (out of 35)]])/2</f>
        <v/>
      </c>
      <c r="U295">
        <f>(Table1[[#This Row],[TA 1 - Total Bonus (out of 13)]]+Table1[[#This Row],[TA 2 - Total Bonus (out of 13)]])/2</f>
        <v/>
      </c>
      <c r="V295">
        <f>Table1[[#This Row],[Average Questions]]/35*20+Table1[[#This Row],[Average Bonus]]/13*5</f>
        <v/>
      </c>
      <c r="W295" t="n">
        <v>0</v>
      </c>
      <c r="X295" t="n">
        <v>0</v>
      </c>
      <c r="Y295" t="inlineStr">
        <is>
          <t>The student's submission does not run correctly due to multiple issues. The training and validation loops are incorrect, and the TTA implementation is flawed. The student did not display sample images, and the model setup is incorrect.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95" t="n">
        <v>0</v>
      </c>
      <c r="AA295" t="n">
        <v>0</v>
      </c>
      <c r="AB295" t="inlineStr">
        <is>
          <t>The student's submission does not run correctly due to multiple issues. The dataset class or ImageFolder is not correctly implemented, the transforms do not resize to 32x32, and the CNN model does not have 5 convolutional layers. Additionally, the training and validation functions are incorrect, and the model training setup is flawed. The bonus task is also incomplete and incorrect.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95" t="n">
        <v>0</v>
      </c>
      <c r="AD295" t="inlineStr">
        <is>
          <t>The student's submission failed to run end-to-end due to multiple issues. The dataset class is incorrectly implemented, leading to errors in data loading. The model definition uses 'efficientnet-b0' instead of 'efficientnet-b1' as specified, which is a significant deviation from the instructions. Additionally, the training and validation loops, as well as the visualization of predictions, are not correctly implemented or executed. The code does not produce the correct output and deviates from the rubric, resulting in a score of 0.0 for the base tasks and -50.0 for the model definition task.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295" t="n">
        <v>0</v>
      </c>
      <c r="AF295" t="n">
        <v>0</v>
      </c>
      <c r="AG295" t="inlineStr">
        <is>
          <t>No submission found.</t>
        </is>
      </c>
      <c r="AH295" t="n">
        <v>0</v>
      </c>
      <c r="AI295" t="n">
        <v>0</v>
      </c>
    </row>
    <row r="296">
      <c r="A296" t="n">
        <v>295</v>
      </c>
      <c r="B296" t="inlineStr">
        <is>
          <t>TA_6</t>
        </is>
      </c>
      <c r="C296" t="inlineStr">
        <is>
          <t>TA_16</t>
        </is>
      </c>
      <c r="D296" t="n">
        <v>11</v>
      </c>
      <c r="E296" t="n">
        <v>0</v>
      </c>
      <c r="F296" t="n">
        <v>7</v>
      </c>
      <c r="G296" t="n">
        <v>0</v>
      </c>
      <c r="H296" t="n">
        <v>6</v>
      </c>
      <c r="I296" t="n">
        <v>0</v>
      </c>
      <c r="J296" t="n">
        <v>11</v>
      </c>
      <c r="K296" t="n">
        <v>0</v>
      </c>
      <c r="L296" t="n">
        <v>6</v>
      </c>
      <c r="M296" t="n">
        <v>0</v>
      </c>
      <c r="N296" t="n">
        <v>6</v>
      </c>
      <c r="O296" t="n">
        <v>0</v>
      </c>
      <c r="P296">
        <f>Table1[[#This Row],[TA 1 - Q1 Score]]+Table1[[#This Row],[TA 1 - Q2 Score]]+Table1[[#This Row],[TA 1 - Q3 Score]]</f>
        <v/>
      </c>
      <c r="Q296">
        <f>Table1[[#This Row],[TA 1 - Q1 Bonus]]+Table1[[#This Row],[TA 1 - Q2 Bonus]]+Table1[[#This Row],[TA 1 - Q4 Bonus]]</f>
        <v/>
      </c>
      <c r="R296">
        <f>Table1[[#This Row],[TA 2 - Q1 Score]]+Table1[[#This Row],[TA 2 - Q2 Score]]+Table1[[#This Row],[TA 2 - Q3 Score]]</f>
        <v/>
      </c>
      <c r="S296">
        <f>Table1[[#This Row],[TA 2 - Q1 Bonus]]+Table1[[#This Row],[TA 2 - Q2 Bonus]]+Table1[[#This Row],[TA 2 - Q4 Bonus]]</f>
        <v/>
      </c>
      <c r="T296">
        <f>(Table1[[#This Row],[TA 1 - Total Score (out of 35)]]+Table1[[#This Row],[TA 2 - Total Score (out of 35)]])/2</f>
        <v/>
      </c>
      <c r="U296">
        <f>(Table1[[#This Row],[TA 1 - Total Bonus (out of 13)]]+Table1[[#This Row],[TA 2 - Total Bonus (out of 13)]])/2</f>
        <v/>
      </c>
      <c r="V296">
        <f>Table1[[#This Row],[Average Questions]]/35*20+Table1[[#This Row],[Average Bonus]]/13*5</f>
        <v/>
      </c>
      <c r="W296" t="n">
        <v>0</v>
      </c>
      <c r="X296" t="n">
        <v>0</v>
      </c>
      <c r="Y296" t="inlineStr">
        <is>
          <t>The student's submission does not run end-to-end due to missing code for displaying sample images and the bonus task. The code for creating DataLoaders is incorrect as it does not follow the specified batch size and shuffle parameters. The training and validation loops contain errors, such as incorrect label adjustment and unnecessary softmax application. Additionally, the student did not implement the bonus task for Test Time Augmentation. Therefore, the score is 0.0 for the base tasks and 0.0 for the bonus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96" t="n">
        <v>0</v>
      </c>
      <c r="AA296" t="n">
        <v>0</v>
      </c>
      <c r="AB296" t="inlineStr">
        <is>
          <t>The student's submission does not run correctly due to several issues. The transforms for the test dataset are incorrect, using PILToTensor instead of ToTensor. The CNN model class does not match the required specifications, having only 5 convolutional layers but missing Batch Normalization. The training and validation functions are incorrectly implemented, using softmax on the outputs before calculating the loss, which is incorrect for CrossEntropyLoss. Additionally, the student did not plot the losses and accuracies.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96" t="n">
        <v>0</v>
      </c>
      <c r="AD296" t="inlineStr">
        <is>
          <t>The student's submission does not run correctly due to several issues. The dataset class is incorrectly implemented, leading to errors in loading images and masks. The DataLoaders are not correctly set up, and the model definition uses the wrong encoder. The training and validation loops are incomplete and contain errors. Additionally, the loss and optimizer are not correctly defined, and the training process does not execute properly. As a result, the code does not produce the correct output, and the tasks are not completed as per the rubric.
Breakdown:
- Build custom dataset class for images and masks: 0.0/2.0
- Create DataLoaders: 0.0/0.5
- Display sample images and masks: 0.0/0.5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296" t="n">
        <v>0</v>
      </c>
      <c r="AF296" t="n">
        <v>0</v>
      </c>
      <c r="AG296" t="inlineStr">
        <is>
          <t>No submission found.</t>
        </is>
      </c>
      <c r="AH296" t="n">
        <v>0</v>
      </c>
      <c r="AI296" t="n">
        <v>0</v>
      </c>
    </row>
    <row r="297">
      <c r="A297" t="n">
        <v>296</v>
      </c>
      <c r="B297" t="inlineStr">
        <is>
          <t>TA_6</t>
        </is>
      </c>
      <c r="C297" t="inlineStr">
        <is>
          <t>TA_16</t>
        </is>
      </c>
      <c r="D297" t="n">
        <v>10.5</v>
      </c>
      <c r="E297" t="n">
        <v>0</v>
      </c>
      <c r="F297" t="n">
        <v>6.5</v>
      </c>
      <c r="G297" t="n">
        <v>0</v>
      </c>
      <c r="H297" t="n">
        <v>11.5</v>
      </c>
      <c r="I297" t="n">
        <v>5</v>
      </c>
      <c r="J297" t="n">
        <v>10.5</v>
      </c>
      <c r="K297" t="n">
        <v>0</v>
      </c>
      <c r="L297" t="n">
        <v>6.5</v>
      </c>
      <c r="M297" t="n">
        <v>0</v>
      </c>
      <c r="N297" t="n">
        <v>11.5</v>
      </c>
      <c r="O297" t="n">
        <v>5</v>
      </c>
      <c r="P297">
        <f>Table1[[#This Row],[TA 1 - Q1 Score]]+Table1[[#This Row],[TA 1 - Q2 Score]]+Table1[[#This Row],[TA 1 - Q3 Score]]</f>
        <v/>
      </c>
      <c r="Q297">
        <f>Table1[[#This Row],[TA 1 - Q1 Bonus]]+Table1[[#This Row],[TA 1 - Q2 Bonus]]+Table1[[#This Row],[TA 1 - Q4 Bonus]]</f>
        <v/>
      </c>
      <c r="R297">
        <f>Table1[[#This Row],[TA 2 - Q1 Score]]+Table1[[#This Row],[TA 2 - Q2 Score]]+Table1[[#This Row],[TA 2 - Q3 Score]]</f>
        <v/>
      </c>
      <c r="S297">
        <f>Table1[[#This Row],[TA 2 - Q1 Bonus]]+Table1[[#This Row],[TA 2 - Q2 Bonus]]+Table1[[#This Row],[TA 2 - Q4 Bonus]]</f>
        <v/>
      </c>
      <c r="T297">
        <f>(Table1[[#This Row],[TA 1 - Total Score (out of 35)]]+Table1[[#This Row],[TA 2 - Total Score (out of 35)]])/2</f>
        <v/>
      </c>
      <c r="U297">
        <f>(Table1[[#This Row],[TA 1 - Total Bonus (out of 13)]]+Table1[[#This Row],[TA 2 - Total Bonus (out of 13)]])/2</f>
        <v/>
      </c>
      <c r="V297">
        <f>Table1[[#This Row],[Average Questions]]/35*20+Table1[[#This Row],[Average Bonus]]/13*5</f>
        <v/>
      </c>
      <c r="W297" t="n">
        <v>0</v>
      </c>
      <c r="X297" t="n">
        <v>0</v>
      </c>
      <c r="Y297" t="inlineStr">
        <is>
          <t>The student's submission does not run correctly due to several issues. The transforms are incorrectly applied, the DataLoaders are not correctly created, and the model is not properly set up for training. The training and validation loops are incorrectly implemented, and the label fixing is not done correctly. Additionally, the bonus task for Test Time Augmentation is not implemented. Therefore, the student receives 0 points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97" t="n">
        <v>0</v>
      </c>
      <c r="AA297" t="n">
        <v>0</v>
      </c>
      <c r="AB297" t="inlineStr">
        <is>
          <t>The student's submission does not follow the rubric correctly. The dataset class or ImageFolder is not correctly implemented, the transforms do not resize to 32x32, and the CNN model does not have 5 convolutional layers. Additionally, the training and validation functions are incorrect, and the model training setup is flawed. The bonus task is also not attempted.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97" t="n">
        <v>0</v>
      </c>
      <c r="AD297" t="inlineStr">
        <is>
          <t>The student's submission does not run correctly due to several issues. The dataset class is incorrectly implemented, leading to errors in data loading. The model definition uses 'efficientnet-b0' instead of 'efficientnet-b1' as specified. The training and validation loops are present but do not run correctly due to the dataset issues. The visualization of predictions is attempted but fails due to the earlier errors. Therefore, no points are awarded for any task as the code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97" t="n">
        <v>0</v>
      </c>
      <c r="AF297" t="n">
        <v>0</v>
      </c>
      <c r="AG297" t="inlineStr">
        <is>
          <t>The student's implementation of the `ColorizationDataset` class is incorrect. Specifically, the `rgb_to_grayscale` method does not return the correct dimensions, which is a critical part of the task. Since the implementation does not run correctly due to this mistake, the student receives 0 points for this task.
Breakdown:
- Correctly implemented `ColorizationDataset` class: 0.0/?</t>
        </is>
      </c>
      <c r="AH297" t="n">
        <v>0</v>
      </c>
      <c r="AI297" t="n">
        <v>0</v>
      </c>
    </row>
    <row r="298">
      <c r="A298" t="n">
        <v>297</v>
      </c>
      <c r="B298" t="inlineStr">
        <is>
          <t>TA_6</t>
        </is>
      </c>
      <c r="C298" t="inlineStr">
        <is>
          <t>TA_16</t>
        </is>
      </c>
      <c r="D298" t="n">
        <v>9.5</v>
      </c>
      <c r="E298" t="n">
        <v>1</v>
      </c>
      <c r="F298" t="n">
        <v>6</v>
      </c>
      <c r="G298" t="n">
        <v>1.5</v>
      </c>
      <c r="H298" t="n">
        <v>12</v>
      </c>
      <c r="I298" t="n">
        <v>0</v>
      </c>
      <c r="J298" t="n">
        <v>7.5</v>
      </c>
      <c r="K298" t="n">
        <v>1</v>
      </c>
      <c r="L298" t="n">
        <v>6</v>
      </c>
      <c r="M298" t="n">
        <v>1.5</v>
      </c>
      <c r="N298" t="n">
        <v>12</v>
      </c>
      <c r="O298" t="n">
        <v>0</v>
      </c>
      <c r="P298">
        <f>Table1[[#This Row],[TA 1 - Q1 Score]]+Table1[[#This Row],[TA 1 - Q2 Score]]+Table1[[#This Row],[TA 1 - Q3 Score]]</f>
        <v/>
      </c>
      <c r="Q298">
        <f>Table1[[#This Row],[TA 1 - Q1 Bonus]]+Table1[[#This Row],[TA 1 - Q2 Bonus]]+Table1[[#This Row],[TA 1 - Q4 Bonus]]</f>
        <v/>
      </c>
      <c r="R298">
        <f>Table1[[#This Row],[TA 2 - Q1 Score]]+Table1[[#This Row],[TA 2 - Q2 Score]]+Table1[[#This Row],[TA 2 - Q3 Score]]</f>
        <v/>
      </c>
      <c r="S298">
        <f>Table1[[#This Row],[TA 2 - Q1 Bonus]]+Table1[[#This Row],[TA 2 - Q2 Bonus]]+Table1[[#This Row],[TA 2 - Q4 Bonus]]</f>
        <v/>
      </c>
      <c r="T298">
        <f>(Table1[[#This Row],[TA 1 - Total Score (out of 35)]]+Table1[[#This Row],[TA 2 - Total Score (out of 35)]])/2</f>
        <v/>
      </c>
      <c r="U298">
        <f>(Table1[[#This Row],[TA 1 - Total Bonus (out of 13)]]+Table1[[#This Row],[TA 2 - Total Bonus (out of 13)]])/2</f>
        <v/>
      </c>
      <c r="V298">
        <f>Table1[[#This Row],[Average Questions]]/35*20+Table1[[#This Row],[Average Bonus]]/13*5</f>
        <v/>
      </c>
      <c r="W298" t="n">
        <v>0</v>
      </c>
      <c r="X298" t="n">
        <v>0</v>
      </c>
      <c r="Y298" t="inlineStr">
        <is>
          <t>The student's submission has several critical issues that prevent it from running correctly. The transforms are correctly defined, and the DataLoaders are created, but there is no code to display sample images. The model loading and adaptation tasks are partially completed but contain errors. The training and validation loops are incorrect and do not run. The label fixing is not implemented, and the training process does not set up the device, model, loss, and optimizer correctly. The plots for training and validation losses and accuracies are missing. The bonus task for Test Time Augmentation is not implemented correctly.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98" t="n">
        <v>0</v>
      </c>
      <c r="AA298" t="n">
        <v>0</v>
      </c>
      <c r="AB298" t="inlineStr">
        <is>
          <t>The student's submission does not run correctly due to several issues. The dataset loading and transformation tasks are incomplete and incorrect. The CNN model definition is flawed, missing batch normalization, and the residual connection implementation is incorrect. The training and validation functions are present but do not run due to the incorrect model definition. The plotting code is present but does not execute due to the previous errors. The bonus task is attempted but fails to run due to the incorrect model definition and residual connection implementation.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98" t="n">
        <v>0</v>
      </c>
      <c r="AD298" t="inlineStr">
        <is>
          <t>The student's submission does not run end-to-end due to multiple issues. The dataset class is incorrectly implemented, leading to errors in data loading. The model definition uses 'efficientnet-b0' instead of 'efficientnet-b1' as specified. The training and validation loops are present but do not run correctly due to the dataset issues. The loss and optimizer are defined correctly, but the training process fails. The visualization of predictions is attempted but does not run due to the earlier failures. Therefore, no points are awarded for any task as the code does not run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98" t="n">
        <v>0</v>
      </c>
      <c r="AF298" t="n">
        <v>0</v>
      </c>
      <c r="AG298" t="inlineStr">
        <is>
          <t>The student's implementation of the `ColorizationDataset` class is incomplete and contains several errors. The `rgb_to_grayscale` method is not correctly implemented, and the `__getitem__` method does not properly retrieve and convert the images. Additionally, the student's code does not follow the correct logic for loading and transforming the images, leading to incorrect shapes and dimensions. The code also includes unnecessary and irrelevant sections, such as the autoencoder implementation, which is not part of the task. Therefore, the implementation does not meet the requirements specified in the rubric.
Breakdown:
- Correctly implemented `ColorizationDataset` class: 0.0/5.0</t>
        </is>
      </c>
      <c r="AH298" t="n">
        <v>0</v>
      </c>
      <c r="AI298" t="n">
        <v>0</v>
      </c>
    </row>
    <row r="299">
      <c r="A299" t="n">
        <v>298</v>
      </c>
      <c r="B299" t="inlineStr">
        <is>
          <t>TA_6</t>
        </is>
      </c>
      <c r="C299" t="inlineStr">
        <is>
          <t>TA_16</t>
        </is>
      </c>
      <c r="D299" t="n">
        <v>3</v>
      </c>
      <c r="E299" t="n">
        <v>0</v>
      </c>
      <c r="F299" t="n">
        <v>0</v>
      </c>
      <c r="G299" t="n">
        <v>0</v>
      </c>
      <c r="H299" t="n">
        <v>-1</v>
      </c>
      <c r="I299" t="n">
        <v>0</v>
      </c>
      <c r="J299" t="n">
        <v>4</v>
      </c>
      <c r="K299" t="n">
        <v>0</v>
      </c>
      <c r="L299" t="n">
        <v>0</v>
      </c>
      <c r="M299" t="n">
        <v>0</v>
      </c>
      <c r="N299" t="n">
        <v>0</v>
      </c>
      <c r="O299" t="n">
        <v>0</v>
      </c>
      <c r="P299">
        <f>Table1[[#This Row],[TA 1 - Q1 Score]]+Table1[[#This Row],[TA 1 - Q2 Score]]+Table1[[#This Row],[TA 1 - Q3 Score]]</f>
        <v/>
      </c>
      <c r="Q299">
        <f>Table1[[#This Row],[TA 1 - Q1 Bonus]]+Table1[[#This Row],[TA 1 - Q2 Bonus]]+Table1[[#This Row],[TA 1 - Q4 Bonus]]</f>
        <v/>
      </c>
      <c r="R299">
        <f>Table1[[#This Row],[TA 2 - Q1 Score]]+Table1[[#This Row],[TA 2 - Q2 Score]]+Table1[[#This Row],[TA 2 - Q3 Score]]</f>
        <v/>
      </c>
      <c r="S299">
        <f>Table1[[#This Row],[TA 2 - Q1 Bonus]]+Table1[[#This Row],[TA 2 - Q2 Bonus]]+Table1[[#This Row],[TA 2 - Q4 Bonus]]</f>
        <v/>
      </c>
      <c r="T299">
        <f>(Table1[[#This Row],[TA 1 - Total Score (out of 35)]]+Table1[[#This Row],[TA 2 - Total Score (out of 35)]])/2</f>
        <v/>
      </c>
      <c r="U299">
        <f>(Table1[[#This Row],[TA 1 - Total Bonus (out of 13)]]+Table1[[#This Row],[TA 2 - Total Bonus (out of 13)]])/2</f>
        <v/>
      </c>
      <c r="V299">
        <f>Table1[[#This Row],[Average Questions]]/35*20+Table1[[#This Row],[Average Bonus]]/13*5</f>
        <v/>
      </c>
      <c r="W299" t="n">
        <v>0</v>
      </c>
      <c r="X299" t="n">
        <v>0</v>
      </c>
      <c r="Y299" t="inlineStr">
        <is>
          <t>The student's submission contains several critical errors and deviations from the rubric. The transforms are incorrectly set to resize images to 224x224 instead of 28x28. The model used is VGG16 instead of EfficientNetV2-Small, and the classifier head is not correctly replaced for 26 classes. The training and validation loops are incorrectly implemented, using BCEWithLogitsLoss instead of CrossEntropyLoss and sigmoid activation instead of softmax. The label fixing for 0-indexed labels is not implemented. Additionally, the student did not plot the training and validation losses or accuracies. The bonus task for Test Time Augmentation (TTA) is not attempted. Therefore, the student receives 0 points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99" t="n">
        <v>0</v>
      </c>
      <c r="AA299" t="n">
        <v>0</v>
      </c>
      <c r="AB299" t="inlineStr">
        <is>
          <t>The student's submission deviates significantly from the rubric. The student used the CIFAR-10 dataset instead of the Potato Disease Dataset, which is a clear violation of the instructions. Additionally, the student's CNN model does not meet the specifications of having 5 convolutional layers and does not include Batch Normalization. The training and validation functions are present but are not tested with the correct dataset. The student did not attempt the bonus task.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99" t="n">
        <v>0</v>
      </c>
      <c r="AD299" t="inlineStr">
        <is>
          <t>The student's submission deviates significantly from the rubric. The dataset class is incorrectly implemented using the SUIM dataset instead of the specified custom dataset class. The model class is entirely incorrect as it does not use the pretrained U-Net with efficientnet-b1 encoder as required. The training and validation loops, as well as the loss and optimizer definitions, are missing or incorrect. The code does not run end-to-end correctly, and the visualizations are not implemented as per the task requirements.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299" t="n">
        <v>0</v>
      </c>
      <c r="AF299" t="n">
        <v>0</v>
      </c>
      <c r="AG299" t="inlineStr">
        <is>
          <t>The student's implementation of the `ColorizationDataset` class is incomplete and contains multiple syntax and logical errors. The `__init__` method does not store the dataset, the `__len__` method is incomplete, the `rgb_to_grayscale` method is incorrectly implemented, and the `__getitem__` method does not return the correct tuple. Therefore, the implementation does not run correctly and does not meet the requirements of the task.
Breakdown:
- Correctly implemented `ColorizationDataset` class: 0.0/?</t>
        </is>
      </c>
      <c r="AH299" t="n">
        <v>0</v>
      </c>
      <c r="AI299" t="n">
        <v>0</v>
      </c>
    </row>
    <row r="300">
      <c r="A300" t="n">
        <v>299</v>
      </c>
      <c r="B300" t="inlineStr">
        <is>
          <t>TA_6</t>
        </is>
      </c>
      <c r="C300" t="inlineStr">
        <is>
          <t>TA_16</t>
        </is>
      </c>
      <c r="D300" t="n">
        <v>3</v>
      </c>
      <c r="E300" t="n">
        <v>0</v>
      </c>
      <c r="F300" t="n">
        <v>6</v>
      </c>
      <c r="G300" t="n">
        <v>0</v>
      </c>
      <c r="H300" t="n">
        <v>2</v>
      </c>
      <c r="I300" t="n">
        <v>0</v>
      </c>
      <c r="J300" t="n">
        <v>3</v>
      </c>
      <c r="K300" t="n">
        <v>0</v>
      </c>
      <c r="L300" t="n">
        <v>6</v>
      </c>
      <c r="M300" t="n">
        <v>0</v>
      </c>
      <c r="N300" t="n">
        <v>0</v>
      </c>
      <c r="O300" t="n">
        <v>0</v>
      </c>
      <c r="P300">
        <f>Table1[[#This Row],[TA 1 - Q1 Score]]+Table1[[#This Row],[TA 1 - Q2 Score]]+Table1[[#This Row],[TA 1 - Q3 Score]]</f>
        <v/>
      </c>
      <c r="Q300">
        <f>Table1[[#This Row],[TA 1 - Q1 Bonus]]+Table1[[#This Row],[TA 1 - Q2 Bonus]]+Table1[[#This Row],[TA 1 - Q4 Bonus]]</f>
        <v/>
      </c>
      <c r="R300">
        <f>Table1[[#This Row],[TA 2 - Q1 Score]]+Table1[[#This Row],[TA 2 - Q2 Score]]+Table1[[#This Row],[TA 2 - Q3 Score]]</f>
        <v/>
      </c>
      <c r="S300">
        <f>Table1[[#This Row],[TA 2 - Q1 Bonus]]+Table1[[#This Row],[TA 2 - Q2 Bonus]]+Table1[[#This Row],[TA 2 - Q4 Bonus]]</f>
        <v/>
      </c>
      <c r="T300">
        <f>(Table1[[#This Row],[TA 1 - Total Score (out of 35)]]+Table1[[#This Row],[TA 2 - Total Score (out of 35)]])/2</f>
        <v/>
      </c>
      <c r="U300">
        <f>(Table1[[#This Row],[TA 1 - Total Bonus (out of 13)]]+Table1[[#This Row],[TA 2 - Total Bonus (out of 13)]])/2</f>
        <v/>
      </c>
      <c r="V300">
        <f>Table1[[#This Row],[Average Questions]]/35*20+Table1[[#This Row],[Average Bonus]]/13*5</f>
        <v/>
      </c>
      <c r="W300" t="n">
        <v>0</v>
      </c>
      <c r="X300" t="n">
        <v>0</v>
      </c>
      <c r="Y300" t="inlineStr">
        <is>
          <t>The student's submission does not complete any of the required tasks correctly. The code for transforming the data is incomplete and incorrect, the DataLoaders are not correctly created or displayed, the model is not correctly loaded or adapted, the training and validation loops are incorrect, and the training process is not set up correctly. Additionally, the bonus task for Test Time Augmentation is not attempted.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00" t="n">
        <v>0</v>
      </c>
      <c r="AA300" t="n">
        <v>0</v>
      </c>
      <c r="AB300" t="inlineStr">
        <is>
          <t>The student's submission does not follow the rubric instructions. The student used the CIFAR-10 dataset instead of the Potato Disease Dataset, which is a clear violation of the instructions. Additionally, the student's CNN model does not have the required 5 convolutional layers and does not include Batch Normalization. The training and validation functions are present but are not correctly implemented for the Potato Disease Dataset. The student did not attempt the bonus task.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00" t="n">
        <v>0</v>
      </c>
      <c r="AD300" t="inlineStr">
        <is>
          <t>The student's submission does not define the model class, which is a critical component for the task. Without the model definition, the training and validation loops, as well as the visualization of predictions, cannot be executed. The student's code attempts to train and validate a model but fails to define the model itself, leading to a complete failure in running the task. Therefore, the minimum defensible score for each task is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00" t="n">
        <v>0</v>
      </c>
      <c r="AF300" t="n">
        <v>0</v>
      </c>
      <c r="AG300" t="inlineStr">
        <is>
          <t>No submission found.</t>
        </is>
      </c>
      <c r="AH300" t="n">
        <v>0</v>
      </c>
      <c r="AI300" t="n">
        <v>0</v>
      </c>
    </row>
    <row r="301">
      <c r="A301" t="n">
        <v>300</v>
      </c>
      <c r="B301" t="inlineStr">
        <is>
          <t>TA_6</t>
        </is>
      </c>
      <c r="C301" t="inlineStr">
        <is>
          <t>TA_16</t>
        </is>
      </c>
      <c r="D301" t="n">
        <v>5</v>
      </c>
      <c r="E301" t="n">
        <v>0</v>
      </c>
      <c r="F301" t="n">
        <v>8</v>
      </c>
      <c r="G301" t="n">
        <v>0</v>
      </c>
      <c r="H301" t="n">
        <v>8</v>
      </c>
      <c r="I301" t="n">
        <v>0</v>
      </c>
      <c r="J301" t="n">
        <v>3</v>
      </c>
      <c r="K301" t="n">
        <v>0</v>
      </c>
      <c r="L301" t="n">
        <v>8</v>
      </c>
      <c r="M301" t="n">
        <v>0</v>
      </c>
      <c r="N301" t="n">
        <v>7</v>
      </c>
      <c r="O301" t="n">
        <v>0</v>
      </c>
      <c r="P301">
        <f>Table1[[#This Row],[TA 1 - Q1 Score]]+Table1[[#This Row],[TA 1 - Q2 Score]]+Table1[[#This Row],[TA 1 - Q3 Score]]</f>
        <v/>
      </c>
      <c r="Q301">
        <f>Table1[[#This Row],[TA 1 - Q1 Bonus]]+Table1[[#This Row],[TA 1 - Q2 Bonus]]+Table1[[#This Row],[TA 1 - Q4 Bonus]]</f>
        <v/>
      </c>
      <c r="R301">
        <f>Table1[[#This Row],[TA 2 - Q1 Score]]+Table1[[#This Row],[TA 2 - Q2 Score]]+Table1[[#This Row],[TA 2 - Q3 Score]]</f>
        <v/>
      </c>
      <c r="S301">
        <f>Table1[[#This Row],[TA 2 - Q1 Bonus]]+Table1[[#This Row],[TA 2 - Q2 Bonus]]+Table1[[#This Row],[TA 2 - Q4 Bonus]]</f>
        <v/>
      </c>
      <c r="T301">
        <f>(Table1[[#This Row],[TA 1 - Total Score (out of 35)]]+Table1[[#This Row],[TA 2 - Total Score (out of 35)]])/2</f>
        <v/>
      </c>
      <c r="U301">
        <f>(Table1[[#This Row],[TA 1 - Total Bonus (out of 13)]]+Table1[[#This Row],[TA 2 - Total Bonus (out of 13)]])/2</f>
        <v/>
      </c>
      <c r="V301">
        <f>Table1[[#This Row],[Average Questions]]/35*20+Table1[[#This Row],[Average Bonus]]/13*5</f>
        <v/>
      </c>
      <c r="W301" t="n">
        <v>0</v>
      </c>
      <c r="X301" t="n">
        <v>0</v>
      </c>
      <c r="Y301" t="inlineStr">
        <is>
          <t>The student's submission does not run end-to-end due to missing code for creating DataLoaders and displaying sample images in Part 1. Additionally, the student did not freeze the backbone of the pretrained model in Part 2, which is a critical step. The training and validation loops in Part 3 are incomplete and do not fix the labels correctly. The training setup in Part 4 is incomplete, and there is no code for plotting losses and accuracies. The bonus task in Part 5 is also missing.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01" t="n">
        <v>0</v>
      </c>
      <c r="AA301" t="n">
        <v>0</v>
      </c>
      <c r="AB301" t="inlineStr">
        <is>
          <t>The student's submission does not run correctly due to several issues. The dataset class is incorrectly implemented, leading to errors in data loading. The CNN model definition is flawed, with incorrect layer configurations and missing batch normalization. The training and validation functions are incorrectly implemented, leading to errors in the training process.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01" t="n">
        <v>0</v>
      </c>
      <c r="AD301" t="inlineStr">
        <is>
          <t>The student's submission does not run correctly due to several issues. The dataset class is incorrectly implemented, leading to errors in data loading. The model definition uses 'efficientnet-b1' instead of 'efficientnet-b0' as specified. The training and validation loops are incorrectly implemented, leading to runtime errors. The loss and optimizer are defined correctly, but the training process fails due to previous errors. The visualization of predictions is attempted but fails due to the incorrect implementation of the dataset class and model training.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01" t="n">
        <v>0</v>
      </c>
      <c r="AF301" t="n">
        <v>0</v>
      </c>
      <c r="AG301" t="inlineStr">
        <is>
          <t>The student's implementation of the `ColorizationDataset` class is incorrect and does not follow the required structure. The `__init__` method is incorrectly implemented to handle a directory structure instead of a dataset object. The `rgb_to_grayscale` method is incomplete and contains syntax errors. The `__getitem__` method does not correctly convert the image to grayscale and return the correct tuple. Additionally, the student's code does not correctly handle the CIFAR-10 dataset as specified in the task. Therefore, the implementation does not meet the criteria for any points.
Breakdown:
- Correctly implemented `ColorizationDataset` class: 0.0/5.0</t>
        </is>
      </c>
      <c r="AH301" t="n">
        <v>0</v>
      </c>
      <c r="AI301" t="n">
        <v>0</v>
      </c>
    </row>
    <row r="302">
      <c r="A302" t="n">
        <v>301</v>
      </c>
      <c r="B302" t="inlineStr">
        <is>
          <t>TA_6</t>
        </is>
      </c>
      <c r="C302" t="inlineStr">
        <is>
          <t>TA_16</t>
        </is>
      </c>
      <c r="D302" t="n">
        <v>4.5</v>
      </c>
      <c r="E302" t="n">
        <v>0</v>
      </c>
      <c r="F302" t="n">
        <v>8.5</v>
      </c>
      <c r="G302" t="n">
        <v>0</v>
      </c>
      <c r="H302" t="n">
        <v>0</v>
      </c>
      <c r="I302" t="n">
        <v>0</v>
      </c>
      <c r="J302" t="n">
        <v>4.5</v>
      </c>
      <c r="K302" t="n">
        <v>0</v>
      </c>
      <c r="L302" t="n">
        <v>8.5</v>
      </c>
      <c r="M302" t="n">
        <v>0</v>
      </c>
      <c r="N302" t="n">
        <v>0</v>
      </c>
      <c r="O302" t="n">
        <v>0</v>
      </c>
      <c r="P302">
        <f>Table1[[#This Row],[TA 1 - Q1 Score]]+Table1[[#This Row],[TA 1 - Q2 Score]]+Table1[[#This Row],[TA 1 - Q3 Score]]</f>
        <v/>
      </c>
      <c r="Q302">
        <f>Table1[[#This Row],[TA 1 - Q1 Bonus]]+Table1[[#This Row],[TA 1 - Q2 Bonus]]+Table1[[#This Row],[TA 1 - Q4 Bonus]]</f>
        <v/>
      </c>
      <c r="R302">
        <f>Table1[[#This Row],[TA 2 - Q1 Score]]+Table1[[#This Row],[TA 2 - Q2 Score]]+Table1[[#This Row],[TA 2 - Q3 Score]]</f>
        <v/>
      </c>
      <c r="S302">
        <f>Table1[[#This Row],[TA 2 - Q1 Bonus]]+Table1[[#This Row],[TA 2 - Q2 Bonus]]+Table1[[#This Row],[TA 2 - Q4 Bonus]]</f>
        <v/>
      </c>
      <c r="T302">
        <f>(Table1[[#This Row],[TA 1 - Total Score (out of 35)]]+Table1[[#This Row],[TA 2 - Total Score (out of 35)]])/2</f>
        <v/>
      </c>
      <c r="U302">
        <f>(Table1[[#This Row],[TA 1 - Total Bonus (out of 13)]]+Table1[[#This Row],[TA 2 - Total Bonus (out of 13)]])/2</f>
        <v/>
      </c>
      <c r="V302">
        <f>Table1[[#This Row],[Average Questions]]/35*20+Table1[[#This Row],[Average Bonus]]/13*5</f>
        <v/>
      </c>
      <c r="W302" t="n">
        <v>0</v>
      </c>
      <c r="X302" t="n">
        <v>0</v>
      </c>
      <c r="Y302" t="inlineStr">
        <is>
          <t>The student's submission is incomplete and does not run correctly. The code for transforming the data, creating DataLoaders, and displaying sample images is missing or incomplete. The model loading, freezing the backbone, and replacing the classifier head are not correctly implemented. The training and validation loops are incomplete and do not run. The training setup, plotting, and bonus tasks are also missing.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02" t="n">
        <v>0</v>
      </c>
      <c r="AA302" t="n">
        <v>0</v>
      </c>
      <c r="AB302" t="inlineStr">
        <is>
          <t>The student's submission does not run correctly due to multiple issues. The dataset class is defined but not used correctly, leading to errors in data loading. The CNN model does not follow the specified architecture with 5 convolutional layers and batch normalization. The training and validation functions are incorrectly implemented, and the training process does not execute properly.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02" t="n">
        <v>0</v>
      </c>
      <c r="AD302" t="inlineStr">
        <is>
          <t>No submission found.</t>
        </is>
      </c>
      <c r="AE302" t="n">
        <v>0</v>
      </c>
      <c r="AF302" t="n">
        <v>0</v>
      </c>
      <c r="AG302" t="inlineStr">
        <is>
          <t>No submission found.</t>
        </is>
      </c>
      <c r="AH302" t="n">
        <v>0</v>
      </c>
      <c r="AI302" t="n">
        <v>0</v>
      </c>
    </row>
    <row r="303">
      <c r="A303" t="n">
        <v>302</v>
      </c>
      <c r="B303" t="inlineStr">
        <is>
          <t>TA_6</t>
        </is>
      </c>
      <c r="C303" t="inlineStr">
        <is>
          <t>TA_16</t>
        </is>
      </c>
      <c r="D303" t="n">
        <v>7.5</v>
      </c>
      <c r="E303" t="n">
        <v>4</v>
      </c>
      <c r="F303" t="n">
        <v>11</v>
      </c>
      <c r="G303" t="n">
        <v>0</v>
      </c>
      <c r="H303" t="n">
        <v>12</v>
      </c>
      <c r="I303" t="n">
        <v>0</v>
      </c>
      <c r="J303" t="n">
        <v>7.5</v>
      </c>
      <c r="K303" t="n">
        <v>4</v>
      </c>
      <c r="L303" t="n">
        <v>11</v>
      </c>
      <c r="M303" t="n">
        <v>0</v>
      </c>
      <c r="N303" t="n">
        <v>12</v>
      </c>
      <c r="O303" t="n">
        <v>0</v>
      </c>
      <c r="P303">
        <f>Table1[[#This Row],[TA 1 - Q1 Score]]+Table1[[#This Row],[TA 1 - Q2 Score]]+Table1[[#This Row],[TA 1 - Q3 Score]]</f>
        <v/>
      </c>
      <c r="Q303">
        <f>Table1[[#This Row],[TA 1 - Q1 Bonus]]+Table1[[#This Row],[TA 1 - Q2 Bonus]]+Table1[[#This Row],[TA 1 - Q4 Bonus]]</f>
        <v/>
      </c>
      <c r="R303">
        <f>Table1[[#This Row],[TA 2 - Q1 Score]]+Table1[[#This Row],[TA 2 - Q2 Score]]+Table1[[#This Row],[TA 2 - Q3 Score]]</f>
        <v/>
      </c>
      <c r="S303">
        <f>Table1[[#This Row],[TA 2 - Q1 Bonus]]+Table1[[#This Row],[TA 2 - Q2 Bonus]]+Table1[[#This Row],[TA 2 - Q4 Bonus]]</f>
        <v/>
      </c>
      <c r="T303">
        <f>(Table1[[#This Row],[TA 1 - Total Score (out of 35)]]+Table1[[#This Row],[TA 2 - Total Score (out of 35)]])/2</f>
        <v/>
      </c>
      <c r="U303">
        <f>(Table1[[#This Row],[TA 1 - Total Bonus (out of 13)]]+Table1[[#This Row],[TA 2 - Total Bonus (out of 13)]])/2</f>
        <v/>
      </c>
      <c r="V303">
        <f>Table1[[#This Row],[Average Questions]]/35*20+Table1[[#This Row],[Average Bonus]]/13*5</f>
        <v/>
      </c>
      <c r="W303" t="n">
        <v>0</v>
      </c>
      <c r="X303" t="n">
        <v>0</v>
      </c>
      <c r="Y303" t="inlineStr">
        <is>
          <t>The student's submission contains several critical errors that prevent the code from running correctly. The transforms are incomplete, the DataLoaders are not correctly created, and the model training and validation loops have logical errors. Additionally, the student did not correctly implement the label fixing, which is a crucial part of the task. The bonus task for Test Time Augmentation (TTA) is also incomplete and contains errors.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03" t="n">
        <v>0</v>
      </c>
      <c r="AA303" t="n">
        <v>0</v>
      </c>
      <c r="AB303" t="inlineStr">
        <is>
          <t>The student's submission does not run correctly due to several issues. The transforms applied to the test dataset do not match the required specifications, and the model architecture deviates from the rubric by not having the correct number of convolutional layers and incorrect batch normalization implementation. Additionally, the training and validation functions contain errors, and the training process does not follow the specified steps. Therefore, no points are awarded for any task as the code does not run correctly.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03" t="n">
        <v>0</v>
      </c>
      <c r="AD303" t="inlineStr">
        <is>
          <t>The student's submission does not run correctly due to several issues. The dataset class is incomplete and does not follow the required structure. The model definition uses 'efficientnet-b1' instead of 'efficientnet-b0' as specified. The training and validation loops are present but do not run correctly due to missing or incorrect implementations. The loss and optimizer are defined but the training process does not complete successfully. The visualization of predictions is attempted but fails due to the overall issues in the code. Therefore, no points are awarded for any task as the code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03" t="n">
        <v>0</v>
      </c>
      <c r="AF303" t="n">
        <v>0</v>
      </c>
      <c r="AG303" t="inlineStr">
        <is>
          <t>The student's implementation of the `ColorizationDataset` class contains several critical errors. The `__init__` method incorrectly stores the dataset as `self.image_paths` instead of `self.dataset`. The `rgb_to_grayscale` method is incomplete and does not correctly convert the image to grayscale. The `__getitem__` method attempts to open an image using `Image.open`, which is incorrect since the dataset is already in tensor form. Additionally, the method does not return the correct tuple of (grayscale_image, color_image). These issues prevent the code from running correctly, resulting in a score of 0.0 for the task.
Breakdown:
- Correctly implemented `ColorizationDataset` class: 0.0/5.0</t>
        </is>
      </c>
      <c r="AH303" t="n">
        <v>0</v>
      </c>
      <c r="AI303" t="n">
        <v>0</v>
      </c>
    </row>
    <row r="304">
      <c r="A304" t="n">
        <v>303</v>
      </c>
      <c r="B304" t="inlineStr">
        <is>
          <t>TA_6</t>
        </is>
      </c>
      <c r="C304" t="inlineStr">
        <is>
          <t>TA_16</t>
        </is>
      </c>
      <c r="D304" t="n">
        <v>12</v>
      </c>
      <c r="E304" t="n">
        <v>3</v>
      </c>
      <c r="F304" t="n">
        <v>11</v>
      </c>
      <c r="G304" t="n">
        <v>4</v>
      </c>
      <c r="H304" t="n">
        <v>12</v>
      </c>
      <c r="I304" t="n">
        <v>0</v>
      </c>
      <c r="J304" t="n">
        <v>12</v>
      </c>
      <c r="K304" t="n">
        <v>3</v>
      </c>
      <c r="L304" t="n">
        <v>11</v>
      </c>
      <c r="M304" t="n">
        <v>4</v>
      </c>
      <c r="N304" t="n">
        <v>12</v>
      </c>
      <c r="O304" t="n">
        <v>0</v>
      </c>
      <c r="P304">
        <f>Table1[[#This Row],[TA 1 - Q1 Score]]+Table1[[#This Row],[TA 1 - Q2 Score]]+Table1[[#This Row],[TA 1 - Q3 Score]]</f>
        <v/>
      </c>
      <c r="Q304">
        <f>Table1[[#This Row],[TA 1 - Q1 Bonus]]+Table1[[#This Row],[TA 1 - Q2 Bonus]]+Table1[[#This Row],[TA 1 - Q4 Bonus]]</f>
        <v/>
      </c>
      <c r="R304">
        <f>Table1[[#This Row],[TA 2 - Q1 Score]]+Table1[[#This Row],[TA 2 - Q2 Score]]+Table1[[#This Row],[TA 2 - Q3 Score]]</f>
        <v/>
      </c>
      <c r="S304">
        <f>Table1[[#This Row],[TA 2 - Q1 Bonus]]+Table1[[#This Row],[TA 2 - Q2 Bonus]]+Table1[[#This Row],[TA 2 - Q4 Bonus]]</f>
        <v/>
      </c>
      <c r="T304">
        <f>(Table1[[#This Row],[TA 1 - Total Score (out of 35)]]+Table1[[#This Row],[TA 2 - Total Score (out of 35)]])/2</f>
        <v/>
      </c>
      <c r="U304">
        <f>(Table1[[#This Row],[TA 1 - Total Bonus (out of 13)]]+Table1[[#This Row],[TA 2 - Total Bonus (out of 13)]])/2</f>
        <v/>
      </c>
      <c r="V304">
        <f>Table1[[#This Row],[Average Questions]]/35*20+Table1[[#This Row],[Average Bonus]]/13*5</f>
        <v/>
      </c>
      <c r="W304" t="n">
        <v>0</v>
      </c>
      <c r="X304" t="n">
        <v>0</v>
      </c>
      <c r="Y304" t="inlineStr">
        <is>
          <t>The student's submission does not run correctly due to several issues. The transforms are not correctly applied to the dataset, the DataLoaders are not created properly, and the model is not correctly loaded or adapted. The training and validation loops are incorrect, and the plots for training and validation losses and accuracies are not generated correctly. Additionally, the bonus task for Test Time Augmentation (TTA) is not implemented correctly.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04" t="n">
        <v>0</v>
      </c>
      <c r="AA304" t="n">
        <v>0</v>
      </c>
      <c r="AB304" t="inlineStr">
        <is>
          <t>The student's submission does not run correctly due to multiple issues. The dataset class is incorrectly defined, the transforms are not applied correctly, and the CNN model is not correctly implemented. The training and validation functions are incomplete and do not run. The bonus task for residual connections is also incomplete and does not run.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04" t="n">
        <v>0</v>
      </c>
      <c r="AD304" t="inlineStr">
        <is>
          <t>The student's submission does not run correctly due to several issues. The dataset class is defined but not used correctly in the DataLoader creation. The model definition uses 'efficientnet-b0' instead of 'efficientnet-b1' as specified. The training and validation loops are defined but not executed correctly. The loss and optimizer are defined but not used correctly in the training loop. The visualization of predictions is attempted but does not run correctly due to issues in the code. Therefore, no points are awarded for any task as the code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04" t="n">
        <v>0</v>
      </c>
      <c r="AF304" t="n">
        <v>0</v>
      </c>
      <c r="AG304" t="inlineStr">
        <is>
          <t>No submission found.</t>
        </is>
      </c>
      <c r="AH304" t="n">
        <v>0</v>
      </c>
      <c r="AI304" t="n">
        <v>0</v>
      </c>
    </row>
    <row r="305">
      <c r="A305" t="n">
        <v>304</v>
      </c>
      <c r="B305" t="inlineStr">
        <is>
          <t>TA_6</t>
        </is>
      </c>
      <c r="C305" t="inlineStr">
        <is>
          <t>TA_16</t>
        </is>
      </c>
      <c r="D305" t="n">
        <v>5</v>
      </c>
      <c r="E305" t="n">
        <v>0</v>
      </c>
      <c r="F305" t="n">
        <v>6</v>
      </c>
      <c r="G305" t="n">
        <v>0</v>
      </c>
      <c r="H305" t="n">
        <v>3</v>
      </c>
      <c r="I305" t="n">
        <v>0</v>
      </c>
      <c r="J305" t="n">
        <v>3</v>
      </c>
      <c r="K305" t="n">
        <v>0</v>
      </c>
      <c r="L305" t="n">
        <v>6</v>
      </c>
      <c r="M305" t="n">
        <v>0</v>
      </c>
      <c r="N305" t="n">
        <v>1</v>
      </c>
      <c r="O305" t="n">
        <v>0</v>
      </c>
      <c r="P305">
        <f>Table1[[#This Row],[TA 1 - Q1 Score]]+Table1[[#This Row],[TA 1 - Q2 Score]]+Table1[[#This Row],[TA 1 - Q3 Score]]</f>
        <v/>
      </c>
      <c r="Q305">
        <f>Table1[[#This Row],[TA 1 - Q1 Bonus]]+Table1[[#This Row],[TA 1 - Q2 Bonus]]+Table1[[#This Row],[TA 1 - Q4 Bonus]]</f>
        <v/>
      </c>
      <c r="R305">
        <f>Table1[[#This Row],[TA 2 - Q1 Score]]+Table1[[#This Row],[TA 2 - Q2 Score]]+Table1[[#This Row],[TA 2 - Q3 Score]]</f>
        <v/>
      </c>
      <c r="S305">
        <f>Table1[[#This Row],[TA 2 - Q1 Bonus]]+Table1[[#This Row],[TA 2 - Q2 Bonus]]+Table1[[#This Row],[TA 2 - Q4 Bonus]]</f>
        <v/>
      </c>
      <c r="T305">
        <f>(Table1[[#This Row],[TA 1 - Total Score (out of 35)]]+Table1[[#This Row],[TA 2 - Total Score (out of 35)]])/2</f>
        <v/>
      </c>
      <c r="U305">
        <f>(Table1[[#This Row],[TA 1 - Total Bonus (out of 13)]]+Table1[[#This Row],[TA 2 - Total Bonus (out of 13)]])/2</f>
        <v/>
      </c>
      <c r="V305">
        <f>Table1[[#This Row],[Average Questions]]/35*20+Table1[[#This Row],[Average Bonus]]/13*5</f>
        <v/>
      </c>
      <c r="W305" t="n">
        <v>0</v>
      </c>
      <c r="X305" t="n">
        <v>0</v>
      </c>
      <c r="Y305" t="inlineStr">
        <is>
          <t>The student's submission contains several critical errors that prevent the code from running correctly. The transforms include an incorrect custom module (SubtractOne) that alters the labels, leading to incorrect label values throughout the training and validation processes. The DataLoader creation is incorrect, and the display of sample images is flawed. The model configuration is incorrect, with the classifier head not properly replaced for 26 classes. The training and validation loops are incomplete and contain logical errors. The training process does not run correctly due to these issues, and the plots for losses and accuracies are not generated. The bonus task for Test Time Augmentation (TTA) is not implemented correctly. Overall, the submission does not meet the requirements of the rubric and fails to run end-to-end.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05" t="n">
        <v>0</v>
      </c>
      <c r="AA305" t="n">
        <v>0</v>
      </c>
      <c r="AB305" t="inlineStr">
        <is>
          <t>The student's submission has several critical issues that prevent it from running correctly. The dataset class or ImageFolder is incorrectly implemented, leading to a mismatch in the number of input channels for the CNN model. The transforms applied to the dataset do not match the required specifications, and the model architecture does not adhere to the rubric's requirements. Additionally, the training and validation functions are incomplete and contain errors, resulting in a non-functional training loop. The student did not attempt the bonus task, and the overall submission does not meet the minimum requirements for any task to run correctly.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0.5/0.5
- Task 1: Set up device, model, loss, optimizer: 0.0/1.0
- Task 2: Train the model: 0.0/0.5
- Task 3: Plot losses and accuracy: 0.0/0.5
- Bonus Task: Defined residual connection correctly: 0.0/3.0
- Bonus Task: Retrain + Plot losses and accuracy: 0.0/1.0</t>
        </is>
      </c>
      <c r="AC305" t="n">
        <v>0</v>
      </c>
      <c r="AD305" t="inlineStr">
        <is>
          <t>The student's submission does not run correctly due to several issues. The dataset class is incorrectly implemented, leading to errors in loading images and masks. The model definition uses 'efficientnet-b0' instead of 'efficientnet-b1' as specified. The training and validation loops are present but will not run due to the dataset issues. The visualization of predictions is attempted but will fail because the model training did not complete successfully. Therefore, no points are awarded for any task as the code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05" t="n">
        <v>0</v>
      </c>
      <c r="AF305" t="n">
        <v>0</v>
      </c>
      <c r="AG305" t="inlineStr">
        <is>
          <t>No submission found.</t>
        </is>
      </c>
      <c r="AH305" t="n">
        <v>0</v>
      </c>
      <c r="AI305" t="n">
        <v>0</v>
      </c>
    </row>
    <row r="306">
      <c r="A306" t="n">
        <v>305</v>
      </c>
      <c r="B306" t="inlineStr">
        <is>
          <t>TA_6</t>
        </is>
      </c>
      <c r="C306" t="inlineStr">
        <is>
          <t>TA_16</t>
        </is>
      </c>
      <c r="D306" t="n">
        <v>4.5</v>
      </c>
      <c r="E306" t="n">
        <v>0</v>
      </c>
      <c r="F306" t="n">
        <v>5</v>
      </c>
      <c r="G306" t="n">
        <v>0</v>
      </c>
      <c r="H306" t="n">
        <v>1.5</v>
      </c>
      <c r="I306" t="n">
        <v>0</v>
      </c>
      <c r="J306" t="n">
        <v>5.5</v>
      </c>
      <c r="K306" t="n">
        <v>0</v>
      </c>
      <c r="L306" t="n">
        <v>5</v>
      </c>
      <c r="M306" t="n">
        <v>0</v>
      </c>
      <c r="N306" t="n">
        <v>0.5</v>
      </c>
      <c r="O306" t="n">
        <v>0</v>
      </c>
      <c r="P306">
        <f>Table1[[#This Row],[TA 1 - Q1 Score]]+Table1[[#This Row],[TA 1 - Q2 Score]]+Table1[[#This Row],[TA 1 - Q3 Score]]</f>
        <v/>
      </c>
      <c r="Q306">
        <f>Table1[[#This Row],[TA 1 - Q1 Bonus]]+Table1[[#This Row],[TA 1 - Q2 Bonus]]+Table1[[#This Row],[TA 1 - Q4 Bonus]]</f>
        <v/>
      </c>
      <c r="R306">
        <f>Table1[[#This Row],[TA 2 - Q1 Score]]+Table1[[#This Row],[TA 2 - Q2 Score]]+Table1[[#This Row],[TA 2 - Q3 Score]]</f>
        <v/>
      </c>
      <c r="S306">
        <f>Table1[[#This Row],[TA 2 - Q1 Bonus]]+Table1[[#This Row],[TA 2 - Q2 Bonus]]+Table1[[#This Row],[TA 2 - Q4 Bonus]]</f>
        <v/>
      </c>
      <c r="T306">
        <f>(Table1[[#This Row],[TA 1 - Total Score (out of 35)]]+Table1[[#This Row],[TA 2 - Total Score (out of 35)]])/2</f>
        <v/>
      </c>
      <c r="U306">
        <f>(Table1[[#This Row],[TA 1 - Total Bonus (out of 13)]]+Table1[[#This Row],[TA 2 - Total Bonus (out of 13)]])/2</f>
        <v/>
      </c>
      <c r="V306">
        <f>Table1[[#This Row],[Average Questions]]/35*20+Table1[[#This Row],[Average Bonus]]/13*5</f>
        <v/>
      </c>
      <c r="W306" t="n">
        <v>0</v>
      </c>
      <c r="X306" t="n">
        <v>0</v>
      </c>
      <c r="Y306" t="inlineStr">
        <is>
          <t>The student's submission does not run correctly due to several issues. The training and validation loops are incorrect because the model's output shape is not handled correctly, leading to shape mismatches. Additionally, the loss function used (BCEWithLogitsLoss) is inappropriate for a classification task with more than two classes. The student also did not implement the label fix for 0-indexed labels, which is a critical part of the task. Furthermore, the student did not attempt the bonus task.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06" t="n">
        <v>0</v>
      </c>
      <c r="AA306" t="n">
        <v>0</v>
      </c>
      <c r="AB306" t="inlineStr">
        <is>
          <t>The student's submission does not run correctly due to multiple issues. The dataset paths are incorrectly specified, leading to errors in loading the data. The CNN model does not follow the specified architecture, and the training and validation functions are incorrectly implemented.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06" t="n">
        <v>0</v>
      </c>
      <c r="AD306" t="inlineStr">
        <is>
          <t>The student's submission contains several critical errors and omissions that prevent the code from running correctly. The dataset class is incomplete and incorrectly implemented, leading to issues with data loading. The model definition uses the wrong encoder ('efficientnet-b0' instead of 'efficientnet-b1'), and the training and validation loops are incorrectly set up. Additionally, the loss function and optimizer are not correctly defined for the task, and there is no code for visualizing predictions. These issues result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06" t="n">
        <v>0</v>
      </c>
      <c r="AF306" t="n">
        <v>0</v>
      </c>
      <c r="AG306" t="inlineStr">
        <is>
          <t>No submission found.</t>
        </is>
      </c>
      <c r="AH306" t="n">
        <v>0</v>
      </c>
      <c r="AI306" t="n">
        <v>0</v>
      </c>
    </row>
    <row r="307">
      <c r="A307" t="n">
        <v>306</v>
      </c>
      <c r="B307" t="inlineStr">
        <is>
          <t>TA_6</t>
        </is>
      </c>
      <c r="C307" t="inlineStr">
        <is>
          <t>TA_16</t>
        </is>
      </c>
      <c r="D307" t="n">
        <v>5</v>
      </c>
      <c r="E307" t="n">
        <v>0</v>
      </c>
      <c r="F307" t="n">
        <v>8</v>
      </c>
      <c r="G307" t="n">
        <v>0</v>
      </c>
      <c r="H307" t="n">
        <v>9</v>
      </c>
      <c r="I307" t="n">
        <v>0</v>
      </c>
      <c r="J307" t="n">
        <v>5</v>
      </c>
      <c r="K307" t="n">
        <v>0</v>
      </c>
      <c r="L307" t="n">
        <v>9</v>
      </c>
      <c r="M307" t="n">
        <v>0</v>
      </c>
      <c r="N307" t="n">
        <v>8</v>
      </c>
      <c r="O307" t="n">
        <v>0</v>
      </c>
      <c r="P307">
        <f>Table1[[#This Row],[TA 1 - Q1 Score]]+Table1[[#This Row],[TA 1 - Q2 Score]]+Table1[[#This Row],[TA 1 - Q3 Score]]</f>
        <v/>
      </c>
      <c r="Q307">
        <f>Table1[[#This Row],[TA 1 - Q1 Bonus]]+Table1[[#This Row],[TA 1 - Q2 Bonus]]+Table1[[#This Row],[TA 1 - Q4 Bonus]]</f>
        <v/>
      </c>
      <c r="R307">
        <f>Table1[[#This Row],[TA 2 - Q1 Score]]+Table1[[#This Row],[TA 2 - Q2 Score]]+Table1[[#This Row],[TA 2 - Q3 Score]]</f>
        <v/>
      </c>
      <c r="S307">
        <f>Table1[[#This Row],[TA 2 - Q1 Bonus]]+Table1[[#This Row],[TA 2 - Q2 Bonus]]+Table1[[#This Row],[TA 2 - Q4 Bonus]]</f>
        <v/>
      </c>
      <c r="T307">
        <f>(Table1[[#This Row],[TA 1 - Total Score (out of 35)]]+Table1[[#This Row],[TA 2 - Total Score (out of 35)]])/2</f>
        <v/>
      </c>
      <c r="U307">
        <f>(Table1[[#This Row],[TA 1 - Total Bonus (out of 13)]]+Table1[[#This Row],[TA 2 - Total Bonus (out of 13)]])/2</f>
        <v/>
      </c>
      <c r="V307">
        <f>Table1[[#This Row],[Average Questions]]/35*20+Table1[[#This Row],[Average Bonus]]/13*5</f>
        <v/>
      </c>
      <c r="W307" t="n">
        <v>0</v>
      </c>
      <c r="X307" t="n">
        <v>0</v>
      </c>
      <c r="Y307" t="inlineStr">
        <is>
          <t>The student's submission contains multiple critical errors that prevent the code from running correctly. The transforms are incomplete, the DataLoaders are not correctly created, and the model is not properly adapted for the task. Additionally, the training and validation loops are incorrect, and the model is not trained correctly. The bonus task is also not attempted.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07" t="n">
        <v>0</v>
      </c>
      <c r="AA307" t="n">
        <v>0</v>
      </c>
      <c r="AB307" t="inlineStr">
        <is>
          <t>The student's submission does not run correctly due to several issues. The dataset class or ImageFolder is not correctly implemented, the transforms are incorrect, and the CNN model does not follow the specified architecture. Additionally, the training and validation functions are not correctly defined, and the training process does not set up the device, model, loss, and optimizer correctly. The bonus task is also not attempted.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07" t="n">
        <v>0</v>
      </c>
      <c r="AD307" t="inlineStr">
        <is>
          <t>The student's submission has several critical issues. The dataset class is incorrectly implemented, leading to a failure in loading the data correctly. The model definition uses 'efficientnet-b0' instead of 'efficientnet-b1', which is a deviation from the rubric. The training and validation loops are incomplete and contain logical errors. The loss and optimizer are not correctly defined, and the training process does not run as expected. Additionally, the visualization of predictions is flawed due to the incorrect model and data handling. Overall, the submission does not meet the requirements of the rubric and fails to run correctly.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307" t="n">
        <v>0</v>
      </c>
      <c r="AF307" t="n">
        <v>0</v>
      </c>
      <c r="AG307" t="inlineStr">
        <is>
          <t>No submission found.</t>
        </is>
      </c>
      <c r="AH307" t="n">
        <v>0</v>
      </c>
      <c r="AI307" t="n">
        <v>0</v>
      </c>
    </row>
    <row r="308">
      <c r="A308" t="n">
        <v>307</v>
      </c>
      <c r="B308" t="inlineStr">
        <is>
          <t>TA_6</t>
        </is>
      </c>
      <c r="C308" t="inlineStr">
        <is>
          <t>TA_16</t>
        </is>
      </c>
      <c r="D308" t="n">
        <v>6</v>
      </c>
      <c r="E308" t="n">
        <v>0</v>
      </c>
      <c r="F308" t="n">
        <v>9.25</v>
      </c>
      <c r="G308" t="n">
        <v>0</v>
      </c>
      <c r="H308" t="n">
        <v>7.5</v>
      </c>
      <c r="I308" t="n">
        <v>0</v>
      </c>
      <c r="J308" t="n">
        <v>6</v>
      </c>
      <c r="K308" t="n">
        <v>0</v>
      </c>
      <c r="L308" t="n">
        <v>8.75</v>
      </c>
      <c r="M308" t="n">
        <v>0</v>
      </c>
      <c r="N308" t="n">
        <v>8.5</v>
      </c>
      <c r="O308" t="n">
        <v>0</v>
      </c>
      <c r="P308">
        <f>Table1[[#This Row],[TA 1 - Q1 Score]]+Table1[[#This Row],[TA 1 - Q2 Score]]+Table1[[#This Row],[TA 1 - Q3 Score]]</f>
        <v/>
      </c>
      <c r="Q308">
        <f>Table1[[#This Row],[TA 1 - Q1 Bonus]]+Table1[[#This Row],[TA 1 - Q2 Bonus]]+Table1[[#This Row],[TA 1 - Q4 Bonus]]</f>
        <v/>
      </c>
      <c r="R308">
        <f>Table1[[#This Row],[TA 2 - Q1 Score]]+Table1[[#This Row],[TA 2 - Q2 Score]]+Table1[[#This Row],[TA 2 - Q3 Score]]</f>
        <v/>
      </c>
      <c r="S308">
        <f>Table1[[#This Row],[TA 2 - Q1 Bonus]]+Table1[[#This Row],[TA 2 - Q2 Bonus]]+Table1[[#This Row],[TA 2 - Q4 Bonus]]</f>
        <v/>
      </c>
      <c r="T308">
        <f>(Table1[[#This Row],[TA 1 - Total Score (out of 35)]]+Table1[[#This Row],[TA 2 - Total Score (out of 35)]])/2</f>
        <v/>
      </c>
      <c r="U308">
        <f>(Table1[[#This Row],[TA 1 - Total Bonus (out of 13)]]+Table1[[#This Row],[TA 2 - Total Bonus (out of 13)]])/2</f>
        <v/>
      </c>
      <c r="V308">
        <f>Table1[[#This Row],[Average Questions]]/35*20+Table1[[#This Row],[Average Bonus]]/13*5</f>
        <v/>
      </c>
      <c r="W308" t="n">
        <v>0</v>
      </c>
      <c r="X308" t="n">
        <v>0</v>
      </c>
      <c r="Y308" t="inlineStr">
        <is>
          <t>The student's submission does not run correctly due to several critical errors. The training and validation loops are incorrectly implemented, using sigmoid activation and binary classification loss, which is inappropriate for a multi-class classification problem. The model architecture is also incorrectly set up for binary classification instead of multi-class. Additionally, the student did not fix the labels to be 0-indexed, which is a requirement. The plotting tasks are also missing.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08" t="n">
        <v>0</v>
      </c>
      <c r="AA308" t="n">
        <v>0</v>
      </c>
      <c r="AB308" t="inlineStr">
        <is>
          <t>The student's submission does not run correctly due to multiple issues. The dataset class is incorrectly defined and does not follow the required structure. The transforms are applied incorrectly, and the model architecture deviates significantly from the required specifications. The training and validation functions are flawed, and the residual connection implementation is incorrect. Additionally, the student used a different dataset structure and did not follow the explicit instructions provided in the rubric.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308" t="n">
        <v>0</v>
      </c>
      <c r="AD308" t="inlineStr">
        <is>
          <t>The student's submission does not run correctly due to several issues. The dataset class is incorrectly defined, the model is not correctly instantiated with the required encoder, and the training and validation loops are flawed. Additionally, the loss function and optimizer are not correctly defined for the task. As a result, the code does not produce the correct output and deviates from the rubric, warranting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08" t="n">
        <v>0</v>
      </c>
      <c r="AF308" t="n">
        <v>0</v>
      </c>
      <c r="AG308" t="inlineStr">
        <is>
          <t>The student's implementation of the `ColorizationDataset` class contains several critical errors. The `__init__` method incorrectly attempts to collect image paths and labels, which is not necessary for the CIFAR-10 dataset. The `rgb_to_grayscale` method is incomplete and does not return the grayscale image. The `__getitem__` method incorrectly attempts to open images from paths, which is not the correct approach for the CIFAR-10 dataset. Additionally, the code does not correctly handle the conversion of images to grayscale and color formats. These issues prevent the code from running correctly, resulting in a score of 0.0 for the task.
Breakdown:
- Correctly implemented `ColorizationDataset` class: 0.0/5.0</t>
        </is>
      </c>
      <c r="AH308" t="n">
        <v>0</v>
      </c>
      <c r="AI308" t="n">
        <v>0</v>
      </c>
    </row>
    <row r="309">
      <c r="A309" t="n">
        <v>308</v>
      </c>
      <c r="B309" t="inlineStr">
        <is>
          <t>TA_6</t>
        </is>
      </c>
      <c r="C309" t="inlineStr">
        <is>
          <t>TA_16</t>
        </is>
      </c>
      <c r="D309" t="n">
        <v>10.5</v>
      </c>
      <c r="E309" t="n">
        <v>0</v>
      </c>
      <c r="F309" t="n">
        <v>10</v>
      </c>
      <c r="G309" t="n">
        <v>0</v>
      </c>
      <c r="H309" t="n">
        <v>0</v>
      </c>
      <c r="I309" t="n">
        <v>0</v>
      </c>
      <c r="J309" t="n">
        <v>10.5</v>
      </c>
      <c r="K309" t="n">
        <v>0</v>
      </c>
      <c r="L309" t="n">
        <v>12</v>
      </c>
      <c r="M309" t="n">
        <v>0</v>
      </c>
      <c r="N309" t="n">
        <v>0</v>
      </c>
      <c r="O309" t="n">
        <v>0</v>
      </c>
      <c r="P309">
        <f>Table1[[#This Row],[TA 1 - Q1 Score]]+Table1[[#This Row],[TA 1 - Q2 Score]]+Table1[[#This Row],[TA 1 - Q3 Score]]</f>
        <v/>
      </c>
      <c r="Q309">
        <f>Table1[[#This Row],[TA 1 - Q1 Bonus]]+Table1[[#This Row],[TA 1 - Q2 Bonus]]+Table1[[#This Row],[TA 1 - Q4 Bonus]]</f>
        <v/>
      </c>
      <c r="R309">
        <f>Table1[[#This Row],[TA 2 - Q1 Score]]+Table1[[#This Row],[TA 2 - Q2 Score]]+Table1[[#This Row],[TA 2 - Q3 Score]]</f>
        <v/>
      </c>
      <c r="S309">
        <f>Table1[[#This Row],[TA 2 - Q1 Bonus]]+Table1[[#This Row],[TA 2 - Q2 Bonus]]+Table1[[#This Row],[TA 2 - Q4 Bonus]]</f>
        <v/>
      </c>
      <c r="T309">
        <f>(Table1[[#This Row],[TA 1 - Total Score (out of 35)]]+Table1[[#This Row],[TA 2 - Total Score (out of 35)]])/2</f>
        <v/>
      </c>
      <c r="U309">
        <f>(Table1[[#This Row],[TA 1 - Total Bonus (out of 13)]]+Table1[[#This Row],[TA 2 - Total Bonus (out of 13)]])/2</f>
        <v/>
      </c>
      <c r="V309">
        <f>Table1[[#This Row],[Average Questions]]/35*20+Table1[[#This Row],[Average Bonus]]/13*5</f>
        <v/>
      </c>
      <c r="W309" t="n">
        <v>0</v>
      </c>
      <c r="X309" t="n">
        <v>0</v>
      </c>
      <c r="Y309" t="inlineStr">
        <is>
          <t>The student's submission does not run correctly due to several issues. The training and validation loops are incorrect because the model outputs are squeezed, which changes the shape of the output tensor. This causes the loss function to fail. Additionally, the student did not freeze the backbone of the model, which is a critical step in transfer learning. The student also did not implement the bonus task correctly. Therefore, the student receives 0 points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09" t="n">
        <v>0</v>
      </c>
      <c r="AA309" t="n">
        <v>0</v>
      </c>
      <c r="AB309" t="inlineStr">
        <is>
          <t>The student's submission does not run end-to-end due to missing code in critical sections. Specifically, the student did not implement the dataset class or ImageFolder, create train/test datasets and DataLoaders, define the CNN model class with 5 convolutional layers, or set up the training and validation functions. Additionally, the student did not include code for setting up the device, model, loss, optimizer, or training the model.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09" t="n">
        <v>0</v>
      </c>
      <c r="AD309" t="inlineStr">
        <is>
          <t>No submission found.</t>
        </is>
      </c>
      <c r="AE309" t="n">
        <v>0</v>
      </c>
      <c r="AF309" t="n">
        <v>0</v>
      </c>
      <c r="AG309" t="inlineStr">
        <is>
          <t>No submission found.</t>
        </is>
      </c>
      <c r="AH309" t="n">
        <v>0</v>
      </c>
      <c r="AI309" t="n">
        <v>0</v>
      </c>
    </row>
    <row r="310">
      <c r="A310" t="n">
        <v>309</v>
      </c>
      <c r="B310" t="inlineStr">
        <is>
          <t>TA_6</t>
        </is>
      </c>
      <c r="C310" t="inlineStr">
        <is>
          <t>TA_16</t>
        </is>
      </c>
      <c r="D310" t="n">
        <v>11</v>
      </c>
      <c r="E310" t="n">
        <v>0</v>
      </c>
      <c r="F310" t="n">
        <v>11</v>
      </c>
      <c r="G310" t="n">
        <v>0</v>
      </c>
      <c r="H310" t="n">
        <v>11</v>
      </c>
      <c r="I310" t="n">
        <v>0</v>
      </c>
      <c r="J310" t="n">
        <v>11</v>
      </c>
      <c r="K310" t="n">
        <v>0</v>
      </c>
      <c r="L310" t="n">
        <v>11</v>
      </c>
      <c r="M310" t="n">
        <v>0</v>
      </c>
      <c r="N310" t="n">
        <v>11</v>
      </c>
      <c r="O310" t="n">
        <v>0</v>
      </c>
      <c r="P310">
        <f>Table1[[#This Row],[TA 1 - Q1 Score]]+Table1[[#This Row],[TA 1 - Q2 Score]]+Table1[[#This Row],[TA 1 - Q3 Score]]</f>
        <v/>
      </c>
      <c r="Q310">
        <f>Table1[[#This Row],[TA 1 - Q1 Bonus]]+Table1[[#This Row],[TA 1 - Q2 Bonus]]+Table1[[#This Row],[TA 1 - Q4 Bonus]]</f>
        <v/>
      </c>
      <c r="R310">
        <f>Table1[[#This Row],[TA 2 - Q1 Score]]+Table1[[#This Row],[TA 2 - Q2 Score]]+Table1[[#This Row],[TA 2 - Q3 Score]]</f>
        <v/>
      </c>
      <c r="S310">
        <f>Table1[[#This Row],[TA 2 - Q1 Bonus]]+Table1[[#This Row],[TA 2 - Q2 Bonus]]+Table1[[#This Row],[TA 2 - Q4 Bonus]]</f>
        <v/>
      </c>
      <c r="T310">
        <f>(Table1[[#This Row],[TA 1 - Total Score (out of 35)]]+Table1[[#This Row],[TA 2 - Total Score (out of 35)]])/2</f>
        <v/>
      </c>
      <c r="U310">
        <f>(Table1[[#This Row],[TA 1 - Total Bonus (out of 13)]]+Table1[[#This Row],[TA 2 - Total Bonus (out of 13)]])/2</f>
        <v/>
      </c>
      <c r="V310">
        <f>Table1[[#This Row],[Average Questions]]/35*20+Table1[[#This Row],[Average Bonus]]/13*5</f>
        <v/>
      </c>
      <c r="W310" t="n">
        <v>0</v>
      </c>
      <c r="X310" t="n">
        <v>0</v>
      </c>
      <c r="Y310" t="inlineStr">
        <is>
          <t>The student's submission does not run end-to-end due to missing code in critical sections, such as the training and validation loops, and the plotting of training and validation losses and accuracies. Additionally, the student did not implement the bonus task for Test Time Augmentation.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10" t="n">
        <v>0</v>
      </c>
      <c r="AA310" t="n">
        <v>0</v>
      </c>
      <c r="AB310" t="inlineStr">
        <is>
          <t>The student's submission does not run correctly due to several issues. The dataset class is implemented incorrectly, leading to errors in loading the data. The transformations applied to the images do not match the required specifications, and the model architecture deviates from the rubric. Additionally, the training and validation functions are not correctly implemented, resulting in errors during the training process.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10" t="n">
        <v>0</v>
      </c>
      <c r="AD310" t="inlineStr">
        <is>
          <t>The student's submission does not run end-to-end due to multiple issues. The dataset class is incomplete and does not correctly load images and masks. The DataLoader creation is flawed, and the model definition uses the wrong encoder. The training and validation loops are not correctly implemented, and the loss and optimizer are not defined properly. Additionally, the visualization of predictions is incorrect. Therefore, no points are awarded for any task as the code does not run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10" t="n">
        <v>0</v>
      </c>
      <c r="AF310" t="n">
        <v>0</v>
      </c>
      <c r="AG310" t="inlineStr">
        <is>
          <t>No submission found.</t>
        </is>
      </c>
      <c r="AH310" t="n">
        <v>0</v>
      </c>
      <c r="AI310" t="n">
        <v>0</v>
      </c>
    </row>
    <row r="311">
      <c r="A311" t="n">
        <v>310</v>
      </c>
      <c r="B311" t="inlineStr">
        <is>
          <t>TA_6</t>
        </is>
      </c>
      <c r="C311" t="inlineStr">
        <is>
          <t>TA_16</t>
        </is>
      </c>
      <c r="D311" t="n">
        <v>4.5</v>
      </c>
      <c r="E311" t="n">
        <v>0</v>
      </c>
      <c r="F311" t="n">
        <v>8.5</v>
      </c>
      <c r="G311" t="n">
        <v>0</v>
      </c>
      <c r="H311" t="n">
        <v>10.25</v>
      </c>
      <c r="I311" t="n">
        <v>0</v>
      </c>
      <c r="J311" t="n">
        <v>5.5</v>
      </c>
      <c r="K311" t="n">
        <v>0</v>
      </c>
      <c r="L311" t="n">
        <v>8.5</v>
      </c>
      <c r="M311" t="n">
        <v>0</v>
      </c>
      <c r="N311" t="n">
        <v>9.75</v>
      </c>
      <c r="O311" t="n">
        <v>0</v>
      </c>
      <c r="P311">
        <f>Table1[[#This Row],[TA 1 - Q1 Score]]+Table1[[#This Row],[TA 1 - Q2 Score]]+Table1[[#This Row],[TA 1 - Q3 Score]]</f>
        <v/>
      </c>
      <c r="Q311">
        <f>Table1[[#This Row],[TA 1 - Q1 Bonus]]+Table1[[#This Row],[TA 1 - Q2 Bonus]]+Table1[[#This Row],[TA 1 - Q4 Bonus]]</f>
        <v/>
      </c>
      <c r="R311">
        <f>Table1[[#This Row],[TA 2 - Q1 Score]]+Table1[[#This Row],[TA 2 - Q2 Score]]+Table1[[#This Row],[TA 2 - Q3 Score]]</f>
        <v/>
      </c>
      <c r="S311">
        <f>Table1[[#This Row],[TA 2 - Q1 Bonus]]+Table1[[#This Row],[TA 2 - Q2 Bonus]]+Table1[[#This Row],[TA 2 - Q4 Bonus]]</f>
        <v/>
      </c>
      <c r="T311">
        <f>(Table1[[#This Row],[TA 1 - Total Score (out of 35)]]+Table1[[#This Row],[TA 2 - Total Score (out of 35)]])/2</f>
        <v/>
      </c>
      <c r="U311">
        <f>(Table1[[#This Row],[TA 1 - Total Bonus (out of 13)]]+Table1[[#This Row],[TA 2 - Total Bonus (out of 13)]])/2</f>
        <v/>
      </c>
      <c r="V311">
        <f>Table1[[#This Row],[Average Questions]]/35*20+Table1[[#This Row],[Average Bonus]]/13*5</f>
        <v/>
      </c>
      <c r="W311" t="n">
        <v>0</v>
      </c>
      <c r="X311" t="n">
        <v>0</v>
      </c>
      <c r="Y311" t="inlineStr">
        <is>
          <t>The student's submission does not run correctly due to several critical issues. The training and validation loops are incorrectly implemented, using sigmoid activation and binary classification logic instead of the required softmax and multi-class classification. The model architecture is also incorrectly modified, and the data loaders are not correctly set up. Additionally, the student did not implement the bonus task for Test Time Augmentation.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11" t="n">
        <v>0</v>
      </c>
      <c r="AA311" t="n">
        <v>0</v>
      </c>
      <c r="AB311" t="inlineStr">
        <is>
          <t>The student's submission does not run correctly due to several issues. The dataset class is incorrectly implemented, leading to errors in data loading. The CNN model does not include batch normalization as required. The training and validation functions have logical errors, and the training process does not set up the device, model, loss, and optimizer correctly.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11" t="n">
        <v>0</v>
      </c>
      <c r="AD311" t="inlineStr">
        <is>
          <t>The student's submission does not run correctly due to several issues. The dataset class is incorrectly implemented, leading to errors in data loading. The model definition uses the wrong encoder (efficientnet-b1 instead of efficientnet-b0), and the training loop does not correctly handle the data types for the masks. Additionally, the visualization of predictions is incorrect, as it does not properly handle the output of the model. These issues prevent the code from running end-to-end, resulting in a score of 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11" t="n">
        <v>0</v>
      </c>
      <c r="AF311" t="n">
        <v>0</v>
      </c>
      <c r="AG311" t="inlineStr">
        <is>
          <t>No submission found.</t>
        </is>
      </c>
      <c r="AH311" t="n">
        <v>0</v>
      </c>
      <c r="AI311" t="n">
        <v>0</v>
      </c>
    </row>
    <row r="312">
      <c r="A312" t="n">
        <v>311</v>
      </c>
      <c r="B312" t="inlineStr">
        <is>
          <t>TA_6</t>
        </is>
      </c>
      <c r="C312" t="inlineStr">
        <is>
          <t>TA_16</t>
        </is>
      </c>
      <c r="D312" t="n">
        <v>6.5</v>
      </c>
      <c r="E312" t="n">
        <v>0</v>
      </c>
      <c r="F312" t="n">
        <v>9.5</v>
      </c>
      <c r="G312" t="n">
        <v>0</v>
      </c>
      <c r="H312" t="n">
        <v>10</v>
      </c>
      <c r="I312" t="n">
        <v>0</v>
      </c>
      <c r="J312" t="n">
        <v>6.5</v>
      </c>
      <c r="K312" t="n">
        <v>0</v>
      </c>
      <c r="L312" t="n">
        <v>8.5</v>
      </c>
      <c r="M312" t="n">
        <v>0</v>
      </c>
      <c r="N312" t="n">
        <v>11</v>
      </c>
      <c r="O312" t="n">
        <v>0</v>
      </c>
      <c r="P312">
        <f>Table1[[#This Row],[TA 1 - Q1 Score]]+Table1[[#This Row],[TA 1 - Q2 Score]]+Table1[[#This Row],[TA 1 - Q3 Score]]</f>
        <v/>
      </c>
      <c r="Q312">
        <f>Table1[[#This Row],[TA 1 - Q1 Bonus]]+Table1[[#This Row],[TA 1 - Q2 Bonus]]+Table1[[#This Row],[TA 1 - Q4 Bonus]]</f>
        <v/>
      </c>
      <c r="R312">
        <f>Table1[[#This Row],[TA 2 - Q1 Score]]+Table1[[#This Row],[TA 2 - Q2 Score]]+Table1[[#This Row],[TA 2 - Q3 Score]]</f>
        <v/>
      </c>
      <c r="S312">
        <f>Table1[[#This Row],[TA 2 - Q1 Bonus]]+Table1[[#This Row],[TA 2 - Q2 Bonus]]+Table1[[#This Row],[TA 2 - Q4 Bonus]]</f>
        <v/>
      </c>
      <c r="T312">
        <f>(Table1[[#This Row],[TA 1 - Total Score (out of 35)]]+Table1[[#This Row],[TA 2 - Total Score (out of 35)]])/2</f>
        <v/>
      </c>
      <c r="U312">
        <f>(Table1[[#This Row],[TA 1 - Total Bonus (out of 13)]]+Table1[[#This Row],[TA 2 - Total Bonus (out of 13)]])/2</f>
        <v/>
      </c>
      <c r="V312">
        <f>Table1[[#This Row],[Average Questions]]/35*20+Table1[[#This Row],[Average Bonus]]/13*5</f>
        <v/>
      </c>
      <c r="W312" t="n">
        <v>0</v>
      </c>
      <c r="X312" t="n">
        <v>0</v>
      </c>
      <c r="Y312" t="inlineStr">
        <is>
          <t>The student's submission contains several critical errors that prevent the code from running correctly. The transforms are incomplete, the DataLoaders are incorrectly set up, and the model training and validation loops are flawed. Specifically, the training and validation loops use sigmoid activation and binary cross-entropy loss, which are inappropriate for a multi-class classification problem. Additionally, the student did not fix the labels to be 0-indexed, which is a requirement. The bonus task for Test Time Augmentation (TTA) is also incomplete and incorrect. Therefore, the student receives 0 points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12" t="n">
        <v>0</v>
      </c>
      <c r="AA312" t="n">
        <v>0</v>
      </c>
      <c r="AB312" t="inlineStr">
        <is>
          <t>The student's submission does not run correctly due to several issues. The dataset class or ImageFolder is incorrectly implemented, leading to errors in loading the data. The transforms applied do not match the required specifications, and the model architecture is incorrect, missing batch normalization layers. The training and validation functions are incomplete and contain logical errors. Additionally, the student did not attempt the bonus task. Therefore, the minimum defensible score for each task is 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12" t="n">
        <v>0</v>
      </c>
      <c r="AD312" t="inlineStr">
        <is>
          <t>The student's submission does not run correctly due to several issues. The dataset class is incorrectly implemented, leading to errors in data loading. The model definition uses 'efficientnet-b1' instead of 'efficientnet-b0' as specified. The training and validation loops are incorrectly implemented, leading to runtime errors. The loss and optimizer are defined but not used correctly in the training loop. The plotting of the loss curve and visualization of predictions are attempted but do not run due to the previous errors. Therefore, no points are awarded for any task as the code does not execute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12" t="n">
        <v>0</v>
      </c>
      <c r="AF312" t="n">
        <v>0</v>
      </c>
      <c r="AG312" t="inlineStr">
        <is>
          <t>No submission found.</t>
        </is>
      </c>
      <c r="AH312" t="n">
        <v>0</v>
      </c>
      <c r="AI312" t="n">
        <v>0</v>
      </c>
    </row>
    <row r="313">
      <c r="A313" t="n">
        <v>312</v>
      </c>
      <c r="B313" t="inlineStr">
        <is>
          <t>TA_6</t>
        </is>
      </c>
      <c r="C313" t="inlineStr">
        <is>
          <t>TA_16</t>
        </is>
      </c>
      <c r="D313" t="n">
        <v>11</v>
      </c>
      <c r="E313" t="n">
        <v>0</v>
      </c>
      <c r="F313" t="n">
        <v>11</v>
      </c>
      <c r="G313" t="n">
        <v>0</v>
      </c>
      <c r="H313" t="n">
        <v>12</v>
      </c>
      <c r="I313" t="n">
        <v>0</v>
      </c>
      <c r="J313" t="n">
        <v>11</v>
      </c>
      <c r="K313" t="n">
        <v>0</v>
      </c>
      <c r="L313" t="n">
        <v>11</v>
      </c>
      <c r="M313" t="n">
        <v>0</v>
      </c>
      <c r="N313" t="n">
        <v>12</v>
      </c>
      <c r="O313" t="n">
        <v>0</v>
      </c>
      <c r="P313">
        <f>Table1[[#This Row],[TA 1 - Q1 Score]]+Table1[[#This Row],[TA 1 - Q2 Score]]+Table1[[#This Row],[TA 1 - Q3 Score]]</f>
        <v/>
      </c>
      <c r="Q313">
        <f>Table1[[#This Row],[TA 1 - Q1 Bonus]]+Table1[[#This Row],[TA 1 - Q2 Bonus]]+Table1[[#This Row],[TA 1 - Q4 Bonus]]</f>
        <v/>
      </c>
      <c r="R313">
        <f>Table1[[#This Row],[TA 2 - Q1 Score]]+Table1[[#This Row],[TA 2 - Q2 Score]]+Table1[[#This Row],[TA 2 - Q3 Score]]</f>
        <v/>
      </c>
      <c r="S313">
        <f>Table1[[#This Row],[TA 2 - Q1 Bonus]]+Table1[[#This Row],[TA 2 - Q2 Bonus]]+Table1[[#This Row],[TA 2 - Q4 Bonus]]</f>
        <v/>
      </c>
      <c r="T313">
        <f>(Table1[[#This Row],[TA 1 - Total Score (out of 35)]]+Table1[[#This Row],[TA 2 - Total Score (out of 35)]])/2</f>
        <v/>
      </c>
      <c r="U313">
        <f>(Table1[[#This Row],[TA 1 - Total Bonus (out of 13)]]+Table1[[#This Row],[TA 2 - Total Bonus (out of 13)]])/2</f>
        <v/>
      </c>
      <c r="V313">
        <f>Table1[[#This Row],[Average Questions]]/35*20+Table1[[#This Row],[Average Bonus]]/13*5</f>
        <v/>
      </c>
      <c r="W313" t="n">
        <v>0</v>
      </c>
      <c r="X313" t="n">
        <v>0</v>
      </c>
      <c r="Y313" t="inlineStr">
        <is>
          <t>The student's submission does not run end-to-end due to missing code in critical sections, such as the training and validation loops, and the plotting of training and validation metrics. Additionally, the student did not implement the bonus task for Test Time Augmentation.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13" t="n">
        <v>0</v>
      </c>
      <c r="AA313" t="n">
        <v>0</v>
      </c>
      <c r="AB313" t="inlineStr">
        <is>
          <t>The student's submission does not run correctly due to several issues. The dataset paths are incorrect, leading to errors in loading the data. The model architecture deviates significantly from the required specifications, including the number of convolutional layers and the use of incorrect kernel sizes and strides. The training and validation functions are incorrectly implemented, leading to errors in the training process.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13" t="n">
        <v>0</v>
      </c>
      <c r="AD313" t="inlineStr">
        <is>
          <t>The student's submission does not run end-to-end due to missing normalization in the image transforms, which causes the model to produce incorrect outputs. Additionally, the student did not follow the rubric's instructions to use efficientnet-b1 as the encoder, instead using efficientnet-b0. These issues result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13" t="n">
        <v>0</v>
      </c>
      <c r="AF313" t="n">
        <v>0</v>
      </c>
      <c r="AG313" t="inlineStr">
        <is>
          <t>No submission found.</t>
        </is>
      </c>
      <c r="AH313" t="n">
        <v>0</v>
      </c>
      <c r="AI313" t="n">
        <v>0</v>
      </c>
    </row>
    <row r="314">
      <c r="A314" t="n">
        <v>313</v>
      </c>
      <c r="B314" t="inlineStr">
        <is>
          <t>TA_6</t>
        </is>
      </c>
      <c r="C314" t="inlineStr">
        <is>
          <t>TA_16</t>
        </is>
      </c>
      <c r="D314" t="n">
        <v>12</v>
      </c>
      <c r="E314" t="n">
        <v>2.5</v>
      </c>
      <c r="F314" t="n">
        <v>11</v>
      </c>
      <c r="G314" t="n">
        <v>1</v>
      </c>
      <c r="H314" t="n">
        <v>12</v>
      </c>
      <c r="I314" t="n">
        <v>0</v>
      </c>
      <c r="J314" t="n">
        <v>12</v>
      </c>
      <c r="K314" t="n">
        <v>2.5</v>
      </c>
      <c r="L314" t="n">
        <v>11</v>
      </c>
      <c r="M314" t="n">
        <v>1</v>
      </c>
      <c r="N314" t="n">
        <v>12</v>
      </c>
      <c r="O314" t="n">
        <v>0</v>
      </c>
      <c r="P314">
        <f>Table1[[#This Row],[TA 1 - Q1 Score]]+Table1[[#This Row],[TA 1 - Q2 Score]]+Table1[[#This Row],[TA 1 - Q3 Score]]</f>
        <v/>
      </c>
      <c r="Q314">
        <f>Table1[[#This Row],[TA 1 - Q1 Bonus]]+Table1[[#This Row],[TA 1 - Q2 Bonus]]+Table1[[#This Row],[TA 1 - Q4 Bonus]]</f>
        <v/>
      </c>
      <c r="R314">
        <f>Table1[[#This Row],[TA 2 - Q1 Score]]+Table1[[#This Row],[TA 2 - Q2 Score]]+Table1[[#This Row],[TA 2 - Q3 Score]]</f>
        <v/>
      </c>
      <c r="S314">
        <f>Table1[[#This Row],[TA 2 - Q1 Bonus]]+Table1[[#This Row],[TA 2 - Q2 Bonus]]+Table1[[#This Row],[TA 2 - Q4 Bonus]]</f>
        <v/>
      </c>
      <c r="T314">
        <f>(Table1[[#This Row],[TA 1 - Total Score (out of 35)]]+Table1[[#This Row],[TA 2 - Total Score (out of 35)]])/2</f>
        <v/>
      </c>
      <c r="U314">
        <f>(Table1[[#This Row],[TA 1 - Total Bonus (out of 13)]]+Table1[[#This Row],[TA 2 - Total Bonus (out of 13)]])/2</f>
        <v/>
      </c>
      <c r="V314">
        <f>Table1[[#This Row],[Average Questions]]/35*20+Table1[[#This Row],[Average Bonus]]/13*5</f>
        <v/>
      </c>
      <c r="W314" t="n">
        <v>0</v>
      </c>
      <c r="X314" t="n">
        <v>0</v>
      </c>
      <c r="Y314" t="inlineStr">
        <is>
          <t>The student's submission does not run correctly due to multiple issues. The transforms are not correctly applied, the DataLoaders are not created properly, and the model training and validation loops contain errors. Additionally, the student did not fix the labels to be 0-indexed, which is a critical requirement. The bonus task for Test Time Augmentation (TTA) is also incomplete and incorrect. Therefore, the student receives 0 points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14" t="n">
        <v>0</v>
      </c>
      <c r="AA314" t="n">
        <v>0</v>
      </c>
      <c r="AB314" t="inlineStr">
        <is>
          <t>The student's submission does not follow the rubric correctly. The dataset class or ImageFolder is not correctly implemented, the transforms do not match the required specifications, and the CNN model does not have the correct number of convolutional layers or batch normalization. The training and validation functions are incorrectly implemented, and the training process does not follow the required steps. Additionally, the bonus task for residual connection is not attempted correctly. Therefore, the student receives 0 points for all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314" t="n">
        <v>0</v>
      </c>
      <c r="AD314" t="inlineStr">
        <is>
          <t>The student's submission does not run end-to-end due to missing or incorrect code in several critical areas. The dataset class is incomplete and does not correctly load images and masks. The DataLoaders are not correctly defined, and the display of sample images and masks is missing. The model definition uses the wrong encoder (efficientnet-b1 instead of efficientnet-b0), and the training and validation loops are not correctly implemented. The loss and optimizer are defined but not used correctly in the training loop. The plotting of the loss curve and visualization of predictions are also missing or incorrect. Therefore, the student receives 0 points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14" t="n">
        <v>0</v>
      </c>
      <c r="AF314" t="n">
        <v>0</v>
      </c>
      <c r="AG314" t="inlineStr">
        <is>
          <t>No submission found.</t>
        </is>
      </c>
      <c r="AH314" t="n">
        <v>0</v>
      </c>
      <c r="AI314" t="n">
        <v>0</v>
      </c>
    </row>
    <row r="315">
      <c r="A315" t="n">
        <v>314</v>
      </c>
      <c r="B315" t="inlineStr">
        <is>
          <t>TA_6</t>
        </is>
      </c>
      <c r="C315" t="inlineStr">
        <is>
          <t>TA_16</t>
        </is>
      </c>
      <c r="D315" t="n">
        <v>4</v>
      </c>
      <c r="E315" t="n">
        <v>0</v>
      </c>
      <c r="F315" t="n">
        <v>7</v>
      </c>
      <c r="G315" t="n">
        <v>0</v>
      </c>
      <c r="H315" t="n">
        <v>0</v>
      </c>
      <c r="I315" t="n">
        <v>0</v>
      </c>
      <c r="J315" t="n">
        <v>2</v>
      </c>
      <c r="K315" t="n">
        <v>0</v>
      </c>
      <c r="L315" t="n">
        <v>7</v>
      </c>
      <c r="M315" t="n">
        <v>0</v>
      </c>
      <c r="N315" t="n">
        <v>0</v>
      </c>
      <c r="O315" t="n">
        <v>0</v>
      </c>
      <c r="P315">
        <f>Table1[[#This Row],[TA 1 - Q1 Score]]+Table1[[#This Row],[TA 1 - Q2 Score]]+Table1[[#This Row],[TA 1 - Q3 Score]]</f>
        <v/>
      </c>
      <c r="Q315">
        <f>Table1[[#This Row],[TA 1 - Q1 Bonus]]+Table1[[#This Row],[TA 1 - Q2 Bonus]]+Table1[[#This Row],[TA 1 - Q4 Bonus]]</f>
        <v/>
      </c>
      <c r="R315">
        <f>Table1[[#This Row],[TA 2 - Q1 Score]]+Table1[[#This Row],[TA 2 - Q2 Score]]+Table1[[#This Row],[TA 2 - Q3 Score]]</f>
        <v/>
      </c>
      <c r="S315">
        <f>Table1[[#This Row],[TA 2 - Q1 Bonus]]+Table1[[#This Row],[TA 2 - Q2 Bonus]]+Table1[[#This Row],[TA 2 - Q4 Bonus]]</f>
        <v/>
      </c>
      <c r="T315">
        <f>(Table1[[#This Row],[TA 1 - Total Score (out of 35)]]+Table1[[#This Row],[TA 2 - Total Score (out of 35)]])/2</f>
        <v/>
      </c>
      <c r="U315">
        <f>(Table1[[#This Row],[TA 1 - Total Bonus (out of 13)]]+Table1[[#This Row],[TA 2 - Total Bonus (out of 13)]])/2</f>
        <v/>
      </c>
      <c r="V315">
        <f>Table1[[#This Row],[Average Questions]]/35*20+Table1[[#This Row],[Average Bonus]]/13*5</f>
        <v/>
      </c>
      <c r="W315" t="n">
        <v>0</v>
      </c>
      <c r="X315" t="n">
        <v>0</v>
      </c>
      <c r="Y315" t="inlineStr">
        <is>
          <t>The student's submission does not run correctly due to multiple issues. The transforms are incorrectly applied, the model is not correctly loaded or adapted, and the training and validation loops are flawed. The student did not fix the labels, which is a critical requirement. Additionally, the student did not implement the bonus task correctly.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15" t="n">
        <v>0</v>
      </c>
      <c r="AA315" t="n">
        <v>0</v>
      </c>
      <c r="AB315" t="inlineStr">
        <is>
          <t>The student's submission does not run correctly due to several issues. The dataset class or ImageFolder is not correctly implemented, the transforms do not match the rubric, and the CNN model does not have the required 5 convolutional layers. Additionally, the training and validation functions are incorrect, and the model training setup is flawed. The bonus task is also not attempted. Therefore, the minimum defensible score for each task is 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15" t="n">
        <v>0</v>
      </c>
      <c r="AD315" t="inlineStr">
        <is>
          <t>The student's submission does not run end-to-end due to several critical issues. The dataset class is incorrectly implemented, using a CSV file that is not provided or mentioned in the instructions. The model definition uses 'efficientnet-b1' instead of 'efficientnet-b0' as specified. The training and validation loops are incorrectly implemented for multi-class segmentation, using binary segmentation loss and thresholds. Additionally, the visualization code does not correctly display the predictions. These issues prevent the code from running correctly, resulting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15" t="n">
        <v>0</v>
      </c>
      <c r="AF315" t="n">
        <v>0</v>
      </c>
      <c r="AG315" t="inlineStr">
        <is>
          <t>No submission found.</t>
        </is>
      </c>
      <c r="AH315" t="n">
        <v>0</v>
      </c>
      <c r="AI315" t="n">
        <v>0</v>
      </c>
    </row>
    <row r="316">
      <c r="A316" t="n">
        <v>315</v>
      </c>
      <c r="B316" t="inlineStr">
        <is>
          <t>TA_6</t>
        </is>
      </c>
      <c r="C316" t="inlineStr">
        <is>
          <t>TA_16</t>
        </is>
      </c>
      <c r="D316" t="n">
        <v>7.5</v>
      </c>
      <c r="E316" t="n">
        <v>0</v>
      </c>
      <c r="F316" t="n">
        <v>11</v>
      </c>
      <c r="G316" t="n">
        <v>0</v>
      </c>
      <c r="H316" t="n">
        <v>8.5</v>
      </c>
      <c r="I316" t="n">
        <v>0</v>
      </c>
      <c r="J316" t="n">
        <v>7.5</v>
      </c>
      <c r="K316" t="n">
        <v>0</v>
      </c>
      <c r="L316" t="n">
        <v>11</v>
      </c>
      <c r="M316" t="n">
        <v>0</v>
      </c>
      <c r="N316" t="n">
        <v>8.5</v>
      </c>
      <c r="O316" t="n">
        <v>0</v>
      </c>
      <c r="P316">
        <f>Table1[[#This Row],[TA 1 - Q1 Score]]+Table1[[#This Row],[TA 1 - Q2 Score]]+Table1[[#This Row],[TA 1 - Q3 Score]]</f>
        <v/>
      </c>
      <c r="Q316">
        <f>Table1[[#This Row],[TA 1 - Q1 Bonus]]+Table1[[#This Row],[TA 1 - Q2 Bonus]]+Table1[[#This Row],[TA 1 - Q4 Bonus]]</f>
        <v/>
      </c>
      <c r="R316">
        <f>Table1[[#This Row],[TA 2 - Q1 Score]]+Table1[[#This Row],[TA 2 - Q2 Score]]+Table1[[#This Row],[TA 2 - Q3 Score]]</f>
        <v/>
      </c>
      <c r="S316">
        <f>Table1[[#This Row],[TA 2 - Q1 Bonus]]+Table1[[#This Row],[TA 2 - Q2 Bonus]]+Table1[[#This Row],[TA 2 - Q4 Bonus]]</f>
        <v/>
      </c>
      <c r="T316">
        <f>(Table1[[#This Row],[TA 1 - Total Score (out of 35)]]+Table1[[#This Row],[TA 2 - Total Score (out of 35)]])/2</f>
        <v/>
      </c>
      <c r="U316">
        <f>(Table1[[#This Row],[TA 1 - Total Bonus (out of 13)]]+Table1[[#This Row],[TA 2 - Total Bonus (out of 13)]])/2</f>
        <v/>
      </c>
      <c r="V316">
        <f>Table1[[#This Row],[Average Questions]]/35*20+Table1[[#This Row],[Average Bonus]]/13*5</f>
        <v/>
      </c>
      <c r="W316" t="n">
        <v>0</v>
      </c>
      <c r="X316" t="n">
        <v>0</v>
      </c>
      <c r="Y316" t="inlineStr">
        <is>
          <t>The student's submission does not run correctly due to several issues. The transforms are incomplete, the DataLoaders are incorrectly named, and the model setup is flawed. The training and validation loops are incorrect, and the label fixing is not implemented. Additionally, the plots for training and validation losses and accuracies are missing. The bonus task for Test Time Augmentation is not attempted.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16" t="n">
        <v>0</v>
      </c>
      <c r="AA316" t="n">
        <v>0</v>
      </c>
      <c r="AB316" t="inlineStr">
        <is>
          <t>The student's submission does not run correctly due to several issues. The model definition is incorrect as it does not have 5 convolutional layers. The training and validation functions are incorrect as they use softmax which is not needed for CrossEntropyLoss. The plotting functions are also incorrect as they do not plot the losses and accuracies correctly. Additionally, the student did not attempt the bonus task.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16" t="n">
        <v>0</v>
      </c>
      <c r="AD316" t="inlineStr">
        <is>
          <t>The student's submission does not run end-to-end due to multiple issues. The dataset class is incomplete and contains errors, such as incorrect mask conversion and missing image paths sorting. The DataLoader creation is flawed, leading to incorrect dataset splits. The model definition uses the wrong encoder ('efficientnet-b0' instead of 'efficientnet-b1'). The training and validation loops have logical errors, and the loss function is incorrectly defined. Additionally, the visualization of predictions is incorrect due to improper handling of the model's output. These issues prevent the code from running correctly, resulting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16" t="n">
        <v>0</v>
      </c>
      <c r="AF316" t="n">
        <v>0</v>
      </c>
      <c r="AG316" t="inlineStr">
        <is>
          <t>No submission found.</t>
        </is>
      </c>
      <c r="AH316" t="n">
        <v>0</v>
      </c>
      <c r="AI316" t="n">
        <v>0</v>
      </c>
    </row>
    <row r="317">
      <c r="A317" t="n">
        <v>316</v>
      </c>
      <c r="B317" t="inlineStr">
        <is>
          <t>TA_6</t>
        </is>
      </c>
      <c r="C317" t="inlineStr">
        <is>
          <t>TA_16</t>
        </is>
      </c>
      <c r="D317" t="n">
        <v>12</v>
      </c>
      <c r="E317" t="n">
        <v>0</v>
      </c>
      <c r="F317" t="n">
        <v>11</v>
      </c>
      <c r="G317" t="n">
        <v>4</v>
      </c>
      <c r="H317" t="n">
        <v>12</v>
      </c>
      <c r="I317" t="n">
        <v>0</v>
      </c>
      <c r="J317" t="n">
        <v>12</v>
      </c>
      <c r="K317" t="n">
        <v>0</v>
      </c>
      <c r="L317" t="n">
        <v>11</v>
      </c>
      <c r="M317" t="n">
        <v>4</v>
      </c>
      <c r="N317" t="n">
        <v>12</v>
      </c>
      <c r="O317" t="n">
        <v>0</v>
      </c>
      <c r="P317">
        <f>Table1[[#This Row],[TA 1 - Q1 Score]]+Table1[[#This Row],[TA 1 - Q2 Score]]+Table1[[#This Row],[TA 1 - Q3 Score]]</f>
        <v/>
      </c>
      <c r="Q317">
        <f>Table1[[#This Row],[TA 1 - Q1 Bonus]]+Table1[[#This Row],[TA 1 - Q2 Bonus]]+Table1[[#This Row],[TA 1 - Q4 Bonus]]</f>
        <v/>
      </c>
      <c r="R317">
        <f>Table1[[#This Row],[TA 2 - Q1 Score]]+Table1[[#This Row],[TA 2 - Q2 Score]]+Table1[[#This Row],[TA 2 - Q3 Score]]</f>
        <v/>
      </c>
      <c r="S317">
        <f>Table1[[#This Row],[TA 2 - Q1 Bonus]]+Table1[[#This Row],[TA 2 - Q2 Bonus]]+Table1[[#This Row],[TA 2 - Q4 Bonus]]</f>
        <v/>
      </c>
      <c r="T317">
        <f>(Table1[[#This Row],[TA 1 - Total Score (out of 35)]]+Table1[[#This Row],[TA 2 - Total Score (out of 35)]])/2</f>
        <v/>
      </c>
      <c r="U317">
        <f>(Table1[[#This Row],[TA 1 - Total Bonus (out of 13)]]+Table1[[#This Row],[TA 2 - Total Bonus (out of 13)]])/2</f>
        <v/>
      </c>
      <c r="V317">
        <f>Table1[[#This Row],[Average Questions]]/35*20+Table1[[#This Row],[Average Bonus]]/13*5</f>
        <v/>
      </c>
      <c r="W317" t="n">
        <v>10</v>
      </c>
      <c r="X317" t="n">
        <v>0</v>
      </c>
      <c r="Y317" t="inlineStr">
        <is>
          <t>The student successfully completed all base tasks with correct implementations. The transforms, DataLoaders, and image display were correctly implemented. The pretrained model was loaded, the backbone was frozen, and the classifier head was replaced correctly. The training and validation loops were defined correctly, and the labels were fixed as required. The model was set up, trained, and the losses and accuracies were plotted correctly. However, the bonus task for Test Time Augmentation was not attempted, resulting in a score of 0 for both sub-tasks.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0.0/?
- Averaged predictions correctly: 0.0/?</t>
        </is>
      </c>
      <c r="Z317" t="n">
        <v>0</v>
      </c>
      <c r="AA317" t="n">
        <v>0</v>
      </c>
      <c r="AB317" t="inlineStr">
        <is>
          <t>The student's submission does not run correctly due to several issues. The model architecture is incorrect, leading to shape mismatches in the forward pass. The residual connection implementation is flawed, causing the model to fail during training. Additionally, the student did not follow the rubric's instructions for resizing images to 32x32, which is a critical requirement. Therefore, the student receives 0 points for all tasks as the code does not run correctly and deviates from the rubric.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17" t="n">
        <v>0</v>
      </c>
      <c r="AD317" t="inlineStr">
        <is>
          <t>The student's submission does not run correctly due to multiple issues. The dataset class is incomplete and contains errors, leading to failures in data loading and preprocessing. The model definition uses 'efficientnet-b0' instead of 'efficientnet-b1', which is a deviation from the rubric. The training and validation loops are present but do not run correctly due to the issues in data loading. The loss and optimizer are defined correctly, but the training process fails to complete due to the earlier issues. The visualization of predictions is attempted but fails due to the incomplete data loading process.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17" t="n">
        <v>0</v>
      </c>
      <c r="AF317" t="n">
        <v>0</v>
      </c>
      <c r="AG317" t="inlineStr">
        <is>
          <t>No submission found.</t>
        </is>
      </c>
      <c r="AH317" t="n">
        <v>10</v>
      </c>
      <c r="AI317" t="n">
        <v>0</v>
      </c>
    </row>
    <row r="318">
      <c r="A318" t="n">
        <v>317</v>
      </c>
      <c r="B318" t="inlineStr">
        <is>
          <t>TA_6</t>
        </is>
      </c>
      <c r="C318" t="inlineStr">
        <is>
          <t>TA_16</t>
        </is>
      </c>
      <c r="D318" t="n">
        <v>12</v>
      </c>
      <c r="E318" t="n">
        <v>0</v>
      </c>
      <c r="F318" t="n">
        <v>11</v>
      </c>
      <c r="G318" t="n">
        <v>0</v>
      </c>
      <c r="H318" t="n">
        <v>11.5</v>
      </c>
      <c r="I318" t="n">
        <v>0</v>
      </c>
      <c r="J318" t="n">
        <v>12</v>
      </c>
      <c r="K318" t="n">
        <v>0</v>
      </c>
      <c r="L318" t="n">
        <v>11</v>
      </c>
      <c r="M318" t="n">
        <v>0</v>
      </c>
      <c r="N318" t="n">
        <v>11.5</v>
      </c>
      <c r="O318" t="n">
        <v>0</v>
      </c>
      <c r="P318">
        <f>Table1[[#This Row],[TA 1 - Q1 Score]]+Table1[[#This Row],[TA 1 - Q2 Score]]+Table1[[#This Row],[TA 1 - Q3 Score]]</f>
        <v/>
      </c>
      <c r="Q318">
        <f>Table1[[#This Row],[TA 1 - Q1 Bonus]]+Table1[[#This Row],[TA 1 - Q2 Bonus]]+Table1[[#This Row],[TA 1 - Q4 Bonus]]</f>
        <v/>
      </c>
      <c r="R318">
        <f>Table1[[#This Row],[TA 2 - Q1 Score]]+Table1[[#This Row],[TA 2 - Q2 Score]]+Table1[[#This Row],[TA 2 - Q3 Score]]</f>
        <v/>
      </c>
      <c r="S318">
        <f>Table1[[#This Row],[TA 2 - Q1 Bonus]]+Table1[[#This Row],[TA 2 - Q2 Bonus]]+Table1[[#This Row],[TA 2 - Q4 Bonus]]</f>
        <v/>
      </c>
      <c r="T318">
        <f>(Table1[[#This Row],[TA 1 - Total Score (out of 35)]]+Table1[[#This Row],[TA 2 - Total Score (out of 35)]])/2</f>
        <v/>
      </c>
      <c r="U318">
        <f>(Table1[[#This Row],[TA 1 - Total Bonus (out of 13)]]+Table1[[#This Row],[TA 2 - Total Bonus (out of 13)]])/2</f>
        <v/>
      </c>
      <c r="V318">
        <f>Table1[[#This Row],[Average Questions]]/35*20+Table1[[#This Row],[Average Bonus]]/13*5</f>
        <v/>
      </c>
      <c r="W318" t="n">
        <v>0</v>
      </c>
      <c r="X318" t="n">
        <v>0</v>
      </c>
      <c r="Y318" t="inlineStr">
        <is>
          <t>The student's submission does not run correctly due to several issues. The transforms include an incorrect custom module that subtracts one from the image tensor, which is not part of the required transforms. The DataLoader creation and image display tasks are incomplete and do not follow the required structure. The model loading and adaptation tasks are incorrectly implemented, with the backbone not being properly frozen and the classifier head not being replaced correctly. The training and validation loops contain errors, and the label fixing is not implemented correctly. The training setup and plotting tasks are incomplete. The bonus task for Test Time Augmentation is not attempted. Therefore, the student receives 0 points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18" t="n">
        <v>0</v>
      </c>
      <c r="AA318" t="n">
        <v>0</v>
      </c>
      <c r="AB318" t="inlineStr">
        <is>
          <t>The student's submission does not run correctly due to several issues. The dataset class or ImageFolder is not correctly implemented, the transforms do not match the required specifications, and the CNN model does not have the correct number of convolutional layers. Additionally, the training and validation functions are incorrect, and the model training setup is flawed. The bonus task is also not attempted.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18" t="n">
        <v>0</v>
      </c>
      <c r="AD318" t="inlineStr">
        <is>
          <t>The student's submission does not run end-to-end due to several issues. The dataset class is incorrectly implemented, leading to errors in data loading. The training and validation loops are defined but do not run correctly due to issues in the dataset class. The visualization of predictions is attempted but fails because the model training did not complete successfully. The student's code does not follow the optimal logic and contains syntax errors, leading to a complete failure in running the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18" t="n">
        <v>0</v>
      </c>
      <c r="AF318" t="n">
        <v>0</v>
      </c>
      <c r="AG318" t="inlineStr">
        <is>
          <t>No submission found.</t>
        </is>
      </c>
      <c r="AH318" t="n">
        <v>0</v>
      </c>
      <c r="AI318" t="n">
        <v>0</v>
      </c>
    </row>
    <row r="319">
      <c r="A319" t="n">
        <v>318</v>
      </c>
      <c r="B319" t="inlineStr">
        <is>
          <t>TA_6</t>
        </is>
      </c>
      <c r="C319" t="inlineStr">
        <is>
          <t>TA_16</t>
        </is>
      </c>
      <c r="D319" t="n">
        <v>12</v>
      </c>
      <c r="E319" t="n">
        <v>0</v>
      </c>
      <c r="F319" t="n">
        <v>10</v>
      </c>
      <c r="G319" t="n">
        <v>0</v>
      </c>
      <c r="H319" t="n">
        <v>10</v>
      </c>
      <c r="I319" t="n">
        <v>0</v>
      </c>
      <c r="J319" t="n">
        <v>12</v>
      </c>
      <c r="K319" t="n">
        <v>0</v>
      </c>
      <c r="L319" t="n">
        <v>10</v>
      </c>
      <c r="M319" t="n">
        <v>0</v>
      </c>
      <c r="N319" t="n">
        <v>10</v>
      </c>
      <c r="O319" t="n">
        <v>0</v>
      </c>
      <c r="P319">
        <f>Table1[[#This Row],[TA 1 - Q1 Score]]+Table1[[#This Row],[TA 1 - Q2 Score]]+Table1[[#This Row],[TA 1 - Q3 Score]]</f>
        <v/>
      </c>
      <c r="Q319">
        <f>Table1[[#This Row],[TA 1 - Q1 Bonus]]+Table1[[#This Row],[TA 1 - Q2 Bonus]]+Table1[[#This Row],[TA 1 - Q4 Bonus]]</f>
        <v/>
      </c>
      <c r="R319">
        <f>Table1[[#This Row],[TA 2 - Q1 Score]]+Table1[[#This Row],[TA 2 - Q2 Score]]+Table1[[#This Row],[TA 2 - Q3 Score]]</f>
        <v/>
      </c>
      <c r="S319">
        <f>Table1[[#This Row],[TA 2 - Q1 Bonus]]+Table1[[#This Row],[TA 2 - Q2 Bonus]]+Table1[[#This Row],[TA 2 - Q4 Bonus]]</f>
        <v/>
      </c>
      <c r="T319">
        <f>(Table1[[#This Row],[TA 1 - Total Score (out of 35)]]+Table1[[#This Row],[TA 2 - Total Score (out of 35)]])/2</f>
        <v/>
      </c>
      <c r="U319">
        <f>(Table1[[#This Row],[TA 1 - Total Bonus (out of 13)]]+Table1[[#This Row],[TA 2 - Total Bonus (out of 13)]])/2</f>
        <v/>
      </c>
      <c r="V319">
        <f>Table1[[#This Row],[Average Questions]]/35*20+Table1[[#This Row],[Average Bonus]]/13*5</f>
        <v/>
      </c>
      <c r="W319" t="n">
        <v>0</v>
      </c>
      <c r="X319" t="n">
        <v>0</v>
      </c>
      <c r="Y319" t="inlineStr">
        <is>
          <t>The student's submission does not run correctly due to several issues. The transforms are incomplete, the DataLoaders are not correctly created, and the model setup is incorrect. The training and validation loops have logical errors, and the plots are not generated correctly. Additionally, the bonus task for Test Time Augmentation is not attempted.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19" t="n">
        <v>0</v>
      </c>
      <c r="AA319" t="n">
        <v>0</v>
      </c>
      <c r="AB319" t="inlineStr">
        <is>
          <t>The student's submission does not run correctly due to several issues. The dataset class or ImageFolder is incorrectly implemented, leading to errors in loading the data. The transforms applied do not match the required specifications, and the model definition deviates from the rubric. The training and validation functions are incorrectly implemented, and the training process does not follow the specified steps.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19" t="n">
        <v>0</v>
      </c>
      <c r="AD319" t="inlineStr">
        <is>
          <t>The student's submission does not run end-to-end due to several issues. The dataset paths are incorrect, leading to errors in loading the data. Additionally, the model definition and training loops contain errors that prevent the code from executing correctly. Since the code does not run, no partial credit can be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19" t="n">
        <v>0</v>
      </c>
      <c r="AF319" t="n">
        <v>0</v>
      </c>
      <c r="AG319" t="inlineStr">
        <is>
          <t>The student's implementation of the `ColorizationDataset` class is incomplete and contains several errors. The `__init__` method incorrectly attempts to load image paths and labels, which is not required for the CIFAR-10 dataset. The `rgb_to_grayscale` method is not implemented, and the `__getitem__` method has logical errors and does not correctly convert the image to grayscale. Additionally, the student's code does not follow the correct approach for handling the dataset, leading to a complete failure in implementing the task.
Breakdown:
- Correctly implemented `ColorizationDataset` class: 0.0/5.0</t>
        </is>
      </c>
      <c r="AH319" t="n">
        <v>0</v>
      </c>
      <c r="AI319" t="n">
        <v>0</v>
      </c>
    </row>
    <row r="320">
      <c r="A320" t="n">
        <v>319</v>
      </c>
      <c r="B320" t="inlineStr">
        <is>
          <t>TA_6</t>
        </is>
      </c>
      <c r="C320" t="inlineStr">
        <is>
          <t>TA_16</t>
        </is>
      </c>
      <c r="D320" t="n">
        <v>0</v>
      </c>
      <c r="E320" t="n">
        <v>0</v>
      </c>
      <c r="F320" t="n">
        <v>11</v>
      </c>
      <c r="G320" t="n">
        <v>0</v>
      </c>
      <c r="H320" t="n">
        <v>12</v>
      </c>
      <c r="I320" t="n">
        <v>0</v>
      </c>
      <c r="J320" t="n">
        <v>2</v>
      </c>
      <c r="K320" t="n">
        <v>0</v>
      </c>
      <c r="L320" t="n">
        <v>11</v>
      </c>
      <c r="M320" t="n">
        <v>0</v>
      </c>
      <c r="N320" t="n">
        <v>11</v>
      </c>
      <c r="O320" t="n">
        <v>0</v>
      </c>
      <c r="P320">
        <f>Table1[[#This Row],[TA 1 - Q1 Score]]+Table1[[#This Row],[TA 1 - Q2 Score]]+Table1[[#This Row],[TA 1 - Q3 Score]]</f>
        <v/>
      </c>
      <c r="Q320">
        <f>Table1[[#This Row],[TA 1 - Q1 Bonus]]+Table1[[#This Row],[TA 1 - Q2 Bonus]]+Table1[[#This Row],[TA 1 - Q4 Bonus]]</f>
        <v/>
      </c>
      <c r="R320">
        <f>Table1[[#This Row],[TA 2 - Q1 Score]]+Table1[[#This Row],[TA 2 - Q2 Score]]+Table1[[#This Row],[TA 2 - Q3 Score]]</f>
        <v/>
      </c>
      <c r="S320">
        <f>Table1[[#This Row],[TA 2 - Q1 Bonus]]+Table1[[#This Row],[TA 2 - Q2 Bonus]]+Table1[[#This Row],[TA 2 - Q4 Bonus]]</f>
        <v/>
      </c>
      <c r="T320">
        <f>(Table1[[#This Row],[TA 1 - Total Score (out of 35)]]+Table1[[#This Row],[TA 2 - Total Score (out of 35)]])/2</f>
        <v/>
      </c>
      <c r="U320">
        <f>(Table1[[#This Row],[TA 1 - Total Bonus (out of 13)]]+Table1[[#This Row],[TA 2 - Total Bonus (out of 13)]])/2</f>
        <v/>
      </c>
      <c r="V320">
        <f>Table1[[#This Row],[Average Questions]]/35*20+Table1[[#This Row],[Average Bonus]]/13*5</f>
        <v/>
      </c>
      <c r="W320" t="n">
        <v>0</v>
      </c>
      <c r="X320" t="n">
        <v>0</v>
      </c>
      <c r="Y320" t="inlineStr">
        <is>
          <t>The student's submission is incomplete and contains significant errors. The transforms are correctly defined, but the DataLoaders are not created correctly, and sample images are not displayed. The model loading and adaptation steps are incorrect, and the training and validation loops are not implemented correctly. The training setup and plotting tasks are also missing. The bonus task for Test Time Augmentation is not attempted. The submission does not run end-to-end and deviates from the rubric, resulting in a score of 0.0 for the base tasks and 0.0 for the bonus tasks.
Breakdown:
- Task 1: Complete transforms (Resize, ToTensor, Normalize): 1.5/?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20" t="n">
        <v>0</v>
      </c>
      <c r="AA320" t="n">
        <v>0</v>
      </c>
      <c r="AB320" t="inlineStr">
        <is>
          <t>The student's submission does not run correctly due to multiple issues. The dataset loading and transformation tasks are incomplete and contain errors. The CNN model definition is incorrect and does not follow the specified structure. The training and validation functions are present but do not run correctly due to the issues in the model definition. The bonus task is not attempted. Therefore, the minimum defensible score for each task is 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20" t="n">
        <v>0</v>
      </c>
      <c r="AD320" t="inlineStr">
        <is>
          <t>The student's submission does not run correctly due to multiple issues. The dataset class is incorrectly defined, leading to errors in data loading. The model definition uses 'efficientnet-b0' instead of 'efficientnet-b1' as specified. The training and validation loops are incomplete and contain errors. The loss and optimizer are defined incorrectly, and the training process does not execute properly. Additionally, the visualization of predictions is missing critical steps, making the output incorrect. Therefore, no points are awarded for any task as the code does not run end-to-end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20" t="n">
        <v>0</v>
      </c>
      <c r="AF320" t="n">
        <v>0</v>
      </c>
      <c r="AG320" t="inlineStr">
        <is>
          <t>No submission found.</t>
        </is>
      </c>
      <c r="AH320" t="n">
        <v>0</v>
      </c>
      <c r="AI320" t="n">
        <v>0</v>
      </c>
    </row>
    <row r="321">
      <c r="A321" t="n">
        <v>320</v>
      </c>
      <c r="B321" t="inlineStr">
        <is>
          <t>TA_6</t>
        </is>
      </c>
      <c r="C321" t="inlineStr">
        <is>
          <t>TA_16</t>
        </is>
      </c>
      <c r="D321" t="n">
        <v>6</v>
      </c>
      <c r="E321" t="n">
        <v>0</v>
      </c>
      <c r="F321" t="n">
        <v>6.5</v>
      </c>
      <c r="G321" t="n">
        <v>0</v>
      </c>
      <c r="H321" t="n">
        <v>10.5</v>
      </c>
      <c r="I321" t="n">
        <v>0</v>
      </c>
      <c r="J321" t="n">
        <v>7</v>
      </c>
      <c r="K321" t="n">
        <v>0</v>
      </c>
      <c r="L321" t="n">
        <v>7.5</v>
      </c>
      <c r="M321" t="n">
        <v>0</v>
      </c>
      <c r="N321" t="n">
        <v>10.5</v>
      </c>
      <c r="O321" t="n">
        <v>0</v>
      </c>
      <c r="P321">
        <f>Table1[[#This Row],[TA 1 - Q1 Score]]+Table1[[#This Row],[TA 1 - Q2 Score]]+Table1[[#This Row],[TA 1 - Q3 Score]]</f>
        <v/>
      </c>
      <c r="Q321">
        <f>Table1[[#This Row],[TA 1 - Q1 Bonus]]+Table1[[#This Row],[TA 1 - Q2 Bonus]]+Table1[[#This Row],[TA 1 - Q4 Bonus]]</f>
        <v/>
      </c>
      <c r="R321">
        <f>Table1[[#This Row],[TA 2 - Q1 Score]]+Table1[[#This Row],[TA 2 - Q2 Score]]+Table1[[#This Row],[TA 2 - Q3 Score]]</f>
        <v/>
      </c>
      <c r="S321">
        <f>Table1[[#This Row],[TA 2 - Q1 Bonus]]+Table1[[#This Row],[TA 2 - Q2 Bonus]]+Table1[[#This Row],[TA 2 - Q4 Bonus]]</f>
        <v/>
      </c>
      <c r="T321">
        <f>(Table1[[#This Row],[TA 1 - Total Score (out of 35)]]+Table1[[#This Row],[TA 2 - Total Score (out of 35)]])/2</f>
        <v/>
      </c>
      <c r="U321">
        <f>(Table1[[#This Row],[TA 1 - Total Bonus (out of 13)]]+Table1[[#This Row],[TA 2 - Total Bonus (out of 13)]])/2</f>
        <v/>
      </c>
      <c r="V321">
        <f>Table1[[#This Row],[Average Questions]]/35*20+Table1[[#This Row],[Average Bonus]]/13*5</f>
        <v/>
      </c>
      <c r="W321" t="n">
        <v>0</v>
      </c>
      <c r="X321" t="n">
        <v>0</v>
      </c>
      <c r="Y321" t="inlineStr">
        <is>
          <t>The student's submission does not run correctly due to several issues. The training and validation loops are incorrect because the model outputs are squeezed, which is not necessary and leads to incorrect dimensions for the loss function. Additionally, the student did not fix the labels to be 0-indexed, which is a critical requirement. The plots for training and validation losses and accuracies are missing. The bonus task for Test Time Augmentation (TTA) is not implemented.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21" t="n">
        <v>0</v>
      </c>
      <c r="AA321" t="n">
        <v>0</v>
      </c>
      <c r="AB321" t="inlineStr">
        <is>
          <t>The student's submission does not run correctly due to several issues. The dataset transformations do not match the required specifications (e.g., resizing to 224x224 instead of 32x32). The CNN model does not include the required 5 convolutional layers and lacks batch normalization. The training and validation functions are incorrectly implemented, leading to errors in the training process.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21" t="n">
        <v>0</v>
      </c>
      <c r="AD321" t="inlineStr">
        <is>
          <t>The student's submission has several critical issues. The dataset class is incomplete and does not correctly handle the dataset splitting. The model definition uses 'efficientnet-b1' instead of 'efficientnet-b0' as specified, which is a deviation from the rubric. The training and validation loops are present but do not run correctly due to the incorrect model definition. The loss and optimizer are defined, but the training process does not complete successfully. The visualization of predictions is attempted but fails due to the incorrect model setup. Overall, the submission does not meet the requirements of the rubric and results in a score of 0.0.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321" t="n">
        <v>0</v>
      </c>
      <c r="AF321" t="n">
        <v>0</v>
      </c>
      <c r="AG321" t="inlineStr">
        <is>
          <t>No submission found.</t>
        </is>
      </c>
      <c r="AH321" t="n">
        <v>0</v>
      </c>
      <c r="AI321" t="n">
        <v>0</v>
      </c>
    </row>
    <row r="322">
      <c r="A322" t="n">
        <v>321</v>
      </c>
      <c r="B322" t="inlineStr">
        <is>
          <t>TA_6</t>
        </is>
      </c>
      <c r="C322" t="inlineStr">
        <is>
          <t>TA_16</t>
        </is>
      </c>
      <c r="D322" t="n">
        <v>11</v>
      </c>
      <c r="E322" t="n">
        <v>0</v>
      </c>
      <c r="F322" t="n">
        <v>6.5</v>
      </c>
      <c r="G322" t="n">
        <v>0</v>
      </c>
      <c r="H322" t="n">
        <v>6.75</v>
      </c>
      <c r="I322" t="n">
        <v>0</v>
      </c>
      <c r="J322" t="n">
        <v>11</v>
      </c>
      <c r="K322" t="n">
        <v>0</v>
      </c>
      <c r="L322" t="n">
        <v>7.5</v>
      </c>
      <c r="M322" t="n">
        <v>0</v>
      </c>
      <c r="N322" t="n">
        <v>5.75</v>
      </c>
      <c r="O322" t="n">
        <v>0</v>
      </c>
      <c r="P322">
        <f>Table1[[#This Row],[TA 1 - Q1 Score]]+Table1[[#This Row],[TA 1 - Q2 Score]]+Table1[[#This Row],[TA 1 - Q3 Score]]</f>
        <v/>
      </c>
      <c r="Q322">
        <f>Table1[[#This Row],[TA 1 - Q1 Bonus]]+Table1[[#This Row],[TA 1 - Q2 Bonus]]+Table1[[#This Row],[TA 1 - Q4 Bonus]]</f>
        <v/>
      </c>
      <c r="R322">
        <f>Table1[[#This Row],[TA 2 - Q1 Score]]+Table1[[#This Row],[TA 2 - Q2 Score]]+Table1[[#This Row],[TA 2 - Q3 Score]]</f>
        <v/>
      </c>
      <c r="S322">
        <f>Table1[[#This Row],[TA 2 - Q1 Bonus]]+Table1[[#This Row],[TA 2 - Q2 Bonus]]+Table1[[#This Row],[TA 2 - Q4 Bonus]]</f>
        <v/>
      </c>
      <c r="T322">
        <f>(Table1[[#This Row],[TA 1 - Total Score (out of 35)]]+Table1[[#This Row],[TA 2 - Total Score (out of 35)]])/2</f>
        <v/>
      </c>
      <c r="U322">
        <f>(Table1[[#This Row],[TA 1 - Total Bonus (out of 13)]]+Table1[[#This Row],[TA 2 - Total Bonus (out of 13)]])/2</f>
        <v/>
      </c>
      <c r="V322">
        <f>Table1[[#This Row],[Average Questions]]/35*20+Table1[[#This Row],[Average Bonus]]/13*5</f>
        <v/>
      </c>
      <c r="W322" t="n">
        <v>0</v>
      </c>
      <c r="X322" t="n">
        <v>0</v>
      </c>
      <c r="Y322" t="inlineStr">
        <is>
          <t>The student's submission does not run correctly due to several issues. The transforms are incorrectly defined, the DataLoaders are not created correctly, and the model is not properly set up for training. Additionally, the training and validation loops contain errors, and the plots for training and validation losses and accuracies are missing. The bonus task for Test Time Augmentation is also not implemented correctly.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22" t="n">
        <v>0</v>
      </c>
      <c r="AA322" t="n">
        <v>0</v>
      </c>
      <c r="AB322" t="inlineStr">
        <is>
          <t>The student's submission does not run correctly due to several issues. The dataset class or ImageFolder is not correctly implemented, the transforms do not match the rubric, and the CNN model does not follow the specified architecture. Additionally, the training and validation functions are incorrect, and the training process does not set up the device, model, loss, and optimizer correctly. The bonus task is also not attempted.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22" t="n">
        <v>0</v>
      </c>
      <c r="AD322" t="inlineStr">
        <is>
          <t>The student's submission does not run correctly due to several issues. The dataset class is defined but not used correctly in the DataLoader creation. The model definition uses 'efficientnet-b1' instead of 'efficientnet-b0' as specified. The training and validation loops are incorrectly implemented, leading to errors in the loss calculation. The visualization of predictions is attempted but fails due to incorrect handling of the model's output. Overall, the submission does not meet the requirements of the rubric, resulting in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22" t="n">
        <v>0</v>
      </c>
      <c r="AF322" t="n">
        <v>0</v>
      </c>
      <c r="AG322" t="inlineStr">
        <is>
          <t>No submission found.</t>
        </is>
      </c>
      <c r="AH322" t="n">
        <v>0</v>
      </c>
      <c r="AI322" t="n">
        <v>0</v>
      </c>
    </row>
    <row r="323">
      <c r="A323" t="n">
        <v>322</v>
      </c>
      <c r="B323" t="inlineStr">
        <is>
          <t>TA_6</t>
        </is>
      </c>
      <c r="C323" t="inlineStr">
        <is>
          <t>TA_16</t>
        </is>
      </c>
      <c r="D323" t="n">
        <v>4.5</v>
      </c>
      <c r="E323" t="n">
        <v>0</v>
      </c>
      <c r="F323" t="n">
        <v>11</v>
      </c>
      <c r="G323" t="n">
        <v>4</v>
      </c>
      <c r="H323" t="n">
        <v>8.5</v>
      </c>
      <c r="I323" t="n">
        <v>0</v>
      </c>
      <c r="J323" t="n">
        <v>4.5</v>
      </c>
      <c r="K323" t="n">
        <v>0</v>
      </c>
      <c r="L323" t="n">
        <v>9</v>
      </c>
      <c r="M323" t="n">
        <v>4</v>
      </c>
      <c r="N323" t="n">
        <v>7.5</v>
      </c>
      <c r="O323" t="n">
        <v>0</v>
      </c>
      <c r="P323">
        <f>Table1[[#This Row],[TA 1 - Q1 Score]]+Table1[[#This Row],[TA 1 - Q2 Score]]+Table1[[#This Row],[TA 1 - Q3 Score]]</f>
        <v/>
      </c>
      <c r="Q323">
        <f>Table1[[#This Row],[TA 1 - Q1 Bonus]]+Table1[[#This Row],[TA 1 - Q2 Bonus]]+Table1[[#This Row],[TA 1 - Q4 Bonus]]</f>
        <v/>
      </c>
      <c r="R323">
        <f>Table1[[#This Row],[TA 2 - Q1 Score]]+Table1[[#This Row],[TA 2 - Q2 Score]]+Table1[[#This Row],[TA 2 - Q3 Score]]</f>
        <v/>
      </c>
      <c r="S323">
        <f>Table1[[#This Row],[TA 2 - Q1 Bonus]]+Table1[[#This Row],[TA 2 - Q2 Bonus]]+Table1[[#This Row],[TA 2 - Q4 Bonus]]</f>
        <v/>
      </c>
      <c r="T323">
        <f>(Table1[[#This Row],[TA 1 - Total Score (out of 35)]]+Table1[[#This Row],[TA 2 - Total Score (out of 35)]])/2</f>
        <v/>
      </c>
      <c r="U323">
        <f>(Table1[[#This Row],[TA 1 - Total Bonus (out of 13)]]+Table1[[#This Row],[TA 2 - Total Bonus (out of 13)]])/2</f>
        <v/>
      </c>
      <c r="V323">
        <f>Table1[[#This Row],[Average Questions]]/35*20+Table1[[#This Row],[Average Bonus]]/13*5</f>
        <v/>
      </c>
      <c r="W323" t="n">
        <v>0</v>
      </c>
      <c r="X323" t="n">
        <v>0</v>
      </c>
      <c r="Y323" t="inlineStr">
        <is>
          <t>The student's submission does not run correctly due to several issues. The transforms are not correctly applied, the DataLoaders are not created properly, and the model is not correctly set up for training. Additionally, the training and validation loops are incorrect, and the plots for training and validation losses and accuracies are missing. The bonus task for Test Time Augmentation is also not implemented correctly.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23" t="n">
        <v>0</v>
      </c>
      <c r="AA323" t="n">
        <v>0</v>
      </c>
      <c r="AB323" t="inlineStr">
        <is>
          <t>The student's submission does not run correctly due to several issues. The dataset class or ImageFolder is not correctly implemented, the transforms do not match the required specifications, and the CNN model does not have the correct number of convolutional layers. Additionally, the training and validation functions are incorrectly defined, and the residual connection is not implemented correctly.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23" t="n">
        <v>0</v>
      </c>
      <c r="AD323" t="inlineStr">
        <is>
          <t>The student's submission has several critical issues. The dataset class is incorrectly implemented, leading to a failure in loading the data correctly. The model definition uses the wrong encoder (efficientnet-b0 instead of efficientnet-b1), which is a direct violation of the instructions. Additionally, the loss function and optimizer are incorrectly defined, leading to a failure in the training process. The training and validation loops are present but do not run correctly due to the incorrect model and data handling. The visualization of predictions is attempted but fails due to the incorrect model and data issues.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323" t="n">
        <v>0</v>
      </c>
      <c r="AF323" t="n">
        <v>0</v>
      </c>
      <c r="AG323" t="inlineStr">
        <is>
          <t>The student's implementation of the `ColorizationDataset` class contains multiple errors that prevent it from functioning correctly. The `__init__` method does not store the dataset properly, the `__len__` method does not return the correct length, the `rgb_to_grayscale` method does not convert the image to grayscale correctly, and the `__getitem__` method does not retrieve and process the images as required. These issues result in a score of 0.0 for the task.
Breakdown:
- Correctly implemented `ColorizationDataset` class: 0.0/?</t>
        </is>
      </c>
      <c r="AH323" t="n">
        <v>0</v>
      </c>
      <c r="AI323" t="n">
        <v>0</v>
      </c>
    </row>
    <row r="324">
      <c r="A324" t="n">
        <v>323</v>
      </c>
      <c r="B324" t="inlineStr">
        <is>
          <t>TA_6</t>
        </is>
      </c>
      <c r="C324" t="inlineStr">
        <is>
          <t>TA_16</t>
        </is>
      </c>
      <c r="D324" t="n">
        <v>7.5</v>
      </c>
      <c r="E324" t="n">
        <v>0</v>
      </c>
      <c r="F324" t="n">
        <v>8.5</v>
      </c>
      <c r="G324" t="n">
        <v>0</v>
      </c>
      <c r="H324" t="n">
        <v>12</v>
      </c>
      <c r="I324" t="n">
        <v>0</v>
      </c>
      <c r="J324" t="n">
        <v>7.5</v>
      </c>
      <c r="K324" t="n">
        <v>0</v>
      </c>
      <c r="L324" t="n">
        <v>8.5</v>
      </c>
      <c r="M324" t="n">
        <v>0</v>
      </c>
      <c r="N324" t="n">
        <v>12</v>
      </c>
      <c r="O324" t="n">
        <v>0</v>
      </c>
      <c r="P324">
        <f>Table1[[#This Row],[TA 1 - Q1 Score]]+Table1[[#This Row],[TA 1 - Q2 Score]]+Table1[[#This Row],[TA 1 - Q3 Score]]</f>
        <v/>
      </c>
      <c r="Q324">
        <f>Table1[[#This Row],[TA 1 - Q1 Bonus]]+Table1[[#This Row],[TA 1 - Q2 Bonus]]+Table1[[#This Row],[TA 1 - Q4 Bonus]]</f>
        <v/>
      </c>
      <c r="R324">
        <f>Table1[[#This Row],[TA 2 - Q1 Score]]+Table1[[#This Row],[TA 2 - Q2 Score]]+Table1[[#This Row],[TA 2 - Q3 Score]]</f>
        <v/>
      </c>
      <c r="S324">
        <f>Table1[[#This Row],[TA 2 - Q1 Bonus]]+Table1[[#This Row],[TA 2 - Q2 Bonus]]+Table1[[#This Row],[TA 2 - Q4 Bonus]]</f>
        <v/>
      </c>
      <c r="T324">
        <f>(Table1[[#This Row],[TA 1 - Total Score (out of 35)]]+Table1[[#This Row],[TA 2 - Total Score (out of 35)]])/2</f>
        <v/>
      </c>
      <c r="U324">
        <f>(Table1[[#This Row],[TA 1 - Total Bonus (out of 13)]]+Table1[[#This Row],[TA 2 - Total Bonus (out of 13)]])/2</f>
        <v/>
      </c>
      <c r="V324">
        <f>Table1[[#This Row],[Average Questions]]/35*20+Table1[[#This Row],[Average Bonus]]/13*5</f>
        <v/>
      </c>
      <c r="W324" t="n">
        <v>0</v>
      </c>
      <c r="X324" t="n">
        <v>0</v>
      </c>
      <c r="Y324" t="inlineStr">
        <is>
          <t>The student's submission does not run correctly due to several issues. The training and validation loops are incorrect because the labels are not adjusted to be 0-indexed, which is a critical requirement. Additionally, the student did not implement the Test Time Augmentation (TTA) correctly, and the plots for training and validation losses and accuracies are missing. The code for setting up the device, model, loss, and optimizer is incomplete, and the model training process is not correctly implemented.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24" t="n">
        <v>0</v>
      </c>
      <c r="AA324" t="n">
        <v>0</v>
      </c>
      <c r="AB324" t="inlineStr">
        <is>
          <t>The student's submission does not run correctly due to syntax errors and missing code. The code for setting up the dataset, defining the CNN model, and training the model contains numerous issues that prevent it from executing properly. Specifically, the code for defining the CNN model and the training loop has syntax errors and logical mistakes. Additionally, the student did not implement the bonus task for residual connections.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24" t="n">
        <v>0</v>
      </c>
      <c r="AD324" t="inlineStr">
        <is>
          <t>The student's submission does not run correctly due to several issues. The dataset class is incomplete and does not follow the required structure. The DataLoaders are not correctly implemented, and the display of sample images and masks is missing. The model class definition is incorrect as it uses 'efficientnet-b0' instead of 'efficientnet-b1'. The training and validation loops are not correctly implemented, and the loss and optimizer are not defined correctly. The training process does not run, and the loss curve is not plotted. The visualization of predictions is also missing. Therefore, the student receives 0 points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24" t="n">
        <v>0</v>
      </c>
      <c r="AF324" t="n">
        <v>0</v>
      </c>
      <c r="AG324" t="inlineStr">
        <is>
          <t>No submission found.</t>
        </is>
      </c>
      <c r="AH324" t="n">
        <v>0</v>
      </c>
      <c r="AI324" t="n">
        <v>0</v>
      </c>
    </row>
    <row r="325">
      <c r="A325" t="n">
        <v>324</v>
      </c>
      <c r="B325" t="inlineStr">
        <is>
          <t>TA_6</t>
        </is>
      </c>
      <c r="C325" t="inlineStr">
        <is>
          <t>TA_16</t>
        </is>
      </c>
      <c r="D325" t="n">
        <v>3</v>
      </c>
      <c r="E325" t="n">
        <v>0</v>
      </c>
      <c r="F325" t="n">
        <v>4.5</v>
      </c>
      <c r="G325" t="n">
        <v>0</v>
      </c>
      <c r="H325" t="n">
        <v>9</v>
      </c>
      <c r="I325" t="n">
        <v>0</v>
      </c>
      <c r="J325" t="n">
        <v>3</v>
      </c>
      <c r="K325" t="n">
        <v>0</v>
      </c>
      <c r="L325" t="n">
        <v>6.5</v>
      </c>
      <c r="M325" t="n">
        <v>0</v>
      </c>
      <c r="N325" t="n">
        <v>9</v>
      </c>
      <c r="O325" t="n">
        <v>0</v>
      </c>
      <c r="P325">
        <f>Table1[[#This Row],[TA 1 - Q1 Score]]+Table1[[#This Row],[TA 1 - Q2 Score]]+Table1[[#This Row],[TA 1 - Q3 Score]]</f>
        <v/>
      </c>
      <c r="Q325">
        <f>Table1[[#This Row],[TA 1 - Q1 Bonus]]+Table1[[#This Row],[TA 1 - Q2 Bonus]]+Table1[[#This Row],[TA 1 - Q4 Bonus]]</f>
        <v/>
      </c>
      <c r="R325">
        <f>Table1[[#This Row],[TA 2 - Q1 Score]]+Table1[[#This Row],[TA 2 - Q2 Score]]+Table1[[#This Row],[TA 2 - Q3 Score]]</f>
        <v/>
      </c>
      <c r="S325">
        <f>Table1[[#This Row],[TA 2 - Q1 Bonus]]+Table1[[#This Row],[TA 2 - Q2 Bonus]]+Table1[[#This Row],[TA 2 - Q4 Bonus]]</f>
        <v/>
      </c>
      <c r="T325">
        <f>(Table1[[#This Row],[TA 1 - Total Score (out of 35)]]+Table1[[#This Row],[TA 2 - Total Score (out of 35)]])/2</f>
        <v/>
      </c>
      <c r="U325">
        <f>(Table1[[#This Row],[TA 1 - Total Bonus (out of 13)]]+Table1[[#This Row],[TA 2 - Total Bonus (out of 13)]])/2</f>
        <v/>
      </c>
      <c r="V325">
        <f>Table1[[#This Row],[Average Questions]]/35*20+Table1[[#This Row],[Average Bonus]]/13*5</f>
        <v/>
      </c>
      <c r="W325" t="n">
        <v>0</v>
      </c>
      <c r="X325" t="n">
        <v>0</v>
      </c>
      <c r="Y325" t="inlineStr">
        <is>
          <t>The student's submission contains significant errors and omissions. The transforms are incomplete and incorrect, the DataLoaders are not correctly created or displayed, the model is not properly loaded or adapted, the training and validation loops are incorrect and do not run, and the training process is flawed. Additionally, the bonus task for Test Time Augmentation is not attempted. The code does not follow the rubric and does not run correctly, resulting in a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25" t="n">
        <v>0</v>
      </c>
      <c r="AA325" t="n">
        <v>0</v>
      </c>
      <c r="AB325" t="inlineStr">
        <is>
          <t>The student's submission does not run correctly due to several issues. The dataset class is implemented but does not include the required RandomRotation transform, and the images are resized to 224x224 instead of 32x32. The CNN model class is incomplete and does not include Batch Normalization. The training and validation functions are present but contain errors, such as incorrect softmax usage. The training process is attempted but does not include plotting losses and accuracy. Additionally, the bonus task is not attempted.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25" t="n">
        <v>0</v>
      </c>
      <c r="AD325" t="inlineStr">
        <is>
          <t>The student's submission does not run end-to-end due to missing code for displaying sample images and masks, and the model training and validation loops do not execute correctly. The code for defining the dataset class and DataLoaders is present but incomplete, and the model definition is incorrect as it uses 'efficientnet-b0' instead of 'efficientnet-b1'. Additionally, the visualization of predictions is missing.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25" t="n">
        <v>0</v>
      </c>
      <c r="AF325" t="n">
        <v>0</v>
      </c>
      <c r="AG325" t="inlineStr">
        <is>
          <t>No submission found.</t>
        </is>
      </c>
      <c r="AH325" t="n">
        <v>0</v>
      </c>
      <c r="AI325" t="n">
        <v>0</v>
      </c>
    </row>
    <row r="326">
      <c r="A326" t="n">
        <v>325</v>
      </c>
      <c r="B326" t="inlineStr">
        <is>
          <t>TA_6</t>
        </is>
      </c>
      <c r="C326" t="inlineStr">
        <is>
          <t>TA_16</t>
        </is>
      </c>
      <c r="D326" t="n">
        <v>7.5</v>
      </c>
      <c r="E326" t="n">
        <v>0</v>
      </c>
      <c r="F326" t="n">
        <v>7.5</v>
      </c>
      <c r="G326" t="n">
        <v>0</v>
      </c>
      <c r="H326" t="n">
        <v>7.5</v>
      </c>
      <c r="I326" t="n">
        <v>0</v>
      </c>
      <c r="J326" t="n">
        <v>7.5</v>
      </c>
      <c r="K326" t="n">
        <v>0</v>
      </c>
      <c r="L326" t="n">
        <v>5.5</v>
      </c>
      <c r="M326" t="n">
        <v>0</v>
      </c>
      <c r="N326" t="n">
        <v>7.5</v>
      </c>
      <c r="O326" t="n">
        <v>0</v>
      </c>
      <c r="P326">
        <f>Table1[[#This Row],[TA 1 - Q1 Score]]+Table1[[#This Row],[TA 1 - Q2 Score]]+Table1[[#This Row],[TA 1 - Q3 Score]]</f>
        <v/>
      </c>
      <c r="Q326">
        <f>Table1[[#This Row],[TA 1 - Q1 Bonus]]+Table1[[#This Row],[TA 1 - Q2 Bonus]]+Table1[[#This Row],[TA 1 - Q4 Bonus]]</f>
        <v/>
      </c>
      <c r="R326">
        <f>Table1[[#This Row],[TA 2 - Q1 Score]]+Table1[[#This Row],[TA 2 - Q2 Score]]+Table1[[#This Row],[TA 2 - Q3 Score]]</f>
        <v/>
      </c>
      <c r="S326">
        <f>Table1[[#This Row],[TA 2 - Q1 Bonus]]+Table1[[#This Row],[TA 2 - Q2 Bonus]]+Table1[[#This Row],[TA 2 - Q4 Bonus]]</f>
        <v/>
      </c>
      <c r="T326">
        <f>(Table1[[#This Row],[TA 1 - Total Score (out of 35)]]+Table1[[#This Row],[TA 2 - Total Score (out of 35)]])/2</f>
        <v/>
      </c>
      <c r="U326">
        <f>(Table1[[#This Row],[TA 1 - Total Bonus (out of 13)]]+Table1[[#This Row],[TA 2 - Total Bonus (out of 13)]])/2</f>
        <v/>
      </c>
      <c r="V326">
        <f>Table1[[#This Row],[Average Questions]]/35*20+Table1[[#This Row],[Average Bonus]]/13*5</f>
        <v/>
      </c>
      <c r="W326" t="n">
        <v>0</v>
      </c>
      <c r="X326" t="n">
        <v>0</v>
      </c>
      <c r="Y326" t="inlineStr">
        <is>
          <t>The student's submission does not run correctly due to several issues. The transforms are incomplete, the DataLoaders are not created correctly, and the model is not set up properly. The training and validation loops are incorrect, and the labels are not fixed. Additionally, the plots for training and validation losses and accuracies are missing. The bonus task for Test Time Augmentation is also not implemented.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26" t="n">
        <v>0</v>
      </c>
      <c r="AA326" t="n">
        <v>0</v>
      </c>
      <c r="AB326" t="inlineStr">
        <is>
          <t>The student's submission does not run correctly due to several issues. The dataset class is incorrectly implemented, leading to errors in loading the data. The transforms are applied incorrectly, and the display of sample images is flawed. The CNN model does not follow the specified architecture, and the training and validation functions are incorrectly implemented.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26" t="n">
        <v>0</v>
      </c>
      <c r="AD326" t="inlineStr">
        <is>
          <t>The student's submission contains several critical errors that prevent the code from running correctly. The dataset class has a syntax error in the image loading line, and the model definition uses the wrong number of classes (5 instead of 8). Additionally, the training and validation loops are not correctly implemented, and the loss curve plotting is missing. These issues result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26" t="n">
        <v>0</v>
      </c>
      <c r="AF326" t="n">
        <v>0</v>
      </c>
      <c r="AG326" t="inlineStr">
        <is>
          <t>No submission found.</t>
        </is>
      </c>
      <c r="AH326" t="n">
        <v>0</v>
      </c>
      <c r="AI326" t="n">
        <v>0</v>
      </c>
    </row>
    <row r="327">
      <c r="A327" t="n">
        <v>326</v>
      </c>
      <c r="B327" t="inlineStr">
        <is>
          <t>TA_6</t>
        </is>
      </c>
      <c r="C327" t="inlineStr">
        <is>
          <t>TA_16</t>
        </is>
      </c>
      <c r="D327" t="n">
        <v>1.5</v>
      </c>
      <c r="E327" t="n">
        <v>0</v>
      </c>
      <c r="F327" t="n">
        <v>4.5</v>
      </c>
      <c r="G327" t="n">
        <v>0</v>
      </c>
      <c r="H327" t="n">
        <v>3.5</v>
      </c>
      <c r="I327" t="n">
        <v>0</v>
      </c>
      <c r="J327" t="n">
        <v>1.5</v>
      </c>
      <c r="K327" t="n">
        <v>0</v>
      </c>
      <c r="L327" t="n">
        <v>3.5</v>
      </c>
      <c r="M327" t="n">
        <v>0</v>
      </c>
      <c r="N327" t="n">
        <v>3.5</v>
      </c>
      <c r="O327" t="n">
        <v>0</v>
      </c>
      <c r="P327">
        <f>Table1[[#This Row],[TA 1 - Q1 Score]]+Table1[[#This Row],[TA 1 - Q2 Score]]+Table1[[#This Row],[TA 1 - Q3 Score]]</f>
        <v/>
      </c>
      <c r="Q327">
        <f>Table1[[#This Row],[TA 1 - Q1 Bonus]]+Table1[[#This Row],[TA 1 - Q2 Bonus]]+Table1[[#This Row],[TA 1 - Q4 Bonus]]</f>
        <v/>
      </c>
      <c r="R327">
        <f>Table1[[#This Row],[TA 2 - Q1 Score]]+Table1[[#This Row],[TA 2 - Q2 Score]]+Table1[[#This Row],[TA 2 - Q3 Score]]</f>
        <v/>
      </c>
      <c r="S327">
        <f>Table1[[#This Row],[TA 2 - Q1 Bonus]]+Table1[[#This Row],[TA 2 - Q2 Bonus]]+Table1[[#This Row],[TA 2 - Q4 Bonus]]</f>
        <v/>
      </c>
      <c r="T327">
        <f>(Table1[[#This Row],[TA 1 - Total Score (out of 35)]]+Table1[[#This Row],[TA 2 - Total Score (out of 35)]])/2</f>
        <v/>
      </c>
      <c r="U327">
        <f>(Table1[[#This Row],[TA 1 - Total Bonus (out of 13)]]+Table1[[#This Row],[TA 2 - Total Bonus (out of 13)]])/2</f>
        <v/>
      </c>
      <c r="V327">
        <f>Table1[[#This Row],[Average Questions]]/35*20+Table1[[#This Row],[Average Bonus]]/13*5</f>
        <v/>
      </c>
      <c r="W327" t="n">
        <v>0</v>
      </c>
      <c r="X327" t="n">
        <v>0</v>
      </c>
      <c r="Y327" t="inlineStr">
        <is>
          <t>The student's submission does not complete any of the required tasks. The code for loading and preparing data is incomplete, and the code for loading the pretrained model and adapting it is missing. The training and validation functions are incorrectly implemented, and the training setup is not correctly configured. Additionally, the bonus task for Test Time Augmentation is not attempted.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27" t="n">
        <v>0</v>
      </c>
      <c r="AA327" t="n">
        <v>0</v>
      </c>
      <c r="AB327" t="inlineStr">
        <is>
          <t>The student did not complete any of the required tasks. There is no code for loading and preparing the data, building the CNN model, defining the training and validation functions, or training the model. Additionally, the student did not attempt the bonus task. Therefore, the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27" t="n">
        <v>0</v>
      </c>
      <c r="AD327" t="inlineStr">
        <is>
          <t>The student's submission does not follow the rubric correctly. The dataset class is incorrectly implemented, using a CSV file instead of directly loading images and masks from directories. The model class uses the wrong encoder (efficientnet-b0 instead of efficientnet-b1) and the wrong number of classes (3 instead of 8). The training and validation loops are incorrectly implemented, using BCEWithLogitsLoss instead of CrossEntropyLoss and not handling the mask dimensions correctly. The loss curve plotting and visualization of predictions are also incorrect.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27" t="n">
        <v>0</v>
      </c>
      <c r="AF327" t="n">
        <v>0</v>
      </c>
      <c r="AG327" t="inlineStr">
        <is>
          <t>The student did not implement any of the required methods in the `ColorizationDataset` class. The `__init__`, `__len__`, `rgb_to_grayscale`, and `__getitem__` methods are all left as 'TO DO' placeholders, indicating that no code was written for these tasks. Additionally, the visualization code in Cell 4 and the DataLoader test in Cell 5 will not run correctly because the dataset class is incomplete. Therefore, the student receives 0 points for this task.
Breakdown:
- Correctly implemented `ColorizationDataset` class: 0.0/5.0</t>
        </is>
      </c>
      <c r="AH327" t="n">
        <v>0</v>
      </c>
      <c r="AI327" t="n">
        <v>0</v>
      </c>
    </row>
    <row r="328">
      <c r="A328" t="n">
        <v>327</v>
      </c>
      <c r="B328" t="inlineStr">
        <is>
          <t>TA_6</t>
        </is>
      </c>
      <c r="C328" t="inlineStr">
        <is>
          <t>TA_16</t>
        </is>
      </c>
      <c r="D328" t="n">
        <v>5</v>
      </c>
      <c r="E328" t="n">
        <v>0</v>
      </c>
      <c r="F328" t="n">
        <v>7.5</v>
      </c>
      <c r="G328" t="n">
        <v>0</v>
      </c>
      <c r="H328" t="n">
        <v>7.5</v>
      </c>
      <c r="I328" t="n">
        <v>0</v>
      </c>
      <c r="J328" t="n">
        <v>5</v>
      </c>
      <c r="K328" t="n">
        <v>0</v>
      </c>
      <c r="L328" t="n">
        <v>5.5</v>
      </c>
      <c r="M328" t="n">
        <v>0</v>
      </c>
      <c r="N328" t="n">
        <v>7.5</v>
      </c>
      <c r="O328" t="n">
        <v>0</v>
      </c>
      <c r="P328">
        <f>Table1[[#This Row],[TA 1 - Q1 Score]]+Table1[[#This Row],[TA 1 - Q2 Score]]+Table1[[#This Row],[TA 1 - Q3 Score]]</f>
        <v/>
      </c>
      <c r="Q328">
        <f>Table1[[#This Row],[TA 1 - Q1 Bonus]]+Table1[[#This Row],[TA 1 - Q2 Bonus]]+Table1[[#This Row],[TA 1 - Q4 Bonus]]</f>
        <v/>
      </c>
      <c r="R328">
        <f>Table1[[#This Row],[TA 2 - Q1 Score]]+Table1[[#This Row],[TA 2 - Q2 Score]]+Table1[[#This Row],[TA 2 - Q3 Score]]</f>
        <v/>
      </c>
      <c r="S328">
        <f>Table1[[#This Row],[TA 2 - Q1 Bonus]]+Table1[[#This Row],[TA 2 - Q2 Bonus]]+Table1[[#This Row],[TA 2 - Q4 Bonus]]</f>
        <v/>
      </c>
      <c r="T328">
        <f>(Table1[[#This Row],[TA 1 - Total Score (out of 35)]]+Table1[[#This Row],[TA 2 - Total Score (out of 35)]])/2</f>
        <v/>
      </c>
      <c r="U328">
        <f>(Table1[[#This Row],[TA 1 - Total Bonus (out of 13)]]+Table1[[#This Row],[TA 2 - Total Bonus (out of 13)]])/2</f>
        <v/>
      </c>
      <c r="V328">
        <f>Table1[[#This Row],[Average Questions]]/35*20+Table1[[#This Row],[Average Bonus]]/13*5</f>
        <v/>
      </c>
      <c r="W328" t="n">
        <v>0</v>
      </c>
      <c r="X328" t="n">
        <v>0</v>
      </c>
      <c r="Y328" t="inlineStr">
        <is>
          <t>The student's submission does not run correctly due to several issues. The transforms include an incorrect custom module (SubtractOne) that is not part of the required transforms. The DataLoaders are created but not used correctly in the training and validation loops. The model is not correctly adapted for the task, and the training and validation functions are flawed. Additionally, the student did not plot the training and validation losses or accuracies. The bonus task is also incomplete and incorrect.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28" t="n">
        <v>0</v>
      </c>
      <c r="AA328" t="n">
        <v>0</v>
      </c>
      <c r="AB328" t="inlineStr">
        <is>
          <t>The student's submission does not run correctly due to multiple issues. The transforms are incorrectly defined, leading to a mismatch in the expected input size for the model. The model definition is incomplete and contains errors, such as missing batch normalization layers and incorrect layer configurations. The training and validation functions are present but do not run correctly due to the model's issues. The bonus task is not attempted correctly, and there is no evidence of a residual connection being implemented.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28" t="n">
        <v>0</v>
      </c>
      <c r="AD328" t="inlineStr">
        <is>
          <t>The student's submission does not run correctly due to several issues. The dataset class is incomplete and does not follow the required structure. The model definition uses the wrong encoder and the number of classes is incorrect. The training and validation loops are incorrectly implemented, and the loss function and optimizer are not defined correctly. Additionally, the visualization of predictions is missing. Therefore, no points are awarded for any task as the code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28" t="n">
        <v>0</v>
      </c>
      <c r="AF328" t="n">
        <v>0</v>
      </c>
      <c r="AG328" t="inlineStr">
        <is>
          <t>The student's submission contains several issues that prevent the code from running correctly. The `__len__` method does not return the length of the dataset, the `rgb_to_grayscale` method has syntax errors and does not correctly implement the grayscale conversion formula, and the `__getitem__` method is incomplete. Additionally, the `rgb_to_grayscale` method incorrectly returns a tuple instead of a single grayscale image. These errors result in the code not functioning as intended, and thus, no points are awarded for this task.
Breakdown:
- Correctly implemented `ColorizationDataset` class: 0.0/5.0</t>
        </is>
      </c>
      <c r="AH328" t="n">
        <v>0</v>
      </c>
      <c r="AI328" t="n">
        <v>0</v>
      </c>
    </row>
    <row r="329">
      <c r="A329" t="n">
        <v>328</v>
      </c>
      <c r="B329" t="inlineStr">
        <is>
          <t>TA_6</t>
        </is>
      </c>
      <c r="C329" t="inlineStr">
        <is>
          <t>TA_16</t>
        </is>
      </c>
      <c r="D329" t="n">
        <v>11</v>
      </c>
      <c r="E329" t="n">
        <v>4</v>
      </c>
      <c r="F329" t="n">
        <v>11</v>
      </c>
      <c r="G329" t="n">
        <v>0</v>
      </c>
      <c r="H329" t="n">
        <v>8.5</v>
      </c>
      <c r="I329" t="n">
        <v>0</v>
      </c>
      <c r="J329" t="n">
        <v>11</v>
      </c>
      <c r="K329" t="n">
        <v>4</v>
      </c>
      <c r="L329" t="n">
        <v>11</v>
      </c>
      <c r="M329" t="n">
        <v>0</v>
      </c>
      <c r="N329" t="n">
        <v>8.5</v>
      </c>
      <c r="O329" t="n">
        <v>0</v>
      </c>
      <c r="P329">
        <f>Table1[[#This Row],[TA 1 - Q1 Score]]+Table1[[#This Row],[TA 1 - Q2 Score]]+Table1[[#This Row],[TA 1 - Q3 Score]]</f>
        <v/>
      </c>
      <c r="Q329">
        <f>Table1[[#This Row],[TA 1 - Q1 Bonus]]+Table1[[#This Row],[TA 1 - Q2 Bonus]]+Table1[[#This Row],[TA 1 - Q4 Bonus]]</f>
        <v/>
      </c>
      <c r="R329">
        <f>Table1[[#This Row],[TA 2 - Q1 Score]]+Table1[[#This Row],[TA 2 - Q2 Score]]+Table1[[#This Row],[TA 2 - Q3 Score]]</f>
        <v/>
      </c>
      <c r="S329">
        <f>Table1[[#This Row],[TA 2 - Q1 Bonus]]+Table1[[#This Row],[TA 2 - Q2 Bonus]]+Table1[[#This Row],[TA 2 - Q4 Bonus]]</f>
        <v/>
      </c>
      <c r="T329">
        <f>(Table1[[#This Row],[TA 1 - Total Score (out of 35)]]+Table1[[#This Row],[TA 2 - Total Score (out of 35)]])/2</f>
        <v/>
      </c>
      <c r="U329">
        <f>(Table1[[#This Row],[TA 1 - Total Bonus (out of 13)]]+Table1[[#This Row],[TA 2 - Total Bonus (out of 13)]])/2</f>
        <v/>
      </c>
      <c r="V329">
        <f>Table1[[#This Row],[Average Questions]]/35*20+Table1[[#This Row],[Average Bonus]]/13*5</f>
        <v/>
      </c>
      <c r="W329" t="n">
        <v>0</v>
      </c>
      <c r="X329" t="n">
        <v>0</v>
      </c>
      <c r="Y329" t="inlineStr">
        <is>
          <t>The student's submission contains several critical errors that prevent the code from running correctly. The transforms are incomplete, the DataLoaders are not created correctly, and the model training and validation loops have logical errors. Additionally, the bonus task for Test Time Augmentation (TTA) is not implemented correctly.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29" t="n">
        <v>0</v>
      </c>
      <c r="AA329" t="n">
        <v>0</v>
      </c>
      <c r="AB329" t="inlineStr">
        <is>
          <t>The student's submission does not run correctly due to several issues. The transformations applied to the images are incorrect as they resize to 32x32 instead of 128x128. The CNN model does not follow the specified architecture with 5 convolutional layers and the batch normalization layers are incorrectly placed. The training and validation functions have logical errors, such as applying softmax before calculating the loss, which is incorrect for CrossEntropyLoss. Additionally, the student did not implement the bonus task of adding a residual connection.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29" t="n">
        <v>0</v>
      </c>
      <c r="AD329" t="inlineStr">
        <is>
          <t>The student's submission has several critical issues. The dataset class is incorrectly implemented, leading to a failure in loading the dataset properly. The model definition uses 'efficientnet-b0' instead of 'efficientnet-b1', which is a deviation from the rubric. The training and validation loops are incorrectly implemented, using BCEWithLogitsLoss instead of CrossEntropyLoss, which is inappropriate for multi-class segmentation. Additionally, the training loop does not run correctly due to syntax errors and logical mistakes. The visualization of predictions is also incorrect and does not follow the required format. Overall, the submission does not meet the requirements of the rubric and fails to run correctly.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329" t="n">
        <v>0</v>
      </c>
      <c r="AF329" t="n">
        <v>0</v>
      </c>
      <c r="AG329" t="inlineStr">
        <is>
          <t>No submission found.</t>
        </is>
      </c>
      <c r="AH329" t="n">
        <v>0</v>
      </c>
      <c r="AI329" t="n">
        <v>0</v>
      </c>
    </row>
    <row r="330">
      <c r="A330" t="n">
        <v>329</v>
      </c>
      <c r="B330" t="inlineStr">
        <is>
          <t>TA_6</t>
        </is>
      </c>
      <c r="C330" t="inlineStr">
        <is>
          <t>TA_16</t>
        </is>
      </c>
      <c r="D330" t="n">
        <v>12</v>
      </c>
      <c r="E330" t="n">
        <v>0</v>
      </c>
      <c r="F330" t="n">
        <v>11</v>
      </c>
      <c r="G330" t="n">
        <v>0</v>
      </c>
      <c r="H330" t="n">
        <v>12</v>
      </c>
      <c r="I330" t="n">
        <v>5</v>
      </c>
      <c r="J330" t="n">
        <v>12</v>
      </c>
      <c r="K330" t="n">
        <v>0</v>
      </c>
      <c r="L330" t="n">
        <v>11</v>
      </c>
      <c r="M330" t="n">
        <v>0</v>
      </c>
      <c r="N330" t="n">
        <v>12</v>
      </c>
      <c r="O330" t="n">
        <v>5</v>
      </c>
      <c r="P330">
        <f>Table1[[#This Row],[TA 1 - Q1 Score]]+Table1[[#This Row],[TA 1 - Q2 Score]]+Table1[[#This Row],[TA 1 - Q3 Score]]</f>
        <v/>
      </c>
      <c r="Q330">
        <f>Table1[[#This Row],[TA 1 - Q1 Bonus]]+Table1[[#This Row],[TA 1 - Q2 Bonus]]+Table1[[#This Row],[TA 1 - Q4 Bonus]]</f>
        <v/>
      </c>
      <c r="R330">
        <f>Table1[[#This Row],[TA 2 - Q1 Score]]+Table1[[#This Row],[TA 2 - Q2 Score]]+Table1[[#This Row],[TA 2 - Q3 Score]]</f>
        <v/>
      </c>
      <c r="S330">
        <f>Table1[[#This Row],[TA 2 - Q1 Bonus]]+Table1[[#This Row],[TA 2 - Q2 Bonus]]+Table1[[#This Row],[TA 2 - Q4 Bonus]]</f>
        <v/>
      </c>
      <c r="T330">
        <f>(Table1[[#This Row],[TA 1 - Total Score (out of 35)]]+Table1[[#This Row],[TA 2 - Total Score (out of 35)]])/2</f>
        <v/>
      </c>
      <c r="U330">
        <f>(Table1[[#This Row],[TA 1 - Total Bonus (out of 13)]]+Table1[[#This Row],[TA 2 - Total Bonus (out of 13)]])/2</f>
        <v/>
      </c>
      <c r="V330">
        <f>Table1[[#This Row],[Average Questions]]/35*20+Table1[[#This Row],[Average Bonus]]/13*5</f>
        <v/>
      </c>
      <c r="W330" t="n">
        <v>0</v>
      </c>
      <c r="X330" t="n">
        <v>0</v>
      </c>
      <c r="Y330" t="inlineStr">
        <is>
          <t>The student's submission does not run end-to-end due to missing or incomplete code in several critical parts. Specifically, the transforms are not fully defined, the DataLoaders are not correctly created, and the model training and validation loops are incomplete. Additionally, the student did not implement the bonus task for Test Time Augmentation.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30" t="n">
        <v>0</v>
      </c>
      <c r="AA330" t="n">
        <v>0</v>
      </c>
      <c r="AB330" t="inlineStr">
        <is>
          <t>The student's submission does not run correctly due to several issues. The model definition is incorrect and does not follow the specified architecture with 5 convolutional layers. The training and validation functions are incorrectly implemented, leading to errors in the training process. Additionally, the student did not attempt the bonus task.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30" t="n">
        <v>0</v>
      </c>
      <c r="AD330" t="inlineStr">
        <is>
          <t>The student's submission does not run end-to-end due to multiple issues. The dataset class is incorrectly implemented, leading to errors in data loading. The model definition and training loops are present but do not run correctly due to dependencies and logical errors. The visualization of predictions is attempted but fails due to the previous errors. Therefore, no points are awarded for any task as the code does not execute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30" t="n">
        <v>0</v>
      </c>
      <c r="AF330" t="n">
        <v>0</v>
      </c>
      <c r="AG330" t="inlineStr">
        <is>
          <t>The student's implementation of the `ColorizationDataset` class contains a critical error in the `rgb_to_grayscale` method. The method does not correctly convert the RGB image to grayscale, resulting in incorrect grayscale images. This error prevents the code from running correctly, and thus, no points can be awarded for this task.
Breakdown:
- Correctly implemented `ColorizationDataset` class: 0.0/?</t>
        </is>
      </c>
      <c r="AH330" t="n">
        <v>0</v>
      </c>
      <c r="AI330" t="n">
        <v>0</v>
      </c>
    </row>
    <row r="331">
      <c r="A331" t="n">
        <v>330</v>
      </c>
      <c r="B331" t="inlineStr">
        <is>
          <t>TA_6</t>
        </is>
      </c>
      <c r="C331" t="inlineStr">
        <is>
          <t>TA_16</t>
        </is>
      </c>
      <c r="D331" t="n">
        <v>9.5</v>
      </c>
      <c r="E331" t="n">
        <v>0</v>
      </c>
      <c r="F331" t="n">
        <v>6.25</v>
      </c>
      <c r="G331" t="n">
        <v>0</v>
      </c>
      <c r="H331" t="n">
        <v>0</v>
      </c>
      <c r="I331" t="n">
        <v>0</v>
      </c>
      <c r="J331" t="n">
        <v>9.5</v>
      </c>
      <c r="K331" t="n">
        <v>0</v>
      </c>
      <c r="L331" t="n">
        <v>5.75</v>
      </c>
      <c r="M331" t="n">
        <v>0</v>
      </c>
      <c r="N331" t="n">
        <v>0</v>
      </c>
      <c r="O331" t="n">
        <v>0</v>
      </c>
      <c r="P331">
        <f>Table1[[#This Row],[TA 1 - Q1 Score]]+Table1[[#This Row],[TA 1 - Q2 Score]]+Table1[[#This Row],[TA 1 - Q3 Score]]</f>
        <v/>
      </c>
      <c r="Q331">
        <f>Table1[[#This Row],[TA 1 - Q1 Bonus]]+Table1[[#This Row],[TA 1 - Q2 Bonus]]+Table1[[#This Row],[TA 1 - Q4 Bonus]]</f>
        <v/>
      </c>
      <c r="R331">
        <f>Table1[[#This Row],[TA 2 - Q1 Score]]+Table1[[#This Row],[TA 2 - Q2 Score]]+Table1[[#This Row],[TA 2 - Q3 Score]]</f>
        <v/>
      </c>
      <c r="S331">
        <f>Table1[[#This Row],[TA 2 - Q1 Bonus]]+Table1[[#This Row],[TA 2 - Q2 Bonus]]+Table1[[#This Row],[TA 2 - Q4 Bonus]]</f>
        <v/>
      </c>
      <c r="T331">
        <f>(Table1[[#This Row],[TA 1 - Total Score (out of 35)]]+Table1[[#This Row],[TA 2 - Total Score (out of 35)]])/2</f>
        <v/>
      </c>
      <c r="U331">
        <f>(Table1[[#This Row],[TA 1 - Total Bonus (out of 13)]]+Table1[[#This Row],[TA 2 - Total Bonus (out of 13)]])/2</f>
        <v/>
      </c>
      <c r="V331">
        <f>Table1[[#This Row],[Average Questions]]/35*20+Table1[[#This Row],[Average Bonus]]/13*5</f>
        <v/>
      </c>
      <c r="W331" t="n">
        <v>0</v>
      </c>
      <c r="X331" t="n">
        <v>0</v>
      </c>
      <c r="Y331" t="inlineStr">
        <is>
          <t>The student's submission does not include code for displaying sample images, freezing the backbone of the model, setting up the device, model, loss, and optimizer, training the model, or plotting the training and validation losses and accuracies. Additionally, the student did not implement the bonus task for Test Time Augmentation.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31" t="n">
        <v>0</v>
      </c>
      <c r="AA331" t="n">
        <v>0</v>
      </c>
      <c r="AB331" t="inlineStr">
        <is>
          <t>The student's submission does not run correctly due to several issues. The dataset class or ImageFolder is not correctly implemented as the transforms are not applied correctly. The CNN model class does not follow the specified structure with 5 convolutional layers and batch normalization. The training and validation functions are incorrectly implemented, leading to errors in the training process. Additionally, the student did not attempt the bonus task. Therefore, the minimum defensible score for each task is 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31" t="n">
        <v>0</v>
      </c>
      <c r="AD331" t="inlineStr">
        <is>
          <t>The student's submission is incomplete and contains significant errors. The dataset class and DataLoader creation are missing, as well as the display of sample images and masks. The model definition uses an incorrect approach with efficientnet_v2_s instead of the required efficientnet-b1 encoder, resulting in a -50% penalty. The training and validation loops, loss and optimizer definition, model training, loss printing, loss curve plotting, and prediction visualization are all missing, resulting in 0% for these tasks.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331" t="n">
        <v>0</v>
      </c>
      <c r="AF331" t="n">
        <v>0</v>
      </c>
      <c r="AG331" t="inlineStr">
        <is>
          <t>No submission found.</t>
        </is>
      </c>
      <c r="AH331" t="n">
        <v>0</v>
      </c>
      <c r="AI331" t="n">
        <v>0</v>
      </c>
    </row>
    <row r="332">
      <c r="A332" t="n">
        <v>331</v>
      </c>
      <c r="B332" t="inlineStr">
        <is>
          <t>TA_6</t>
        </is>
      </c>
      <c r="C332" t="inlineStr">
        <is>
          <t>TA_16</t>
        </is>
      </c>
      <c r="D332" t="n">
        <v>12</v>
      </c>
      <c r="E332" t="n">
        <v>4</v>
      </c>
      <c r="F332" t="n">
        <v>10.5</v>
      </c>
      <c r="G332" t="n">
        <v>4</v>
      </c>
      <c r="H332" t="n">
        <v>8</v>
      </c>
      <c r="I332" t="n">
        <v>5</v>
      </c>
      <c r="J332" t="n">
        <v>12</v>
      </c>
      <c r="K332" t="n">
        <v>4</v>
      </c>
      <c r="L332" t="n">
        <v>10.5</v>
      </c>
      <c r="M332" t="n">
        <v>4</v>
      </c>
      <c r="N332" t="n">
        <v>8</v>
      </c>
      <c r="O332" t="n">
        <v>5</v>
      </c>
      <c r="P332">
        <f>Table1[[#This Row],[TA 1 - Q1 Score]]+Table1[[#This Row],[TA 1 - Q2 Score]]+Table1[[#This Row],[TA 1 - Q3 Score]]</f>
        <v/>
      </c>
      <c r="Q332">
        <f>Table1[[#This Row],[TA 1 - Q1 Bonus]]+Table1[[#This Row],[TA 1 - Q2 Bonus]]+Table1[[#This Row],[TA 1 - Q4 Bonus]]</f>
        <v/>
      </c>
      <c r="R332">
        <f>Table1[[#This Row],[TA 2 - Q1 Score]]+Table1[[#This Row],[TA 2 - Q2 Score]]+Table1[[#This Row],[TA 2 - Q3 Score]]</f>
        <v/>
      </c>
      <c r="S332">
        <f>Table1[[#This Row],[TA 2 - Q1 Bonus]]+Table1[[#This Row],[TA 2 - Q2 Bonus]]+Table1[[#This Row],[TA 2 - Q4 Bonus]]</f>
        <v/>
      </c>
      <c r="T332">
        <f>(Table1[[#This Row],[TA 1 - Total Score (out of 35)]]+Table1[[#This Row],[TA 2 - Total Score (out of 35)]])/2</f>
        <v/>
      </c>
      <c r="U332">
        <f>(Table1[[#This Row],[TA 1 - Total Bonus (out of 13)]]+Table1[[#This Row],[TA 2 - Total Bonus (out of 13)]])/2</f>
        <v/>
      </c>
      <c r="V332">
        <f>Table1[[#This Row],[Average Questions]]/35*20+Table1[[#This Row],[Average Bonus]]/13*5</f>
        <v/>
      </c>
      <c r="W332" t="n">
        <v>0</v>
      </c>
      <c r="X332" t="n">
        <v>0</v>
      </c>
      <c r="Y332" t="inlineStr">
        <is>
          <t>The student's submission does not run correctly due to several issues. The transforms are incomplete, the DataLoaders are not correctly created, and the sample images are not displayed correctly. The model loading and adaptation steps are incorrect, and the training and validation loops do not function as intended. Additionally, the plots for training and validation losses and accuracies are missing. The bonus task for Test Time Augmentation is also incomplete and does not run correctly.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32" t="n">
        <v>0</v>
      </c>
      <c r="AA332" t="n">
        <v>0</v>
      </c>
      <c r="AB332" t="inlineStr">
        <is>
          <t>The student's submission does not run correctly due to several issues. The dataset class or ImageFolder is not correctly implemented, the transforms do not match the required specifications, and the CNN model does not have the correct number of convolutional layers. Additionally, the training and validation functions are incorrect, and the residual connection is not properly defined.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32" t="n">
        <v>0</v>
      </c>
      <c r="AD332" t="inlineStr">
        <is>
          <t>The student's submission has several critical issues. The dataset class is incorrectly implemented, leading to incorrect data loading. The model definition uses 'efficientnet-b0' instead of 'efficientnet-b1' as specified, and the loss function is incorrectly set to BCEWithLogitsLoss instead of CrossEntropyLoss. The training and validation loops are incorrectly implemented, and the visualization of predictions is flawed. These issues result in a complete failure to run the task correctly, warranting a score of 0.0 for the base tasks and -50.0 for the model definition task.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332" t="n">
        <v>0</v>
      </c>
      <c r="AF332" t="n">
        <v>0</v>
      </c>
      <c r="AG332" t="inlineStr">
        <is>
          <t>The student's implementation of the `ColorizationDataset` class contains several issues. The `rgb_to_grayscale` method does not add the channel dimension back to the grayscale image, which results in incorrect dimensions. Additionally, the student's code does not handle the dataset correctly in the `__getitem__` method, leading to incorrect outputs. These mistakes prevent the code from running correctly and producing the expected results, thus warranting a score of 0.0 for the task.
Breakdown:
- Correctly implemented `ColorizationDataset` class: 0.0/5.0</t>
        </is>
      </c>
      <c r="AH332" t="n">
        <v>0</v>
      </c>
      <c r="AI332" t="n">
        <v>0</v>
      </c>
    </row>
    <row r="333">
      <c r="A333" t="n">
        <v>332</v>
      </c>
      <c r="B333" t="inlineStr">
        <is>
          <t>TA_6</t>
        </is>
      </c>
      <c r="C333" t="inlineStr">
        <is>
          <t>TA_16</t>
        </is>
      </c>
      <c r="D333" t="n">
        <v>2</v>
      </c>
      <c r="E333" t="n">
        <v>0</v>
      </c>
      <c r="F333" t="n">
        <v>7.25</v>
      </c>
      <c r="G333" t="n">
        <v>0</v>
      </c>
      <c r="H333" t="n">
        <v>7</v>
      </c>
      <c r="I333" t="n">
        <v>0</v>
      </c>
      <c r="J333" t="n">
        <v>2</v>
      </c>
      <c r="K333" t="n">
        <v>0</v>
      </c>
      <c r="L333" t="n">
        <v>7.75</v>
      </c>
      <c r="M333" t="n">
        <v>0</v>
      </c>
      <c r="N333" t="n">
        <v>9</v>
      </c>
      <c r="O333" t="n">
        <v>0</v>
      </c>
      <c r="P333">
        <f>Table1[[#This Row],[TA 1 - Q1 Score]]+Table1[[#This Row],[TA 1 - Q2 Score]]+Table1[[#This Row],[TA 1 - Q3 Score]]</f>
        <v/>
      </c>
      <c r="Q333">
        <f>Table1[[#This Row],[TA 1 - Q1 Bonus]]+Table1[[#This Row],[TA 1 - Q2 Bonus]]+Table1[[#This Row],[TA 1 - Q4 Bonus]]</f>
        <v/>
      </c>
      <c r="R333">
        <f>Table1[[#This Row],[TA 2 - Q1 Score]]+Table1[[#This Row],[TA 2 - Q2 Score]]+Table1[[#This Row],[TA 2 - Q3 Score]]</f>
        <v/>
      </c>
      <c r="S333">
        <f>Table1[[#This Row],[TA 2 - Q1 Bonus]]+Table1[[#This Row],[TA 2 - Q2 Bonus]]+Table1[[#This Row],[TA 2 - Q4 Bonus]]</f>
        <v/>
      </c>
      <c r="T333">
        <f>(Table1[[#This Row],[TA 1 - Total Score (out of 35)]]+Table1[[#This Row],[TA 2 - Total Score (out of 35)]])/2</f>
        <v/>
      </c>
      <c r="U333">
        <f>(Table1[[#This Row],[TA 1 - Total Bonus (out of 13)]]+Table1[[#This Row],[TA 2 - Total Bonus (out of 13)]])/2</f>
        <v/>
      </c>
      <c r="V333">
        <f>Table1[[#This Row],[Average Questions]]/35*20+Table1[[#This Row],[Average Bonus]]/13*5</f>
        <v/>
      </c>
      <c r="W333" t="n">
        <v>0</v>
      </c>
      <c r="X333" t="n">
        <v>0</v>
      </c>
      <c r="Y333" t="inlineStr">
        <is>
          <t>The student's submission contains significant errors and omissions. The transforms are correctly defined, but the DataLoaders are not created correctly, and sample images are not displayed as required. The model loading and adaptation steps are incomplete, with the backbone not frozen and the classifier head not replaced correctly. The training and validation loops are incorrect, and the label fixing is not implemented. The training setup and plotting tasks are not completed. The bonus task for Test Time Augmentation is also not attempted. Therefore, the student receives 0 points for the base tasks and 0 points for the bonus task.
Breakdown:
- Task 1: Complete transforms (Resize, ToTensor, Normalize): 1.5/?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33" t="n">
        <v>0</v>
      </c>
      <c r="AA333" t="n">
        <v>0</v>
      </c>
      <c r="AB333" t="inlineStr">
        <is>
          <t>The student's submission does not run correctly due to several issues. The dataset class or ImageFolder is incorrectly implemented, leading to errors in loading the data. The transformations applied do not match the required specifications, and the model architecture deviates significantly from the rubric. Additionally, the training and validation functions contain logical errors, and the plotting of losses and accuracy is incorrect. The bonus task is not attempted.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33" t="n">
        <v>0</v>
      </c>
      <c r="AD333" t="inlineStr">
        <is>
          <t>The student's submission contains several critical errors. The dataset class is incomplete and does not correctly implement the required functionality. The model definition uses 'efficientnet-b0' instead of 'efficientnet-b1', which is a deviation from the rubric. The training and validation loops are present but do not run correctly due to the incorrect model definition and missing components. The loss and optimizer are defined but not used correctly in the training loop. The visualization of predictions is attempted but fails due to the incorrect model and missing components. Overall, the submission does not meet the requirements of the rubric and results in a score of 0.0.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333" t="n">
        <v>0</v>
      </c>
      <c r="AF333" t="n">
        <v>0</v>
      </c>
      <c r="AG333" t="inlineStr">
        <is>
          <t>No submission found.</t>
        </is>
      </c>
      <c r="AH333" t="n">
        <v>0</v>
      </c>
      <c r="AI333" t="n">
        <v>0</v>
      </c>
    </row>
    <row r="334">
      <c r="A334" t="n">
        <v>333</v>
      </c>
      <c r="B334" t="inlineStr">
        <is>
          <t>TA_6</t>
        </is>
      </c>
      <c r="C334" t="inlineStr">
        <is>
          <t>TA_16</t>
        </is>
      </c>
      <c r="D334" t="n">
        <v>1</v>
      </c>
      <c r="E334" t="n">
        <v>0</v>
      </c>
      <c r="F334" t="n">
        <v>0</v>
      </c>
      <c r="G334" t="n">
        <v>0</v>
      </c>
      <c r="H334" t="n">
        <v>0</v>
      </c>
      <c r="I334" t="n">
        <v>0</v>
      </c>
      <c r="J334" t="n">
        <v>1</v>
      </c>
      <c r="K334" t="n">
        <v>0</v>
      </c>
      <c r="L334" t="n">
        <v>0</v>
      </c>
      <c r="M334" t="n">
        <v>0</v>
      </c>
      <c r="N334" t="n">
        <v>0</v>
      </c>
      <c r="O334" t="n">
        <v>0</v>
      </c>
      <c r="P334">
        <f>Table1[[#This Row],[TA 1 - Q1 Score]]+Table1[[#This Row],[TA 1 - Q2 Score]]+Table1[[#This Row],[TA 1 - Q3 Score]]</f>
        <v/>
      </c>
      <c r="Q334">
        <f>Table1[[#This Row],[TA 1 - Q1 Bonus]]+Table1[[#This Row],[TA 1 - Q2 Bonus]]+Table1[[#This Row],[TA 1 - Q4 Bonus]]</f>
        <v/>
      </c>
      <c r="R334">
        <f>Table1[[#This Row],[TA 2 - Q1 Score]]+Table1[[#This Row],[TA 2 - Q2 Score]]+Table1[[#This Row],[TA 2 - Q3 Score]]</f>
        <v/>
      </c>
      <c r="S334">
        <f>Table1[[#This Row],[TA 2 - Q1 Bonus]]+Table1[[#This Row],[TA 2 - Q2 Bonus]]+Table1[[#This Row],[TA 2 - Q4 Bonus]]</f>
        <v/>
      </c>
      <c r="T334">
        <f>(Table1[[#This Row],[TA 1 - Total Score (out of 35)]]+Table1[[#This Row],[TA 2 - Total Score (out of 35)]])/2</f>
        <v/>
      </c>
      <c r="U334">
        <f>(Table1[[#This Row],[TA 1 - Total Bonus (out of 13)]]+Table1[[#This Row],[TA 2 - Total Bonus (out of 13)]])/2</f>
        <v/>
      </c>
      <c r="V334">
        <f>Table1[[#This Row],[Average Questions]]/35*20+Table1[[#This Row],[Average Bonus]]/13*5</f>
        <v/>
      </c>
      <c r="W334" t="n">
        <v>0</v>
      </c>
      <c r="X334" t="n">
        <v>0</v>
      </c>
      <c r="Y334" t="inlineStr">
        <is>
          <t>The student's submission deviates significantly from the required tasks. The transforms are incomplete, the wrong dataset (CIFAR-10) is used, and the model is incorrectly defined using VGG16 instead of EfficientNetV2-Small. The training and validation loops are not correctly implemented, and there is no attempt to fix the labels. Additionally, the student did not attempt the bonus task. The submission does not run correctly and disregards specific instructions, leading to a score of 0.0 for the base tasks and 0.0 for the bonus tasks.
Breakdown:
- Task 1: Complete transforms (Resize, ToTensor, Normalize): 0.0/?
- Task 2: Create DataLoaders: 0.0/?
- Task 3: Display sample images: 0.0/?
- Task 1: Load pretrained EfficientNetV2-Small: -50.0/?
- Task 2: Freeze the backbone (feature extractor): -50.0/?
- Task 3: Replace classifier head for 26 classes: -50.0/?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34" t="n">
        <v>0</v>
      </c>
      <c r="AA334" t="n">
        <v>0</v>
      </c>
      <c r="AB334" t="inlineStr">
        <is>
          <t>The student's submission does not follow the instructions provided in the exam guidelines. The student used a different dataset and model architecture (VGG16) instead of building a CNN from scratch as required. The code is also disorganized and fragmented, making it difficult to evaluate individual tasks. The student did not attempt to create the required transforms, display sample images, or build the CNN model as specified. Therefore, the student receives -50% for tasks that were attempted with an entirely wrong approach and 0% for tasks that were not attempted at all.
Breakdown:
- Task 1: Dataset class or ImageFolder: -50/?
- Task 2: Create train/test datasets and DataLoaders: -50/?
- Task 3: Transforms (RandomRotation, Resize to 32x32): -50/?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334" t="n">
        <v>0</v>
      </c>
      <c r="AD334" t="inlineStr">
        <is>
          <t>The student's submission deviates significantly from the task requirements. The dataset class and DataLoader creation are incorrect as they use the CIFAR-10 dataset instead of the specified underwater imagery dataset. The model class definition is also incorrect, using a VGG16 model instead of the required U-Net with efficientnet-b1 encoder. Additionally, the training and validation loops, loss and optimizer definition, and visualization tasks are not attempted or are incorrect. Therefore, the student receives -50% for tasks that are entirely incorrect or disregarded specific instructions, and 0% for tasks that were not attempted.
Breakdown:
- Build custom dataset class for images and masks: -50.0/?
- Create DataLoaders: -50.0/?
- Display sample images and masks: -50.0/?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334" t="n">
        <v>0</v>
      </c>
      <c r="AF334" t="n">
        <v>0</v>
      </c>
      <c r="AG334" t="inlineStr">
        <is>
          <t>No submission found.</t>
        </is>
      </c>
      <c r="AH334" t="n">
        <v>0</v>
      </c>
      <c r="AI334" t="n">
        <v>0</v>
      </c>
    </row>
    <row r="335">
      <c r="A335" t="n">
        <v>334</v>
      </c>
      <c r="B335" t="inlineStr">
        <is>
          <t>TA_6</t>
        </is>
      </c>
      <c r="C335" t="inlineStr">
        <is>
          <t>TA_16</t>
        </is>
      </c>
      <c r="D335" t="n">
        <v>12</v>
      </c>
      <c r="E335" t="n">
        <v>0</v>
      </c>
      <c r="F335" t="n">
        <v>10</v>
      </c>
      <c r="G335" t="n">
        <v>0</v>
      </c>
      <c r="H335" t="n">
        <v>8</v>
      </c>
      <c r="I335" t="n">
        <v>0</v>
      </c>
      <c r="J335" t="n">
        <v>12</v>
      </c>
      <c r="K335" t="n">
        <v>0</v>
      </c>
      <c r="L335" t="n">
        <v>10</v>
      </c>
      <c r="M335" t="n">
        <v>0</v>
      </c>
      <c r="N335" t="n">
        <v>8</v>
      </c>
      <c r="O335" t="n">
        <v>0</v>
      </c>
      <c r="P335">
        <f>Table1[[#This Row],[TA 1 - Q1 Score]]+Table1[[#This Row],[TA 1 - Q2 Score]]+Table1[[#This Row],[TA 1 - Q3 Score]]</f>
        <v/>
      </c>
      <c r="Q335">
        <f>Table1[[#This Row],[TA 1 - Q1 Bonus]]+Table1[[#This Row],[TA 1 - Q2 Bonus]]+Table1[[#This Row],[TA 1 - Q4 Bonus]]</f>
        <v/>
      </c>
      <c r="R335">
        <f>Table1[[#This Row],[TA 2 - Q1 Score]]+Table1[[#This Row],[TA 2 - Q2 Score]]+Table1[[#This Row],[TA 2 - Q3 Score]]</f>
        <v/>
      </c>
      <c r="S335">
        <f>Table1[[#This Row],[TA 2 - Q1 Bonus]]+Table1[[#This Row],[TA 2 - Q2 Bonus]]+Table1[[#This Row],[TA 2 - Q4 Bonus]]</f>
        <v/>
      </c>
      <c r="T335">
        <f>(Table1[[#This Row],[TA 1 - Total Score (out of 35)]]+Table1[[#This Row],[TA 2 - Total Score (out of 35)]])/2</f>
        <v/>
      </c>
      <c r="U335">
        <f>(Table1[[#This Row],[TA 1 - Total Bonus (out of 13)]]+Table1[[#This Row],[TA 2 - Total Bonus (out of 13)]])/2</f>
        <v/>
      </c>
      <c r="V335">
        <f>Table1[[#This Row],[Average Questions]]/35*20+Table1[[#This Row],[Average Bonus]]/13*5</f>
        <v/>
      </c>
      <c r="W335" t="n">
        <v>0</v>
      </c>
      <c r="X335" t="n">
        <v>0</v>
      </c>
      <c r="Y335" t="inlineStr">
        <is>
          <t>The student's submission does not run correctly due to several issues. The code for displaying sample images is incomplete and does not show the labels. The model training and validation functions are incorrectly implemented, leading to errors in the training process. Additionally, the student did not implement the bonus task for Test Time Augmentation.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35" t="n">
        <v>0</v>
      </c>
      <c r="AA335" t="n">
        <v>0</v>
      </c>
      <c r="AB335" t="inlineStr">
        <is>
          <t>The student's submission contains several critical errors that prevent the code from running correctly. The dataset class or ImageFolder is not correctly implemented, the transforms are incorrect, and the CNN model class is flawed. Additionally, the training and validation functions are not correctly defined, and the training process does not follow the specified instructions. The bonus task is also incomplete and incorrect.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35" t="n">
        <v>0</v>
      </c>
      <c r="AD335" t="inlineStr">
        <is>
          <t>The student's submission does not run correctly due to several issues. The dataset class is incorrectly defined, leading to errors in data loading. The model definition uses the wrong encoder and the number of classes is incorrect. The training and validation loops are incorrectly implemented, leading to runtime errors. The loss function and optimizer are not correctly defined for the task. The visualization of predictions is also incorrect due to the model's incorrect setup. Therefore, no points are awarded for any task as the code does not run correctly and deviates significantly from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35" t="n">
        <v>0</v>
      </c>
      <c r="AF335" t="n">
        <v>0</v>
      </c>
      <c r="AG335" t="inlineStr">
        <is>
          <t>No submission found.</t>
        </is>
      </c>
      <c r="AH335" t="n">
        <v>0</v>
      </c>
      <c r="AI335" t="n">
        <v>0</v>
      </c>
    </row>
    <row r="336">
      <c r="A336" t="n">
        <v>335</v>
      </c>
      <c r="B336" t="inlineStr">
        <is>
          <t>TA_6</t>
        </is>
      </c>
      <c r="C336" t="inlineStr">
        <is>
          <t>TA_16</t>
        </is>
      </c>
      <c r="D336" t="n">
        <v>12</v>
      </c>
      <c r="E336" t="n">
        <v>0</v>
      </c>
      <c r="F336" t="n">
        <v>11</v>
      </c>
      <c r="G336" t="n">
        <v>0</v>
      </c>
      <c r="H336" t="n">
        <v>7.5</v>
      </c>
      <c r="I336" t="n">
        <v>0</v>
      </c>
      <c r="J336" t="n">
        <v>12</v>
      </c>
      <c r="K336" t="n">
        <v>0</v>
      </c>
      <c r="L336" t="n">
        <v>11</v>
      </c>
      <c r="M336" t="n">
        <v>0</v>
      </c>
      <c r="N336" t="n">
        <v>7.5</v>
      </c>
      <c r="O336" t="n">
        <v>0</v>
      </c>
      <c r="P336">
        <f>Table1[[#This Row],[TA 1 - Q1 Score]]+Table1[[#This Row],[TA 1 - Q2 Score]]+Table1[[#This Row],[TA 1 - Q3 Score]]</f>
        <v/>
      </c>
      <c r="Q336">
        <f>Table1[[#This Row],[TA 1 - Q1 Bonus]]+Table1[[#This Row],[TA 1 - Q2 Bonus]]+Table1[[#This Row],[TA 1 - Q4 Bonus]]</f>
        <v/>
      </c>
      <c r="R336">
        <f>Table1[[#This Row],[TA 2 - Q1 Score]]+Table1[[#This Row],[TA 2 - Q2 Score]]+Table1[[#This Row],[TA 2 - Q3 Score]]</f>
        <v/>
      </c>
      <c r="S336">
        <f>Table1[[#This Row],[TA 2 - Q1 Bonus]]+Table1[[#This Row],[TA 2 - Q2 Bonus]]+Table1[[#This Row],[TA 2 - Q4 Bonus]]</f>
        <v/>
      </c>
      <c r="T336">
        <f>(Table1[[#This Row],[TA 1 - Total Score (out of 35)]]+Table1[[#This Row],[TA 2 - Total Score (out of 35)]])/2</f>
        <v/>
      </c>
      <c r="U336">
        <f>(Table1[[#This Row],[TA 1 - Total Bonus (out of 13)]]+Table1[[#This Row],[TA 2 - Total Bonus (out of 13)]])/2</f>
        <v/>
      </c>
      <c r="V336">
        <f>Table1[[#This Row],[Average Questions]]/35*20+Table1[[#This Row],[Average Bonus]]/13*5</f>
        <v/>
      </c>
      <c r="W336" t="n">
        <v>0</v>
      </c>
      <c r="X336" t="n">
        <v>0</v>
      </c>
      <c r="Y336" t="inlineStr">
        <is>
          <t>The student's submission does not run correctly due to multiple issues. The transforms are incorrectly applied, the DataLoaders are not correctly created, and the model training and validation loops are flawed. Additionally, the student did not implement the bonus task for Test Time Augmentation.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36" t="n">
        <v>0</v>
      </c>
      <c r="AA336" t="n">
        <v>0</v>
      </c>
      <c r="AB336" t="inlineStr">
        <is>
          <t>The student's submission does not follow the rubric correctly. The student used the wrong dataset class (EMNIST instead of ImageFolder) and did not resize the images to 32x32 as specified. Additionally, the student did not implement the CNN model with 5 convolutional layers correctly and did not add Batch Normalization. The training and validation functions are incomplete and do not run correctly. The student also did not attempt the bonus task.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36" t="n">
        <v>0</v>
      </c>
      <c r="AD336" t="inlineStr">
        <is>
          <t>The student's submission does not run end-to-end due to multiple issues. The dataset class is incomplete and incorrect, leading to failures in creating DataLoaders and displaying sample images and masks. The model definition uses the wrong encoder, and the training and validation loops are incorrectly implemented. The loss function and optimizer are misconfigured, and the training process does not execute correctly. Additionally, the visualization of predictions is flawed due to the earlier errors. Therefore, no points are awarded for any task as the code does not run correctly and deviates significantly from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36" t="n">
        <v>0</v>
      </c>
      <c r="AF336" t="n">
        <v>0</v>
      </c>
      <c r="AG336" t="inlineStr">
        <is>
          <t>No submission found.</t>
        </is>
      </c>
      <c r="AH336" t="n">
        <v>0</v>
      </c>
      <c r="AI336" t="n">
        <v>0</v>
      </c>
    </row>
    <row r="337">
      <c r="A337" t="n">
        <v>336</v>
      </c>
      <c r="B337" t="inlineStr">
        <is>
          <t>TA_6</t>
        </is>
      </c>
      <c r="C337" t="inlineStr">
        <is>
          <t>TA_16</t>
        </is>
      </c>
      <c r="D337" t="n">
        <v>10.5</v>
      </c>
      <c r="E337" t="n">
        <v>0</v>
      </c>
      <c r="F337" t="n">
        <v>9</v>
      </c>
      <c r="G337" t="n">
        <v>0</v>
      </c>
      <c r="H337" t="n">
        <v>11.5</v>
      </c>
      <c r="I337" t="n">
        <v>0</v>
      </c>
      <c r="J337" t="n">
        <v>10.5</v>
      </c>
      <c r="K337" t="n">
        <v>0</v>
      </c>
      <c r="L337" t="n">
        <v>9</v>
      </c>
      <c r="M337" t="n">
        <v>0</v>
      </c>
      <c r="N337" t="n">
        <v>11.5</v>
      </c>
      <c r="O337" t="n">
        <v>0</v>
      </c>
      <c r="P337">
        <f>Table1[[#This Row],[TA 1 - Q1 Score]]+Table1[[#This Row],[TA 1 - Q2 Score]]+Table1[[#This Row],[TA 1 - Q3 Score]]</f>
        <v/>
      </c>
      <c r="Q337">
        <f>Table1[[#This Row],[TA 1 - Q1 Bonus]]+Table1[[#This Row],[TA 1 - Q2 Bonus]]+Table1[[#This Row],[TA 1 - Q4 Bonus]]</f>
        <v/>
      </c>
      <c r="R337">
        <f>Table1[[#This Row],[TA 2 - Q1 Score]]+Table1[[#This Row],[TA 2 - Q2 Score]]+Table1[[#This Row],[TA 2 - Q3 Score]]</f>
        <v/>
      </c>
      <c r="S337">
        <f>Table1[[#This Row],[TA 2 - Q1 Bonus]]+Table1[[#This Row],[TA 2 - Q2 Bonus]]+Table1[[#This Row],[TA 2 - Q4 Bonus]]</f>
        <v/>
      </c>
      <c r="T337">
        <f>(Table1[[#This Row],[TA 1 - Total Score (out of 35)]]+Table1[[#This Row],[TA 2 - Total Score (out of 35)]])/2</f>
        <v/>
      </c>
      <c r="U337">
        <f>(Table1[[#This Row],[TA 1 - Total Bonus (out of 13)]]+Table1[[#This Row],[TA 2 - Total Bonus (out of 13)]])/2</f>
        <v/>
      </c>
      <c r="V337">
        <f>Table1[[#This Row],[Average Questions]]/35*20+Table1[[#This Row],[Average Bonus]]/13*5</f>
        <v/>
      </c>
      <c r="W337" t="n">
        <v>0</v>
      </c>
      <c r="X337" t="n">
        <v>0</v>
      </c>
      <c r="Y337" t="inlineStr">
        <is>
          <t>The student's submission does not run correctly due to several issues. The transforms are incomplete, the DataLoaders are not correctly created, and the model is not properly adapted for the task. Additionally, the training and validation loops are incorrect, and the plots for training and validation losses and accuracies are missing. The bonus task for Test Time Augmentation is also incomplete and incorrect.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37" t="n">
        <v>0</v>
      </c>
      <c r="AA337" t="n">
        <v>0</v>
      </c>
      <c r="AB337" t="inlineStr">
        <is>
          <t>The student's submission does not follow the rubric correctly. The dataset paths are incorrect, the transforms do not match the required specifications, and the CNN model does not have the correct number of convolutional layers or batch normalization. Additionally, the student implemented a U-Net model instead of the required CNN model with residual connections, which is entirely off-topic. The training and validation functions are present but do not run correctly due to the incorrect model implementation. Therefore, no points are awarded for any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337" t="n">
        <v>10</v>
      </c>
      <c r="AD337" t="inlineStr">
        <is>
          <t>The student successfully completed all tasks as per the rubric. The dataset class was correctly implemented, and DataLoaders were created. Sample images and masks were displayed. The model class was defined with the correct encoder. Training and validation loops were implemented correctly. The model was trained, and losses were printed and plotted. Predictions were visualized against ground truth. The student followed the instructions and used the correct dataset, earning full points for all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37" t="n">
        <v>0</v>
      </c>
      <c r="AF337" t="n">
        <v>0</v>
      </c>
      <c r="AG337" t="inlineStr">
        <is>
          <t>The student's implementation of the `ColorizationDataset` class is incomplete and contains several errors. The `rgb_to_grayscale` method does not return the grayscale image, and the `__getitem__` method does not correctly convert the image to grayscale or return the correct tuple. Additionally, there are typos in variable names and incorrect method calls. Since the implementation does not run correctly and deviates from the rubric, the minimum defensible score is 0.0.
Breakdown:
- Correctly implemented `ColorizationDataset` class: 0.0/?</t>
        </is>
      </c>
      <c r="AH337" t="n">
        <v>10</v>
      </c>
      <c r="AI337" t="n">
        <v>0</v>
      </c>
    </row>
    <row r="338">
      <c r="A338" t="n">
        <v>337</v>
      </c>
      <c r="B338" t="inlineStr">
        <is>
          <t>TA_6</t>
        </is>
      </c>
      <c r="C338" t="inlineStr">
        <is>
          <t>TA_16</t>
        </is>
      </c>
      <c r="D338" t="n">
        <v>4.5</v>
      </c>
      <c r="E338" t="n">
        <v>0</v>
      </c>
      <c r="F338" t="n">
        <v>9</v>
      </c>
      <c r="G338" t="n">
        <v>0</v>
      </c>
      <c r="H338" t="n">
        <v>0</v>
      </c>
      <c r="I338" t="n">
        <v>0</v>
      </c>
      <c r="J338" t="n">
        <v>4.5</v>
      </c>
      <c r="K338" t="n">
        <v>0</v>
      </c>
      <c r="L338" t="n">
        <v>8</v>
      </c>
      <c r="M338" t="n">
        <v>0</v>
      </c>
      <c r="N338" t="n">
        <v>0</v>
      </c>
      <c r="O338" t="n">
        <v>0</v>
      </c>
      <c r="P338">
        <f>Table1[[#This Row],[TA 1 - Q1 Score]]+Table1[[#This Row],[TA 1 - Q2 Score]]+Table1[[#This Row],[TA 1 - Q3 Score]]</f>
        <v/>
      </c>
      <c r="Q338">
        <f>Table1[[#This Row],[TA 1 - Q1 Bonus]]+Table1[[#This Row],[TA 1 - Q2 Bonus]]+Table1[[#This Row],[TA 1 - Q4 Bonus]]</f>
        <v/>
      </c>
      <c r="R338">
        <f>Table1[[#This Row],[TA 2 - Q1 Score]]+Table1[[#This Row],[TA 2 - Q2 Score]]+Table1[[#This Row],[TA 2 - Q3 Score]]</f>
        <v/>
      </c>
      <c r="S338">
        <f>Table1[[#This Row],[TA 2 - Q1 Bonus]]+Table1[[#This Row],[TA 2 - Q2 Bonus]]+Table1[[#This Row],[TA 2 - Q4 Bonus]]</f>
        <v/>
      </c>
      <c r="T338">
        <f>(Table1[[#This Row],[TA 1 - Total Score (out of 35)]]+Table1[[#This Row],[TA 2 - Total Score (out of 35)]])/2</f>
        <v/>
      </c>
      <c r="U338">
        <f>(Table1[[#This Row],[TA 1 - Total Bonus (out of 13)]]+Table1[[#This Row],[TA 2 - Total Bonus (out of 13)]])/2</f>
        <v/>
      </c>
      <c r="V338">
        <f>Table1[[#This Row],[Average Questions]]/35*20+Table1[[#This Row],[Average Bonus]]/13*5</f>
        <v/>
      </c>
      <c r="W338" t="n">
        <v>0</v>
      </c>
      <c r="X338" t="n">
        <v>0</v>
      </c>
      <c r="Y338" t="inlineStr">
        <is>
          <t>The student's submission does not run correctly due to several issues. The DataLoader creation is incorrect as it expects a dictionary format for the batch, which is not the case for the EMNIST dataset. The training and validation loops are also incorrect as they expect a dictionary format for the batch. Additionally, the student did not freeze the backbone of the model, which is a critical step in transfer learning. Therefore, the submission does not meet the requirements of the rubric and receives a score of 0.0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38" t="n">
        <v>0</v>
      </c>
      <c r="AA338" t="n">
        <v>0</v>
      </c>
      <c r="AB338" t="inlineStr">
        <is>
          <t>The student's submission does not run correctly due to missing code for several tasks. The dataset class is incomplete, and the transforms do not match the rubric. The CNN model does not have the required 5 convolutional layers with batch normalization. The training and validation functions are missing, and the training process is not set up correctly. Additionally, the bonus task for residual connections is not attempted.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38" t="n">
        <v>0</v>
      </c>
      <c r="AD338" t="inlineStr">
        <is>
          <t>The student did not complete any of the tasks. The code for building the custom dataset class, creating DataLoaders, displaying sample images and masks, defining the model, training and validation loops, running the training, and visualizing predictions is missing. Therefore, no points are awarded for any of the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38" t="n">
        <v>0</v>
      </c>
      <c r="AF338" t="n">
        <v>0</v>
      </c>
      <c r="AG338" t="inlineStr">
        <is>
          <t>The student did not implement any of the required methods in the `ColorizationDataset` class. The `__init__`, `__len__`, `rgb_to_grayscale`, and `__getitem__` methods are all left as 'TO DO' placeholders, indicating that no code was written for these tasks. Additionally, the visualization code will not run correctly because the dataset methods are not implemented. Therefore, the student receives 0 points for this task.
Breakdown:
- Correctly implemented `ColorizationDataset` class: 0.0/5.0</t>
        </is>
      </c>
      <c r="AH338" t="n">
        <v>0</v>
      </c>
      <c r="AI338" t="n">
        <v>0</v>
      </c>
    </row>
    <row r="339">
      <c r="A339" t="n">
        <v>338</v>
      </c>
      <c r="B339" t="inlineStr">
        <is>
          <t>TA_6</t>
        </is>
      </c>
      <c r="C339" t="inlineStr">
        <is>
          <t>TA_16</t>
        </is>
      </c>
      <c r="D339" t="n">
        <v>7.5</v>
      </c>
      <c r="E339" t="n">
        <v>0</v>
      </c>
      <c r="F339" t="n">
        <v>11.5</v>
      </c>
      <c r="G339" t="n">
        <v>0</v>
      </c>
      <c r="H339" t="n">
        <v>5.5</v>
      </c>
      <c r="I339" t="n">
        <v>0</v>
      </c>
      <c r="J339" t="n">
        <v>7.5</v>
      </c>
      <c r="K339" t="n">
        <v>0</v>
      </c>
      <c r="L339" t="n">
        <v>10.5</v>
      </c>
      <c r="M339" t="n">
        <v>0</v>
      </c>
      <c r="N339" t="n">
        <v>5.5</v>
      </c>
      <c r="O339" t="n">
        <v>0</v>
      </c>
      <c r="P339">
        <f>Table1[[#This Row],[TA 1 - Q1 Score]]+Table1[[#This Row],[TA 1 - Q2 Score]]+Table1[[#This Row],[TA 1 - Q3 Score]]</f>
        <v/>
      </c>
      <c r="Q339">
        <f>Table1[[#This Row],[TA 1 - Q1 Bonus]]+Table1[[#This Row],[TA 1 - Q2 Bonus]]+Table1[[#This Row],[TA 1 - Q4 Bonus]]</f>
        <v/>
      </c>
      <c r="R339">
        <f>Table1[[#This Row],[TA 2 - Q1 Score]]+Table1[[#This Row],[TA 2 - Q2 Score]]+Table1[[#This Row],[TA 2 - Q3 Score]]</f>
        <v/>
      </c>
      <c r="S339">
        <f>Table1[[#This Row],[TA 2 - Q1 Bonus]]+Table1[[#This Row],[TA 2 - Q2 Bonus]]+Table1[[#This Row],[TA 2 - Q4 Bonus]]</f>
        <v/>
      </c>
      <c r="T339">
        <f>(Table1[[#This Row],[TA 1 - Total Score (out of 35)]]+Table1[[#This Row],[TA 2 - Total Score (out of 35)]])/2</f>
        <v/>
      </c>
      <c r="U339">
        <f>(Table1[[#This Row],[TA 1 - Total Bonus (out of 13)]]+Table1[[#This Row],[TA 2 - Total Bonus (out of 13)]])/2</f>
        <v/>
      </c>
      <c r="V339">
        <f>Table1[[#This Row],[Average Questions]]/35*20+Table1[[#This Row],[Average Bonus]]/13*5</f>
        <v/>
      </c>
      <c r="W339" t="n">
        <v>0</v>
      </c>
      <c r="X339" t="n">
        <v>0</v>
      </c>
      <c r="Y339" t="inlineStr">
        <is>
          <t>The student's submission does not run correctly due to multiple issues. The student used the wrong model (EfficientNetV2-B3 instead of EfficientNetV2-Small), did not correctly freeze the backbone, and did not fix the labels for 0-indexing. Additionally, the training and validation loops are incorrect, and the plots for losses and accuracies are missing. The bonus task for Test Time Augmentation (TTA) is also not implemented correctly. Therefore, the student receives 0 points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39" t="n">
        <v>0</v>
      </c>
      <c r="AA339" t="n">
        <v>0</v>
      </c>
      <c r="AB339" t="inlineStr">
        <is>
          <t>The student's submission does not run correctly due to several issues. The dataset class or ImageFolder task is incomplete as the student did not correctly implement the transformations for the test dataset. The CNN model class does not have 5 convolutional layers as required. The training and validation functions are incorrect because they do not follow the optimal logic for training and validation. The residual connection implementation is incorrect and does not follow the specified instructions.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39" t="n">
        <v>0</v>
      </c>
      <c r="AD339" t="inlineStr">
        <is>
          <t>The student's submission has several critical issues. The dataset class is incorrectly implemented, as it does not remap the masks and uses the wrong file extension for masks. The model class is entirely incorrect, using a custom U-Net implementation instead of the required pretrained U-Net with efficientnet-b1 encoder. The training and validation loops are not correctly defined or implemented, and the training process is incomplete. Additionally, the student did not define the loss and optimizer correctly, and there is no code for plotting the loss curve or visualizing predictions. These issues result in a score of 0.0 for the base tasks and -50.0 for the model class task due to the entirely incorrect approach.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339" t="n">
        <v>0</v>
      </c>
      <c r="AF339" t="n">
        <v>0</v>
      </c>
      <c r="AG339" t="inlineStr">
        <is>
          <t>The student's submission for Question 4 is incomplete. The `rgb_to_grayscale` method and the `__getitem__` method in the `ColorizationDataset` class are not implemented, which means the code does not run correctly. Additionally, the `rgb_to_grayscale` method is missing the correct formula for converting RGB to grayscale, and the `__getitem__` method does not return the required (grayscale, color) tuple. Therefore, the implementation does not meet the criteria for any points.
Breakdown:
- Correctly implemented `ColorizationDataset` class: 0.0/5.0</t>
        </is>
      </c>
      <c r="AH339" t="n">
        <v>0</v>
      </c>
      <c r="AI339" t="n">
        <v>0</v>
      </c>
    </row>
    <row r="340">
      <c r="A340" t="n">
        <v>339</v>
      </c>
      <c r="B340" t="inlineStr">
        <is>
          <t>TA_6</t>
        </is>
      </c>
      <c r="C340" t="inlineStr">
        <is>
          <t>TA_16</t>
        </is>
      </c>
      <c r="D340" t="n">
        <v>8</v>
      </c>
      <c r="E340" t="n">
        <v>0</v>
      </c>
      <c r="F340" t="n">
        <v>9</v>
      </c>
      <c r="G340" t="n">
        <v>0</v>
      </c>
      <c r="H340" t="n">
        <v>10</v>
      </c>
      <c r="I340" t="n">
        <v>0</v>
      </c>
      <c r="J340" t="n">
        <v>8</v>
      </c>
      <c r="K340" t="n">
        <v>0</v>
      </c>
      <c r="L340" t="n">
        <v>9</v>
      </c>
      <c r="M340" t="n">
        <v>0</v>
      </c>
      <c r="N340" t="n">
        <v>10</v>
      </c>
      <c r="O340" t="n">
        <v>0</v>
      </c>
      <c r="P340">
        <f>Table1[[#This Row],[TA 1 - Q1 Score]]+Table1[[#This Row],[TA 1 - Q2 Score]]+Table1[[#This Row],[TA 1 - Q3 Score]]</f>
        <v/>
      </c>
      <c r="Q340">
        <f>Table1[[#This Row],[TA 1 - Q1 Bonus]]+Table1[[#This Row],[TA 1 - Q2 Bonus]]+Table1[[#This Row],[TA 1 - Q4 Bonus]]</f>
        <v/>
      </c>
      <c r="R340">
        <f>Table1[[#This Row],[TA 2 - Q1 Score]]+Table1[[#This Row],[TA 2 - Q2 Score]]+Table1[[#This Row],[TA 2 - Q3 Score]]</f>
        <v/>
      </c>
      <c r="S340">
        <f>Table1[[#This Row],[TA 2 - Q1 Bonus]]+Table1[[#This Row],[TA 2 - Q2 Bonus]]+Table1[[#This Row],[TA 2 - Q4 Bonus]]</f>
        <v/>
      </c>
      <c r="T340">
        <f>(Table1[[#This Row],[TA 1 - Total Score (out of 35)]]+Table1[[#This Row],[TA 2 - Total Score (out of 35)]])/2</f>
        <v/>
      </c>
      <c r="U340">
        <f>(Table1[[#This Row],[TA 1 - Total Bonus (out of 13)]]+Table1[[#This Row],[TA 2 - Total Bonus (out of 13)]])/2</f>
        <v/>
      </c>
      <c r="V340">
        <f>Table1[[#This Row],[Average Questions]]/35*20+Table1[[#This Row],[Average Bonus]]/13*5</f>
        <v/>
      </c>
      <c r="W340" t="n">
        <v>0</v>
      </c>
      <c r="X340" t="n">
        <v>0</v>
      </c>
      <c r="Y340" t="inlineStr">
        <is>
          <t>The student's submission does not run end-to-end due to missing or incorrect code in several critical parts. Specifically, the code for displaying sample images, freezing the backbone, and setting up the training loop is incomplete or incorrect. Additionally, the student did not implement the bonus task for Test Time Augmentation.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40" t="n">
        <v>0</v>
      </c>
      <c r="AA340" t="n">
        <v>0</v>
      </c>
      <c r="AB340" t="inlineStr">
        <is>
          <t>The student's submission does not run correctly due to missing code for several tasks. Specifically, the student did not implement the residual connection for the bonus task, and there is no code for setting up the device, model, loss, optimizer, or training the model. Additionally, the student did not include the necessary transforms for resizing images to 32x32 and did not display sample images with labels. The code provided is incomplete and does not follow the rubric, resulting in a score of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40" t="n">
        <v>0</v>
      </c>
      <c r="AD340" t="inlineStr">
        <is>
          <t>The student's submission does not run end-to-end due to multiple issues. The dataset class is incomplete and does not correctly load images and masks. The model definition uses 'efficientnet-b0' instead of 'efficientnet-b1' as specified. The training and validation loops are present but do not run correctly due to errors in the dataset class and model definition. The visualization of predictions is attempted but fails due to the previous issues. Therefore, no points are awarded for any task as the code does not run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40" t="n">
        <v>0</v>
      </c>
      <c r="AF340" t="n">
        <v>0</v>
      </c>
      <c r="AG340" t="inlineStr">
        <is>
          <t>No submission found.</t>
        </is>
      </c>
      <c r="AH340" t="n">
        <v>0</v>
      </c>
      <c r="AI340" t="n">
        <v>0</v>
      </c>
    </row>
    <row r="341">
      <c r="A341" t="n">
        <v>340</v>
      </c>
      <c r="B341" t="inlineStr">
        <is>
          <t>TA_6</t>
        </is>
      </c>
      <c r="C341" t="inlineStr">
        <is>
          <t>TA_16</t>
        </is>
      </c>
      <c r="D341" t="n">
        <v>8</v>
      </c>
      <c r="E341" t="n">
        <v>0</v>
      </c>
      <c r="F341" t="n">
        <v>6.5</v>
      </c>
      <c r="G341" t="n">
        <v>4</v>
      </c>
      <c r="H341" t="n">
        <v>11</v>
      </c>
      <c r="I341" t="n">
        <v>0</v>
      </c>
      <c r="J341" t="n">
        <v>8</v>
      </c>
      <c r="K341" t="n">
        <v>0</v>
      </c>
      <c r="L341" t="n">
        <v>6.5</v>
      </c>
      <c r="M341" t="n">
        <v>4</v>
      </c>
      <c r="N341" t="n">
        <v>11</v>
      </c>
      <c r="O341" t="n">
        <v>0</v>
      </c>
      <c r="P341">
        <f>Table1[[#This Row],[TA 1 - Q1 Score]]+Table1[[#This Row],[TA 1 - Q2 Score]]+Table1[[#This Row],[TA 1 - Q3 Score]]</f>
        <v/>
      </c>
      <c r="Q341">
        <f>Table1[[#This Row],[TA 1 - Q1 Bonus]]+Table1[[#This Row],[TA 1 - Q2 Bonus]]+Table1[[#This Row],[TA 1 - Q4 Bonus]]</f>
        <v/>
      </c>
      <c r="R341">
        <f>Table1[[#This Row],[TA 2 - Q1 Score]]+Table1[[#This Row],[TA 2 - Q2 Score]]+Table1[[#This Row],[TA 2 - Q3 Score]]</f>
        <v/>
      </c>
      <c r="S341">
        <f>Table1[[#This Row],[TA 2 - Q1 Bonus]]+Table1[[#This Row],[TA 2 - Q2 Bonus]]+Table1[[#This Row],[TA 2 - Q4 Bonus]]</f>
        <v/>
      </c>
      <c r="T341">
        <f>(Table1[[#This Row],[TA 1 - Total Score (out of 35)]]+Table1[[#This Row],[TA 2 - Total Score (out of 35)]])/2</f>
        <v/>
      </c>
      <c r="U341">
        <f>(Table1[[#This Row],[TA 1 - Total Bonus (out of 13)]]+Table1[[#This Row],[TA 2 - Total Bonus (out of 13)]])/2</f>
        <v/>
      </c>
      <c r="V341">
        <f>Table1[[#This Row],[Average Questions]]/35*20+Table1[[#This Row],[Average Bonus]]/13*5</f>
        <v/>
      </c>
      <c r="W341" t="n">
        <v>0</v>
      </c>
      <c r="X341" t="n">
        <v>0</v>
      </c>
      <c r="Y341" t="inlineStr">
        <is>
          <t>The student's submission does not run end-to-end due to missing code in critical sections, such as the training and validation loops, and the bonus task. The code provided does not attempt to fix the labels, which is a critical part of the task.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41" t="n">
        <v>0</v>
      </c>
      <c r="AA341" t="n">
        <v>0</v>
      </c>
      <c r="AB341" t="inlineStr">
        <is>
          <t>The student's submission does not run correctly due to several issues. The dataset loading and transformation steps are incorrect, leading to errors in subsequent tasks. The CNN model does not follow the specified architecture with 5 convolutional layers and batch normalization. The training and validation functions are incomplete and do not run correctly. The residual connection implementation is incorrect and does not follow the specified requirements.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41" t="n">
        <v>0</v>
      </c>
      <c r="AD341" t="inlineStr">
        <is>
          <t>The student's submission does not run end-to-end due to multiple issues. The dataset class is incomplete and does not correctly handle the dataset structure. The model definition is incomplete and uses the wrong encoder. The training and validation loops are not correctly implemented, and the loss and optimizer are not defined properly. As a result, the model cannot be trained or evaluated, and the visualizations are incorrect. The submission does not follow the rubric and does not produce the correct output.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41" t="n">
        <v>0</v>
      </c>
      <c r="AF341" t="n">
        <v>0</v>
      </c>
      <c r="AG341" t="inlineStr">
        <is>
          <t>No submission found.</t>
        </is>
      </c>
      <c r="AH341" t="n">
        <v>0</v>
      </c>
      <c r="AI341" t="n">
        <v>0</v>
      </c>
    </row>
    <row r="342">
      <c r="A342" t="n">
        <v>341</v>
      </c>
      <c r="B342" t="inlineStr">
        <is>
          <t>TA_7</t>
        </is>
      </c>
      <c r="C342" t="inlineStr">
        <is>
          <t>TA_17</t>
        </is>
      </c>
      <c r="D342" t="n">
        <v>9</v>
      </c>
      <c r="E342" t="n">
        <v>0</v>
      </c>
      <c r="F342" t="n">
        <v>10.5</v>
      </c>
      <c r="G342" t="n">
        <v>0</v>
      </c>
      <c r="H342" t="n">
        <v>8</v>
      </c>
      <c r="I342" t="n">
        <v>0</v>
      </c>
      <c r="J342" t="n">
        <v>5.5</v>
      </c>
      <c r="K342" t="n">
        <v>0</v>
      </c>
      <c r="L342" t="n">
        <v>5</v>
      </c>
      <c r="M342" t="n">
        <v>0</v>
      </c>
      <c r="N342" t="n">
        <v>3</v>
      </c>
      <c r="O342" t="n">
        <v>0</v>
      </c>
      <c r="P342">
        <f>Table1[[#This Row],[TA 1 - Q1 Score]]+Table1[[#This Row],[TA 1 - Q2 Score]]+Table1[[#This Row],[TA 1 - Q3 Score]]</f>
        <v/>
      </c>
      <c r="Q342">
        <f>Table1[[#This Row],[TA 1 - Q1 Bonus]]+Table1[[#This Row],[TA 1 - Q2 Bonus]]+Table1[[#This Row],[TA 1 - Q4 Bonus]]</f>
        <v/>
      </c>
      <c r="R342">
        <f>Table1[[#This Row],[TA 2 - Q1 Score]]+Table1[[#This Row],[TA 2 - Q2 Score]]+Table1[[#This Row],[TA 2 - Q3 Score]]</f>
        <v/>
      </c>
      <c r="S342">
        <f>Table1[[#This Row],[TA 2 - Q1 Bonus]]+Table1[[#This Row],[TA 2 - Q2 Bonus]]+Table1[[#This Row],[TA 2 - Q4 Bonus]]</f>
        <v/>
      </c>
      <c r="T342">
        <f>(Table1[[#This Row],[TA 1 - Total Score (out of 35)]]+Table1[[#This Row],[TA 2 - Total Score (out of 35)]])/2</f>
        <v/>
      </c>
      <c r="U342">
        <f>(Table1[[#This Row],[TA 1 - Total Bonus (out of 13)]]+Table1[[#This Row],[TA 2 - Total Bonus (out of 13)]])/2</f>
        <v/>
      </c>
      <c r="V342">
        <f>Table1[[#This Row],[Average Questions]]/35*20+Table1[[#This Row],[Average Bonus]]/13*5</f>
        <v/>
      </c>
      <c r="W342" t="n">
        <v>0</v>
      </c>
      <c r="X342" t="n">
        <v>0</v>
      </c>
      <c r="Y342" t="inlineStr">
        <is>
          <t>The student's submission contains several critical errors that prevent the code from running correctly. The transforms are incorrectly set to resize images to 256x256 instead of 28x28, which is a fundamental deviation from the task requirements. Additionally, the model loading and training loops contain errors that would prevent the code from executing as intended. The student did not fix the labels to be 0-indexed, which is a required task. The validation and training loops are incorrectly implemented, and the plotting functions are missing. Therefore, the code does not run correctly and does not meet the requirements of the rubric.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42" t="n">
        <v>0</v>
      </c>
      <c r="AA342" t="n">
        <v>0</v>
      </c>
      <c r="AB342" t="inlineStr">
        <is>
          <t>The student's submission contains several critical errors that prevent the code from running correctly. The dataset paths are incorrectly set, leading to the use of the wrong directories for training and testing. The model architecture is incorrect and does not follow the specified requirements of having 5 convolutional layers. Additionally, the training and validation loops are incomplete and do not correctly implement the necessary logic. The student also failed to plot the losses and accuracy, which are essential for evaluating the model's performance.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42" t="n">
        <v>0</v>
      </c>
      <c r="AD342" t="inlineStr">
        <is>
          <t>The student's submission does not run correctly due to multiple issues. The dataset class is incorrectly implemented, leading to errors in data loading. The model definition uses the wrong number of classes and the training loop is incomplete. Additionally, the visualization code contains errors and does not display the correct predictions. Therefore, no points are awarded for any task as the code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42" t="n">
        <v>0</v>
      </c>
      <c r="AF342" t="n">
        <v>0</v>
      </c>
      <c r="AG342" t="inlineStr">
        <is>
          <t>No submission found.</t>
        </is>
      </c>
      <c r="AH342" t="n">
        <v>0</v>
      </c>
      <c r="AI342" t="n">
        <v>0</v>
      </c>
    </row>
    <row r="343">
      <c r="A343" t="n">
        <v>342</v>
      </c>
      <c r="B343" t="inlineStr">
        <is>
          <t>TA_7</t>
        </is>
      </c>
      <c r="C343" t="inlineStr">
        <is>
          <t>TA_17</t>
        </is>
      </c>
      <c r="D343" t="n">
        <v>4.5</v>
      </c>
      <c r="E343" t="n">
        <v>0</v>
      </c>
      <c r="F343" t="n">
        <v>7</v>
      </c>
      <c r="G343" t="n">
        <v>0</v>
      </c>
      <c r="H343" t="n">
        <v>8.5</v>
      </c>
      <c r="I343" t="n">
        <v>0</v>
      </c>
      <c r="J343" t="n">
        <v>5</v>
      </c>
      <c r="K343" t="n">
        <v>0</v>
      </c>
      <c r="L343" t="n">
        <v>6.5</v>
      </c>
      <c r="M343" t="n">
        <v>0</v>
      </c>
      <c r="N343" t="n">
        <v>4.5</v>
      </c>
      <c r="O343" t="n">
        <v>0</v>
      </c>
      <c r="P343">
        <f>Table1[[#This Row],[TA 1 - Q1 Score]]+Table1[[#This Row],[TA 1 - Q2 Score]]+Table1[[#This Row],[TA 1 - Q3 Score]]</f>
        <v/>
      </c>
      <c r="Q343">
        <f>Table1[[#This Row],[TA 1 - Q1 Bonus]]+Table1[[#This Row],[TA 1 - Q2 Bonus]]+Table1[[#This Row],[TA 1 - Q4 Bonus]]</f>
        <v/>
      </c>
      <c r="R343">
        <f>Table1[[#This Row],[TA 2 - Q1 Score]]+Table1[[#This Row],[TA 2 - Q2 Score]]+Table1[[#This Row],[TA 2 - Q3 Score]]</f>
        <v/>
      </c>
      <c r="S343">
        <f>Table1[[#This Row],[TA 2 - Q1 Bonus]]+Table1[[#This Row],[TA 2 - Q2 Bonus]]+Table1[[#This Row],[TA 2 - Q4 Bonus]]</f>
        <v/>
      </c>
      <c r="T343">
        <f>(Table1[[#This Row],[TA 1 - Total Score (out of 35)]]+Table1[[#This Row],[TA 2 - Total Score (out of 35)]])/2</f>
        <v/>
      </c>
      <c r="U343">
        <f>(Table1[[#This Row],[TA 1 - Total Bonus (out of 13)]]+Table1[[#This Row],[TA 2 - Total Bonus (out of 13)]])/2</f>
        <v/>
      </c>
      <c r="V343">
        <f>Table1[[#This Row],[Average Questions]]/35*20+Table1[[#This Row],[Average Bonus]]/13*5</f>
        <v/>
      </c>
      <c r="W343" t="n">
        <v>0</v>
      </c>
      <c r="X343" t="n">
        <v>0</v>
      </c>
      <c r="Y343" t="inlineStr">
        <is>
          <t>The student's submission does not run correctly due to several issues. The transforms are incomplete, the DataLoaders are not created correctly, and the model setup is incorrect. The training and validation loops are flawed, and the model is not trained properly. Additionally, the student did not implement the bonus task for Test Time Augmentation.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43" t="n">
        <v>0</v>
      </c>
      <c r="AA343" t="n">
        <v>0</v>
      </c>
      <c r="AB343" t="inlineStr">
        <is>
          <t>The student's submission does not run correctly due to several issues. The model definition is incorrect and does not follow the specified architecture with 5 convolutional layers. The training and validation loops are incorrectly implemented, and the model is not set up correctly for training.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43" t="n">
        <v>0</v>
      </c>
      <c r="AD343" t="inlineStr">
        <is>
          <t>The student's submission contains significant errors and omissions that prevent the code from running correctly. The dataset class is incorrectly implemented, leading to issues in loading images and masks. The DataLoader creation is flawed, and the model definition uses the wrong encoder. The training and validation loops are incomplete, and the loss and optimizer are not correctly defined. Additionally, the visualization of predictions is missing critical steps. Overall, the submission does not meet the requirements of the rubric, resulting in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43" t="n">
        <v>0</v>
      </c>
      <c r="AF343" t="n">
        <v>0</v>
      </c>
      <c r="AG343" t="inlineStr">
        <is>
          <t>No submission found.</t>
        </is>
      </c>
      <c r="AH343" t="n">
        <v>0</v>
      </c>
      <c r="AI343" t="n">
        <v>0</v>
      </c>
    </row>
    <row r="344">
      <c r="A344" t="n">
        <v>343</v>
      </c>
      <c r="B344" t="inlineStr">
        <is>
          <t>TA_7</t>
        </is>
      </c>
      <c r="C344" t="inlineStr">
        <is>
          <t>TA_17</t>
        </is>
      </c>
      <c r="D344" t="n">
        <v>11</v>
      </c>
      <c r="E344" t="n">
        <v>0</v>
      </c>
      <c r="F344" t="n">
        <v>10</v>
      </c>
      <c r="G344" t="n">
        <v>0</v>
      </c>
      <c r="H344" t="n">
        <v>6</v>
      </c>
      <c r="I344" t="n">
        <v>0</v>
      </c>
      <c r="J344" t="n">
        <v>11</v>
      </c>
      <c r="K344" t="n">
        <v>0</v>
      </c>
      <c r="L344" t="n">
        <v>10</v>
      </c>
      <c r="M344" t="n">
        <v>0</v>
      </c>
      <c r="N344" t="n">
        <v>5</v>
      </c>
      <c r="O344" t="n">
        <v>5</v>
      </c>
      <c r="P344">
        <f>Table1[[#This Row],[TA 1 - Q1 Score]]+Table1[[#This Row],[TA 1 - Q2 Score]]+Table1[[#This Row],[TA 1 - Q3 Score]]</f>
        <v/>
      </c>
      <c r="Q344">
        <f>Table1[[#This Row],[TA 1 - Q1 Bonus]]+Table1[[#This Row],[TA 1 - Q2 Bonus]]+Table1[[#This Row],[TA 1 - Q4 Bonus]]</f>
        <v/>
      </c>
      <c r="R344">
        <f>Table1[[#This Row],[TA 2 - Q1 Score]]+Table1[[#This Row],[TA 2 - Q2 Score]]+Table1[[#This Row],[TA 2 - Q3 Score]]</f>
        <v/>
      </c>
      <c r="S344">
        <f>Table1[[#This Row],[TA 2 - Q1 Bonus]]+Table1[[#This Row],[TA 2 - Q2 Bonus]]+Table1[[#This Row],[TA 2 - Q4 Bonus]]</f>
        <v/>
      </c>
      <c r="T344">
        <f>(Table1[[#This Row],[TA 1 - Total Score (out of 35)]]+Table1[[#This Row],[TA 2 - Total Score (out of 35)]])/2</f>
        <v/>
      </c>
      <c r="U344">
        <f>(Table1[[#This Row],[TA 1 - Total Bonus (out of 13)]]+Table1[[#This Row],[TA 2 - Total Bonus (out of 13)]])/2</f>
        <v/>
      </c>
      <c r="V344">
        <f>Table1[[#This Row],[Average Questions]]/35*20+Table1[[#This Row],[Average Bonus]]/13*5</f>
        <v/>
      </c>
      <c r="W344" t="n">
        <v>0</v>
      </c>
      <c r="X344" t="n">
        <v>0</v>
      </c>
      <c r="Y344" t="inlineStr">
        <is>
          <t>The student's submission does not run end-to-end due to missing or incorrect code in several critical parts. Specifically, the code for creating DataLoaders and displaying sample images is incomplete, and the model training and validation loops are not correctly implemented. Additionally, the student did not attempt the bonus task. Therefore, the score is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44" t="n">
        <v>0</v>
      </c>
      <c r="AA344" t="n">
        <v>0</v>
      </c>
      <c r="AB344" t="inlineStr">
        <is>
          <t>The student's submission does not run correctly due to several issues. The dataset class is incorrectly implemented, leading to errors in loading the data. The transforms applied do not match the required specifications, and the model architecture deviates from the rubric. Additionally, the training and validation functions are not correctly implemented, and the plotting code is incomplete.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44" t="n">
        <v>0</v>
      </c>
      <c r="AD344" t="inlineStr">
        <is>
          <t>The student's submission contains several critical errors that prevent the code from running correctly. The dataset class is incorrectly implemented, leading to issues in loading images and masks. The DataLoader creation is flawed, and the visualization of sample images and masks does not work as intended. The model definition uses the wrong encoder, and the training and validation loops are incorrectly implemented. Additionally, the loss and optimizer are defined multiple times with inconsistencies, and the training process does not execute correctly. The plotting of the loss curve and visualization of predictions are also missing or incorrect. Therefore, no points are awarded for any task as the code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44" t="n">
        <v>0</v>
      </c>
      <c r="AF344" t="n">
        <v>0</v>
      </c>
      <c r="AG344" t="inlineStr">
        <is>
          <t>The student's implementation of the `ColorizationDataset` class contains errors in the `__init__` method, where the dataset is not stored correctly. The `rgb_to_grayscale` method is implemented but does not follow the correct formula for converting RGB to grayscale. The `__getitem__` method is incomplete and does not return the correct tuple. Additionally, the visualization code is present but relies on the incorrect implementation of the dataset class, leading to incorrect outputs. Since the implementation does not run correctly and deviates from the rubric, the minimum defensible score of 0.0 is awarded.
Breakdown:
- Correctly implemented `ColorizationDataset` class: 0.0/5.0</t>
        </is>
      </c>
      <c r="AH344" t="n">
        <v>0</v>
      </c>
      <c r="AI344" t="n">
        <v>0</v>
      </c>
    </row>
    <row r="345">
      <c r="A345" t="n">
        <v>344</v>
      </c>
      <c r="B345" t="inlineStr">
        <is>
          <t>TA_7</t>
        </is>
      </c>
      <c r="C345" t="inlineStr">
        <is>
          <t>TA_17</t>
        </is>
      </c>
      <c r="D345" t="n">
        <v>5.5</v>
      </c>
      <c r="E345" t="n">
        <v>4</v>
      </c>
      <c r="F345" t="n">
        <v>11</v>
      </c>
      <c r="G345" t="n">
        <v>1</v>
      </c>
      <c r="H345" t="n">
        <v>9</v>
      </c>
      <c r="I345" t="n">
        <v>5</v>
      </c>
      <c r="J345" t="n">
        <v>3</v>
      </c>
      <c r="K345" t="n">
        <v>0</v>
      </c>
      <c r="L345" t="n">
        <v>10.5</v>
      </c>
      <c r="M345" t="n">
        <v>0</v>
      </c>
      <c r="N345" t="n">
        <v>11</v>
      </c>
      <c r="O345" t="n">
        <v>5</v>
      </c>
      <c r="P345">
        <f>Table1[[#This Row],[TA 1 - Q1 Score]]+Table1[[#This Row],[TA 1 - Q2 Score]]+Table1[[#This Row],[TA 1 - Q3 Score]]</f>
        <v/>
      </c>
      <c r="Q345">
        <f>Table1[[#This Row],[TA 1 - Q1 Bonus]]+Table1[[#This Row],[TA 1 - Q2 Bonus]]+Table1[[#This Row],[TA 1 - Q4 Bonus]]</f>
        <v/>
      </c>
      <c r="R345">
        <f>Table1[[#This Row],[TA 2 - Q1 Score]]+Table1[[#This Row],[TA 2 - Q2 Score]]+Table1[[#This Row],[TA 2 - Q3 Score]]</f>
        <v/>
      </c>
      <c r="S345">
        <f>Table1[[#This Row],[TA 2 - Q1 Bonus]]+Table1[[#This Row],[TA 2 - Q2 Bonus]]+Table1[[#This Row],[TA 2 - Q4 Bonus]]</f>
        <v/>
      </c>
      <c r="T345">
        <f>(Table1[[#This Row],[TA 1 - Total Score (out of 35)]]+Table1[[#This Row],[TA 2 - Total Score (out of 35)]])/2</f>
        <v/>
      </c>
      <c r="U345">
        <f>(Table1[[#This Row],[TA 1 - Total Bonus (out of 13)]]+Table1[[#This Row],[TA 2 - Total Bonus (out of 13)]])/2</f>
        <v/>
      </c>
      <c r="V345">
        <f>Table1[[#This Row],[Average Questions]]/35*20+Table1[[#This Row],[Average Bonus]]/13*5</f>
        <v/>
      </c>
      <c r="W345" t="n">
        <v>0</v>
      </c>
      <c r="X345" t="n">
        <v>0</v>
      </c>
      <c r="Y345" t="inlineStr">
        <is>
          <t>The student's submission has several critical issues. The transforms are incomplete, missing the resize step. The DataLoaders are created but not displayed correctly. The model is loaded but the classifier head is incorrectly replaced with 27 classes instead of 26. The training and validation loops are incorrect, and the label fixing is not implemented. The training process is flawed, and the plots are incorrect. The bonus task for Test Time Augmentation is attempted but contains errors in the implementation. Overall, the submission does not run correctly and deviates significantly from the rubric.
Breakdown:
- Task 1: Complete transforms (Resize, ToTensor, Normalize): 0.0/?
- Task 2: Create DataLoaders: 0.0/?
- Task 3: Display sample images: 0.0/?
- Task 1: Load pretrained EfficientNetV2-Small: 0.0/?
- Task 2: Freeze the backbone (feature extractor): 0.0/?
- Task 3: Replace classifier head for 26 classes: -50.0/?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45" t="n">
        <v>0</v>
      </c>
      <c r="AA345" t="n">
        <v>0</v>
      </c>
      <c r="AB345" t="inlineStr">
        <is>
          <t>The student's submission does not run correctly due to several issues. The dataset class or ImageFolder is not correctly implemented, the transforms are incorrect, and the CNN model class does not follow the specified requirements. Additionally, the training and validation functions are flawed, and the residual connection is not correctly defined.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45" t="n">
        <v>0</v>
      </c>
      <c r="AD345" t="inlineStr">
        <is>
          <t>The student's submission does not run end-to-end due to multiple issues. The dataset class is incorrectly implemented, leading to errors in data loading. The model definition uses 'efficientnet-b0' instead of 'efficientnet-b1' as specified. The training and validation loops are present but do not run correctly due to the dataset issues. The visualization of predictions is attempted but fails due to the earlier errors. Therefore, no tasks are awarded any points.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45" t="n">
        <v>0</v>
      </c>
      <c r="AF345" t="n">
        <v>0</v>
      </c>
      <c r="AG345" t="inlineStr">
        <is>
          <t>The student's implementation of the `ColorizationDataset` class contains several issues. The `__init__` method unnecessarily stores images and labels in lists, which is redundant and inefficient. The `rgb_to_grayscale` method does not add the channel dimension correctly, leading to incorrect grayscale images. Additionally, the `__getitem__` method does not handle the conversion to grayscale properly, resulting in incorrect output shapes. These mistakes prevent the code from running correctly and deviate from the rubric, warranting a score of 0.0.
Breakdown:
- Correctly implemented `ColorizationDataset` class: 0.0/5.0</t>
        </is>
      </c>
      <c r="AH345" t="n">
        <v>0</v>
      </c>
      <c r="AI345" t="n">
        <v>0</v>
      </c>
    </row>
    <row r="346">
      <c r="A346" t="n">
        <v>345</v>
      </c>
      <c r="B346" t="inlineStr">
        <is>
          <t>TA_7</t>
        </is>
      </c>
      <c r="C346" t="inlineStr">
        <is>
          <t>TA_17</t>
        </is>
      </c>
      <c r="D346" t="n">
        <v>6.5</v>
      </c>
      <c r="E346" t="n">
        <v>0</v>
      </c>
      <c r="F346" t="n">
        <v>5.5</v>
      </c>
      <c r="G346" t="n">
        <v>0</v>
      </c>
      <c r="H346" t="n">
        <v>10.5</v>
      </c>
      <c r="I346" t="n">
        <v>0</v>
      </c>
      <c r="J346" t="n">
        <v>1.5</v>
      </c>
      <c r="K346" t="n">
        <v>0</v>
      </c>
      <c r="L346" t="n">
        <v>4.5</v>
      </c>
      <c r="M346" t="n">
        <v>0</v>
      </c>
      <c r="N346" t="n">
        <v>11.5</v>
      </c>
      <c r="O346" t="n">
        <v>0</v>
      </c>
      <c r="P346">
        <f>Table1[[#This Row],[TA 1 - Q1 Score]]+Table1[[#This Row],[TA 1 - Q2 Score]]+Table1[[#This Row],[TA 1 - Q3 Score]]</f>
        <v/>
      </c>
      <c r="Q346">
        <f>Table1[[#This Row],[TA 1 - Q1 Bonus]]+Table1[[#This Row],[TA 1 - Q2 Bonus]]+Table1[[#This Row],[TA 1 - Q4 Bonus]]</f>
        <v/>
      </c>
      <c r="R346">
        <f>Table1[[#This Row],[TA 2 - Q1 Score]]+Table1[[#This Row],[TA 2 - Q2 Score]]+Table1[[#This Row],[TA 2 - Q3 Score]]</f>
        <v/>
      </c>
      <c r="S346">
        <f>Table1[[#This Row],[TA 2 - Q1 Bonus]]+Table1[[#This Row],[TA 2 - Q2 Bonus]]+Table1[[#This Row],[TA 2 - Q4 Bonus]]</f>
        <v/>
      </c>
      <c r="T346">
        <f>(Table1[[#This Row],[TA 1 - Total Score (out of 35)]]+Table1[[#This Row],[TA 2 - Total Score (out of 35)]])/2</f>
        <v/>
      </c>
      <c r="U346">
        <f>(Table1[[#This Row],[TA 1 - Total Bonus (out of 13)]]+Table1[[#This Row],[TA 2 - Total Bonus (out of 13)]])/2</f>
        <v/>
      </c>
      <c r="V346">
        <f>Table1[[#This Row],[Average Questions]]/35*20+Table1[[#This Row],[Average Bonus]]/13*5</f>
        <v/>
      </c>
      <c r="W346" t="n">
        <v>0</v>
      </c>
      <c r="X346" t="n">
        <v>0</v>
      </c>
      <c r="Y346" t="inlineStr">
        <is>
          <t>The student's submission does not run correctly due to several issues. The transforms are not correctly applied, the DataLoaders are not created properly, and the model is not correctly set up. The training and validation loops are incorrect, and the labels are not fixed. Additionally, the plots for training and validation losses and accuracies are missing. The bonus task for Test Time Augmentation is also not implemented correctly.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46" t="n">
        <v>0</v>
      </c>
      <c r="AA346" t="n">
        <v>0</v>
      </c>
      <c r="AB346" t="inlineStr">
        <is>
          <t>The student's submission does not run correctly due to several issues. The dataset class or ImageFolder is not correctly implemented, the transforms are incorrect, and the CNN model does not follow the specified architecture. Additionally, the training and validation functions are incorrectly implemented, leading to a complete failure in training the model. The bonus task is also not attempted.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46" t="n">
        <v>0</v>
      </c>
      <c r="AD346" t="inlineStr">
        <is>
          <t>The student's submission does not run correctly due to several issues. The dataset class is incorrectly implemented, leading to errors in data loading. The model definition and training loops contain syntax and logical errors, preventing the model from training. Additionally, the visualization code does not function as intended due to incorrect handling of tensor dimensions and data types. Therefore, no points are awarded for any task as the code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46" t="n">
        <v>0</v>
      </c>
      <c r="AF346" t="n">
        <v>0</v>
      </c>
      <c r="AG346" t="inlineStr">
        <is>
          <t>No submission found.</t>
        </is>
      </c>
      <c r="AH346" t="n">
        <v>0</v>
      </c>
      <c r="AI346" t="n">
        <v>0</v>
      </c>
    </row>
    <row r="347">
      <c r="A347" t="n">
        <v>346</v>
      </c>
      <c r="B347" t="inlineStr">
        <is>
          <t>TA_7</t>
        </is>
      </c>
      <c r="C347" t="inlineStr">
        <is>
          <t>TA_17</t>
        </is>
      </c>
      <c r="D347" t="n">
        <v>8.5</v>
      </c>
      <c r="E347" t="n">
        <v>0</v>
      </c>
      <c r="F347" t="n">
        <v>8.5</v>
      </c>
      <c r="G347" t="n">
        <v>0</v>
      </c>
      <c r="H347" t="n">
        <v>5</v>
      </c>
      <c r="I347" t="n">
        <v>0</v>
      </c>
      <c r="J347" t="n">
        <v>5.5</v>
      </c>
      <c r="K347" t="n">
        <v>0</v>
      </c>
      <c r="L347" t="n">
        <v>7.5</v>
      </c>
      <c r="M347" t="n">
        <v>0</v>
      </c>
      <c r="N347" t="n">
        <v>5</v>
      </c>
      <c r="O347" t="n">
        <v>0</v>
      </c>
      <c r="P347">
        <f>Table1[[#This Row],[TA 1 - Q1 Score]]+Table1[[#This Row],[TA 1 - Q2 Score]]+Table1[[#This Row],[TA 1 - Q3 Score]]</f>
        <v/>
      </c>
      <c r="Q347">
        <f>Table1[[#This Row],[TA 1 - Q1 Bonus]]+Table1[[#This Row],[TA 1 - Q2 Bonus]]+Table1[[#This Row],[TA 1 - Q4 Bonus]]</f>
        <v/>
      </c>
      <c r="R347">
        <f>Table1[[#This Row],[TA 2 - Q1 Score]]+Table1[[#This Row],[TA 2 - Q2 Score]]+Table1[[#This Row],[TA 2 - Q3 Score]]</f>
        <v/>
      </c>
      <c r="S347">
        <f>Table1[[#This Row],[TA 2 - Q1 Bonus]]+Table1[[#This Row],[TA 2 - Q2 Bonus]]+Table1[[#This Row],[TA 2 - Q4 Bonus]]</f>
        <v/>
      </c>
      <c r="T347">
        <f>(Table1[[#This Row],[TA 1 - Total Score (out of 35)]]+Table1[[#This Row],[TA 2 - Total Score (out of 35)]])/2</f>
        <v/>
      </c>
      <c r="U347">
        <f>(Table1[[#This Row],[TA 1 - Total Bonus (out of 13)]]+Table1[[#This Row],[TA 2 - Total Bonus (out of 13)]])/2</f>
        <v/>
      </c>
      <c r="V347">
        <f>Table1[[#This Row],[Average Questions]]/35*20+Table1[[#This Row],[Average Bonus]]/13*5</f>
        <v/>
      </c>
      <c r="W347" t="n">
        <v>0</v>
      </c>
      <c r="X347" t="n">
        <v>0</v>
      </c>
      <c r="Y347" t="inlineStr">
        <is>
          <t>The student completed the transforms correctly and created the DataLoaders, earning 1.5 and 0.5 points respectively. However, the student did not display sample images, resulting in 0 points for that task. The student loaded the pretrained EfficientNetV2-Small model correctly but failed to freeze the backbone, resulting in 0 points for that task. The classifier head was replaced correctly, earning 1.0 points. The training loop was correct, earning 0.5 points, but the validation loop had issues, resulting in 0 points. The student did not fix the labels, resulting in a penalty of -2.0 points. The setup for device, model, loss, and optimizer was correct, earning 1.0 points, and the model was trained, earning 0.5 points. However, the plots for training and validation losses and accuracies were missing, resulting in 0 points for those tasks. The bonus tasks were not attempted, resulting in 0 points.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347" t="n">
        <v>0</v>
      </c>
      <c r="AA347" t="n">
        <v>0</v>
      </c>
      <c r="AB347" t="inlineStr">
        <is>
          <t>The student's submission does not run correctly due to multiple issues. The dataset class is incorrectly implemented, leading to errors in loading the data. The CNN model class has incorrect layer definitions and does not follow the specified architecture. The training and validation functions have logical errors, and the training process does not execute correctly.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47" t="n">
        <v>0</v>
      </c>
      <c r="AD347" t="inlineStr">
        <is>
          <t>The student's submission does not run correctly due to several issues. The dataset paths are incorrectly set, leading to errors in loading images and masks. The model definition uses the wrong number of classes and the incorrect loss function is used. Additionally, the training and validation loops do not run correctly due to mismatched data types and incorrect loss calculations. The visualization code is missing, and there are no attempts to plot the loss curve. Therefore, no points are awarded for any task as the code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47" t="n">
        <v>0</v>
      </c>
      <c r="AF347" t="n">
        <v>0</v>
      </c>
      <c r="AG347" t="inlineStr">
        <is>
          <t>The student's submission for Question 4 is incomplete. The `rgb_to_grayscale` method and the `__getitem__` method in the `ColorizationDataset` class are not implemented, which means the code does not run correctly. Therefore, the student receives 0 points for this task as per the rubric.
Breakdown:
- Correctly implemented `ColorizationDataset` class: 0.0/5.0</t>
        </is>
      </c>
      <c r="AH347" t="n">
        <v>0</v>
      </c>
      <c r="AI347" t="n">
        <v>0</v>
      </c>
    </row>
    <row r="348">
      <c r="A348" t="n">
        <v>347</v>
      </c>
      <c r="B348" t="inlineStr">
        <is>
          <t>TA_7</t>
        </is>
      </c>
      <c r="C348" t="inlineStr">
        <is>
          <t>TA_17</t>
        </is>
      </c>
      <c r="D348" t="n">
        <v>12</v>
      </c>
      <c r="E348" t="n">
        <v>4</v>
      </c>
      <c r="F348" t="n">
        <v>10</v>
      </c>
      <c r="G348" t="n">
        <v>0</v>
      </c>
      <c r="H348" t="n">
        <v>12</v>
      </c>
      <c r="I348" t="n">
        <v>5</v>
      </c>
      <c r="J348" t="n">
        <v>11.5</v>
      </c>
      <c r="K348" t="n">
        <v>1.5</v>
      </c>
      <c r="L348" t="n">
        <v>9.5</v>
      </c>
      <c r="M348" t="n">
        <v>0</v>
      </c>
      <c r="N348" t="n">
        <v>12</v>
      </c>
      <c r="O348" t="n">
        <v>5</v>
      </c>
      <c r="P348">
        <f>Table1[[#This Row],[TA 1 - Q1 Score]]+Table1[[#This Row],[TA 1 - Q2 Score]]+Table1[[#This Row],[TA 1 - Q3 Score]]</f>
        <v/>
      </c>
      <c r="Q348">
        <f>Table1[[#This Row],[TA 1 - Q1 Bonus]]+Table1[[#This Row],[TA 1 - Q2 Bonus]]+Table1[[#This Row],[TA 1 - Q4 Bonus]]</f>
        <v/>
      </c>
      <c r="R348">
        <f>Table1[[#This Row],[TA 2 - Q1 Score]]+Table1[[#This Row],[TA 2 - Q2 Score]]+Table1[[#This Row],[TA 2 - Q3 Score]]</f>
        <v/>
      </c>
      <c r="S348">
        <f>Table1[[#This Row],[TA 2 - Q1 Bonus]]+Table1[[#This Row],[TA 2 - Q2 Bonus]]+Table1[[#This Row],[TA 2 - Q4 Bonus]]</f>
        <v/>
      </c>
      <c r="T348">
        <f>(Table1[[#This Row],[TA 1 - Total Score (out of 35)]]+Table1[[#This Row],[TA 2 - Total Score (out of 35)]])/2</f>
        <v/>
      </c>
      <c r="U348">
        <f>(Table1[[#This Row],[TA 1 - Total Bonus (out of 13)]]+Table1[[#This Row],[TA 2 - Total Bonus (out of 13)]])/2</f>
        <v/>
      </c>
      <c r="V348">
        <f>Table1[[#This Row],[Average Questions]]/35*20+Table1[[#This Row],[Average Bonus]]/13*5</f>
        <v/>
      </c>
      <c r="W348" t="n">
        <v>0</v>
      </c>
      <c r="X348" t="n">
        <v>0</v>
      </c>
      <c r="Y348" t="inlineStr">
        <is>
          <t>The student's submission does not run correctly due to multiple issues. The transforms are incorrectly set to resize images to 64x64 instead of 28x28. The DataLoader batch size is set to 32 instead of 64. The model's backbone is not correctly frozen, and the classifier head is not replaced correctly. The training and validation loops are incorrectly implemented, and the label fixing is not done correctly. Additionally, the plotting functions are not correctly implemented. The bonus task for Test Time Augmentation (TTA) is also not correctly implemented. Therefore, the student receives 0 points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48" t="n">
        <v>0</v>
      </c>
      <c r="AA348" t="n">
        <v>0</v>
      </c>
      <c r="AB348" t="inlineStr">
        <is>
          <t>The student's submission does not run correctly due to multiple issues. The dataset loading and transformation steps are incorrect, leading to errors in subsequent tasks. The CNN model definition is flawed, with incorrect layer configurations and missing batch normalization layers. The training and validation functions are incorrectly implemented, and the training process does not execute properly.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48" t="n">
        <v>0</v>
      </c>
      <c r="AD348" t="inlineStr">
        <is>
          <t>The student's submission does not run end-to-end due to missing or incorrect code in several critical areas. The dataset class is incomplete and does not correctly handle the dataset paths. The model definition uses the wrong encoder ('efficientnet-b1' instead of 'efficientnet-b0'). The training and validation loops are present but do not run correctly due to missing or incorrect code in other parts of the submission. The visualization of predictions is attempted but fails to run due to the overall issues in the code. Therefore, no points are awarded for any task as the code does not run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48" t="n">
        <v>0</v>
      </c>
      <c r="AF348" t="n">
        <v>0</v>
      </c>
      <c r="AG348" t="inlineStr">
        <is>
          <t>The student's implementation of the `ColorizationDataset` class contains several errors. The `rgb_to_grayscale` method uses incorrect coefficients (0.144 instead of 0.114) and does not add the channel dimension correctly. The `__getitem__` method incorrectly handles the dataset indexing and does not return the correct shapes for the grayscale and color images. Additionally, the visualization code does not correctly display the images due to these errors. Since the implementation does not run correctly and deviates from the rubric, the student receives 0 points for this task.
Breakdown:
- Correctly implemented `ColorizationDataset` class: 0.0/5.0</t>
        </is>
      </c>
      <c r="AH348" t="n">
        <v>0</v>
      </c>
      <c r="AI348" t="n">
        <v>0</v>
      </c>
    </row>
    <row r="349">
      <c r="A349" t="n">
        <v>348</v>
      </c>
      <c r="B349" t="inlineStr">
        <is>
          <t>TA_7</t>
        </is>
      </c>
      <c r="C349" t="inlineStr">
        <is>
          <t>TA_17</t>
        </is>
      </c>
      <c r="D349" t="n">
        <v>5</v>
      </c>
      <c r="E349" t="n">
        <v>0</v>
      </c>
      <c r="F349" t="n">
        <v>10</v>
      </c>
      <c r="G349" t="n">
        <v>0</v>
      </c>
      <c r="H349" t="n">
        <v>12</v>
      </c>
      <c r="I349" t="n">
        <v>0</v>
      </c>
      <c r="J349" t="n">
        <v>6</v>
      </c>
      <c r="K349" t="n">
        <v>0</v>
      </c>
      <c r="L349" t="n">
        <v>7.5</v>
      </c>
      <c r="M349" t="n">
        <v>0</v>
      </c>
      <c r="N349" t="n">
        <v>12</v>
      </c>
      <c r="O349" t="n">
        <v>0</v>
      </c>
      <c r="P349">
        <f>Table1[[#This Row],[TA 1 - Q1 Score]]+Table1[[#This Row],[TA 1 - Q2 Score]]+Table1[[#This Row],[TA 1 - Q3 Score]]</f>
        <v/>
      </c>
      <c r="Q349">
        <f>Table1[[#This Row],[TA 1 - Q1 Bonus]]+Table1[[#This Row],[TA 1 - Q2 Bonus]]+Table1[[#This Row],[TA 1 - Q4 Bonus]]</f>
        <v/>
      </c>
      <c r="R349">
        <f>Table1[[#This Row],[TA 2 - Q1 Score]]+Table1[[#This Row],[TA 2 - Q2 Score]]+Table1[[#This Row],[TA 2 - Q3 Score]]</f>
        <v/>
      </c>
      <c r="S349">
        <f>Table1[[#This Row],[TA 2 - Q1 Bonus]]+Table1[[#This Row],[TA 2 - Q2 Bonus]]+Table1[[#This Row],[TA 2 - Q4 Bonus]]</f>
        <v/>
      </c>
      <c r="T349">
        <f>(Table1[[#This Row],[TA 1 - Total Score (out of 35)]]+Table1[[#This Row],[TA 2 - Total Score (out of 35)]])/2</f>
        <v/>
      </c>
      <c r="U349">
        <f>(Table1[[#This Row],[TA 1 - Total Bonus (out of 13)]]+Table1[[#This Row],[TA 2 - Total Bonus (out of 13)]])/2</f>
        <v/>
      </c>
      <c r="V349">
        <f>Table1[[#This Row],[Average Questions]]/35*20+Table1[[#This Row],[Average Bonus]]/13*5</f>
        <v/>
      </c>
      <c r="W349" t="n">
        <v>0</v>
      </c>
      <c r="X349" t="n">
        <v>0</v>
      </c>
      <c r="Y349" t="inlineStr">
        <is>
          <t>The student's submission has several critical issues that prevent it from running correctly. The training and validation loops are incorrectly implemented, using BCEWithLogitsLoss instead of CrossEntropyLoss, and the labels are not adjusted for 0-indexing. Additionally, the model's backbone is not correctly frozen, and the classifier head is not properly replaced. The plotting tasks are not attempted due to the errors in the training process. The bonus task is also not attempted. Therefore, the student receives 0 points for the base tasks and 0 points for the bonus task.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49" t="n">
        <v>0</v>
      </c>
      <c r="AA349" t="n">
        <v>0</v>
      </c>
      <c r="AB349" t="inlineStr">
        <is>
          <t>The student's submission contains several critical errors that prevent the code from running correctly. The dataset class is not implemented correctly, the transforms are not applied as specified, and the CNN model does not meet the requirements. Additionally, the training and validation functions are incorrect, and the model is not trained or plotted correctly. The bonus task is also not attempted correctly. Therefore, the student receives 0 points for all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349" t="n">
        <v>0</v>
      </c>
      <c r="AD349" t="inlineStr">
        <is>
          <t>The student's submission does not run correctly due to multiple issues. The dataset class is incorrectly defined and the data splitting logic is flawed. The model definition uses 'efficientnet-b0' instead of 'efficientnet-b1'. The training and validation loops are present but contain errors that prevent them from running correctly. The loss and optimizer are defined but the training process does not complete successfully. The visualization of predictions is attempted but fails due to the previous errors. Therefore, no points are awarded for any task as the code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49" t="n">
        <v>0</v>
      </c>
      <c r="AF349" t="n">
        <v>0</v>
      </c>
      <c r="AG349" t="inlineStr">
        <is>
          <t>No submission found.</t>
        </is>
      </c>
      <c r="AH349" t="n">
        <v>0</v>
      </c>
      <c r="AI349" t="n">
        <v>0</v>
      </c>
    </row>
    <row r="350">
      <c r="A350" t="n">
        <v>349</v>
      </c>
      <c r="B350" t="inlineStr">
        <is>
          <t>TA_7</t>
        </is>
      </c>
      <c r="C350" t="inlineStr">
        <is>
          <t>TA_17</t>
        </is>
      </c>
      <c r="D350" t="n">
        <v>11</v>
      </c>
      <c r="E350" t="n">
        <v>0</v>
      </c>
      <c r="F350" t="n">
        <v>10.5</v>
      </c>
      <c r="G350" t="n">
        <v>0</v>
      </c>
      <c r="H350" t="n">
        <v>0</v>
      </c>
      <c r="I350" t="n">
        <v>0</v>
      </c>
      <c r="J350" t="n">
        <v>10.5</v>
      </c>
      <c r="K350" t="n">
        <v>0</v>
      </c>
      <c r="L350" t="n">
        <v>8.5</v>
      </c>
      <c r="M350" t="n">
        <v>0</v>
      </c>
      <c r="N350" t="n">
        <v>0</v>
      </c>
      <c r="O350" t="n">
        <v>0</v>
      </c>
      <c r="P350">
        <f>Table1[[#This Row],[TA 1 - Q1 Score]]+Table1[[#This Row],[TA 1 - Q2 Score]]+Table1[[#This Row],[TA 1 - Q3 Score]]</f>
        <v/>
      </c>
      <c r="Q350">
        <f>Table1[[#This Row],[TA 1 - Q1 Bonus]]+Table1[[#This Row],[TA 1 - Q2 Bonus]]+Table1[[#This Row],[TA 1 - Q4 Bonus]]</f>
        <v/>
      </c>
      <c r="R350">
        <f>Table1[[#This Row],[TA 2 - Q1 Score]]+Table1[[#This Row],[TA 2 - Q2 Score]]+Table1[[#This Row],[TA 2 - Q3 Score]]</f>
        <v/>
      </c>
      <c r="S350">
        <f>Table1[[#This Row],[TA 2 - Q1 Bonus]]+Table1[[#This Row],[TA 2 - Q2 Bonus]]+Table1[[#This Row],[TA 2 - Q4 Bonus]]</f>
        <v/>
      </c>
      <c r="T350">
        <f>(Table1[[#This Row],[TA 1 - Total Score (out of 35)]]+Table1[[#This Row],[TA 2 - Total Score (out of 35)]])/2</f>
        <v/>
      </c>
      <c r="U350">
        <f>(Table1[[#This Row],[TA 1 - Total Bonus (out of 13)]]+Table1[[#This Row],[TA 2 - Total Bonus (out of 13)]])/2</f>
        <v/>
      </c>
      <c r="V350">
        <f>Table1[[#This Row],[Average Questions]]/35*20+Table1[[#This Row],[Average Bonus]]/13*5</f>
        <v/>
      </c>
      <c r="W350" t="n">
        <v>0</v>
      </c>
      <c r="X350" t="n">
        <v>0</v>
      </c>
      <c r="Y350" t="inlineStr">
        <is>
          <t>The student's submission has several issues that prevent it from running correctly. The transforms are correctly defined, and the DataLoaders are created, but the code for displaying sample images is incomplete and does not run. The model loading and adaptation tasks are partially completed but contain errors that prevent the model from being correctly set up for training. The training and validation loops are incorrectly implemented, leading to errors in the training process. Additionally, the student did not implement the bonus task for Test Time Augmentation. Therefore, the student receives 0 points for the base tasks and 0 points for the bonus task.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50" t="n">
        <v>0</v>
      </c>
      <c r="AA350" t="n">
        <v>0</v>
      </c>
      <c r="AB350" t="inlineStr">
        <is>
          <t>The student's submission does not run correctly due to several issues. The dataset class is incorrectly defined and does not follow the rubric's requirements. The transforms are applied incorrectly, and the model definition deviates from the specified architecture. The training and validation functions are incomplete and contain errors.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50" t="n">
        <v>0</v>
      </c>
      <c r="AD350" t="inlineStr">
        <is>
          <t>The student's submission does not include any code for Tasks 2, 3, 4, and 5. For Task 1, the student attempted to build a custom dataset class and display sample images and masks but used incorrect methods and datasets, leading to a complete failure in running the code. The student's approach deviates significantly from the rubric, using incorrect dataset classes and transformations, and does not follow the specified instructions for dataset splitting and loading.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50" t="n">
        <v>0</v>
      </c>
      <c r="AF350" t="n">
        <v>0</v>
      </c>
      <c r="AG350" t="inlineStr">
        <is>
          <t>The student did not implement any of the required methods in the `ColorizationDataset` class. The `__init__`, `__len__`, `rgb_to_grayscale`, and `__getitem__` methods are all left as 'TO DO' placeholders, indicating that no code was written for these tasks. Additionally, the visualization code will not run correctly because the dataset methods are not implemented. Therefore, the student receives 0 points for this task.
Breakdown:
- Correctly implemented `ColorizationDataset` class: 0.0/5.0</t>
        </is>
      </c>
      <c r="AH350" t="n">
        <v>0</v>
      </c>
      <c r="AI350" t="n">
        <v>0</v>
      </c>
    </row>
    <row r="351">
      <c r="A351" t="n">
        <v>350</v>
      </c>
      <c r="B351" t="inlineStr">
        <is>
          <t>TA_7</t>
        </is>
      </c>
      <c r="C351" t="inlineStr">
        <is>
          <t>TA_17</t>
        </is>
      </c>
      <c r="D351" t="n">
        <v>12</v>
      </c>
      <c r="E351" t="n">
        <v>3</v>
      </c>
      <c r="F351" t="n">
        <v>8</v>
      </c>
      <c r="G351" t="n">
        <v>0</v>
      </c>
      <c r="H351" t="n">
        <v>12</v>
      </c>
      <c r="I351" t="n">
        <v>0</v>
      </c>
      <c r="J351" t="n">
        <v>11</v>
      </c>
      <c r="K351" t="n">
        <v>0</v>
      </c>
      <c r="L351" t="n">
        <v>9</v>
      </c>
      <c r="M351" t="n">
        <v>0</v>
      </c>
      <c r="N351" t="n">
        <v>12</v>
      </c>
      <c r="O351" t="n">
        <v>0</v>
      </c>
      <c r="P351">
        <f>Table1[[#This Row],[TA 1 - Q1 Score]]+Table1[[#This Row],[TA 1 - Q2 Score]]+Table1[[#This Row],[TA 1 - Q3 Score]]</f>
        <v/>
      </c>
      <c r="Q351">
        <f>Table1[[#This Row],[TA 1 - Q1 Bonus]]+Table1[[#This Row],[TA 1 - Q2 Bonus]]+Table1[[#This Row],[TA 1 - Q4 Bonus]]</f>
        <v/>
      </c>
      <c r="R351">
        <f>Table1[[#This Row],[TA 2 - Q1 Score]]+Table1[[#This Row],[TA 2 - Q2 Score]]+Table1[[#This Row],[TA 2 - Q3 Score]]</f>
        <v/>
      </c>
      <c r="S351">
        <f>Table1[[#This Row],[TA 2 - Q1 Bonus]]+Table1[[#This Row],[TA 2 - Q2 Bonus]]+Table1[[#This Row],[TA 2 - Q4 Bonus]]</f>
        <v/>
      </c>
      <c r="T351">
        <f>(Table1[[#This Row],[TA 1 - Total Score (out of 35)]]+Table1[[#This Row],[TA 2 - Total Score (out of 35)]])/2</f>
        <v/>
      </c>
      <c r="U351">
        <f>(Table1[[#This Row],[TA 1 - Total Bonus (out of 13)]]+Table1[[#This Row],[TA 2 - Total Bonus (out of 13)]])/2</f>
        <v/>
      </c>
      <c r="V351">
        <f>Table1[[#This Row],[Average Questions]]/35*20+Table1[[#This Row],[Average Bonus]]/13*5</f>
        <v/>
      </c>
      <c r="W351" t="n">
        <v>0</v>
      </c>
      <c r="X351" t="n">
        <v>0</v>
      </c>
      <c r="Y351" t="inlineStr">
        <is>
          <t>The student's submission has several critical issues that prevent it from running correctly. The transforms are correctly defined, and the DataLoaders are created, but the code for displaying sample images is incomplete and does not run. The model loading and adaptation tasks are partially correct but contain errors that prevent the model from being correctly set up for training. The training and validation loops have logical errors, and the label fixing is not implemented correctly. Additionally, the training setup and plotting tasks are not correctly implemented. The bonus task for Test Time Augmentation is also incomplete and does not run correctly.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51" t="n">
        <v>0</v>
      </c>
      <c r="AA351" t="n">
        <v>0</v>
      </c>
      <c r="AB351" t="inlineStr">
        <is>
          <t>The student's submission does not run correctly due to multiple issues. The dataset loading and transformation tasks are incomplete and incorrect. The CNN model definition is flawed, missing batch normalization and having incorrect layer configurations. The training and validation functions are incorrectly implemented, leading to failures in the training process. Additionally, the bonus task for residual connections is not attempted correctly.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51" t="n">
        <v>0</v>
      </c>
      <c r="AD351" t="inlineStr">
        <is>
          <t>The student's submission does not run end-to-end due to multiple issues. The dataset class is incorrectly implemented, leading to errors in data loading. The model definition uses the wrong encoder (efficientnet-b1 instead of efficientnet-b0), and the training and validation loops have logical errors. Additionally, the visualization of predictions is incorrect due to issues in the data handling and model output processing. Therefore, no points are awarded for any task as the code does not run correctly and deviates from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51" t="n">
        <v>0</v>
      </c>
      <c r="AF351" t="n">
        <v>0</v>
      </c>
      <c r="AG351" t="inlineStr">
        <is>
          <t>The student's implementation of the `ColorizationDataset` class contains several critical errors. The `__init__` method incorrectly stores the dataset and initializes an unused `images_paths` list. The `__len__` method returns the length of the base folder path instead of the number of samples. The `rgb_to_grayscale` method uses an incorrect formula and attempts to convert the image using a non-existent method. The `__getitem__` method does not correctly retrieve and convert the image to grayscale. These issues prevent the code from running correctly, resulting in a score of 0.0 for the task.
Breakdown:
- Correctly implemented `ColorizationDataset` class: 0.0/5.0</t>
        </is>
      </c>
      <c r="AH351" t="n">
        <v>0</v>
      </c>
      <c r="AI351" t="n">
        <v>0</v>
      </c>
    </row>
    <row r="352">
      <c r="A352" t="n">
        <v>351</v>
      </c>
      <c r="B352" t="inlineStr">
        <is>
          <t>TA_7</t>
        </is>
      </c>
      <c r="C352" t="inlineStr">
        <is>
          <t>TA_17</t>
        </is>
      </c>
      <c r="D352" t="n">
        <v>5.5</v>
      </c>
      <c r="E352" t="n">
        <v>4</v>
      </c>
      <c r="F352" t="n">
        <v>11</v>
      </c>
      <c r="G352" t="n">
        <v>4</v>
      </c>
      <c r="H352" t="n">
        <v>8</v>
      </c>
      <c r="I352" t="n">
        <v>5</v>
      </c>
      <c r="J352" t="n">
        <v>4.5</v>
      </c>
      <c r="K352" t="n">
        <v>0</v>
      </c>
      <c r="L352" t="n">
        <v>9</v>
      </c>
      <c r="M352" t="n">
        <v>4</v>
      </c>
      <c r="N352" t="n">
        <v>0</v>
      </c>
      <c r="O352" t="n">
        <v>5</v>
      </c>
      <c r="P352">
        <f>Table1[[#This Row],[TA 1 - Q1 Score]]+Table1[[#This Row],[TA 1 - Q2 Score]]+Table1[[#This Row],[TA 1 - Q3 Score]]</f>
        <v/>
      </c>
      <c r="Q352">
        <f>Table1[[#This Row],[TA 1 - Q1 Bonus]]+Table1[[#This Row],[TA 1 - Q2 Bonus]]+Table1[[#This Row],[TA 1 - Q4 Bonus]]</f>
        <v/>
      </c>
      <c r="R352">
        <f>Table1[[#This Row],[TA 2 - Q1 Score]]+Table1[[#This Row],[TA 2 - Q2 Score]]+Table1[[#This Row],[TA 2 - Q3 Score]]</f>
        <v/>
      </c>
      <c r="S352">
        <f>Table1[[#This Row],[TA 2 - Q1 Bonus]]+Table1[[#This Row],[TA 2 - Q2 Bonus]]+Table1[[#This Row],[TA 2 - Q4 Bonus]]</f>
        <v/>
      </c>
      <c r="T352">
        <f>(Table1[[#This Row],[TA 1 - Total Score (out of 35)]]+Table1[[#This Row],[TA 2 - Total Score (out of 35)]])/2</f>
        <v/>
      </c>
      <c r="U352">
        <f>(Table1[[#This Row],[TA 1 - Total Bonus (out of 13)]]+Table1[[#This Row],[TA 2 - Total Bonus (out of 13)]])/2</f>
        <v/>
      </c>
      <c r="V352">
        <f>Table1[[#This Row],[Average Questions]]/35*20+Table1[[#This Row],[Average Bonus]]/13*5</f>
        <v/>
      </c>
      <c r="W352" t="n">
        <v>0</v>
      </c>
      <c r="X352" t="n">
        <v>0</v>
      </c>
      <c r="Y352" t="inlineStr">
        <is>
          <t>The student's submission does not run correctly due to several issues. The transforms are incorrect as the resize dimension is set to 224x224 instead of 28x28. The classifier head is set to 27 classes instead of 26. The label fixing for 0-indexed labels is missing in both the training and validation loops. Additionally, the student did not display sample images as required. These issues prevent the code from running correctly, resulting in a score of 0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52" t="n">
        <v>0</v>
      </c>
      <c r="AA352" t="n">
        <v>0</v>
      </c>
      <c r="AB352" t="inlineStr">
        <is>
          <t>The student's submission does not run correctly due to several issues. The dataset class is custom-built but does not handle exceptions properly, leading to potential crashes. The transforms include normalization, which is not specified in the rubric. The CNN model class is defined but does not follow the exact structure specified in the rubric, particularly in the layer definitions and the use of Batch Normalization. The training and validation functions are defined but do not follow the optimal logic as per the rubric. The training process does not set up the device, model, loss, and optimizer correctly, and the plotting of losses and accuracy is incorrect. The bonus task for residual connections is attempted but does not follow the correct approach and does not run correctly.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52" t="n">
        <v>0</v>
      </c>
      <c r="AD352" t="inlineStr">
        <is>
          <t>The student's submission does not run correctly due to several issues. The dataset class is incorrectly implemented, using a different approach than specified. The model class uses 'resnet34' instead of 'efficientnet-b1'. The training and validation loops are present but do not run correctly due to the incorrect dataset class and model. The visualization of predictions is attempted but fails due to the previous issues. Therefore, no points are awarded for any task as the code does not run end-to-end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52" t="n">
        <v>0</v>
      </c>
      <c r="AF352" t="n">
        <v>0</v>
      </c>
      <c r="AG352" t="inlineStr">
        <is>
          <t>The student's implementation of the `ColorizationDataset` class contains errors in the `rgb_to_grayscale` method. The method is called twice, once correctly and once incorrectly within the `__getitem__` method. This deviation from the rubric and incorrect implementation results in a score of 0.0 for the task.
Breakdown:
- Correctly implemented `ColorizationDataset` class: 0.0/5.0</t>
        </is>
      </c>
      <c r="AH352" t="n">
        <v>0</v>
      </c>
      <c r="AI352" t="n">
        <v>0</v>
      </c>
    </row>
    <row r="353">
      <c r="A353" t="n">
        <v>352</v>
      </c>
      <c r="B353" t="inlineStr">
        <is>
          <t>TA_7</t>
        </is>
      </c>
      <c r="C353" t="inlineStr">
        <is>
          <t>TA_17</t>
        </is>
      </c>
      <c r="D353" t="n">
        <v>4</v>
      </c>
      <c r="E353" t="n">
        <v>0</v>
      </c>
      <c r="F353" t="n">
        <v>9</v>
      </c>
      <c r="G353" t="n">
        <v>0</v>
      </c>
      <c r="H353" t="n">
        <v>4.5</v>
      </c>
      <c r="I353" t="n">
        <v>0</v>
      </c>
      <c r="J353" t="n">
        <v>4</v>
      </c>
      <c r="K353" t="n">
        <v>0</v>
      </c>
      <c r="L353" t="n">
        <v>8.5</v>
      </c>
      <c r="M353" t="n">
        <v>0</v>
      </c>
      <c r="N353" t="n">
        <v>6.5</v>
      </c>
      <c r="O353" t="n">
        <v>0</v>
      </c>
      <c r="P353">
        <f>Table1[[#This Row],[TA 1 - Q1 Score]]+Table1[[#This Row],[TA 1 - Q2 Score]]+Table1[[#This Row],[TA 1 - Q3 Score]]</f>
        <v/>
      </c>
      <c r="Q353">
        <f>Table1[[#This Row],[TA 1 - Q1 Bonus]]+Table1[[#This Row],[TA 1 - Q2 Bonus]]+Table1[[#This Row],[TA 1 - Q4 Bonus]]</f>
        <v/>
      </c>
      <c r="R353">
        <f>Table1[[#This Row],[TA 2 - Q1 Score]]+Table1[[#This Row],[TA 2 - Q2 Score]]+Table1[[#This Row],[TA 2 - Q3 Score]]</f>
        <v/>
      </c>
      <c r="S353">
        <f>Table1[[#This Row],[TA 2 - Q1 Bonus]]+Table1[[#This Row],[TA 2 - Q2 Bonus]]+Table1[[#This Row],[TA 2 - Q4 Bonus]]</f>
        <v/>
      </c>
      <c r="T353">
        <f>(Table1[[#This Row],[TA 1 - Total Score (out of 35)]]+Table1[[#This Row],[TA 2 - Total Score (out of 35)]])/2</f>
        <v/>
      </c>
      <c r="U353">
        <f>(Table1[[#This Row],[TA 1 - Total Bonus (out of 13)]]+Table1[[#This Row],[TA 2 - Total Bonus (out of 13)]])/2</f>
        <v/>
      </c>
      <c r="V353">
        <f>Table1[[#This Row],[Average Questions]]/35*20+Table1[[#This Row],[Average Bonus]]/13*5</f>
        <v/>
      </c>
      <c r="W353" t="n">
        <v>0</v>
      </c>
      <c r="X353" t="n">
        <v>0</v>
      </c>
      <c r="Y353" t="inlineStr">
        <is>
          <t>The student's submission has several critical issues that prevent it from running correctly. The transforms are correctly defined, and the DataLoaders are created, but there is no code to display sample images. The model loading and adaptation tasks are partially completed but contain errors. The training and validation loops are incorrect and do not follow the required logic. The training setup is flawed, and there is no code for plotting losses or accuracies. Additionally, the bonus task for Test Time Augmentation is not attempted. The submission does not run end-to-end due to these issues.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53" t="n">
        <v>0</v>
      </c>
      <c r="AA353" t="n">
        <v>0</v>
      </c>
      <c r="AB353" t="inlineStr">
        <is>
          <t>The student's submission does not run correctly due to several issues. The dataset paths are incorrectly specified, leading to errors in loading the data. The model definition is incorrect as it does not follow the specified architecture with 5 convolutional layers and batch normalization. The training and validation functions are incorrectly implemented, leading to errors in the training process.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53" t="n">
        <v>0</v>
      </c>
      <c r="AD353" t="inlineStr">
        <is>
          <t>The student's submission does not run end-to-end due to several issues. The dataset class is incorrectly implemented, leading to mismatched image and mask pairs. The model definition uses the wrong number of classes and the incorrect loss function is used. Additionally, the training and validation loops are incorrectly implemented, and the visualization code is incomplete. These issues prevent the code from running correctly, resulting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53" t="n">
        <v>0</v>
      </c>
      <c r="AF353" t="n">
        <v>0</v>
      </c>
      <c r="AG353" t="inlineStr">
        <is>
          <t>No submission found.</t>
        </is>
      </c>
      <c r="AH353" t="n">
        <v>0</v>
      </c>
      <c r="AI353" t="n">
        <v>0</v>
      </c>
    </row>
    <row r="354">
      <c r="A354" t="n">
        <v>353</v>
      </c>
      <c r="B354" t="inlineStr">
        <is>
          <t>TA_7</t>
        </is>
      </c>
      <c r="C354" t="inlineStr">
        <is>
          <t>TA_17</t>
        </is>
      </c>
      <c r="D354" t="n">
        <v>12</v>
      </c>
      <c r="E354" t="n">
        <v>0</v>
      </c>
      <c r="F354" t="n">
        <v>8.5</v>
      </c>
      <c r="G354" t="n">
        <v>0</v>
      </c>
      <c r="H354" t="n">
        <v>12</v>
      </c>
      <c r="I354" t="n">
        <v>0</v>
      </c>
      <c r="J354" t="n">
        <v>12</v>
      </c>
      <c r="K354" t="n">
        <v>0</v>
      </c>
      <c r="L354" t="n">
        <v>9</v>
      </c>
      <c r="M354" t="n">
        <v>0</v>
      </c>
      <c r="N354" t="n">
        <v>12</v>
      </c>
      <c r="O354" t="n">
        <v>0</v>
      </c>
      <c r="P354">
        <f>Table1[[#This Row],[TA 1 - Q1 Score]]+Table1[[#This Row],[TA 1 - Q2 Score]]+Table1[[#This Row],[TA 1 - Q3 Score]]</f>
        <v/>
      </c>
      <c r="Q354">
        <f>Table1[[#This Row],[TA 1 - Q1 Bonus]]+Table1[[#This Row],[TA 1 - Q2 Bonus]]+Table1[[#This Row],[TA 1 - Q4 Bonus]]</f>
        <v/>
      </c>
      <c r="R354">
        <f>Table1[[#This Row],[TA 2 - Q1 Score]]+Table1[[#This Row],[TA 2 - Q2 Score]]+Table1[[#This Row],[TA 2 - Q3 Score]]</f>
        <v/>
      </c>
      <c r="S354">
        <f>Table1[[#This Row],[TA 2 - Q1 Bonus]]+Table1[[#This Row],[TA 2 - Q2 Bonus]]+Table1[[#This Row],[TA 2 - Q4 Bonus]]</f>
        <v/>
      </c>
      <c r="T354">
        <f>(Table1[[#This Row],[TA 1 - Total Score (out of 35)]]+Table1[[#This Row],[TA 2 - Total Score (out of 35)]])/2</f>
        <v/>
      </c>
      <c r="U354">
        <f>(Table1[[#This Row],[TA 1 - Total Bonus (out of 13)]]+Table1[[#This Row],[TA 2 - Total Bonus (out of 13)]])/2</f>
        <v/>
      </c>
      <c r="V354">
        <f>Table1[[#This Row],[Average Questions]]/35*20+Table1[[#This Row],[Average Bonus]]/13*5</f>
        <v/>
      </c>
      <c r="W354" t="n">
        <v>0</v>
      </c>
      <c r="X354" t="n">
        <v>0</v>
      </c>
      <c r="Y354" t="inlineStr">
        <is>
          <t>The student's submission does not run correctly due to several issues. The transforms are not correctly applied, the DataLoaders are not created properly, and the model is not correctly set up for training. Additionally, the training and validation loops contain errors, and the plots for training and validation losses and accuracies are missing. The bonus task for Test Time Augmentation is also not implemented correctly.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54" t="n">
        <v>0</v>
      </c>
      <c r="AA354" t="n">
        <v>0</v>
      </c>
      <c r="AB354" t="inlineStr">
        <is>
          <t>The student's submission does not run correctly due to several issues. The transformations applied to the images are incorrect as they use normalization values from ImageNet instead of the required RandomRotation and Resize to 32x32. The CNN model does not include Batch Normalization layers, and the fully connected layer dimensions are incorrect. The training and validation functions are flawed as they apply softmax to the outputs, which is unnecessary and incorrect for CrossEntropyLoss. The training loop does not plot losses and accuracy. Additionally, the bonus task for residual connections is not attempted.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54" t="n">
        <v>0</v>
      </c>
      <c r="AD354" t="inlineStr">
        <is>
          <t>The student's submission does not run correctly due to several issues. The dataset class is incorrectly implemented, leading to errors in data loading. The model definition and training loops are also flawed, resulting in runtime errors. Additionally, the visualization code is incomplete and incorrect, failing to display the predictions correctly. Therefore, no points are awarded for any task as the code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54" t="n">
        <v>0</v>
      </c>
      <c r="AF354" t="n">
        <v>0</v>
      </c>
      <c r="AG354" t="inlineStr">
        <is>
          <t>No submission found.</t>
        </is>
      </c>
      <c r="AH354" t="n">
        <v>0</v>
      </c>
      <c r="AI354" t="n">
        <v>0</v>
      </c>
    </row>
    <row r="355">
      <c r="A355" t="n">
        <v>354</v>
      </c>
      <c r="B355" t="inlineStr">
        <is>
          <t>TA_7</t>
        </is>
      </c>
      <c r="C355" t="inlineStr">
        <is>
          <t>TA_17</t>
        </is>
      </c>
      <c r="D355" t="n">
        <v>12</v>
      </c>
      <c r="E355" t="n">
        <v>3</v>
      </c>
      <c r="F355" t="n">
        <v>9</v>
      </c>
      <c r="G355" t="n">
        <v>0</v>
      </c>
      <c r="H355" t="n">
        <v>7</v>
      </c>
      <c r="I355" t="n">
        <v>0</v>
      </c>
      <c r="J355" t="n">
        <v>11.5</v>
      </c>
      <c r="K355" t="n">
        <v>0</v>
      </c>
      <c r="L355" t="n">
        <v>8.5</v>
      </c>
      <c r="M355" t="n">
        <v>0</v>
      </c>
      <c r="N355" t="n">
        <v>6</v>
      </c>
      <c r="O355" t="n">
        <v>0</v>
      </c>
      <c r="P355">
        <f>Table1[[#This Row],[TA 1 - Q1 Score]]+Table1[[#This Row],[TA 1 - Q2 Score]]+Table1[[#This Row],[TA 1 - Q3 Score]]</f>
        <v/>
      </c>
      <c r="Q355">
        <f>Table1[[#This Row],[TA 1 - Q1 Bonus]]+Table1[[#This Row],[TA 1 - Q2 Bonus]]+Table1[[#This Row],[TA 1 - Q4 Bonus]]</f>
        <v/>
      </c>
      <c r="R355">
        <f>Table1[[#This Row],[TA 2 - Q1 Score]]+Table1[[#This Row],[TA 2 - Q2 Score]]+Table1[[#This Row],[TA 2 - Q3 Score]]</f>
        <v/>
      </c>
      <c r="S355">
        <f>Table1[[#This Row],[TA 2 - Q1 Bonus]]+Table1[[#This Row],[TA 2 - Q2 Bonus]]+Table1[[#This Row],[TA 2 - Q4 Bonus]]</f>
        <v/>
      </c>
      <c r="T355">
        <f>(Table1[[#This Row],[TA 1 - Total Score (out of 35)]]+Table1[[#This Row],[TA 2 - Total Score (out of 35)]])/2</f>
        <v/>
      </c>
      <c r="U355">
        <f>(Table1[[#This Row],[TA 1 - Total Bonus (out of 13)]]+Table1[[#This Row],[TA 2 - Total Bonus (out of 13)]])/2</f>
        <v/>
      </c>
      <c r="V355">
        <f>Table1[[#This Row],[Average Questions]]/35*20+Table1[[#This Row],[Average Bonus]]/13*5</f>
        <v/>
      </c>
      <c r="W355" t="n">
        <v>0</v>
      </c>
      <c r="X355" t="n">
        <v>0</v>
      </c>
      <c r="Y355" t="inlineStr">
        <is>
          <t>The student's submission contains multiple errors and deviations from the rubric. The transforms are incomplete, the DataLoaders are not correctly created, and the sample images are not displayed correctly. The model loading and adaptation steps are incorrect, and the training and validation loops do not function as required. Additionally, the bonus task for Test Time Augmentation is not implemented correctly.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55" t="n">
        <v>0</v>
      </c>
      <c r="AA355" t="n">
        <v>0</v>
      </c>
      <c r="AB355" t="inlineStr">
        <is>
          <t>The student's submission does not run due to incorrect paths and missing imports. The code for loading and preparing the data, building the CNN model, training and validation functions, and training the model is incomplete and contains errors. The bonus task is not attempted. Therefore, the minimum defensible score is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355" t="n">
        <v>0</v>
      </c>
      <c r="AD355" t="inlineStr">
        <is>
          <t>The student's submission does not run end-to-end due to multiple issues. The dataset class is incorrectly defined, leading to errors in data loading. The model definition and training loops are present but contain errors that prevent the code from running correctly. The visualization code is also incomplete and contains errors. Therefore, no tasks are awarded any points as the code does not run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55" t="n">
        <v>0</v>
      </c>
      <c r="AF355" t="n">
        <v>0</v>
      </c>
      <c r="AG355" t="inlineStr">
        <is>
          <t>No submission found.</t>
        </is>
      </c>
      <c r="AH355" t="n">
        <v>0</v>
      </c>
      <c r="AI355" t="n">
        <v>0</v>
      </c>
    </row>
    <row r="356">
      <c r="A356" t="n">
        <v>355</v>
      </c>
      <c r="B356" t="inlineStr">
        <is>
          <t>TA_7</t>
        </is>
      </c>
      <c r="C356" t="inlineStr">
        <is>
          <t>TA_17</t>
        </is>
      </c>
      <c r="D356" t="n">
        <v>6</v>
      </c>
      <c r="E356" t="n">
        <v>0</v>
      </c>
      <c r="F356" t="n">
        <v>8.5</v>
      </c>
      <c r="G356" t="n">
        <v>0</v>
      </c>
      <c r="H356" t="n">
        <v>8</v>
      </c>
      <c r="I356" t="n">
        <v>0</v>
      </c>
      <c r="J356" t="n">
        <v>6</v>
      </c>
      <c r="K356" t="n">
        <v>0</v>
      </c>
      <c r="L356" t="n">
        <v>9.5</v>
      </c>
      <c r="M356" t="n">
        <v>0</v>
      </c>
      <c r="N356" t="n">
        <v>5.5</v>
      </c>
      <c r="O356" t="n">
        <v>0</v>
      </c>
      <c r="P356">
        <f>Table1[[#This Row],[TA 1 - Q1 Score]]+Table1[[#This Row],[TA 1 - Q2 Score]]+Table1[[#This Row],[TA 1 - Q3 Score]]</f>
        <v/>
      </c>
      <c r="Q356">
        <f>Table1[[#This Row],[TA 1 - Q1 Bonus]]+Table1[[#This Row],[TA 1 - Q2 Bonus]]+Table1[[#This Row],[TA 1 - Q4 Bonus]]</f>
        <v/>
      </c>
      <c r="R356">
        <f>Table1[[#This Row],[TA 2 - Q1 Score]]+Table1[[#This Row],[TA 2 - Q2 Score]]+Table1[[#This Row],[TA 2 - Q3 Score]]</f>
        <v/>
      </c>
      <c r="S356">
        <f>Table1[[#This Row],[TA 2 - Q1 Bonus]]+Table1[[#This Row],[TA 2 - Q2 Bonus]]+Table1[[#This Row],[TA 2 - Q4 Bonus]]</f>
        <v/>
      </c>
      <c r="T356">
        <f>(Table1[[#This Row],[TA 1 - Total Score (out of 35)]]+Table1[[#This Row],[TA 2 - Total Score (out of 35)]])/2</f>
        <v/>
      </c>
      <c r="U356">
        <f>(Table1[[#This Row],[TA 1 - Total Bonus (out of 13)]]+Table1[[#This Row],[TA 2 - Total Bonus (out of 13)]])/2</f>
        <v/>
      </c>
      <c r="V356">
        <f>Table1[[#This Row],[Average Questions]]/35*20+Table1[[#This Row],[Average Bonus]]/13*5</f>
        <v/>
      </c>
      <c r="W356" t="n">
        <v>0</v>
      </c>
      <c r="X356" t="n">
        <v>0</v>
      </c>
      <c r="Y356" t="inlineStr">
        <is>
          <t>The student's submission does not run correctly due to several issues. The model loading and freezing steps are incorrect, and the training and validation loops are not correctly implemented. Additionally, the student did not display sample images or plot the training and validation losses and accuracies. The code is disorganized and fragmented, making it difficult to follow the logic.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56" t="n">
        <v>0</v>
      </c>
      <c r="AA356" t="n">
        <v>0</v>
      </c>
      <c r="AB356" t="inlineStr">
        <is>
          <t>The student's submission does not run correctly due to multiple issues. The dataset class is incorrectly implemented, leading to errors in data loading. The CNN model does not have the correct number of convolutional layers and lacks proper batch normalization. The training and validation functions are incorrectly defined, leading to errors in the training process.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56" t="n">
        <v>0</v>
      </c>
      <c r="AD356" t="inlineStr">
        <is>
          <t>The student's submission has several critical issues. The dataset class is incorrectly implemented, leading to a failure in loading the data correctly. The model definition uses 'efficientnet-b0' instead of 'efficientnet-b1', which is a deviation from the rubric. The training and validation loops are present but do not run correctly due to the incorrect dataset class. The loss and optimizer are defined, but the training process does not complete successfully. The visualization of predictions is attempted but fails due to the earlier issues. Overall, the submission does not meet the requirements of the rubric, resulting in a score of 0.0.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356" t="n">
        <v>0</v>
      </c>
      <c r="AF356" t="n">
        <v>0</v>
      </c>
      <c r="AG356" t="inlineStr">
        <is>
          <t>The student's implementation of the `ColorizationDataset` class is incomplete and contains several errors. The `__init__` method incorrectly assigns `self.cifar_dataset` to `color_image`, which is not defined. The `__len__` method attempts to return the length of `self.color_image`, which is also not defined. The `rgb_to_grayscale` method is not implemented, and the `__getitem__` method contains syntax errors and incorrect logic. Additionally, the student's code does not run correctly due to these issues, resulting in a score of 0.0 for the task.
Breakdown:
- Correctly implemented `ColorizationDataset` class: 0.0/5.0</t>
        </is>
      </c>
      <c r="AH356" t="n">
        <v>0</v>
      </c>
      <c r="AI356" t="n">
        <v>0</v>
      </c>
    </row>
    <row r="357">
      <c r="A357" t="n">
        <v>356</v>
      </c>
      <c r="B357" t="inlineStr">
        <is>
          <t>TA_7</t>
        </is>
      </c>
      <c r="C357" t="inlineStr">
        <is>
          <t>TA_17</t>
        </is>
      </c>
      <c r="D357" t="n">
        <v>8.5</v>
      </c>
      <c r="E357" t="n">
        <v>0</v>
      </c>
      <c r="F357" t="n">
        <v>7</v>
      </c>
      <c r="G357" t="n">
        <v>0</v>
      </c>
      <c r="H357" t="n">
        <v>2</v>
      </c>
      <c r="I357" t="n">
        <v>0</v>
      </c>
      <c r="J357" t="n">
        <v>5.5</v>
      </c>
      <c r="K357" t="n">
        <v>0</v>
      </c>
      <c r="L357" t="n">
        <v>9.5</v>
      </c>
      <c r="M357" t="n">
        <v>0</v>
      </c>
      <c r="N357" t="n">
        <v>0</v>
      </c>
      <c r="O357" t="n">
        <v>0</v>
      </c>
      <c r="P357">
        <f>Table1[[#This Row],[TA 1 - Q1 Score]]+Table1[[#This Row],[TA 1 - Q2 Score]]+Table1[[#This Row],[TA 1 - Q3 Score]]</f>
        <v/>
      </c>
      <c r="Q357">
        <f>Table1[[#This Row],[TA 1 - Q1 Bonus]]+Table1[[#This Row],[TA 1 - Q2 Bonus]]+Table1[[#This Row],[TA 1 - Q4 Bonus]]</f>
        <v/>
      </c>
      <c r="R357">
        <f>Table1[[#This Row],[TA 2 - Q1 Score]]+Table1[[#This Row],[TA 2 - Q2 Score]]+Table1[[#This Row],[TA 2 - Q3 Score]]</f>
        <v/>
      </c>
      <c r="S357">
        <f>Table1[[#This Row],[TA 2 - Q1 Bonus]]+Table1[[#This Row],[TA 2 - Q2 Bonus]]+Table1[[#This Row],[TA 2 - Q4 Bonus]]</f>
        <v/>
      </c>
      <c r="T357">
        <f>(Table1[[#This Row],[TA 1 - Total Score (out of 35)]]+Table1[[#This Row],[TA 2 - Total Score (out of 35)]])/2</f>
        <v/>
      </c>
      <c r="U357">
        <f>(Table1[[#This Row],[TA 1 - Total Bonus (out of 13)]]+Table1[[#This Row],[TA 2 - Total Bonus (out of 13)]])/2</f>
        <v/>
      </c>
      <c r="V357">
        <f>Table1[[#This Row],[Average Questions]]/35*20+Table1[[#This Row],[Average Bonus]]/13*5</f>
        <v/>
      </c>
      <c r="W357" t="n">
        <v>0</v>
      </c>
      <c r="X357" t="n">
        <v>0</v>
      </c>
      <c r="Y357" t="inlineStr">
        <is>
          <t>The student's submission has several critical issues that prevent it from running correctly. The transforms are correctly defined, and the DataLoaders are created, but there is no code to display sample images. The model is loaded and adapted correctly, but the training and validation loops contain errors that prevent them from running. Specifically, the training loop does not correctly compute predictions, and the validation loop does not adjust labels. The training setup is incorrect, and there is no code to plot the training and validation losses or accuracies. Additionally, the bonus task for Test Time Augmentation is not attempted.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57" t="n">
        <v>0</v>
      </c>
      <c r="AA357" t="n">
        <v>0</v>
      </c>
      <c r="AB357" t="inlineStr">
        <is>
          <t>The student's submission does not run correctly due to several issues. The CNN model class does not follow the specified architecture with 5 convolutional layers. The training and validation functions are incorrectly implemented, leading to errors in the training process. Additionally, the student did not include the bonus task for residual connections.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57" t="n">
        <v>0</v>
      </c>
      <c r="AD357" t="inlineStr">
        <is>
          <t>The student's submission is incomplete and does not follow the rubric. The dataset class is incorrectly implemented, using a CSV file that was not provided or mentioned in the guidelines. The DataLoaders and display of sample images and masks are not implemented. The model class, training and validation loops, and running training tasks are also missing. The student did not attempt to define the loss and optimizer, train the model, print losses, plot the loss curve, or visualize predictions.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57" t="n">
        <v>0</v>
      </c>
      <c r="AF357" t="n">
        <v>0</v>
      </c>
      <c r="AG357" t="inlineStr">
        <is>
          <t>No submission found.</t>
        </is>
      </c>
      <c r="AH357" t="n">
        <v>0</v>
      </c>
      <c r="AI357" t="n">
        <v>0</v>
      </c>
    </row>
    <row r="358">
      <c r="A358" t="n">
        <v>357</v>
      </c>
      <c r="B358" t="inlineStr">
        <is>
          <t>TA_7</t>
        </is>
      </c>
      <c r="C358" t="inlineStr">
        <is>
          <t>TA_17</t>
        </is>
      </c>
      <c r="D358" t="n">
        <v>12</v>
      </c>
      <c r="E358" t="n">
        <v>3</v>
      </c>
      <c r="F358" t="n">
        <v>11</v>
      </c>
      <c r="G358" t="n">
        <v>0</v>
      </c>
      <c r="H358" t="n">
        <v>12</v>
      </c>
      <c r="I358" t="n">
        <v>0</v>
      </c>
      <c r="J358" t="n">
        <v>11</v>
      </c>
      <c r="K358" t="n">
        <v>0</v>
      </c>
      <c r="L358" t="n">
        <v>11</v>
      </c>
      <c r="M358" t="n">
        <v>0</v>
      </c>
      <c r="N358" t="n">
        <v>12</v>
      </c>
      <c r="O358" t="n">
        <v>0</v>
      </c>
      <c r="P358">
        <f>Table1[[#This Row],[TA 1 - Q1 Score]]+Table1[[#This Row],[TA 1 - Q2 Score]]+Table1[[#This Row],[TA 1 - Q3 Score]]</f>
        <v/>
      </c>
      <c r="Q358">
        <f>Table1[[#This Row],[TA 1 - Q1 Bonus]]+Table1[[#This Row],[TA 1 - Q2 Bonus]]+Table1[[#This Row],[TA 1 - Q4 Bonus]]</f>
        <v/>
      </c>
      <c r="R358">
        <f>Table1[[#This Row],[TA 2 - Q1 Score]]+Table1[[#This Row],[TA 2 - Q2 Score]]+Table1[[#This Row],[TA 2 - Q3 Score]]</f>
        <v/>
      </c>
      <c r="S358">
        <f>Table1[[#This Row],[TA 2 - Q1 Bonus]]+Table1[[#This Row],[TA 2 - Q2 Bonus]]+Table1[[#This Row],[TA 2 - Q4 Bonus]]</f>
        <v/>
      </c>
      <c r="T358">
        <f>(Table1[[#This Row],[TA 1 - Total Score (out of 35)]]+Table1[[#This Row],[TA 2 - Total Score (out of 35)]])/2</f>
        <v/>
      </c>
      <c r="U358">
        <f>(Table1[[#This Row],[TA 1 - Total Bonus (out of 13)]]+Table1[[#This Row],[TA 2 - Total Bonus (out of 13)]])/2</f>
        <v/>
      </c>
      <c r="V358">
        <f>Table1[[#This Row],[Average Questions]]/35*20+Table1[[#This Row],[Average Bonus]]/13*5</f>
        <v/>
      </c>
      <c r="W358" t="n">
        <v>0</v>
      </c>
      <c r="X358" t="n">
        <v>0</v>
      </c>
      <c r="Y358" t="inlineStr">
        <is>
          <t>The student's submission does not run correctly due to several issues. The transforms are incomplete, the DataLoaders are not created correctly, and the sample images are not displayed properly. The model is not loaded correctly, the backbone is not frozen, and the classifier head is not replaced correctly. The training and validation loops are incorrect, and the labels are not fixed. The training process does not set up the device, model, loss, and optimizer correctly, and the model is not trained. The plots for training and validation losses and accuracies are incorrect. The bonus task for Test Time Augmentation (TTA) is not implemented correctly.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58" t="n">
        <v>0</v>
      </c>
      <c r="AA358" t="n">
        <v>0</v>
      </c>
      <c r="AB358" t="inlineStr">
        <is>
          <t>The student's submission does not run correctly due to several issues. The transformations applied to the images do not match the rubric specifications, and the model architecture deviates significantly from the required 5 convolutional layers. Additionally, the training and validation loops contain errors, and the plotting of losses and accuracy is incorrect. The bonus task is also incomplete and does not run correctly.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58" t="n">
        <v>10</v>
      </c>
      <c r="AD358" t="inlineStr">
        <is>
          <t>The student successfully completed all tasks as per the rubric. The dataset class, DataLoaders, and image display functions were correctly implemented. The model definition used the correct encoder, and the training and validation loops were correctly defined and executed. The loss and optimizer were defined correctly, and the model was trained with the training and validation losses printed and plotted. The visualizations of predictions vs ground truth were also correctly implemented.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58" t="n">
        <v>0</v>
      </c>
      <c r="AF358" t="n">
        <v>0</v>
      </c>
      <c r="AG358" t="inlineStr">
        <is>
          <t>No submission found.</t>
        </is>
      </c>
      <c r="AH358" t="n">
        <v>10</v>
      </c>
      <c r="AI358" t="n">
        <v>0</v>
      </c>
    </row>
    <row r="359">
      <c r="A359" t="n">
        <v>358</v>
      </c>
      <c r="B359" t="inlineStr">
        <is>
          <t>TA_7</t>
        </is>
      </c>
      <c r="C359" t="inlineStr">
        <is>
          <t>TA_17</t>
        </is>
      </c>
      <c r="D359" t="n">
        <v>12</v>
      </c>
      <c r="E359" t="n">
        <v>0</v>
      </c>
      <c r="F359" t="n">
        <v>11</v>
      </c>
      <c r="G359" t="n">
        <v>0</v>
      </c>
      <c r="H359" t="n">
        <v>8</v>
      </c>
      <c r="I359" t="n">
        <v>5</v>
      </c>
      <c r="J359" t="n">
        <v>11</v>
      </c>
      <c r="K359" t="n">
        <v>0</v>
      </c>
      <c r="L359" t="n">
        <v>11</v>
      </c>
      <c r="M359" t="n">
        <v>0</v>
      </c>
      <c r="N359" t="n">
        <v>6.5</v>
      </c>
      <c r="O359" t="n">
        <v>5</v>
      </c>
      <c r="P359">
        <f>Table1[[#This Row],[TA 1 - Q1 Score]]+Table1[[#This Row],[TA 1 - Q2 Score]]+Table1[[#This Row],[TA 1 - Q3 Score]]</f>
        <v/>
      </c>
      <c r="Q359">
        <f>Table1[[#This Row],[TA 1 - Q1 Bonus]]+Table1[[#This Row],[TA 1 - Q2 Bonus]]+Table1[[#This Row],[TA 1 - Q4 Bonus]]</f>
        <v/>
      </c>
      <c r="R359">
        <f>Table1[[#This Row],[TA 2 - Q1 Score]]+Table1[[#This Row],[TA 2 - Q2 Score]]+Table1[[#This Row],[TA 2 - Q3 Score]]</f>
        <v/>
      </c>
      <c r="S359">
        <f>Table1[[#This Row],[TA 2 - Q1 Bonus]]+Table1[[#This Row],[TA 2 - Q2 Bonus]]+Table1[[#This Row],[TA 2 - Q4 Bonus]]</f>
        <v/>
      </c>
      <c r="T359">
        <f>(Table1[[#This Row],[TA 1 - Total Score (out of 35)]]+Table1[[#This Row],[TA 2 - Total Score (out of 35)]])/2</f>
        <v/>
      </c>
      <c r="U359">
        <f>(Table1[[#This Row],[TA 1 - Total Bonus (out of 13)]]+Table1[[#This Row],[TA 2 - Total Bonus (out of 13)]])/2</f>
        <v/>
      </c>
      <c r="V359">
        <f>Table1[[#This Row],[Average Questions]]/35*20+Table1[[#This Row],[Average Bonus]]/13*5</f>
        <v/>
      </c>
      <c r="W359" t="n">
        <v>0</v>
      </c>
      <c r="X359" t="n">
        <v>0</v>
      </c>
      <c r="Y359" t="inlineStr">
        <is>
          <t>The student's submission does not run correctly due to several issues. The transforms are incorrectly set to resize to 24x24 instead of 28x28, which deviates from the rubric. The DataLoader creation and display of sample images are incomplete and do not follow the correct logic. The model loading and adaptation steps are incorrect, as the backbone is not properly frozen, and the classifier head is not correctly replaced. The training and validation functions are incomplete and do not run correctly. The training setup and plotting functions are also incomplete and do not produce the correct outputs. The bonus task for Test Time Augmentation is not attempted.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59" t="n">
        <v>0</v>
      </c>
      <c r="AA359" t="n">
        <v>0</v>
      </c>
      <c r="AB359" t="inlineStr">
        <is>
          <t>The student's submission does not run correctly due to several issues. The dataset class is incorrectly implemented, leading to errors in loading the data. The transforms applied to the images do not match the required specifications, and the model architecture deviates from the rubric. Additionally, the training and validation functions are not correctly defined, and the training process does not execute as expected.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59" t="n">
        <v>0</v>
      </c>
      <c r="AD359" t="inlineStr">
        <is>
          <t>The student's submission does not run end-to-end due to multiple issues. The dataset class is incorrectly implemented, leading to errors in data loading. The model definition uses 'efficientnet-b0' instead of 'efficientnet-b1' as specified. The training and validation loops are incorrectly implemented, and the loss and optimizer are not correctly defined for multi-class segmentation. Additionally, the visualization of predictions is missing. Therefore, no points are awarded for any task as the code does not run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59" t="n">
        <v>0</v>
      </c>
      <c r="AF359" t="n">
        <v>0</v>
      </c>
      <c r="AG359" t="inlineStr">
        <is>
          <t>The student's implementation of the `ColorizationDataset` class contains a critical mistake in the `rgb_to_grayscale` method. The method does not correctly add the channel dimension to the grayscale image, resulting in a shape of (H, W) instead of (1, H, W). This error prevents the code from running correctly and producing the expected output. Therefore, the implementation does not meet the criteria for full credit and receives a score of 0.0.
Breakdown:
- Correctly implemented `ColorizationDataset` class: 0.0/5.0</t>
        </is>
      </c>
      <c r="AH359" t="n">
        <v>0</v>
      </c>
      <c r="AI359" t="n">
        <v>0</v>
      </c>
    </row>
    <row r="360">
      <c r="A360" t="n">
        <v>359</v>
      </c>
      <c r="B360" t="inlineStr">
        <is>
          <t>TA_7</t>
        </is>
      </c>
      <c r="C360" t="inlineStr">
        <is>
          <t>TA_17</t>
        </is>
      </c>
      <c r="D360" t="n">
        <v>4</v>
      </c>
      <c r="E360" t="n">
        <v>0</v>
      </c>
      <c r="F360" t="n">
        <v>8</v>
      </c>
      <c r="G360" t="n">
        <v>0</v>
      </c>
      <c r="H360" t="n">
        <v>0</v>
      </c>
      <c r="I360" t="n">
        <v>0</v>
      </c>
      <c r="J360" t="n">
        <v>3.5</v>
      </c>
      <c r="K360" t="n">
        <v>0</v>
      </c>
      <c r="L360" t="n">
        <v>8</v>
      </c>
      <c r="M360" t="n">
        <v>0</v>
      </c>
      <c r="N360" t="n">
        <v>0</v>
      </c>
      <c r="O360" t="n">
        <v>0</v>
      </c>
      <c r="P360">
        <f>Table1[[#This Row],[TA 1 - Q1 Score]]+Table1[[#This Row],[TA 1 - Q2 Score]]+Table1[[#This Row],[TA 1 - Q3 Score]]</f>
        <v/>
      </c>
      <c r="Q360">
        <f>Table1[[#This Row],[TA 1 - Q1 Bonus]]+Table1[[#This Row],[TA 1 - Q2 Bonus]]+Table1[[#This Row],[TA 1 - Q4 Bonus]]</f>
        <v/>
      </c>
      <c r="R360">
        <f>Table1[[#This Row],[TA 2 - Q1 Score]]+Table1[[#This Row],[TA 2 - Q2 Score]]+Table1[[#This Row],[TA 2 - Q3 Score]]</f>
        <v/>
      </c>
      <c r="S360">
        <f>Table1[[#This Row],[TA 2 - Q1 Bonus]]+Table1[[#This Row],[TA 2 - Q2 Bonus]]+Table1[[#This Row],[TA 2 - Q4 Bonus]]</f>
        <v/>
      </c>
      <c r="T360">
        <f>(Table1[[#This Row],[TA 1 - Total Score (out of 35)]]+Table1[[#This Row],[TA 2 - Total Score (out of 35)]])/2</f>
        <v/>
      </c>
      <c r="U360">
        <f>(Table1[[#This Row],[TA 1 - Total Bonus (out of 13)]]+Table1[[#This Row],[TA 2 - Total Bonus (out of 13)]])/2</f>
        <v/>
      </c>
      <c r="V360">
        <f>Table1[[#This Row],[Average Questions]]/35*20+Table1[[#This Row],[Average Bonus]]/13*5</f>
        <v/>
      </c>
      <c r="W360" t="n">
        <v>0</v>
      </c>
      <c r="X360" t="n">
        <v>0</v>
      </c>
      <c r="Y360" t="inlineStr">
        <is>
          <t>The student's submission does not include any code for the tasks related to freezing the backbone, replacing the classifier head, or implementing the training and validation loops. Additionally, the student did not attempt to plot the training and validation losses or accuracies. The code for displaying sample images is incomplete and does not run correctly.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60" t="n">
        <v>0</v>
      </c>
      <c r="AA360" t="n">
        <v>0</v>
      </c>
      <c r="AB360" t="inlineStr">
        <is>
          <t>The student's submission contains several critical errors that prevent the code from running correctly. The dataset paths are incorrectly set, with the training and testing directories swapped. The transforms include normalization, which is not specified in the rubric. The CNN model does not follow the specified architecture, missing Batch Normalization layers and having incorrect output dimensions. The training and validation functions are incorrectly implemented, leading to errors in the training process. Additionally, the student did not attempt the bonus task. These issues result in a score of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60" t="n">
        <v>0</v>
      </c>
      <c r="AD360" t="inlineStr">
        <is>
          <t>No submission found.</t>
        </is>
      </c>
      <c r="AE360" t="n">
        <v>0</v>
      </c>
      <c r="AF360" t="n">
        <v>0</v>
      </c>
      <c r="AG360" t="inlineStr">
        <is>
          <t>No submission found.</t>
        </is>
      </c>
      <c r="AH360" t="n">
        <v>0</v>
      </c>
      <c r="AI360" t="n">
        <v>0</v>
      </c>
    </row>
    <row r="361">
      <c r="A361" t="n">
        <v>360</v>
      </c>
      <c r="B361" t="inlineStr">
        <is>
          <t>TA_7</t>
        </is>
      </c>
      <c r="C361" t="inlineStr">
        <is>
          <t>TA_17</t>
        </is>
      </c>
      <c r="D361" t="n">
        <v>11</v>
      </c>
      <c r="E361" t="n">
        <v>0</v>
      </c>
      <c r="F361" t="n">
        <v>9</v>
      </c>
      <c r="G361" t="n">
        <v>0</v>
      </c>
      <c r="H361" t="n">
        <v>12</v>
      </c>
      <c r="I361" t="n">
        <v>0</v>
      </c>
      <c r="J361" t="n">
        <v>6.5</v>
      </c>
      <c r="K361" t="n">
        <v>0</v>
      </c>
      <c r="L361" t="n">
        <v>9</v>
      </c>
      <c r="M361" t="n">
        <v>0</v>
      </c>
      <c r="N361" t="n">
        <v>12</v>
      </c>
      <c r="O361" t="n">
        <v>0</v>
      </c>
      <c r="P361">
        <f>Table1[[#This Row],[TA 1 - Q1 Score]]+Table1[[#This Row],[TA 1 - Q2 Score]]+Table1[[#This Row],[TA 1 - Q3 Score]]</f>
        <v/>
      </c>
      <c r="Q361">
        <f>Table1[[#This Row],[TA 1 - Q1 Bonus]]+Table1[[#This Row],[TA 1 - Q2 Bonus]]+Table1[[#This Row],[TA 1 - Q4 Bonus]]</f>
        <v/>
      </c>
      <c r="R361">
        <f>Table1[[#This Row],[TA 2 - Q1 Score]]+Table1[[#This Row],[TA 2 - Q2 Score]]+Table1[[#This Row],[TA 2 - Q3 Score]]</f>
        <v/>
      </c>
      <c r="S361">
        <f>Table1[[#This Row],[TA 2 - Q1 Bonus]]+Table1[[#This Row],[TA 2 - Q2 Bonus]]+Table1[[#This Row],[TA 2 - Q4 Bonus]]</f>
        <v/>
      </c>
      <c r="T361">
        <f>(Table1[[#This Row],[TA 1 - Total Score (out of 35)]]+Table1[[#This Row],[TA 2 - Total Score (out of 35)]])/2</f>
        <v/>
      </c>
      <c r="U361">
        <f>(Table1[[#This Row],[TA 1 - Total Bonus (out of 13)]]+Table1[[#This Row],[TA 2 - Total Bonus (out of 13)]])/2</f>
        <v/>
      </c>
      <c r="V361">
        <f>Table1[[#This Row],[Average Questions]]/35*20+Table1[[#This Row],[Average Bonus]]/13*5</f>
        <v/>
      </c>
      <c r="W361" t="n">
        <v>0</v>
      </c>
      <c r="X361" t="n">
        <v>0</v>
      </c>
      <c r="Y361" t="inlineStr">
        <is>
          <t>The student's submission does not run correctly due to several issues. The transforms are incomplete, the DataLoaders are not created correctly, and the model is not set up properly. The training and validation loops are incorrect, and the label fixing is not implemented. Additionally, the plots for training and validation losses and accuracies are missing. The bonus task for Test Time Augmentation is also not implemented.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61" t="n">
        <v>0</v>
      </c>
      <c r="AA361" t="n">
        <v>0</v>
      </c>
      <c r="AB361" t="inlineStr">
        <is>
          <t>The student's submission does not run correctly due to several issues. The dataset class is defined but not used correctly, leading to errors in data loading. The CNN model definition has incorrect dimensions, causing runtime errors. The training and validation functions are defined but contain logical errors, such as applying softmax manually before calculating accuracy.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61" t="n">
        <v>0</v>
      </c>
      <c r="AD361" t="inlineStr">
        <is>
          <t>The student's submission does not run correctly due to missing or incorrect code in several critical areas. The dataset class is incorrectly defined, the model is not correctly instantiated with the required encoder, and the training and validation loops are not correctly implemented. Additionally, the code for visualizing predictions is incomplete and does not run. Therefore, no points are awarded for any task as the code does not meet the requirements to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61" t="n">
        <v>0</v>
      </c>
      <c r="AF361" t="n">
        <v>0</v>
      </c>
      <c r="AG361" t="inlineStr">
        <is>
          <t>No submission found.</t>
        </is>
      </c>
      <c r="AH361" t="n">
        <v>0</v>
      </c>
      <c r="AI361" t="n">
        <v>0</v>
      </c>
    </row>
    <row r="362">
      <c r="A362" t="n">
        <v>361</v>
      </c>
      <c r="B362" t="inlineStr">
        <is>
          <t>TA_7</t>
        </is>
      </c>
      <c r="C362" t="inlineStr">
        <is>
          <t>TA_17</t>
        </is>
      </c>
      <c r="D362" t="n">
        <v>7.5</v>
      </c>
      <c r="E362" t="n">
        <v>0</v>
      </c>
      <c r="F362" t="n">
        <v>9</v>
      </c>
      <c r="G362" t="n">
        <v>0</v>
      </c>
      <c r="H362" t="n">
        <v>2.5</v>
      </c>
      <c r="I362" t="n">
        <v>0</v>
      </c>
      <c r="J362" t="n">
        <v>6</v>
      </c>
      <c r="K362" t="n">
        <v>0</v>
      </c>
      <c r="L362" t="n">
        <v>9.5</v>
      </c>
      <c r="M362" t="n">
        <v>0</v>
      </c>
      <c r="N362" t="n">
        <v>3</v>
      </c>
      <c r="O362" t="n">
        <v>0</v>
      </c>
      <c r="P362">
        <f>Table1[[#This Row],[TA 1 - Q1 Score]]+Table1[[#This Row],[TA 1 - Q2 Score]]+Table1[[#This Row],[TA 1 - Q3 Score]]</f>
        <v/>
      </c>
      <c r="Q362">
        <f>Table1[[#This Row],[TA 1 - Q1 Bonus]]+Table1[[#This Row],[TA 1 - Q2 Bonus]]+Table1[[#This Row],[TA 1 - Q4 Bonus]]</f>
        <v/>
      </c>
      <c r="R362">
        <f>Table1[[#This Row],[TA 2 - Q1 Score]]+Table1[[#This Row],[TA 2 - Q2 Score]]+Table1[[#This Row],[TA 2 - Q3 Score]]</f>
        <v/>
      </c>
      <c r="S362">
        <f>Table1[[#This Row],[TA 2 - Q1 Bonus]]+Table1[[#This Row],[TA 2 - Q2 Bonus]]+Table1[[#This Row],[TA 2 - Q4 Bonus]]</f>
        <v/>
      </c>
      <c r="T362">
        <f>(Table1[[#This Row],[TA 1 - Total Score (out of 35)]]+Table1[[#This Row],[TA 2 - Total Score (out of 35)]])/2</f>
        <v/>
      </c>
      <c r="U362">
        <f>(Table1[[#This Row],[TA 1 - Total Bonus (out of 13)]]+Table1[[#This Row],[TA 2 - Total Bonus (out of 13)]])/2</f>
        <v/>
      </c>
      <c r="V362">
        <f>Table1[[#This Row],[Average Questions]]/35*20+Table1[[#This Row],[Average Bonus]]/13*5</f>
        <v/>
      </c>
      <c r="W362" t="n">
        <v>0</v>
      </c>
      <c r="X362" t="n">
        <v>0</v>
      </c>
      <c r="Y362" t="inlineStr">
        <is>
          <t>The student's submission does not run correctly due to several issues. The transforms are incorrectly applied, the DataLoaders are not correctly created, and the model training and validation loops are flawed. Additionally, the student did not implement the bonus task for Test Time Augmentation.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62" t="n">
        <v>0</v>
      </c>
      <c r="AA362" t="n">
        <v>0</v>
      </c>
      <c r="AB362" t="inlineStr">
        <is>
          <t>The student's submission does not run correctly due to several issues. The CNN model definition is incorrect as the Batch Normalization layers are not properly integrated into the model. The training and validation functions have logical errors, such as using softmax before calculating the loss, which is incorrect for CrossEntropyLoss. Additionally, the student did not implement the bonus task of adding a residual connection.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62" t="n">
        <v>0</v>
      </c>
      <c r="AD362" t="inlineStr">
        <is>
          <t>The student's submission does not follow the rubric. The dataset class is incorrectly implemented, using a different structure and approach than required. The model class is entirely wrong, using an autoencoder instead of a U-Net with efficientnet-b1 encoder. The training and validation loops are incorrectly defined for the wrong model architecture. The training process is also incorrect, using MSE loss instead of CrossEntropyLoss. The visualization task is also incorrect as it does not visualize segmentation masks but rather reconstructed images from an autoencoder.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62" t="n">
        <v>0</v>
      </c>
      <c r="AF362" t="n">
        <v>0</v>
      </c>
      <c r="AG362" t="inlineStr">
        <is>
          <t>No submission found.</t>
        </is>
      </c>
      <c r="AH362" t="n">
        <v>0</v>
      </c>
      <c r="AI362" t="n">
        <v>0</v>
      </c>
    </row>
    <row r="363">
      <c r="A363" t="n">
        <v>362</v>
      </c>
      <c r="B363" t="inlineStr">
        <is>
          <t>TA_7</t>
        </is>
      </c>
      <c r="C363" t="inlineStr">
        <is>
          <t>TA_17</t>
        </is>
      </c>
      <c r="D363" t="n">
        <v>11.5</v>
      </c>
      <c r="E363" t="n">
        <v>0</v>
      </c>
      <c r="F363" t="n">
        <v>11</v>
      </c>
      <c r="G363" t="n">
        <v>0</v>
      </c>
      <c r="H363" t="n">
        <v>6.5</v>
      </c>
      <c r="I363" t="n">
        <v>0</v>
      </c>
      <c r="J363" t="n">
        <v>7</v>
      </c>
      <c r="K363" t="n">
        <v>0</v>
      </c>
      <c r="L363" t="n">
        <v>11</v>
      </c>
      <c r="M363" t="n">
        <v>0</v>
      </c>
      <c r="N363" t="n">
        <v>5</v>
      </c>
      <c r="O363" t="n">
        <v>0</v>
      </c>
      <c r="P363">
        <f>Table1[[#This Row],[TA 1 - Q1 Score]]+Table1[[#This Row],[TA 1 - Q2 Score]]+Table1[[#This Row],[TA 1 - Q3 Score]]</f>
        <v/>
      </c>
      <c r="Q363">
        <f>Table1[[#This Row],[TA 1 - Q1 Bonus]]+Table1[[#This Row],[TA 1 - Q2 Bonus]]+Table1[[#This Row],[TA 1 - Q4 Bonus]]</f>
        <v/>
      </c>
      <c r="R363">
        <f>Table1[[#This Row],[TA 2 - Q1 Score]]+Table1[[#This Row],[TA 2 - Q2 Score]]+Table1[[#This Row],[TA 2 - Q3 Score]]</f>
        <v/>
      </c>
      <c r="S363">
        <f>Table1[[#This Row],[TA 2 - Q1 Bonus]]+Table1[[#This Row],[TA 2 - Q2 Bonus]]+Table1[[#This Row],[TA 2 - Q4 Bonus]]</f>
        <v/>
      </c>
      <c r="T363">
        <f>(Table1[[#This Row],[TA 1 - Total Score (out of 35)]]+Table1[[#This Row],[TA 2 - Total Score (out of 35)]])/2</f>
        <v/>
      </c>
      <c r="U363">
        <f>(Table1[[#This Row],[TA 1 - Total Bonus (out of 13)]]+Table1[[#This Row],[TA 2 - Total Bonus (out of 13)]])/2</f>
        <v/>
      </c>
      <c r="V363">
        <f>Table1[[#This Row],[Average Questions]]/35*20+Table1[[#This Row],[Average Bonus]]/13*5</f>
        <v/>
      </c>
      <c r="W363" t="n">
        <v>0</v>
      </c>
      <c r="X363" t="n">
        <v>0</v>
      </c>
      <c r="Y363" t="inlineStr">
        <is>
          <t>The student's submission does not run correctly due to multiple issues. The transforms are incomplete, the DataLoaders are not correctly created, and the model definition and training loops contain errors. The code does not follow the optimal logic and deviates from the rubric, resulting in a score of 0.0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63" t="n">
        <v>0</v>
      </c>
      <c r="AA363" t="n">
        <v>0</v>
      </c>
      <c r="AB363" t="inlineStr">
        <is>
          <t>The student's submission does not run correctly due to several issues. The dataset class is incorrectly implemented, leading to errors in loading the data. The transformations applied to the images do not match the required specifications, and the model architecture deviates from the rubric. Additionally, the training and validation functions contain errors that prevent the model from training properly. As a result,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63" t="n">
        <v>0</v>
      </c>
      <c r="AD363" t="inlineStr">
        <is>
          <t>The student's submission contains several critical errors that prevent the code from running correctly. The dataset class is incorrectly implemented, leading to issues with loading images and masks. The DataLoader creation has syntax errors, and the model definition uses the wrong encoder. The training and validation loops are incorrectly implemented, and the loss function and optimizer are not correctly defined. Additionally, the visualization of predictions is flawed due to the incorrect implementation of the dataset class and model. Therefore, no points are awarded for any task as the code does not run correctly and deviates significantly from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63" t="n">
        <v>0</v>
      </c>
      <c r="AF363" t="n">
        <v>0</v>
      </c>
      <c r="AG363" t="inlineStr">
        <is>
          <t>No submission found.</t>
        </is>
      </c>
      <c r="AH363" t="n">
        <v>0</v>
      </c>
      <c r="AI363" t="n">
        <v>0</v>
      </c>
    </row>
    <row r="364">
      <c r="A364" t="n">
        <v>363</v>
      </c>
      <c r="B364" t="inlineStr">
        <is>
          <t>TA_7</t>
        </is>
      </c>
      <c r="C364" t="inlineStr">
        <is>
          <t>TA_17</t>
        </is>
      </c>
      <c r="D364" t="n">
        <v>12</v>
      </c>
      <c r="E364" t="n">
        <v>0</v>
      </c>
      <c r="F364" t="n">
        <v>8.5</v>
      </c>
      <c r="G364" t="n">
        <v>0</v>
      </c>
      <c r="H364" t="n">
        <v>11.5</v>
      </c>
      <c r="I364" t="n">
        <v>0</v>
      </c>
      <c r="J364" t="n">
        <v>10.5</v>
      </c>
      <c r="K364" t="n">
        <v>0</v>
      </c>
      <c r="L364" t="n">
        <v>8.5</v>
      </c>
      <c r="M364" t="n">
        <v>0</v>
      </c>
      <c r="N364" t="n">
        <v>12</v>
      </c>
      <c r="O364" t="n">
        <v>0</v>
      </c>
      <c r="P364">
        <f>Table1[[#This Row],[TA 1 - Q1 Score]]+Table1[[#This Row],[TA 1 - Q2 Score]]+Table1[[#This Row],[TA 1 - Q3 Score]]</f>
        <v/>
      </c>
      <c r="Q364">
        <f>Table1[[#This Row],[TA 1 - Q1 Bonus]]+Table1[[#This Row],[TA 1 - Q2 Bonus]]+Table1[[#This Row],[TA 1 - Q4 Bonus]]</f>
        <v/>
      </c>
      <c r="R364">
        <f>Table1[[#This Row],[TA 2 - Q1 Score]]+Table1[[#This Row],[TA 2 - Q2 Score]]+Table1[[#This Row],[TA 2 - Q3 Score]]</f>
        <v/>
      </c>
      <c r="S364">
        <f>Table1[[#This Row],[TA 2 - Q1 Bonus]]+Table1[[#This Row],[TA 2 - Q2 Bonus]]+Table1[[#This Row],[TA 2 - Q4 Bonus]]</f>
        <v/>
      </c>
      <c r="T364">
        <f>(Table1[[#This Row],[TA 1 - Total Score (out of 35)]]+Table1[[#This Row],[TA 2 - Total Score (out of 35)]])/2</f>
        <v/>
      </c>
      <c r="U364">
        <f>(Table1[[#This Row],[TA 1 - Total Bonus (out of 13)]]+Table1[[#This Row],[TA 2 - Total Bonus (out of 13)]])/2</f>
        <v/>
      </c>
      <c r="V364">
        <f>Table1[[#This Row],[Average Questions]]/35*20+Table1[[#This Row],[Average Bonus]]/13*5</f>
        <v/>
      </c>
      <c r="W364" t="n">
        <v>0</v>
      </c>
      <c r="X364" t="n">
        <v>0</v>
      </c>
      <c r="Y364" t="inlineStr">
        <is>
          <t>The student's submission does not run correctly due to several issues. The transforms are not correctly applied to the test dataset, the DataLoaders are not created correctly, and the sample images are not displayed correctly. The model is not loaded or adapted correctly, and the training and validation loops are incorrect. The labels are not fixed correctly, and the training process does not run correctly. The plots for training and validation losses and accuracies are not generated correctly. The bonus task for Test Time Augmentation is not implemented correctly.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64" t="n">
        <v>0</v>
      </c>
      <c r="AA364" t="n">
        <v>0</v>
      </c>
      <c r="AB364" t="inlineStr">
        <is>
          <t>The student's submission does not run correctly due to several issues. The dataset class is incorrectly implemented, leading to errors in loading the data. The transforms applied to the images do not match the required specifications, and the model architecture does not adhere to the rubric. Additionally, the training and validation functions are flawed, and the plotting of losses and accuracy is incorrect. The bonus task is also not attempted.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64" t="n">
        <v>0</v>
      </c>
      <c r="AD364" t="inlineStr">
        <is>
          <t>The student's submission does not run correctly due to several issues. The dataset class is incorrectly implemented, leading to errors in data loading. The model definition uses 'efficientnet-b1' instead of 'efficientnet-b0' as specified. The training and validation loops are present but do not run correctly due to the dataset issues. The loss and optimizer are defined correctly, but the training process fails due to the dataset errors. The visualization of predictions is attempted but fails due to the overall issues in the code. Therefore, no points are awarded for any task as the code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64" t="n">
        <v>0</v>
      </c>
      <c r="AF364" t="n">
        <v>0</v>
      </c>
      <c r="AG364" t="inlineStr">
        <is>
          <t>No submission found.</t>
        </is>
      </c>
      <c r="AH364" t="n">
        <v>0</v>
      </c>
      <c r="AI364" t="n">
        <v>0</v>
      </c>
    </row>
    <row r="365">
      <c r="A365" t="n">
        <v>364</v>
      </c>
      <c r="B365" t="inlineStr">
        <is>
          <t>TA_7</t>
        </is>
      </c>
      <c r="C365" t="inlineStr">
        <is>
          <t>TA_17</t>
        </is>
      </c>
      <c r="D365" t="n">
        <v>7</v>
      </c>
      <c r="E365" t="n">
        <v>0</v>
      </c>
      <c r="F365" t="n">
        <v>5.5</v>
      </c>
      <c r="G365" t="n">
        <v>0</v>
      </c>
      <c r="H365" t="n">
        <v>6.5</v>
      </c>
      <c r="I365" t="n">
        <v>0</v>
      </c>
      <c r="J365" t="n">
        <v>4</v>
      </c>
      <c r="K365" t="n">
        <v>0</v>
      </c>
      <c r="L365" t="n">
        <v>6</v>
      </c>
      <c r="M365" t="n">
        <v>0</v>
      </c>
      <c r="N365" t="n">
        <v>5</v>
      </c>
      <c r="O365" t="n">
        <v>0</v>
      </c>
      <c r="P365">
        <f>Table1[[#This Row],[TA 1 - Q1 Score]]+Table1[[#This Row],[TA 1 - Q2 Score]]+Table1[[#This Row],[TA 1 - Q3 Score]]</f>
        <v/>
      </c>
      <c r="Q365">
        <f>Table1[[#This Row],[TA 1 - Q1 Bonus]]+Table1[[#This Row],[TA 1 - Q2 Bonus]]+Table1[[#This Row],[TA 1 - Q4 Bonus]]</f>
        <v/>
      </c>
      <c r="R365">
        <f>Table1[[#This Row],[TA 2 - Q1 Score]]+Table1[[#This Row],[TA 2 - Q2 Score]]+Table1[[#This Row],[TA 2 - Q3 Score]]</f>
        <v/>
      </c>
      <c r="S365">
        <f>Table1[[#This Row],[TA 2 - Q1 Bonus]]+Table1[[#This Row],[TA 2 - Q2 Bonus]]+Table1[[#This Row],[TA 2 - Q4 Bonus]]</f>
        <v/>
      </c>
      <c r="T365">
        <f>(Table1[[#This Row],[TA 1 - Total Score (out of 35)]]+Table1[[#This Row],[TA 2 - Total Score (out of 35)]])/2</f>
        <v/>
      </c>
      <c r="U365">
        <f>(Table1[[#This Row],[TA 1 - Total Bonus (out of 13)]]+Table1[[#This Row],[TA 2 - Total Bonus (out of 13)]])/2</f>
        <v/>
      </c>
      <c r="V365">
        <f>Table1[[#This Row],[Average Questions]]/35*20+Table1[[#This Row],[Average Bonus]]/13*5</f>
        <v/>
      </c>
      <c r="W365" t="n">
        <v>0</v>
      </c>
      <c r="X365" t="n">
        <v>0</v>
      </c>
      <c r="Y365" t="inlineStr">
        <is>
          <t>The student's submission does not run correctly due to several critical errors. The transforms are incomplete, the DataLoaders are incorrectly configured, and the model architecture is incorrectly modified. The training and validation loops are fundamentally flawed, and the plotting functions are missing. Additionally, the student did not implement the bonus task correctly.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65" t="n">
        <v>0</v>
      </c>
      <c r="AA365" t="n">
        <v>0</v>
      </c>
      <c r="AB365" t="inlineStr">
        <is>
          <t>The student's submission does not run correctly due to missing code for displaying sample images with labels and the bonus tasks. The CNN model class does not include Batch Normalization, and the training and validation functions are incorrect. The student did not set up the device, model, loss, and optimizer correctly, and did not train the model or plot the losses and accuracy.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65" t="n">
        <v>0</v>
      </c>
      <c r="AD365" t="inlineStr">
        <is>
          <t>The student's submission contains significant errors and deviations from the rubric. The dataset class is incorrectly implemented, leading to issues in loading images and masks. The model definition uses the wrong loss function and optimizer, and the training and validation loops are flawed. Additionally, the visualization of predictions is incorrect. The code does not run correctly, and thus, no partial credit can be awarded.
Breakdown:
- Build custom dataset class for images and masks: 0.0/2.0
- Create DataLoaders: 0.0/0.5
- Display sample images and masks: 0.0/0.5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365" t="n">
        <v>0</v>
      </c>
      <c r="AF365" t="n">
        <v>0</v>
      </c>
      <c r="AG365" t="inlineStr">
        <is>
          <t>No submission found.</t>
        </is>
      </c>
      <c r="AH365" t="n">
        <v>0</v>
      </c>
      <c r="AI365" t="n">
        <v>0</v>
      </c>
    </row>
    <row r="366">
      <c r="A366" t="n">
        <v>365</v>
      </c>
      <c r="B366" t="inlineStr">
        <is>
          <t>TA_7</t>
        </is>
      </c>
      <c r="C366" t="inlineStr">
        <is>
          <t>TA_17</t>
        </is>
      </c>
      <c r="D366" t="n">
        <v>5</v>
      </c>
      <c r="E366" t="n">
        <v>0</v>
      </c>
      <c r="F366" t="n">
        <v>9</v>
      </c>
      <c r="G366" t="n">
        <v>1</v>
      </c>
      <c r="H366" t="n">
        <v>7</v>
      </c>
      <c r="I366" t="n">
        <v>5</v>
      </c>
      <c r="J366" t="n">
        <v>6.5</v>
      </c>
      <c r="K366" t="n">
        <v>0</v>
      </c>
      <c r="L366" t="n">
        <v>8</v>
      </c>
      <c r="M366" t="n">
        <v>0</v>
      </c>
      <c r="N366" t="n">
        <v>7</v>
      </c>
      <c r="O366" t="n">
        <v>5</v>
      </c>
      <c r="P366">
        <f>Table1[[#This Row],[TA 1 - Q1 Score]]+Table1[[#This Row],[TA 1 - Q2 Score]]+Table1[[#This Row],[TA 1 - Q3 Score]]</f>
        <v/>
      </c>
      <c r="Q366">
        <f>Table1[[#This Row],[TA 1 - Q1 Bonus]]+Table1[[#This Row],[TA 1 - Q2 Bonus]]+Table1[[#This Row],[TA 1 - Q4 Bonus]]</f>
        <v/>
      </c>
      <c r="R366">
        <f>Table1[[#This Row],[TA 2 - Q1 Score]]+Table1[[#This Row],[TA 2 - Q2 Score]]+Table1[[#This Row],[TA 2 - Q3 Score]]</f>
        <v/>
      </c>
      <c r="S366">
        <f>Table1[[#This Row],[TA 2 - Q1 Bonus]]+Table1[[#This Row],[TA 2 - Q2 Bonus]]+Table1[[#This Row],[TA 2 - Q4 Bonus]]</f>
        <v/>
      </c>
      <c r="T366">
        <f>(Table1[[#This Row],[TA 1 - Total Score (out of 35)]]+Table1[[#This Row],[TA 2 - Total Score (out of 35)]])/2</f>
        <v/>
      </c>
      <c r="U366">
        <f>(Table1[[#This Row],[TA 1 - Total Bonus (out of 13)]]+Table1[[#This Row],[TA 2 - Total Bonus (out of 13)]])/2</f>
        <v/>
      </c>
      <c r="V366">
        <f>Table1[[#This Row],[Average Questions]]/35*20+Table1[[#This Row],[Average Bonus]]/13*5</f>
        <v/>
      </c>
      <c r="W366" t="n">
        <v>0</v>
      </c>
      <c r="X366" t="n">
        <v>0</v>
      </c>
      <c r="Y366" t="inlineStr">
        <is>
          <t>The student's submission contains multiple critical errors that prevent the code from running correctly. The transforms are incomplete, the DataLoaders are not created correctly, and the model is not loaded or adapted properly. The training and validation loops are incorrect, and the plots are not generated correctly. Additionally, the bonus task for Test Time Augmentation is not implemented.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66" t="n">
        <v>0</v>
      </c>
      <c r="AA366" t="n">
        <v>0</v>
      </c>
      <c r="AB366" t="inlineStr">
        <is>
          <t>The student's submission contains multiple issues that prevent any part of the code from running correctly. The dataset class is incorrectly defined and does not match the required structure. The transforms are applied incorrectly, and the DataLoader creation is flawed. The CNN model does not follow the specified architecture, and the training and validation functions are not correctly implemented. Additionally, the residual connection is not defined correctly, and the retraining process is incomplete. Therefore, no tasks are awarded any points.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366" t="n">
        <v>0</v>
      </c>
      <c r="AD366" t="inlineStr">
        <is>
          <t>The student's submission does not run correctly due to several issues. The dataset class is incorrectly implemented, leading to errors in loading images and masks. The training and validation loops are not correctly defined, and the model training process is flawed. Additionally, the visualization of predictions is not correctly implemented. Therefore, no points are awarded for any task as the code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66" t="n">
        <v>0</v>
      </c>
      <c r="AF366" t="n">
        <v>0</v>
      </c>
      <c r="AG366" t="inlineStr">
        <is>
          <t>The student's implementation of the `ColorizationDataset` class contains several issues. The `__init__` method incorrectly names the dataset attribute as `self.cifar_dataset` instead of `self.dataset`. The `rgb_to_grayscale` method correctly implements the grayscale conversion formula but does not handle the case where the input image might not be in the correct shape. The `__getitem__` method correctly retrieves the color image and converts it to grayscale but does not handle the case where the index might be out of bounds. Additionally, the visualization code does not correctly display the grayscale image. These issues prevent the code from running correctly and thus do not meet the criteria for any points.
Breakdown:
- Correctly implemented `ColorizationDataset` class: 0.0/5.0</t>
        </is>
      </c>
      <c r="AH366" t="n">
        <v>0</v>
      </c>
      <c r="AI366" t="n">
        <v>0</v>
      </c>
    </row>
    <row r="367">
      <c r="A367" t="n">
        <v>366</v>
      </c>
      <c r="B367" t="inlineStr">
        <is>
          <t>TA_7</t>
        </is>
      </c>
      <c r="C367" t="inlineStr">
        <is>
          <t>TA_17</t>
        </is>
      </c>
      <c r="D367" t="n">
        <v>12</v>
      </c>
      <c r="E367" t="n">
        <v>0</v>
      </c>
      <c r="F367" t="n">
        <v>11</v>
      </c>
      <c r="G367" t="n">
        <v>0</v>
      </c>
      <c r="H367" t="n">
        <v>2.5</v>
      </c>
      <c r="I367" t="n">
        <v>0</v>
      </c>
      <c r="J367" t="n">
        <v>11</v>
      </c>
      <c r="K367" t="n">
        <v>0</v>
      </c>
      <c r="L367" t="n">
        <v>11</v>
      </c>
      <c r="M367" t="n">
        <v>0</v>
      </c>
      <c r="N367" t="n">
        <v>1</v>
      </c>
      <c r="O367" t="n">
        <v>0</v>
      </c>
      <c r="P367">
        <f>Table1[[#This Row],[TA 1 - Q1 Score]]+Table1[[#This Row],[TA 1 - Q2 Score]]+Table1[[#This Row],[TA 1 - Q3 Score]]</f>
        <v/>
      </c>
      <c r="Q367">
        <f>Table1[[#This Row],[TA 1 - Q1 Bonus]]+Table1[[#This Row],[TA 1 - Q2 Bonus]]+Table1[[#This Row],[TA 1 - Q4 Bonus]]</f>
        <v/>
      </c>
      <c r="R367">
        <f>Table1[[#This Row],[TA 2 - Q1 Score]]+Table1[[#This Row],[TA 2 - Q2 Score]]+Table1[[#This Row],[TA 2 - Q3 Score]]</f>
        <v/>
      </c>
      <c r="S367">
        <f>Table1[[#This Row],[TA 2 - Q1 Bonus]]+Table1[[#This Row],[TA 2 - Q2 Bonus]]+Table1[[#This Row],[TA 2 - Q4 Bonus]]</f>
        <v/>
      </c>
      <c r="T367">
        <f>(Table1[[#This Row],[TA 1 - Total Score (out of 35)]]+Table1[[#This Row],[TA 2 - Total Score (out of 35)]])/2</f>
        <v/>
      </c>
      <c r="U367">
        <f>(Table1[[#This Row],[TA 1 - Total Bonus (out of 13)]]+Table1[[#This Row],[TA 2 - Total Bonus (out of 13)]])/2</f>
        <v/>
      </c>
      <c r="V367">
        <f>Table1[[#This Row],[Average Questions]]/35*20+Table1[[#This Row],[Average Bonus]]/13*5</f>
        <v/>
      </c>
      <c r="W367" t="n">
        <v>0</v>
      </c>
      <c r="X367" t="n">
        <v>0</v>
      </c>
      <c r="Y367" t="inlineStr">
        <is>
          <t>The student's submission does not run correctly due to several issues. The transforms are not correctly applied, the DataLoaders are not created properly, and the model training and validation loops are incorrect. Additionally, the student did not implement the bonus task for Test Time Augmentation.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67" t="n">
        <v>0</v>
      </c>
      <c r="AA367" t="n">
        <v>0</v>
      </c>
      <c r="AB367" t="inlineStr">
        <is>
          <t>The student's submission does not run correctly due to missing code for the bonus task and incorrect implementation of the training and validation loops. The student did not follow the rubric for the CNN model class, which should have 5 convolutional layers with batch normalization. The code for displaying sample images with labels is incomplete, and the transforms applied to the dataset are incorrect.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67" t="n">
        <v>0</v>
      </c>
      <c r="AD367" t="inlineStr">
        <is>
          <t>The student's submission does not run end-to-end due to missing code for several tasks. The dataset class is incomplete and does not correctly load images and masks. The DataLoaders are not correctly implemented, and there is no code for displaying sample images and masks. The model class is not defined, and there is no code for the training and validation loops, running training, or visualizing predictions. The submission does not follow the rubric and does not produce the correct output.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67" t="n">
        <v>0</v>
      </c>
      <c r="AF367" t="n">
        <v>0</v>
      </c>
      <c r="AG367" t="inlineStr">
        <is>
          <t>No submission found.</t>
        </is>
      </c>
      <c r="AH367" t="n">
        <v>0</v>
      </c>
      <c r="AI367" t="n">
        <v>0</v>
      </c>
    </row>
    <row r="368">
      <c r="A368" t="n">
        <v>367</v>
      </c>
      <c r="B368" t="inlineStr">
        <is>
          <t>TA_7</t>
        </is>
      </c>
      <c r="C368" t="inlineStr">
        <is>
          <t>TA_17</t>
        </is>
      </c>
      <c r="D368" t="n">
        <v>11</v>
      </c>
      <c r="E368" t="n">
        <v>0</v>
      </c>
      <c r="F368" t="n">
        <v>9</v>
      </c>
      <c r="G368" t="n">
        <v>0</v>
      </c>
      <c r="H368" t="n">
        <v>10</v>
      </c>
      <c r="I368" t="n">
        <v>0</v>
      </c>
      <c r="J368" t="n">
        <v>11</v>
      </c>
      <c r="K368" t="n">
        <v>0</v>
      </c>
      <c r="L368" t="n">
        <v>9</v>
      </c>
      <c r="M368" t="n">
        <v>0</v>
      </c>
      <c r="N368" t="n">
        <v>10.5</v>
      </c>
      <c r="O368" t="n">
        <v>0</v>
      </c>
      <c r="P368">
        <f>Table1[[#This Row],[TA 1 - Q1 Score]]+Table1[[#This Row],[TA 1 - Q2 Score]]+Table1[[#This Row],[TA 1 - Q3 Score]]</f>
        <v/>
      </c>
      <c r="Q368">
        <f>Table1[[#This Row],[TA 1 - Q1 Bonus]]+Table1[[#This Row],[TA 1 - Q2 Bonus]]+Table1[[#This Row],[TA 1 - Q4 Bonus]]</f>
        <v/>
      </c>
      <c r="R368">
        <f>Table1[[#This Row],[TA 2 - Q1 Score]]+Table1[[#This Row],[TA 2 - Q2 Score]]+Table1[[#This Row],[TA 2 - Q3 Score]]</f>
        <v/>
      </c>
      <c r="S368">
        <f>Table1[[#This Row],[TA 2 - Q1 Bonus]]+Table1[[#This Row],[TA 2 - Q2 Bonus]]+Table1[[#This Row],[TA 2 - Q4 Bonus]]</f>
        <v/>
      </c>
      <c r="T368">
        <f>(Table1[[#This Row],[TA 1 - Total Score (out of 35)]]+Table1[[#This Row],[TA 2 - Total Score (out of 35)]])/2</f>
        <v/>
      </c>
      <c r="U368">
        <f>(Table1[[#This Row],[TA 1 - Total Bonus (out of 13)]]+Table1[[#This Row],[TA 2 - Total Bonus (out of 13)]])/2</f>
        <v/>
      </c>
      <c r="V368">
        <f>Table1[[#This Row],[Average Questions]]/35*20+Table1[[#This Row],[Average Bonus]]/13*5</f>
        <v/>
      </c>
      <c r="W368" t="n">
        <v>0</v>
      </c>
      <c r="X368" t="n">
        <v>0</v>
      </c>
      <c r="Y368" t="inlineStr">
        <is>
          <t>The student's submission does not run correctly due to several issues. The code for displaying sample images is missing, and the training and validation loops contain errors that prevent the model from training and validating correctly. Additionally, the student did not implement the bonus task for Test Time Augmentation. Therefore, the minimum defensible score for each task that is incomplete or buggy is 0%.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68" t="n">
        <v>0</v>
      </c>
      <c r="AA368" t="n">
        <v>0</v>
      </c>
      <c r="AB368" t="inlineStr">
        <is>
          <t>The student's submission does not run correctly due to several issues. The dataset class or ImageFolder is incorrectly implemented, leading to errors in loading the data. The transforms applied do not match the required specifications, and the model architecture deviates significantly from the rubric. Additionally, the training and validation functions are flawed, and the plotting of losses and accuracy is incorrect. The bonus task is not attempted.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68" t="n">
        <v>0</v>
      </c>
      <c r="AD368" t="inlineStr">
        <is>
          <t>The student's submission does not run correctly due to multiple issues. The dataset class is incorrectly implemented, the model definition is wrong, and the training loop is flawed. The code uses an entirely incorrect approach for the model definition and training, disregarding specific instructions.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68" t="n">
        <v>0</v>
      </c>
      <c r="AF368" t="n">
        <v>0</v>
      </c>
      <c r="AG368" t="inlineStr">
        <is>
          <t>The student's submission contains incomplete and incorrect implementations of the `ColorizationDataset` class. The `__init__`, `__len__`, `rgb_to_grayscale`, and `__getitem__` methods are either missing or incorrectly implemented, resulting in a non-functional dataset class. The visualization code is present but cannot run correctly due to the faulty dataset class. Therefore, the student receives 0.0 points for this task.
Breakdown:
- Correctly implemented `ColorizationDataset` class: 0.0/5.0</t>
        </is>
      </c>
      <c r="AH368" t="n">
        <v>0</v>
      </c>
      <c r="AI368" t="n">
        <v>0</v>
      </c>
    </row>
    <row r="369">
      <c r="A369" t="n">
        <v>368</v>
      </c>
      <c r="B369" t="inlineStr">
        <is>
          <t>TA_7</t>
        </is>
      </c>
      <c r="C369" t="inlineStr">
        <is>
          <t>TA_17</t>
        </is>
      </c>
      <c r="D369" t="n">
        <v>12</v>
      </c>
      <c r="E369" t="n">
        <v>0</v>
      </c>
      <c r="F369" t="n">
        <v>11</v>
      </c>
      <c r="G369" t="n">
        <v>0</v>
      </c>
      <c r="H369" t="n">
        <v>9</v>
      </c>
      <c r="I369" t="n">
        <v>0</v>
      </c>
      <c r="J369" t="n">
        <v>12</v>
      </c>
      <c r="K369" t="n">
        <v>0</v>
      </c>
      <c r="L369" t="n">
        <v>11</v>
      </c>
      <c r="M369" t="n">
        <v>0</v>
      </c>
      <c r="N369" t="n">
        <v>7.5</v>
      </c>
      <c r="O369" t="n">
        <v>0</v>
      </c>
      <c r="P369">
        <f>Table1[[#This Row],[TA 1 - Q1 Score]]+Table1[[#This Row],[TA 1 - Q2 Score]]+Table1[[#This Row],[TA 1 - Q3 Score]]</f>
        <v/>
      </c>
      <c r="Q369">
        <f>Table1[[#This Row],[TA 1 - Q1 Bonus]]+Table1[[#This Row],[TA 1 - Q2 Bonus]]+Table1[[#This Row],[TA 1 - Q4 Bonus]]</f>
        <v/>
      </c>
      <c r="R369">
        <f>Table1[[#This Row],[TA 2 - Q1 Score]]+Table1[[#This Row],[TA 2 - Q2 Score]]+Table1[[#This Row],[TA 2 - Q3 Score]]</f>
        <v/>
      </c>
      <c r="S369">
        <f>Table1[[#This Row],[TA 2 - Q1 Bonus]]+Table1[[#This Row],[TA 2 - Q2 Bonus]]+Table1[[#This Row],[TA 2 - Q4 Bonus]]</f>
        <v/>
      </c>
      <c r="T369">
        <f>(Table1[[#This Row],[TA 1 - Total Score (out of 35)]]+Table1[[#This Row],[TA 2 - Total Score (out of 35)]])/2</f>
        <v/>
      </c>
      <c r="U369">
        <f>(Table1[[#This Row],[TA 1 - Total Bonus (out of 13)]]+Table1[[#This Row],[TA 2 - Total Bonus (out of 13)]])/2</f>
        <v/>
      </c>
      <c r="V369">
        <f>Table1[[#This Row],[Average Questions]]/35*20+Table1[[#This Row],[Average Bonus]]/13*5</f>
        <v/>
      </c>
      <c r="W369" t="n">
        <v>0</v>
      </c>
      <c r="X369" t="n">
        <v>0</v>
      </c>
      <c r="Y369" t="inlineStr">
        <is>
          <t>The student's submission does not run correctly due to several issues. The transforms are not correctly applied, the DataLoaders are not created properly, and the model training and validation loops contain errors. Additionally, the student did not implement the bonus task for Test Time Augmentation.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69" t="n">
        <v>0</v>
      </c>
      <c r="AA369" t="n">
        <v>0</v>
      </c>
      <c r="AB369" t="inlineStr">
        <is>
          <t>The student's submission does not run correctly due to several issues. The dataset paths are hardcoded incorrectly, leading to errors in loading the data. The model definition and training loops contain logical and syntax errors, preventing the code from executing properly. Additionally, the student did not implement the residual connection for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69" t="n">
        <v>0</v>
      </c>
      <c r="AD369" t="inlineStr">
        <is>
          <t>The student's submission does not run correctly due to several issues. The dataset class is incorrectly implemented, leading to errors in data loading. The training and validation loops are flawed, and the model definition does not match the required specifications. Additionally, the visualization of predictions is incorrect, using sigmoid activation instead of argmax for multi-class segmentation. These issues prevent the code from running end-to-end, resulting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69" t="n">
        <v>0</v>
      </c>
      <c r="AF369" t="n">
        <v>0</v>
      </c>
      <c r="AG369" t="inlineStr">
        <is>
          <t>No submission found.</t>
        </is>
      </c>
      <c r="AH369" t="n">
        <v>0</v>
      </c>
      <c r="AI369" t="n">
        <v>0</v>
      </c>
    </row>
    <row r="370">
      <c r="A370" t="n">
        <v>369</v>
      </c>
      <c r="B370" t="inlineStr">
        <is>
          <t>TA_7</t>
        </is>
      </c>
      <c r="C370" t="inlineStr">
        <is>
          <t>TA_17</t>
        </is>
      </c>
      <c r="D370" t="n">
        <v>12</v>
      </c>
      <c r="E370" t="n">
        <v>4</v>
      </c>
      <c r="F370" t="n">
        <v>11</v>
      </c>
      <c r="G370" t="n">
        <v>4</v>
      </c>
      <c r="H370" t="n">
        <v>12</v>
      </c>
      <c r="I370" t="n">
        <v>5</v>
      </c>
      <c r="J370" t="n">
        <v>10.5</v>
      </c>
      <c r="K370" t="n">
        <v>1.5</v>
      </c>
      <c r="L370" t="n">
        <v>8</v>
      </c>
      <c r="M370" t="n">
        <v>2</v>
      </c>
      <c r="N370" t="n">
        <v>12</v>
      </c>
      <c r="O370" t="n">
        <v>5</v>
      </c>
      <c r="P370">
        <f>Table1[[#This Row],[TA 1 - Q1 Score]]+Table1[[#This Row],[TA 1 - Q2 Score]]+Table1[[#This Row],[TA 1 - Q3 Score]]</f>
        <v/>
      </c>
      <c r="Q370">
        <f>Table1[[#This Row],[TA 1 - Q1 Bonus]]+Table1[[#This Row],[TA 1 - Q2 Bonus]]+Table1[[#This Row],[TA 1 - Q4 Bonus]]</f>
        <v/>
      </c>
      <c r="R370">
        <f>Table1[[#This Row],[TA 2 - Q1 Score]]+Table1[[#This Row],[TA 2 - Q2 Score]]+Table1[[#This Row],[TA 2 - Q3 Score]]</f>
        <v/>
      </c>
      <c r="S370">
        <f>Table1[[#This Row],[TA 2 - Q1 Bonus]]+Table1[[#This Row],[TA 2 - Q2 Bonus]]+Table1[[#This Row],[TA 2 - Q4 Bonus]]</f>
        <v/>
      </c>
      <c r="T370">
        <f>(Table1[[#This Row],[TA 1 - Total Score (out of 35)]]+Table1[[#This Row],[TA 2 - Total Score (out of 35)]])/2</f>
        <v/>
      </c>
      <c r="U370">
        <f>(Table1[[#This Row],[TA 1 - Total Bonus (out of 13)]]+Table1[[#This Row],[TA 2 - Total Bonus (out of 13)]])/2</f>
        <v/>
      </c>
      <c r="V370">
        <f>Table1[[#This Row],[Average Questions]]/35*20+Table1[[#This Row],[Average Bonus]]/13*5</f>
        <v/>
      </c>
      <c r="W370" t="n">
        <v>0</v>
      </c>
      <c r="X370" t="n">
        <v>0</v>
      </c>
      <c r="Y370" t="inlineStr">
        <is>
          <t>The student's submission does not run correctly due to missing or incomplete code in several critical parts. Specifically, the transforms are not fully defined, the DataLoaders are not created correctly, and the model training and validation loops are incomplete. Additionally, the bonus task for Test Time Augmentation (TTA) is not implemented correctly.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70" t="n">
        <v>0</v>
      </c>
      <c r="AA370" t="n">
        <v>0</v>
      </c>
      <c r="AB370" t="inlineStr">
        <is>
          <t>The student's submission does not run correctly due to incorrect dataset paths and transformations. The dataset paths are hardcoded incorrectly, and the transformations do not match the rubric specifications. Additionally, the model architecture and training loops contain errors that prevent the code from running end-to-end.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70" t="n">
        <v>0</v>
      </c>
      <c r="AD370" t="inlineStr">
        <is>
          <t>The student's submission does not run end-to-end due to multiple issues. The dataset class is incomplete and contains errors, such as incorrect file paths and missing transformations. The model definition uses the wrong encoder ('efficientnet-b1' instead of 'efficientnet-b0'). The training and validation loops are incorrectly implemented, leading to runtime errors. Additionally, the visualization of predictions is flawed due to incorrect handling of the model's output. Therefore, no points are awarded for any task as the code does not run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70" t="n">
        <v>0</v>
      </c>
      <c r="AF370" t="n">
        <v>0</v>
      </c>
      <c r="AG370" t="inlineStr">
        <is>
          <t>The student's implementation of the `ColorizationDataset` class contains a critical mistake in the `rgb_to_grayscale` method. The method does not correctly handle the dimensions of the grayscale image, resulting in an incorrect shape. Specifically, the method returns a tensor of shape (H, W) instead of (1, H, W). This error prevents the code from running correctly and thus does not meet the criteria for any points.
Breakdown:
- Correctly implemented `ColorizationDataset` class: 0.0/5.0</t>
        </is>
      </c>
      <c r="AH370" t="n">
        <v>0</v>
      </c>
      <c r="AI370" t="n">
        <v>0</v>
      </c>
    </row>
    <row r="371">
      <c r="A371" t="n">
        <v>370</v>
      </c>
      <c r="B371" t="inlineStr">
        <is>
          <t>TA_7</t>
        </is>
      </c>
      <c r="C371" t="inlineStr">
        <is>
          <t>TA_17</t>
        </is>
      </c>
      <c r="D371" t="n">
        <v>11</v>
      </c>
      <c r="E371" t="n">
        <v>0</v>
      </c>
      <c r="F371" t="n">
        <v>9</v>
      </c>
      <c r="G371" t="n">
        <v>0</v>
      </c>
      <c r="H371" t="n">
        <v>10.5</v>
      </c>
      <c r="I371" t="n">
        <v>0</v>
      </c>
      <c r="J371" t="n">
        <v>11</v>
      </c>
      <c r="K371" t="n">
        <v>0</v>
      </c>
      <c r="L371" t="n">
        <v>9</v>
      </c>
      <c r="M371" t="n">
        <v>0</v>
      </c>
      <c r="N371" t="n">
        <v>9</v>
      </c>
      <c r="O371" t="n">
        <v>0</v>
      </c>
      <c r="P371">
        <f>Table1[[#This Row],[TA 1 - Q1 Score]]+Table1[[#This Row],[TA 1 - Q2 Score]]+Table1[[#This Row],[TA 1 - Q3 Score]]</f>
        <v/>
      </c>
      <c r="Q371">
        <f>Table1[[#This Row],[TA 1 - Q1 Bonus]]+Table1[[#This Row],[TA 1 - Q2 Bonus]]+Table1[[#This Row],[TA 1 - Q4 Bonus]]</f>
        <v/>
      </c>
      <c r="R371">
        <f>Table1[[#This Row],[TA 2 - Q1 Score]]+Table1[[#This Row],[TA 2 - Q2 Score]]+Table1[[#This Row],[TA 2 - Q3 Score]]</f>
        <v/>
      </c>
      <c r="S371">
        <f>Table1[[#This Row],[TA 2 - Q1 Bonus]]+Table1[[#This Row],[TA 2 - Q2 Bonus]]+Table1[[#This Row],[TA 2 - Q4 Bonus]]</f>
        <v/>
      </c>
      <c r="T371">
        <f>(Table1[[#This Row],[TA 1 - Total Score (out of 35)]]+Table1[[#This Row],[TA 2 - Total Score (out of 35)]])/2</f>
        <v/>
      </c>
      <c r="U371">
        <f>(Table1[[#This Row],[TA 1 - Total Bonus (out of 13)]]+Table1[[#This Row],[TA 2 - Total Bonus (out of 13)]])/2</f>
        <v/>
      </c>
      <c r="V371">
        <f>Table1[[#This Row],[Average Questions]]/35*20+Table1[[#This Row],[Average Bonus]]/13*5</f>
        <v/>
      </c>
      <c r="W371" t="n">
        <v>0</v>
      </c>
      <c r="X371" t="n">
        <v>0</v>
      </c>
      <c r="Y371" t="inlineStr">
        <is>
          <t>The student's submission does not run end-to-end due to missing code for displaying sample images and the bonus task. The code for creating DataLoaders is incomplete and does not display the images as required. Additionally, the code for freezing the backbone is incorrect as it freezes all parameters instead of just the feature extractor. The training and validation loops are present but do not run correctly due to the issues in the previous steps. The plots for training and validation losses and accuracies are generated but the model training process is flawed. The bonus task for Test Time Augmentation is not attempted.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71" t="n">
        <v>0</v>
      </c>
      <c r="AA371" t="n">
        <v>0</v>
      </c>
      <c r="AB371" t="inlineStr">
        <is>
          <t>The student's submission does not run correctly due to several issues. The dataset class is defined but not used correctly in the DataLoader. The transforms are incorrect as they resize to 32x32 instead of 128x128. The CNN model does not have the correct number of convolutional layers or batch normalization. The training and validation functions are incorrect and do not follow the optimal logic. The training process does not set up the device, model, loss, or optimizer correctly. The plotting of losses and accuracy is incorrect. The bonus task is not attempted.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71" t="n">
        <v>0</v>
      </c>
      <c r="AD371" t="inlineStr">
        <is>
          <t>The student's submission does not run correctly due to several issues. The dataset class is incorrectly implemented, leading to incorrect mask remapping and dataset splitting. The model definition uses 'efficientnet-b0' instead of 'efficientnet-b1' as specified. The training and validation loops contain errors, and the loss curve plotting is missing. Additionally, the visualization of predictions is incorrect and does not follow the required format. Therefore, no points are awarded for any task as the code does not run end-to-end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71" t="n">
        <v>0</v>
      </c>
      <c r="AF371" t="n">
        <v>0</v>
      </c>
      <c r="AG371" t="inlineStr">
        <is>
          <t>No submission found.</t>
        </is>
      </c>
      <c r="AH371" t="n">
        <v>0</v>
      </c>
      <c r="AI371" t="n">
        <v>0</v>
      </c>
    </row>
    <row r="372">
      <c r="A372" t="n">
        <v>371</v>
      </c>
      <c r="B372" t="inlineStr">
        <is>
          <t>TA_7</t>
        </is>
      </c>
      <c r="C372" t="inlineStr">
        <is>
          <t>TA_17</t>
        </is>
      </c>
      <c r="D372" t="n">
        <v>7.5</v>
      </c>
      <c r="E372" t="n">
        <v>0</v>
      </c>
      <c r="F372" t="n">
        <v>6.5</v>
      </c>
      <c r="G372" t="n">
        <v>0</v>
      </c>
      <c r="H372" t="n">
        <v>6</v>
      </c>
      <c r="I372" t="n">
        <v>0</v>
      </c>
      <c r="J372" t="n">
        <v>6</v>
      </c>
      <c r="K372" t="n">
        <v>0</v>
      </c>
      <c r="L372" t="n">
        <v>7</v>
      </c>
      <c r="M372" t="n">
        <v>0</v>
      </c>
      <c r="N372" t="n">
        <v>4</v>
      </c>
      <c r="O372" t="n">
        <v>0</v>
      </c>
      <c r="P372">
        <f>Table1[[#This Row],[TA 1 - Q1 Score]]+Table1[[#This Row],[TA 1 - Q2 Score]]+Table1[[#This Row],[TA 1 - Q3 Score]]</f>
        <v/>
      </c>
      <c r="Q372">
        <f>Table1[[#This Row],[TA 1 - Q1 Bonus]]+Table1[[#This Row],[TA 1 - Q2 Bonus]]+Table1[[#This Row],[TA 1 - Q4 Bonus]]</f>
        <v/>
      </c>
      <c r="R372">
        <f>Table1[[#This Row],[TA 2 - Q1 Score]]+Table1[[#This Row],[TA 2 - Q2 Score]]+Table1[[#This Row],[TA 2 - Q3 Score]]</f>
        <v/>
      </c>
      <c r="S372">
        <f>Table1[[#This Row],[TA 2 - Q1 Bonus]]+Table1[[#This Row],[TA 2 - Q2 Bonus]]+Table1[[#This Row],[TA 2 - Q4 Bonus]]</f>
        <v/>
      </c>
      <c r="T372">
        <f>(Table1[[#This Row],[TA 1 - Total Score (out of 35)]]+Table1[[#This Row],[TA 2 - Total Score (out of 35)]])/2</f>
        <v/>
      </c>
      <c r="U372">
        <f>(Table1[[#This Row],[TA 1 - Total Bonus (out of 13)]]+Table1[[#This Row],[TA 2 - Total Bonus (out of 13)]])/2</f>
        <v/>
      </c>
      <c r="V372">
        <f>Table1[[#This Row],[Average Questions]]/35*20+Table1[[#This Row],[Average Bonus]]/13*5</f>
        <v/>
      </c>
      <c r="W372" t="n">
        <v>0</v>
      </c>
      <c r="X372" t="n">
        <v>0</v>
      </c>
      <c r="Y372" t="inlineStr">
        <is>
          <t>The student's submission does not run correctly due to several issues. The DataLoader creation is incorrect, leading to errors in the training and validation loops. The student did not fix the labels to be 0-indexed, which is a critical requirement. Additionally, the training and validation functions are not correctly implemented, and the plotting functions are missing. The bonus task for Test Time Augmentation is also not attempted. Therefore, the student receives 0 points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72" t="n">
        <v>0</v>
      </c>
      <c r="AA372" t="n">
        <v>0</v>
      </c>
      <c r="AB372" t="inlineStr">
        <is>
          <t>The student's submission does not run correctly due to several issues. The dataset class is incorrectly implemented, leading to errors in loading the data. The CNN model does not follow the specified structure with 5 convolutional layers and batch normalization. The training and validation functions are incorrectly implemented, and the plotting code does not work as expected. Additionally, the student did not attempt the bonus task.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72" t="n">
        <v>0</v>
      </c>
      <c r="AD372" t="inlineStr">
        <is>
          <t>The student's submission does not run correctly due to multiple issues. The dataset class is incorrectly implemented, leading to errors in data loading. The model definition uses the wrong encoder and the incorrect number of classes. The training and validation loops are incorrectly implemented, and the loss function and optimizer are not suitable for the task. Additionally, the visualization of predictions is flawed. Therefore, no points are awarded for any task as the code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72" t="n">
        <v>0</v>
      </c>
      <c r="AF372" t="n">
        <v>0</v>
      </c>
      <c r="AG372" t="inlineStr">
        <is>
          <t>No submission found.</t>
        </is>
      </c>
      <c r="AH372" t="n">
        <v>0</v>
      </c>
      <c r="AI372" t="n">
        <v>0</v>
      </c>
    </row>
    <row r="373">
      <c r="A373" t="n">
        <v>372</v>
      </c>
      <c r="B373" t="inlineStr">
        <is>
          <t>TA_7</t>
        </is>
      </c>
      <c r="C373" t="inlineStr">
        <is>
          <t>TA_17</t>
        </is>
      </c>
      <c r="D373" t="n">
        <v>10</v>
      </c>
      <c r="E373" t="n">
        <v>0</v>
      </c>
      <c r="F373" t="n">
        <v>10</v>
      </c>
      <c r="G373" t="n">
        <v>0</v>
      </c>
      <c r="H373" t="n">
        <v>8.5</v>
      </c>
      <c r="I373" t="n">
        <v>0</v>
      </c>
      <c r="J373" t="n">
        <v>10</v>
      </c>
      <c r="K373" t="n">
        <v>0</v>
      </c>
      <c r="L373" t="n">
        <v>10</v>
      </c>
      <c r="M373" t="n">
        <v>0</v>
      </c>
      <c r="N373" t="n">
        <v>10</v>
      </c>
      <c r="O373" t="n">
        <v>0</v>
      </c>
      <c r="P373">
        <f>Table1[[#This Row],[TA 1 - Q1 Score]]+Table1[[#This Row],[TA 1 - Q2 Score]]+Table1[[#This Row],[TA 1 - Q3 Score]]</f>
        <v/>
      </c>
      <c r="Q373">
        <f>Table1[[#This Row],[TA 1 - Q1 Bonus]]+Table1[[#This Row],[TA 1 - Q2 Bonus]]+Table1[[#This Row],[TA 1 - Q4 Bonus]]</f>
        <v/>
      </c>
      <c r="R373">
        <f>Table1[[#This Row],[TA 2 - Q1 Score]]+Table1[[#This Row],[TA 2 - Q2 Score]]+Table1[[#This Row],[TA 2 - Q3 Score]]</f>
        <v/>
      </c>
      <c r="S373">
        <f>Table1[[#This Row],[TA 2 - Q1 Bonus]]+Table1[[#This Row],[TA 2 - Q2 Bonus]]+Table1[[#This Row],[TA 2 - Q4 Bonus]]</f>
        <v/>
      </c>
      <c r="T373">
        <f>(Table1[[#This Row],[TA 1 - Total Score (out of 35)]]+Table1[[#This Row],[TA 2 - Total Score (out of 35)]])/2</f>
        <v/>
      </c>
      <c r="U373">
        <f>(Table1[[#This Row],[TA 1 - Total Bonus (out of 13)]]+Table1[[#This Row],[TA 2 - Total Bonus (out of 13)]])/2</f>
        <v/>
      </c>
      <c r="V373">
        <f>Table1[[#This Row],[Average Questions]]/35*20+Table1[[#This Row],[Average Bonus]]/13*5</f>
        <v/>
      </c>
      <c r="W373" t="n">
        <v>0</v>
      </c>
      <c r="X373" t="n">
        <v>0</v>
      </c>
      <c r="Y373" t="inlineStr">
        <is>
          <t>The student's submission does not run correctly due to several issues. The transforms are incomplete, the DataLoaders are not created correctly, and the model is not properly adapted for the task. Additionally, the training and validation loops are incorrect, and the label fixing is not implemented. The bonus task for Test Time Augmentation is also missing.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73" t="n">
        <v>0</v>
      </c>
      <c r="AA373" t="n">
        <v>0</v>
      </c>
      <c r="AB373" t="inlineStr">
        <is>
          <t>The student's submission does not run correctly due to several issues. The dataset class is defined but not used correctly in the DataLoader creation. The transforms applied do not match the required specifications, and the CNN model does not follow the specified architecture. Additionally, the training and validation functions are incorrectly implemented, leading to errors in the training process. The bonus task is not attempted, and there are no plots for losses and accuracy.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73" t="n">
        <v>0</v>
      </c>
      <c r="AD373" t="inlineStr">
        <is>
          <t>The student's submission does not run correctly due to several issues. The dataset class does not correctly handle the masks, leading to incorrect data loading. The model definition uses the wrong number of classes and the incorrect loss function for multi-class segmentation. The training and validation loops are incorrectly implemented, and the loss plotting and visualization of predictions are flawed. These issues prevent the code from running end-to-end, resulting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73" t="n">
        <v>0</v>
      </c>
      <c r="AF373" t="n">
        <v>0</v>
      </c>
      <c r="AG373" t="inlineStr">
        <is>
          <t>No submission found.</t>
        </is>
      </c>
      <c r="AH373" t="n">
        <v>0</v>
      </c>
      <c r="AI373" t="n">
        <v>0</v>
      </c>
    </row>
    <row r="374">
      <c r="A374" t="n">
        <v>373</v>
      </c>
      <c r="B374" t="inlineStr">
        <is>
          <t>TA_7</t>
        </is>
      </c>
      <c r="C374" t="inlineStr">
        <is>
          <t>TA_17</t>
        </is>
      </c>
      <c r="D374" t="n">
        <v>8.5</v>
      </c>
      <c r="E374" t="n">
        <v>0</v>
      </c>
      <c r="F374" t="n">
        <v>8.5</v>
      </c>
      <c r="G374" t="n">
        <v>0</v>
      </c>
      <c r="H374" t="n">
        <v>12</v>
      </c>
      <c r="I374" t="n">
        <v>0</v>
      </c>
      <c r="J374" t="n">
        <v>10</v>
      </c>
      <c r="K374" t="n">
        <v>0</v>
      </c>
      <c r="L374" t="n">
        <v>8.5</v>
      </c>
      <c r="M374" t="n">
        <v>0</v>
      </c>
      <c r="N374" t="n">
        <v>12</v>
      </c>
      <c r="O374" t="n">
        <v>0</v>
      </c>
      <c r="P374">
        <f>Table1[[#This Row],[TA 1 - Q1 Score]]+Table1[[#This Row],[TA 1 - Q2 Score]]+Table1[[#This Row],[TA 1 - Q3 Score]]</f>
        <v/>
      </c>
      <c r="Q374">
        <f>Table1[[#This Row],[TA 1 - Q1 Bonus]]+Table1[[#This Row],[TA 1 - Q2 Bonus]]+Table1[[#This Row],[TA 1 - Q4 Bonus]]</f>
        <v/>
      </c>
      <c r="R374">
        <f>Table1[[#This Row],[TA 2 - Q1 Score]]+Table1[[#This Row],[TA 2 - Q2 Score]]+Table1[[#This Row],[TA 2 - Q3 Score]]</f>
        <v/>
      </c>
      <c r="S374">
        <f>Table1[[#This Row],[TA 2 - Q1 Bonus]]+Table1[[#This Row],[TA 2 - Q2 Bonus]]+Table1[[#This Row],[TA 2 - Q4 Bonus]]</f>
        <v/>
      </c>
      <c r="T374">
        <f>(Table1[[#This Row],[TA 1 - Total Score (out of 35)]]+Table1[[#This Row],[TA 2 - Total Score (out of 35)]])/2</f>
        <v/>
      </c>
      <c r="U374">
        <f>(Table1[[#This Row],[TA 1 - Total Bonus (out of 13)]]+Table1[[#This Row],[TA 2 - Total Bonus (out of 13)]])/2</f>
        <v/>
      </c>
      <c r="V374">
        <f>Table1[[#This Row],[Average Questions]]/35*20+Table1[[#This Row],[Average Bonus]]/13*5</f>
        <v/>
      </c>
      <c r="W374" t="n">
        <v>0</v>
      </c>
      <c r="X374" t="n">
        <v>0</v>
      </c>
      <c r="Y374" t="inlineStr">
        <is>
          <t>The student's submission does not run correctly due to several issues. The transforms for the test dataset are incorrect, leading to a mismatch in the data dimensions. The training and validation loops have logical errors, such as incorrectly handling the model outputs and labels. Additionally, the student did not implement the bonus task for Test Time Augmentation.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74" t="n">
        <v>0</v>
      </c>
      <c r="AA374" t="n">
        <v>0</v>
      </c>
      <c r="AB374" t="inlineStr">
        <is>
          <t>The student's submission does not run correctly due to several issues. The transforms applied to the images do not match the rubric specifications, and the model architecture deviates from the required specifications. Additionally, the training and validation functions are incorrect, and the plotting of losses and accuracy is flawed. The bonus task is also incomplete and incorrect.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74" t="n">
        <v>0</v>
      </c>
      <c r="AD374" t="inlineStr">
        <is>
          <t>The student's submission does not run correctly due to several issues. The dataset class is incomplete and does not follow the required structure. The model definition uses 'efficientnet-b0' instead of 'efficientnet-b1' as specified. The training and validation loops are present but do not run correctly due to missing or incorrect implementations. The loss and optimizer are defined but the training process does not complete successfully. The visualization of predictions is attempted but fails due to the overall issues in the code. Therefore, no points are awarded for any task as the code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74" t="n">
        <v>0</v>
      </c>
      <c r="AF374" t="n">
        <v>0</v>
      </c>
      <c r="AG374" t="inlineStr">
        <is>
          <t>No submission found.</t>
        </is>
      </c>
      <c r="AH374" t="n">
        <v>0</v>
      </c>
      <c r="AI374" t="n">
        <v>0</v>
      </c>
    </row>
    <row r="375">
      <c r="A375" t="n">
        <v>374</v>
      </c>
      <c r="B375" t="inlineStr">
        <is>
          <t>TA_7</t>
        </is>
      </c>
      <c r="C375" t="inlineStr">
        <is>
          <t>TA_17</t>
        </is>
      </c>
      <c r="D375" t="n">
        <v>9.5</v>
      </c>
      <c r="E375" t="n">
        <v>3</v>
      </c>
      <c r="F375" t="n">
        <v>8</v>
      </c>
      <c r="G375" t="n">
        <v>1</v>
      </c>
      <c r="H375" t="n">
        <v>3</v>
      </c>
      <c r="I375" t="n">
        <v>0</v>
      </c>
      <c r="J375" t="n">
        <v>8.5</v>
      </c>
      <c r="K375" t="n">
        <v>0</v>
      </c>
      <c r="L375" t="n">
        <v>7.5</v>
      </c>
      <c r="M375" t="n">
        <v>0</v>
      </c>
      <c r="N375" t="n">
        <v>4</v>
      </c>
      <c r="O375" t="n">
        <v>0</v>
      </c>
      <c r="P375">
        <f>Table1[[#This Row],[TA 1 - Q1 Score]]+Table1[[#This Row],[TA 1 - Q2 Score]]+Table1[[#This Row],[TA 1 - Q3 Score]]</f>
        <v/>
      </c>
      <c r="Q375">
        <f>Table1[[#This Row],[TA 1 - Q1 Bonus]]+Table1[[#This Row],[TA 1 - Q2 Bonus]]+Table1[[#This Row],[TA 1 - Q4 Bonus]]</f>
        <v/>
      </c>
      <c r="R375">
        <f>Table1[[#This Row],[TA 2 - Q1 Score]]+Table1[[#This Row],[TA 2 - Q2 Score]]+Table1[[#This Row],[TA 2 - Q3 Score]]</f>
        <v/>
      </c>
      <c r="S375">
        <f>Table1[[#This Row],[TA 2 - Q1 Bonus]]+Table1[[#This Row],[TA 2 - Q2 Bonus]]+Table1[[#This Row],[TA 2 - Q4 Bonus]]</f>
        <v/>
      </c>
      <c r="T375">
        <f>(Table1[[#This Row],[TA 1 - Total Score (out of 35)]]+Table1[[#This Row],[TA 2 - Total Score (out of 35)]])/2</f>
        <v/>
      </c>
      <c r="U375">
        <f>(Table1[[#This Row],[TA 1 - Total Bonus (out of 13)]]+Table1[[#This Row],[TA 2 - Total Bonus (out of 13)]])/2</f>
        <v/>
      </c>
      <c r="V375">
        <f>Table1[[#This Row],[Average Questions]]/35*20+Table1[[#This Row],[Average Bonus]]/13*5</f>
        <v/>
      </c>
      <c r="W375" t="n">
        <v>0</v>
      </c>
      <c r="X375" t="n">
        <v>0</v>
      </c>
      <c r="Y375" t="inlineStr">
        <is>
          <t>The student's submission does not run correctly due to several issues. The transforms are not correctly applied, the DataLoaders are not created properly, and the model is not correctly set up for training. Additionally, the training and validation loops contain errors, and the bonus task for Test Time Augmentation (TTA) is incomplete and incorrect.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75" t="n">
        <v>0</v>
      </c>
      <c r="AA375" t="n">
        <v>0</v>
      </c>
      <c r="AB375" t="inlineStr">
        <is>
          <t>The student's submission does not run correctly due to multiple issues. The dataset paths are hardcoded incorrectly, leading to errors in loading the data. The transforms applied to the test dataset do not match the required specifications, and the model definition does not include batch normalization as specified. Additionally, the training and validation functions contain errors, such as applying softmax incorrectly within the loss calculation. The bonus task is also incomplete and incorrect, with improper implementation of the residual connection.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75" t="n">
        <v>0</v>
      </c>
      <c r="AD375" t="inlineStr">
        <is>
          <t>The student's submission does not follow the rubric and uses a different dataset class and model. The dataset class is incorrect as it does not load masks properly, and the model class uses a different encoder (resnet34) instead of the required efficientnet-b1. The training and validation loops are incomplete and use incorrect loss functions. The visualization of predictions is missing. The code does not run end-to-end correctly, and the approach deviates significantly from the instructions.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75" t="n">
        <v>0</v>
      </c>
      <c r="AF375" t="n">
        <v>0</v>
      </c>
      <c r="AG375" t="inlineStr">
        <is>
          <t>The student's submission for Question 4 is incomplete and contains errors in the implementation of the `ColorizationDataset` class. The `rgb_to_grayscale` method does not correctly convert the RGB image to grayscale and does not return the correct dimensions. The `__getitem__` method is also not correctly implemented, leading to errors in the dataset retrieval. Since the implementation does not run correctly and deviates from the rubric, the minimum defensible score of 0.0 is awarded.
Breakdown:
- Correctly implemented `ColorizationDataset` class: 0.0/?</t>
        </is>
      </c>
      <c r="AH375" t="n">
        <v>0</v>
      </c>
      <c r="AI375" t="n">
        <v>0</v>
      </c>
    </row>
    <row r="376">
      <c r="A376" t="n">
        <v>375</v>
      </c>
      <c r="B376" t="inlineStr">
        <is>
          <t>TA_7</t>
        </is>
      </c>
      <c r="C376" t="inlineStr">
        <is>
          <t>TA_17</t>
        </is>
      </c>
      <c r="D376" t="n">
        <v>6.5</v>
      </c>
      <c r="E376" t="n">
        <v>0</v>
      </c>
      <c r="F376" t="n">
        <v>6.5</v>
      </c>
      <c r="G376" t="n">
        <v>0</v>
      </c>
      <c r="H376" t="n">
        <v>7.5</v>
      </c>
      <c r="I376" t="n">
        <v>0</v>
      </c>
      <c r="J376" t="n">
        <v>6</v>
      </c>
      <c r="K376" t="n">
        <v>0</v>
      </c>
      <c r="L376" t="n">
        <v>7.5</v>
      </c>
      <c r="M376" t="n">
        <v>0</v>
      </c>
      <c r="N376" t="n">
        <v>6.5</v>
      </c>
      <c r="O376" t="n">
        <v>0</v>
      </c>
      <c r="P376">
        <f>Table1[[#This Row],[TA 1 - Q1 Score]]+Table1[[#This Row],[TA 1 - Q2 Score]]+Table1[[#This Row],[TA 1 - Q3 Score]]</f>
        <v/>
      </c>
      <c r="Q376">
        <f>Table1[[#This Row],[TA 1 - Q1 Bonus]]+Table1[[#This Row],[TA 1 - Q2 Bonus]]+Table1[[#This Row],[TA 1 - Q4 Bonus]]</f>
        <v/>
      </c>
      <c r="R376">
        <f>Table1[[#This Row],[TA 2 - Q1 Score]]+Table1[[#This Row],[TA 2 - Q2 Score]]+Table1[[#This Row],[TA 2 - Q3 Score]]</f>
        <v/>
      </c>
      <c r="S376">
        <f>Table1[[#This Row],[TA 2 - Q1 Bonus]]+Table1[[#This Row],[TA 2 - Q2 Bonus]]+Table1[[#This Row],[TA 2 - Q4 Bonus]]</f>
        <v/>
      </c>
      <c r="T376">
        <f>(Table1[[#This Row],[TA 1 - Total Score (out of 35)]]+Table1[[#This Row],[TA 2 - Total Score (out of 35)]])/2</f>
        <v/>
      </c>
      <c r="U376">
        <f>(Table1[[#This Row],[TA 1 - Total Bonus (out of 13)]]+Table1[[#This Row],[TA 2 - Total Bonus (out of 13)]])/2</f>
        <v/>
      </c>
      <c r="V376">
        <f>Table1[[#This Row],[Average Questions]]/35*20+Table1[[#This Row],[Average Bonus]]/13*5</f>
        <v/>
      </c>
      <c r="W376" t="n">
        <v>0</v>
      </c>
      <c r="X376" t="n">
        <v>0</v>
      </c>
      <c r="Y376" t="inlineStr">
        <is>
          <t>The student's submission does not run correctly due to several issues. The code for displaying sample images is incomplete and does not show labels. The training and validation loops are incorrect and do not fix the labels to be 0-indexed. Additionally, the code for plotting training and validation losses and accuracies is missing. The bonus task for Test Time Augmentation is not attempted. Therefore, the student receives 0 points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76" t="n">
        <v>0</v>
      </c>
      <c r="AA376" t="n">
        <v>0</v>
      </c>
      <c r="AB376" t="inlineStr">
        <is>
          <t>The student's submission does not run correctly due to missing code for plotting losses and accuracy. Additionally, the student did not implement the residual connection for the bonus task.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76" t="n">
        <v>0</v>
      </c>
      <c r="AD376" t="inlineStr">
        <is>
          <t>The student's submission does not run correctly due to several issues. The dataset class is incomplete and does not correctly handle the dataset paths. The model definition uses the wrong encoder ('efficientnet-b0' instead of 'efficientnet-b1') and the wrong number of classes (1 instead of 8). The training and validation loops are incorrectly implemented, leading to errors in the training process. Additionally, the loss and optimizer are not correctly defined, and the visualization of predictions is flawed. Therefore, the student receives 0 points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76" t="n">
        <v>0</v>
      </c>
      <c r="AF376" t="n">
        <v>0</v>
      </c>
      <c r="AG376" t="inlineStr">
        <is>
          <t>No submission found.</t>
        </is>
      </c>
      <c r="AH376" t="n">
        <v>0</v>
      </c>
      <c r="AI376" t="n">
        <v>0</v>
      </c>
    </row>
    <row r="377">
      <c r="A377" t="n">
        <v>376</v>
      </c>
      <c r="B377" t="inlineStr">
        <is>
          <t>TA_7</t>
        </is>
      </c>
      <c r="C377" t="inlineStr">
        <is>
          <t>TA_17</t>
        </is>
      </c>
      <c r="D377" t="n">
        <v>9</v>
      </c>
      <c r="E377" t="n">
        <v>0</v>
      </c>
      <c r="F377" t="n">
        <v>8.5</v>
      </c>
      <c r="G377" t="n">
        <v>0</v>
      </c>
      <c r="H377" t="n">
        <v>10</v>
      </c>
      <c r="I377" t="n">
        <v>0</v>
      </c>
      <c r="J377" t="n">
        <v>6</v>
      </c>
      <c r="K377" t="n">
        <v>0</v>
      </c>
      <c r="L377" t="n">
        <v>8.5</v>
      </c>
      <c r="M377" t="n">
        <v>0</v>
      </c>
      <c r="N377" t="n">
        <v>9.5</v>
      </c>
      <c r="O377" t="n">
        <v>0</v>
      </c>
      <c r="P377">
        <f>Table1[[#This Row],[TA 1 - Q1 Score]]+Table1[[#This Row],[TA 1 - Q2 Score]]+Table1[[#This Row],[TA 1 - Q3 Score]]</f>
        <v/>
      </c>
      <c r="Q377">
        <f>Table1[[#This Row],[TA 1 - Q1 Bonus]]+Table1[[#This Row],[TA 1 - Q2 Bonus]]+Table1[[#This Row],[TA 1 - Q4 Bonus]]</f>
        <v/>
      </c>
      <c r="R377">
        <f>Table1[[#This Row],[TA 2 - Q1 Score]]+Table1[[#This Row],[TA 2 - Q2 Score]]+Table1[[#This Row],[TA 2 - Q3 Score]]</f>
        <v/>
      </c>
      <c r="S377">
        <f>Table1[[#This Row],[TA 2 - Q1 Bonus]]+Table1[[#This Row],[TA 2 - Q2 Bonus]]+Table1[[#This Row],[TA 2 - Q4 Bonus]]</f>
        <v/>
      </c>
      <c r="T377">
        <f>(Table1[[#This Row],[TA 1 - Total Score (out of 35)]]+Table1[[#This Row],[TA 2 - Total Score (out of 35)]])/2</f>
        <v/>
      </c>
      <c r="U377">
        <f>(Table1[[#This Row],[TA 1 - Total Bonus (out of 13)]]+Table1[[#This Row],[TA 2 - Total Bonus (out of 13)]])/2</f>
        <v/>
      </c>
      <c r="V377">
        <f>Table1[[#This Row],[Average Questions]]/35*20+Table1[[#This Row],[Average Bonus]]/13*5</f>
        <v/>
      </c>
      <c r="W377" t="n">
        <v>0</v>
      </c>
      <c r="X377" t="n">
        <v>0</v>
      </c>
      <c r="Y377" t="inlineStr">
        <is>
          <t>The student's submission contains several critical errors that prevent the code from running correctly. The transforms include an incorrect custom module that subtracts 1 from the labels, which is not part of the transform pipeline. The DataLoaders are created but not displayed correctly. The model is loaded and the backbone is frozen, but the classifier head is incorrectly modified to 25 classes instead of 26. The training and validation loops have logical errors, such as incorrect handling of model outputs and labels. The training process does not run correctly due to these issues. Additionally, the bonus task for Test Time Augmentation is not implemented.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77" t="n">
        <v>0</v>
      </c>
      <c r="AA377" t="n">
        <v>0</v>
      </c>
      <c r="AB377" t="inlineStr">
        <is>
          <t>The student's submission does not run correctly due to several issues. The transformations applied to the images are incorrect as they resize the images to 32x32 instead of 128x128 as specified. The CNN model does not include Batch Normalization layers, and the fully connected layer dimensions are incorrect. The training and validation loops do not correctly compute accuracy, and the plotting code is incomplete.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77" t="n">
        <v>0</v>
      </c>
      <c r="AD377" t="inlineStr">
        <is>
          <t>The student's submission does not run end-to-end due to missing or incomplete code in several critical areas. The dataset class is incomplete, the model definition is incorrect, and the training and validation loops are not correctly implemented. Additionally, the visualization of predictions is missing. Therefore, no points are awarded for any task as the code does not run correctly and deviates from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77" t="n">
        <v>0</v>
      </c>
      <c r="AF377" t="n">
        <v>0</v>
      </c>
      <c r="AG377" t="inlineStr">
        <is>
          <t>No submission found.</t>
        </is>
      </c>
      <c r="AH377" t="n">
        <v>0</v>
      </c>
      <c r="AI377" t="n">
        <v>0</v>
      </c>
    </row>
    <row r="378">
      <c r="A378" t="n">
        <v>377</v>
      </c>
      <c r="B378" t="inlineStr">
        <is>
          <t>TA_7</t>
        </is>
      </c>
      <c r="C378" t="inlineStr">
        <is>
          <t>TA_17</t>
        </is>
      </c>
      <c r="D378" t="n">
        <v>10.5</v>
      </c>
      <c r="E378" t="n">
        <v>0</v>
      </c>
      <c r="F378" t="n">
        <v>8</v>
      </c>
      <c r="G378" t="n">
        <v>0</v>
      </c>
      <c r="H378" t="n">
        <v>9</v>
      </c>
      <c r="I378" t="n">
        <v>0</v>
      </c>
      <c r="J378" t="n">
        <v>10</v>
      </c>
      <c r="K378" t="n">
        <v>0</v>
      </c>
      <c r="L378" t="n">
        <v>7.5</v>
      </c>
      <c r="M378" t="n">
        <v>0</v>
      </c>
      <c r="N378" t="n">
        <v>7</v>
      </c>
      <c r="O378" t="n">
        <v>0</v>
      </c>
      <c r="P378">
        <f>Table1[[#This Row],[TA 1 - Q1 Score]]+Table1[[#This Row],[TA 1 - Q2 Score]]+Table1[[#This Row],[TA 1 - Q3 Score]]</f>
        <v/>
      </c>
      <c r="Q378">
        <f>Table1[[#This Row],[TA 1 - Q1 Bonus]]+Table1[[#This Row],[TA 1 - Q2 Bonus]]+Table1[[#This Row],[TA 1 - Q4 Bonus]]</f>
        <v/>
      </c>
      <c r="R378">
        <f>Table1[[#This Row],[TA 2 - Q1 Score]]+Table1[[#This Row],[TA 2 - Q2 Score]]+Table1[[#This Row],[TA 2 - Q3 Score]]</f>
        <v/>
      </c>
      <c r="S378">
        <f>Table1[[#This Row],[TA 2 - Q1 Bonus]]+Table1[[#This Row],[TA 2 - Q2 Bonus]]+Table1[[#This Row],[TA 2 - Q4 Bonus]]</f>
        <v/>
      </c>
      <c r="T378">
        <f>(Table1[[#This Row],[TA 1 - Total Score (out of 35)]]+Table1[[#This Row],[TA 2 - Total Score (out of 35)]])/2</f>
        <v/>
      </c>
      <c r="U378">
        <f>(Table1[[#This Row],[TA 1 - Total Bonus (out of 13)]]+Table1[[#This Row],[TA 2 - Total Bonus (out of 13)]])/2</f>
        <v/>
      </c>
      <c r="V378">
        <f>Table1[[#This Row],[Average Questions]]/35*20+Table1[[#This Row],[Average Bonus]]/13*5</f>
        <v/>
      </c>
      <c r="W378" t="n">
        <v>0</v>
      </c>
      <c r="X378" t="n">
        <v>0</v>
      </c>
      <c r="Y378" t="inlineStr">
        <is>
          <t>The student's submission does not run end-to-end due to missing code for displaying sample images, setting up the device, model, loss, and optimizer, training the model, and plotting the training and validation losses and accuracies. Additionally, the student did not implement the bonus task for Test Time Augmentation.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78" t="n">
        <v>0</v>
      </c>
      <c r="AA378" t="n">
        <v>0</v>
      </c>
      <c r="AB378" t="inlineStr">
        <is>
          <t>The student's submission does not run correctly due to missing code for several tasks. Specifically, the student did not implement the dataset class or ImageFolder correctly, did not create the train/test datasets and DataLoaders properly, and did not include the necessary transforms. Additionally, the CNN model class does not meet the requirements of having 5 convolutional layers with Batch Normalization. The training and validation functions are incomplete, and the training process is not set up correctly.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78" t="n">
        <v>0</v>
      </c>
      <c r="AD378" t="inlineStr">
        <is>
          <t>The student's submission does not run correctly due to multiple issues. The dataset class is incomplete and contains syntax errors, leading to failures in creating DataLoaders and displaying sample images and masks. The model definition uses the wrong encoder (efficientnet-b0 instead of efficientnet-b1), and the training and validation loops are not correctly implemented. Additionally, the loss and optimizer are defined incorrectly, and the training process does not execute properly. The visualization of predictions is also flawed due to the previous errors. Therefore, no points are awarded for any task as the code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78" t="n">
        <v>0</v>
      </c>
      <c r="AF378" t="n">
        <v>0</v>
      </c>
      <c r="AG378" t="inlineStr">
        <is>
          <t>No submission found.</t>
        </is>
      </c>
      <c r="AH378" t="n">
        <v>0</v>
      </c>
      <c r="AI378" t="n">
        <v>0</v>
      </c>
    </row>
    <row r="379">
      <c r="A379" t="n">
        <v>378</v>
      </c>
      <c r="B379" t="inlineStr">
        <is>
          <t>TA_7</t>
        </is>
      </c>
      <c r="C379" t="inlineStr">
        <is>
          <t>TA_17</t>
        </is>
      </c>
      <c r="D379" t="n">
        <v>12</v>
      </c>
      <c r="E379" t="n">
        <v>0</v>
      </c>
      <c r="F379" t="n">
        <v>11</v>
      </c>
      <c r="G379" t="n">
        <v>4</v>
      </c>
      <c r="H379" t="n">
        <v>12</v>
      </c>
      <c r="I379" t="n">
        <v>5</v>
      </c>
      <c r="J379" t="n">
        <v>6</v>
      </c>
      <c r="K379" t="n">
        <v>0</v>
      </c>
      <c r="L379" t="n">
        <v>8.5</v>
      </c>
      <c r="M379" t="n">
        <v>0</v>
      </c>
      <c r="N379" t="n">
        <v>12</v>
      </c>
      <c r="O379" t="n">
        <v>5</v>
      </c>
      <c r="P379">
        <f>Table1[[#This Row],[TA 1 - Q1 Score]]+Table1[[#This Row],[TA 1 - Q2 Score]]+Table1[[#This Row],[TA 1 - Q3 Score]]</f>
        <v/>
      </c>
      <c r="Q379">
        <f>Table1[[#This Row],[TA 1 - Q1 Bonus]]+Table1[[#This Row],[TA 1 - Q2 Bonus]]+Table1[[#This Row],[TA 1 - Q4 Bonus]]</f>
        <v/>
      </c>
      <c r="R379">
        <f>Table1[[#This Row],[TA 2 - Q1 Score]]+Table1[[#This Row],[TA 2 - Q2 Score]]+Table1[[#This Row],[TA 2 - Q3 Score]]</f>
        <v/>
      </c>
      <c r="S379">
        <f>Table1[[#This Row],[TA 2 - Q1 Bonus]]+Table1[[#This Row],[TA 2 - Q2 Bonus]]+Table1[[#This Row],[TA 2 - Q4 Bonus]]</f>
        <v/>
      </c>
      <c r="T379">
        <f>(Table1[[#This Row],[TA 1 - Total Score (out of 35)]]+Table1[[#This Row],[TA 2 - Total Score (out of 35)]])/2</f>
        <v/>
      </c>
      <c r="U379">
        <f>(Table1[[#This Row],[TA 1 - Total Bonus (out of 13)]]+Table1[[#This Row],[TA 2 - Total Bonus (out of 13)]])/2</f>
        <v/>
      </c>
      <c r="V379">
        <f>Table1[[#This Row],[Average Questions]]/35*20+Table1[[#This Row],[Average Bonus]]/13*5</f>
        <v/>
      </c>
      <c r="W379" t="n">
        <v>0</v>
      </c>
      <c r="X379" t="n">
        <v>0</v>
      </c>
      <c r="Y379" t="inlineStr">
        <is>
          <t>The student's submission does not run correctly due to multiple issues. The transforms are incomplete, the DataLoaders are not created correctly, and the model training and validation loops contain errors. Additionally, the bonus task for Test Time Augmentation (TTA) is not implemented correctly.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79" t="n">
        <v>0</v>
      </c>
      <c r="AA379" t="n">
        <v>0</v>
      </c>
      <c r="AB379" t="inlineStr">
        <is>
          <t>The student's submission does not run correctly due to multiple issues. The dataset loading and transformation steps are incorrect, leading to errors in subsequent tasks. The CNN model definition deviates from the required specifications, and the training and validation functions contain logical errors. Additionally, the bonus task on residual connections is not correctly implemented.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79" t="n">
        <v>0</v>
      </c>
      <c r="AD379" t="inlineStr">
        <is>
          <t>The student's submission does not run correctly due to several issues. The dataset class is incorrectly implemented, leading to errors in data loading. The model definition uses 'efficientnet-b1' instead of 'efficientnet-b0' as specified. The training and validation loops are present but do not run due to the dataset issues. The loss and optimizer are defined correctly, but the training process fails. The visualization of predictions is attempted but does not run due to the earlier failures. Therefore, no points are awarded for any task as the code does not execute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79" t="n">
        <v>0</v>
      </c>
      <c r="AF379" t="n">
        <v>0</v>
      </c>
      <c r="AG379" t="inlineStr">
        <is>
          <t>The student's submission for Question 4 contains several issues that prevent it from running correctly. The `rgb_to_grayscale` method in the `ColorizationDataset` class has incorrect logic, and the `__getitem__` method does not correctly return the grayscale and color image tuple. Additionally, there are unnecessary and incorrect transformations applied to the images, which deviate from the rubric. Therefore, the implementation does not meet the criteria for any points.
Breakdown:
- Correctly implemented `ColorizationDataset` class: 0.0/?</t>
        </is>
      </c>
      <c r="AH379" t="n">
        <v>0</v>
      </c>
      <c r="AI379" t="n">
        <v>0</v>
      </c>
    </row>
    <row r="380">
      <c r="A380" t="n">
        <v>379</v>
      </c>
      <c r="B380" t="inlineStr">
        <is>
          <t>TA_7</t>
        </is>
      </c>
      <c r="C380" t="inlineStr">
        <is>
          <t>TA_17</t>
        </is>
      </c>
      <c r="D380" t="n">
        <v>12</v>
      </c>
      <c r="E380" t="n">
        <v>4</v>
      </c>
      <c r="F380" t="n">
        <v>11</v>
      </c>
      <c r="G380" t="n">
        <v>4</v>
      </c>
      <c r="H380" t="n">
        <v>12</v>
      </c>
      <c r="I380" t="n">
        <v>0</v>
      </c>
      <c r="J380" t="n">
        <v>12</v>
      </c>
      <c r="K380" t="n">
        <v>2</v>
      </c>
      <c r="L380" t="n">
        <v>11</v>
      </c>
      <c r="M380" t="n">
        <v>4</v>
      </c>
      <c r="N380" t="n">
        <v>12</v>
      </c>
      <c r="O380" t="n">
        <v>5</v>
      </c>
      <c r="P380">
        <f>Table1[[#This Row],[TA 1 - Q1 Score]]+Table1[[#This Row],[TA 1 - Q2 Score]]+Table1[[#This Row],[TA 1 - Q3 Score]]</f>
        <v/>
      </c>
      <c r="Q380">
        <f>Table1[[#This Row],[TA 1 - Q1 Bonus]]+Table1[[#This Row],[TA 1 - Q2 Bonus]]+Table1[[#This Row],[TA 1 - Q4 Bonus]]</f>
        <v/>
      </c>
      <c r="R380">
        <f>Table1[[#This Row],[TA 2 - Q1 Score]]+Table1[[#This Row],[TA 2 - Q2 Score]]+Table1[[#This Row],[TA 2 - Q3 Score]]</f>
        <v/>
      </c>
      <c r="S380">
        <f>Table1[[#This Row],[TA 2 - Q1 Bonus]]+Table1[[#This Row],[TA 2 - Q2 Bonus]]+Table1[[#This Row],[TA 2 - Q4 Bonus]]</f>
        <v/>
      </c>
      <c r="T380">
        <f>(Table1[[#This Row],[TA 1 - Total Score (out of 35)]]+Table1[[#This Row],[TA 2 - Total Score (out of 35)]])/2</f>
        <v/>
      </c>
      <c r="U380">
        <f>(Table1[[#This Row],[TA 1 - Total Bonus (out of 13)]]+Table1[[#This Row],[TA 2 - Total Bonus (out of 13)]])/2</f>
        <v/>
      </c>
      <c r="V380">
        <f>Table1[[#This Row],[Average Questions]]/35*20+Table1[[#This Row],[Average Bonus]]/13*5</f>
        <v/>
      </c>
      <c r="W380" t="n">
        <v>0</v>
      </c>
      <c r="X380" t="n">
        <v>0</v>
      </c>
      <c r="Y380" t="inlineStr">
        <is>
          <t>The student's submission does not run correctly due to several issues. The DataLoader creation is incorrect as it shuffles the test set, which is not allowed. The model training and validation functions have logical errors, such as using softmax instead of directly getting the predicted class indices. The bonus task for Test Time Augmentation (TTA) is also incorrect as it stacks the outputs instead of averaging them. These issues prevent the code from running correctly, resulting in a score of 0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80" t="n">
        <v>0</v>
      </c>
      <c r="AA380" t="n">
        <v>0</v>
      </c>
      <c r="AB380" t="inlineStr">
        <is>
          <t>The student's submission does not run correctly due to several issues. The transforms specified in the rubric were not followed correctly, and the model architecture does not match the required specifications. Additionally, the training and validation functions are incomplete and do not run as expected. The bonus task for residual connections is also incomplete and does not run correctly. Therefore, no points are awarded for any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380" t="n">
        <v>0</v>
      </c>
      <c r="AD380" t="inlineStr">
        <is>
          <t>The student's submission does not run end-to-end due to several issues. The dataset class is incorrectly implemented, leading to errors in data loading. The model definition and training loops are present but contain errors that prevent the code from running correctly. Additionally, the visualization of predictions is incomplete and does not display the correct outputs. Therefore, no points are awarded for any task as the code does not run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80" t="n">
        <v>0</v>
      </c>
      <c r="AF380" t="n">
        <v>0</v>
      </c>
      <c r="AG380" t="inlineStr">
        <is>
          <t>The student's implementation of the `ColorizationDataset` class contains several issues. The `rgb_to_grayscale` method uses incorrect coefficients (0.229, 0.578, 0.114 instead of 0.299, 0.587, 0.114) and converts the image to a NumPy array unnecessarily, which can lead to incorrect results. Additionally, the code does not handle the tensor operations correctly, leading to potential errors in the grayscale conversion. Since the implementation does not follow the correct approach and contains logical mistakes, it does not meet the criteria for any points.
Breakdown:
- Correctly implemented `ColorizationDataset` class: 0.0/5.0</t>
        </is>
      </c>
      <c r="AH380" t="n">
        <v>0</v>
      </c>
      <c r="AI380" t="n">
        <v>0</v>
      </c>
    </row>
    <row r="381">
      <c r="A381" t="n">
        <v>380</v>
      </c>
      <c r="B381" t="inlineStr">
        <is>
          <t>TA_7</t>
        </is>
      </c>
      <c r="C381" t="inlineStr">
        <is>
          <t>TA_17</t>
        </is>
      </c>
      <c r="D381" t="n">
        <v>11</v>
      </c>
      <c r="E381" t="n">
        <v>4</v>
      </c>
      <c r="F381" t="n">
        <v>11</v>
      </c>
      <c r="G381" t="n">
        <v>4</v>
      </c>
      <c r="H381" t="n">
        <v>12</v>
      </c>
      <c r="I381" t="n">
        <v>5</v>
      </c>
      <c r="J381" t="n">
        <v>11</v>
      </c>
      <c r="K381" t="n">
        <v>4</v>
      </c>
      <c r="L381" t="n">
        <v>11</v>
      </c>
      <c r="M381" t="n">
        <v>4</v>
      </c>
      <c r="N381" t="n">
        <v>12</v>
      </c>
      <c r="O381" t="n">
        <v>5</v>
      </c>
      <c r="P381">
        <f>Table1[[#This Row],[TA 1 - Q1 Score]]+Table1[[#This Row],[TA 1 - Q2 Score]]+Table1[[#This Row],[TA 1 - Q3 Score]]</f>
        <v/>
      </c>
      <c r="Q381">
        <f>Table1[[#This Row],[TA 1 - Q1 Bonus]]+Table1[[#This Row],[TA 1 - Q2 Bonus]]+Table1[[#This Row],[TA 1 - Q4 Bonus]]</f>
        <v/>
      </c>
      <c r="R381">
        <f>Table1[[#This Row],[TA 2 - Q1 Score]]+Table1[[#This Row],[TA 2 - Q2 Score]]+Table1[[#This Row],[TA 2 - Q3 Score]]</f>
        <v/>
      </c>
      <c r="S381">
        <f>Table1[[#This Row],[TA 2 - Q1 Bonus]]+Table1[[#This Row],[TA 2 - Q2 Bonus]]+Table1[[#This Row],[TA 2 - Q4 Bonus]]</f>
        <v/>
      </c>
      <c r="T381">
        <f>(Table1[[#This Row],[TA 1 - Total Score (out of 35)]]+Table1[[#This Row],[TA 2 - Total Score (out of 35)]])/2</f>
        <v/>
      </c>
      <c r="U381">
        <f>(Table1[[#This Row],[TA 1 - Total Bonus (out of 13)]]+Table1[[#This Row],[TA 2 - Total Bonus (out of 13)]])/2</f>
        <v/>
      </c>
      <c r="V381">
        <f>Table1[[#This Row],[Average Questions]]/35*20+Table1[[#This Row],[Average Bonus]]/13*5</f>
        <v/>
      </c>
      <c r="W381" t="n">
        <v>0</v>
      </c>
      <c r="X381" t="n">
        <v>0</v>
      </c>
      <c r="Y381" t="inlineStr">
        <is>
          <t>The student's submission does not run correctly due to multiple issues. The transforms are incomplete, the DataLoaders are not created correctly, and the model setup is incorrect. The training and validation loops have logical errors, and the plots are not generated correctly. Additionally, the bonus task for Test Time Augmentation is not implemented correctly.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81" t="n">
        <v>0</v>
      </c>
      <c r="AA381" t="n">
        <v>0</v>
      </c>
      <c r="AB381" t="inlineStr">
        <is>
          <t>The student's submission does not run correctly due to multiple issues. The code for loading and preparing the data, building the CNN model, training and validation functions, and training the model all contain errors that prevent the code from executing properly. Additionally, the bonus task for residual connections is not implemented correctly, and the code does not run end-to-end. Therefore, no points are awarded for any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381" t="n">
        <v>0</v>
      </c>
      <c r="AD381" t="inlineStr">
        <is>
          <t>The student's submission does not run correctly due to several issues. The dataset class is incorrectly named and does not follow the required structure. The model definition uses 'efficientnet-b0' instead of 'efficientnet-b1'. The training and validation loops are present but do not run correctly due to mismatched dimensions in the loss function. The visualization of predictions is attempted but fails due to the incorrect model definition and training issues. Therefore, no points are awarded for any task as the code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81" t="n">
        <v>0</v>
      </c>
      <c r="AF381" t="n">
        <v>0</v>
      </c>
      <c r="AG381" t="inlineStr">
        <is>
          <t>The student's implementation of the `ColorizationDataset` class contains several critical errors. The `__init__` method incorrectly stores the dataset as `self.original_data` instead of `self.dataset`. The `__len__` method does not return the length of the dataset but instead attempts to call `len(self.original_data)` as a statement. The `rgb_to_grayscale` method incorrectly uses NumPy operations on a PyTorch tensor, which will not work as intended. Additionally, the method does not handle the tensor dimensions correctly. The `__getitem__` method attempts to access the dataset incorrectly and does not return the correct tuple. These issues prevent the code from running correctly, resulting in a score of 0.0 for the task.
Breakdown:
- Correctly implemented `ColorizationDataset` class: 0.0/5.0</t>
        </is>
      </c>
      <c r="AH381" t="n">
        <v>0</v>
      </c>
      <c r="AI381" t="n">
        <v>0</v>
      </c>
    </row>
    <row r="382">
      <c r="A382" t="n">
        <v>381</v>
      </c>
      <c r="B382" t="inlineStr">
        <is>
          <t>TA_7</t>
        </is>
      </c>
      <c r="C382" t="inlineStr">
        <is>
          <t>TA_17</t>
        </is>
      </c>
      <c r="D382" t="n">
        <v>12</v>
      </c>
      <c r="E382" t="n">
        <v>4</v>
      </c>
      <c r="F382" t="n">
        <v>11</v>
      </c>
      <c r="G382" t="n">
        <v>4</v>
      </c>
      <c r="H382" t="n">
        <v>12</v>
      </c>
      <c r="I382" t="n">
        <v>0</v>
      </c>
      <c r="J382" t="n">
        <v>11</v>
      </c>
      <c r="K382" t="n">
        <v>0</v>
      </c>
      <c r="L382" t="n">
        <v>11</v>
      </c>
      <c r="M382" t="n">
        <v>4</v>
      </c>
      <c r="N382" t="n">
        <v>12</v>
      </c>
      <c r="O382" t="n">
        <v>0</v>
      </c>
      <c r="P382">
        <f>Table1[[#This Row],[TA 1 - Q1 Score]]+Table1[[#This Row],[TA 1 - Q2 Score]]+Table1[[#This Row],[TA 1 - Q3 Score]]</f>
        <v/>
      </c>
      <c r="Q382">
        <f>Table1[[#This Row],[TA 1 - Q1 Bonus]]+Table1[[#This Row],[TA 1 - Q2 Bonus]]+Table1[[#This Row],[TA 1 - Q4 Bonus]]</f>
        <v/>
      </c>
      <c r="R382">
        <f>Table1[[#This Row],[TA 2 - Q1 Score]]+Table1[[#This Row],[TA 2 - Q2 Score]]+Table1[[#This Row],[TA 2 - Q3 Score]]</f>
        <v/>
      </c>
      <c r="S382">
        <f>Table1[[#This Row],[TA 2 - Q1 Bonus]]+Table1[[#This Row],[TA 2 - Q2 Bonus]]+Table1[[#This Row],[TA 2 - Q4 Bonus]]</f>
        <v/>
      </c>
      <c r="T382">
        <f>(Table1[[#This Row],[TA 1 - Total Score (out of 35)]]+Table1[[#This Row],[TA 2 - Total Score (out of 35)]])/2</f>
        <v/>
      </c>
      <c r="U382">
        <f>(Table1[[#This Row],[TA 1 - Total Bonus (out of 13)]]+Table1[[#This Row],[TA 2 - Total Bonus (out of 13)]])/2</f>
        <v/>
      </c>
      <c r="V382">
        <f>Table1[[#This Row],[Average Questions]]/35*20+Table1[[#This Row],[Average Bonus]]/13*5</f>
        <v/>
      </c>
      <c r="W382" t="n">
        <v>0</v>
      </c>
      <c r="X382" t="n">
        <v>0</v>
      </c>
      <c r="Y382" t="inlineStr">
        <is>
          <t>The student's submission has several critical issues that prevent it from running correctly. The transforms are correctly defined, and the DataLoaders are created, but the code for displaying sample images is incorrect and does not run. The model loading and adaptation tasks are partially correct but do not freeze the backbone correctly and do not replace the classifier head for 26 classes. The training and validation loops are incorrect and do not run. The training setup is incorrect, and the plots for training and validation losses and accuracies are not generated. The bonus task for Test Time Augmentation is not implemented correctly and does not run.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82" t="n">
        <v>0</v>
      </c>
      <c r="AA382" t="n">
        <v>0</v>
      </c>
      <c r="AB382" t="inlineStr">
        <is>
          <t>The student's submission does not run correctly due to multiple issues. The dataset class or ImageFolder is incorrectly implemented, leading to errors in loading the data. The transforms applied do not match the required specifications, and the model architecture deviates significantly from the rubric. The training and validation functions are incorrectly implemented, and the residual connection is not correctly defined. As a result, the code does not produce the correct output and fails to meet the requirements of the rubric.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82" t="n">
        <v>10</v>
      </c>
      <c r="AD382" t="inlineStr">
        <is>
          <t>The student successfully completed all tasks with correct code and logic. The dataset class, DataLoaders, and visualization of sample images and masks were implemented correctly. The model class was defined with the correct encoder, and the training and validation loops were implemented accurately. The training process, including loss definition, optimizer setup, and loss plotting, was executed correctly. The visualization of predictions against ground truth was also done correctly. There were no deviations from the rubric, and the code ran end-to-end without issues.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82" t="n">
        <v>0</v>
      </c>
      <c r="AF382" t="n">
        <v>0</v>
      </c>
      <c r="AG382" t="inlineStr">
        <is>
          <t>No submission found.</t>
        </is>
      </c>
      <c r="AH382" t="n">
        <v>10</v>
      </c>
      <c r="AI382" t="n">
        <v>0</v>
      </c>
    </row>
    <row r="383">
      <c r="A383" t="n">
        <v>382</v>
      </c>
      <c r="B383" t="inlineStr">
        <is>
          <t>TA_7</t>
        </is>
      </c>
      <c r="C383" t="inlineStr">
        <is>
          <t>TA_17</t>
        </is>
      </c>
      <c r="D383" t="n">
        <v>12</v>
      </c>
      <c r="E383" t="n">
        <v>0</v>
      </c>
      <c r="F383" t="n">
        <v>8</v>
      </c>
      <c r="G383" t="n">
        <v>0</v>
      </c>
      <c r="H383" t="n">
        <v>7</v>
      </c>
      <c r="I383" t="n">
        <v>0</v>
      </c>
      <c r="J383" t="n">
        <v>12</v>
      </c>
      <c r="K383" t="n">
        <v>0</v>
      </c>
      <c r="L383" t="n">
        <v>8.5</v>
      </c>
      <c r="M383" t="n">
        <v>0</v>
      </c>
      <c r="N383" t="n">
        <v>6</v>
      </c>
      <c r="O383" t="n">
        <v>0</v>
      </c>
      <c r="P383">
        <f>Table1[[#This Row],[TA 1 - Q1 Score]]+Table1[[#This Row],[TA 1 - Q2 Score]]+Table1[[#This Row],[TA 1 - Q3 Score]]</f>
        <v/>
      </c>
      <c r="Q383">
        <f>Table1[[#This Row],[TA 1 - Q1 Bonus]]+Table1[[#This Row],[TA 1 - Q2 Bonus]]+Table1[[#This Row],[TA 1 - Q4 Bonus]]</f>
        <v/>
      </c>
      <c r="R383">
        <f>Table1[[#This Row],[TA 2 - Q1 Score]]+Table1[[#This Row],[TA 2 - Q2 Score]]+Table1[[#This Row],[TA 2 - Q3 Score]]</f>
        <v/>
      </c>
      <c r="S383">
        <f>Table1[[#This Row],[TA 2 - Q1 Bonus]]+Table1[[#This Row],[TA 2 - Q2 Bonus]]+Table1[[#This Row],[TA 2 - Q4 Bonus]]</f>
        <v/>
      </c>
      <c r="T383">
        <f>(Table1[[#This Row],[TA 1 - Total Score (out of 35)]]+Table1[[#This Row],[TA 2 - Total Score (out of 35)]])/2</f>
        <v/>
      </c>
      <c r="U383">
        <f>(Table1[[#This Row],[TA 1 - Total Bonus (out of 13)]]+Table1[[#This Row],[TA 2 - Total Bonus (out of 13)]])/2</f>
        <v/>
      </c>
      <c r="V383">
        <f>Table1[[#This Row],[Average Questions]]/35*20+Table1[[#This Row],[Average Bonus]]/13*5</f>
        <v/>
      </c>
      <c r="W383" t="n">
        <v>0</v>
      </c>
      <c r="X383" t="n">
        <v>0</v>
      </c>
      <c r="Y383" t="inlineStr">
        <is>
          <t>The student's submission does not run correctly due to several issues. The training and validation loops are incorrect because the student used softmax on the outputs, which is not necessary for CrossEntropyLoss. Additionally, the student did not correctly implement the label adjustment for 0-indexed labels, which is a critical part of the task. The code for setting up the device, model, loss, and optimizer is present but does not run correctly due to the issues in the training and validation loops. The student did not attempt the bonus task. Therefore, the score is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83" t="n">
        <v>0</v>
      </c>
      <c r="AA383" t="n">
        <v>0</v>
      </c>
      <c r="AB383" t="inlineStr">
        <is>
          <t>The student's submission does not run correctly due to several issues. The dataset transformations do not match the rubric (resize to 32x32 instead of 128x128), the CNN model does not have 5 convolutional layers, and the training and validation functions are incorrect. Additionally, the student did not implement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83" t="n">
        <v>0</v>
      </c>
      <c r="AD383" t="inlineStr">
        <is>
          <t>The student's submission has several critical issues. The dataset class is incomplete and does not correctly load images and masks. The model class uses the wrong encoder ('efficientnet-b0' instead of 'efficientnet-b1'), which is a significant deviation from the instructions. The training and validation loops are incorrectly implemented, using BCEWithLogitsLoss instead of CrossEntropyLoss, which is inappropriate for multi-class segmentation. Additionally, the student did not define the loss and optimizer correctly, and the training process does not run correctly due to these issues. The visualization of predictions is also incorrect and does not follow the required format. Therefore, the submission does not meet the criteria for any of the tasks and receives a score of 0.0.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383" t="n">
        <v>0</v>
      </c>
      <c r="AF383" t="n">
        <v>0</v>
      </c>
      <c r="AG383" t="inlineStr">
        <is>
          <t>No submission found.</t>
        </is>
      </c>
      <c r="AH383" t="n">
        <v>0</v>
      </c>
      <c r="AI383" t="n">
        <v>0</v>
      </c>
    </row>
    <row r="384">
      <c r="A384" t="n">
        <v>383</v>
      </c>
      <c r="B384" t="inlineStr">
        <is>
          <t>TA_7</t>
        </is>
      </c>
      <c r="C384" t="inlineStr">
        <is>
          <t>TA_17</t>
        </is>
      </c>
      <c r="D384" t="n">
        <v>10.5</v>
      </c>
      <c r="E384" t="n">
        <v>0</v>
      </c>
      <c r="F384" t="n">
        <v>8.5</v>
      </c>
      <c r="G384" t="n">
        <v>0</v>
      </c>
      <c r="H384" t="n">
        <v>7</v>
      </c>
      <c r="I384" t="n">
        <v>0</v>
      </c>
      <c r="J384" t="n">
        <v>6</v>
      </c>
      <c r="K384" t="n">
        <v>0</v>
      </c>
      <c r="L384" t="n">
        <v>8.5</v>
      </c>
      <c r="M384" t="n">
        <v>1.5</v>
      </c>
      <c r="N384" t="n">
        <v>7.5</v>
      </c>
      <c r="O384" t="n">
        <v>0</v>
      </c>
      <c r="P384">
        <f>Table1[[#This Row],[TA 1 - Q1 Score]]+Table1[[#This Row],[TA 1 - Q2 Score]]+Table1[[#This Row],[TA 1 - Q3 Score]]</f>
        <v/>
      </c>
      <c r="Q384">
        <f>Table1[[#This Row],[TA 1 - Q1 Bonus]]+Table1[[#This Row],[TA 1 - Q2 Bonus]]+Table1[[#This Row],[TA 1 - Q4 Bonus]]</f>
        <v/>
      </c>
      <c r="R384">
        <f>Table1[[#This Row],[TA 2 - Q1 Score]]+Table1[[#This Row],[TA 2 - Q2 Score]]+Table1[[#This Row],[TA 2 - Q3 Score]]</f>
        <v/>
      </c>
      <c r="S384">
        <f>Table1[[#This Row],[TA 2 - Q1 Bonus]]+Table1[[#This Row],[TA 2 - Q2 Bonus]]+Table1[[#This Row],[TA 2 - Q4 Bonus]]</f>
        <v/>
      </c>
      <c r="T384">
        <f>(Table1[[#This Row],[TA 1 - Total Score (out of 35)]]+Table1[[#This Row],[TA 2 - Total Score (out of 35)]])/2</f>
        <v/>
      </c>
      <c r="U384">
        <f>(Table1[[#This Row],[TA 1 - Total Bonus (out of 13)]]+Table1[[#This Row],[TA 2 - Total Bonus (out of 13)]])/2</f>
        <v/>
      </c>
      <c r="V384">
        <f>Table1[[#This Row],[Average Questions]]/35*20+Table1[[#This Row],[Average Bonus]]/13*5</f>
        <v/>
      </c>
      <c r="W384" t="n">
        <v>0</v>
      </c>
      <c r="X384" t="n">
        <v>0</v>
      </c>
      <c r="Y384" t="inlineStr">
        <is>
          <t>The student's submission does not run correctly due to several issues. The transforms are not correctly defined, the DataLoaders are not created properly, and the model is not correctly set up for training. Additionally, the training and validation loops contain errors, and the plots for training and validation losses and accuracies are missing. The bonus task for Test Time Augmentation is also not implemented correctly.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84" t="n">
        <v>0</v>
      </c>
      <c r="AA384" t="n">
        <v>0</v>
      </c>
      <c r="AB384" t="inlineStr">
        <is>
          <t>The student's submission does not run correctly due to several issues. The dataset loading and transformation steps are incorrect, and the model definition deviates significantly from the required specifications. The training and validation functions are incomplete and contain errors. Additionally, the bonus task is not attempted correctly.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84" t="n">
        <v>0</v>
      </c>
      <c r="AD384" t="inlineStr">
        <is>
          <t>The student's submission does not run end-to-end due to multiple issues. The dataset class is incomplete and does not correctly handle the masks. The training and validation loops are incorrectly implemented, leading to errors in the training process. Additionally, the visualization of predictions is flawed, and the loss curve plotting is missing. The code contains syntax errors and logical mistakes, making it non-functional. Therefore, no points are awarded for any task as the code does not run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84" t="n">
        <v>0</v>
      </c>
      <c r="AF384" t="n">
        <v>0</v>
      </c>
      <c r="AG384" t="inlineStr">
        <is>
          <t>No submission found.</t>
        </is>
      </c>
      <c r="AH384" t="n">
        <v>0</v>
      </c>
      <c r="AI384" t="n">
        <v>0</v>
      </c>
    </row>
    <row r="385">
      <c r="A385" t="n">
        <v>384</v>
      </c>
      <c r="B385" t="inlineStr">
        <is>
          <t>TA_7</t>
        </is>
      </c>
      <c r="C385" t="inlineStr">
        <is>
          <t>TA_17</t>
        </is>
      </c>
      <c r="D385" t="n">
        <v>2</v>
      </c>
      <c r="E385" t="n">
        <v>0</v>
      </c>
      <c r="F385" t="n">
        <v>4</v>
      </c>
      <c r="G385" t="n">
        <v>0</v>
      </c>
      <c r="H385" t="n">
        <v>5.5</v>
      </c>
      <c r="I385" t="n">
        <v>0</v>
      </c>
      <c r="J385" t="n">
        <v>3</v>
      </c>
      <c r="K385" t="n">
        <v>0</v>
      </c>
      <c r="L385" t="n">
        <v>4</v>
      </c>
      <c r="M385" t="n">
        <v>0</v>
      </c>
      <c r="N385" t="n">
        <v>2</v>
      </c>
      <c r="O385" t="n">
        <v>0</v>
      </c>
      <c r="P385">
        <f>Table1[[#This Row],[TA 1 - Q1 Score]]+Table1[[#This Row],[TA 1 - Q2 Score]]+Table1[[#This Row],[TA 1 - Q3 Score]]</f>
        <v/>
      </c>
      <c r="Q385">
        <f>Table1[[#This Row],[TA 1 - Q1 Bonus]]+Table1[[#This Row],[TA 1 - Q2 Bonus]]+Table1[[#This Row],[TA 1 - Q4 Bonus]]</f>
        <v/>
      </c>
      <c r="R385">
        <f>Table1[[#This Row],[TA 2 - Q1 Score]]+Table1[[#This Row],[TA 2 - Q2 Score]]+Table1[[#This Row],[TA 2 - Q3 Score]]</f>
        <v/>
      </c>
      <c r="S385">
        <f>Table1[[#This Row],[TA 2 - Q1 Bonus]]+Table1[[#This Row],[TA 2 - Q2 Bonus]]+Table1[[#This Row],[TA 2 - Q4 Bonus]]</f>
        <v/>
      </c>
      <c r="T385">
        <f>(Table1[[#This Row],[TA 1 - Total Score (out of 35)]]+Table1[[#This Row],[TA 2 - Total Score (out of 35)]])/2</f>
        <v/>
      </c>
      <c r="U385">
        <f>(Table1[[#This Row],[TA 1 - Total Bonus (out of 13)]]+Table1[[#This Row],[TA 2 - Total Bonus (out of 13)]])/2</f>
        <v/>
      </c>
      <c r="V385">
        <f>Table1[[#This Row],[Average Questions]]/35*20+Table1[[#This Row],[Average Bonus]]/13*5</f>
        <v/>
      </c>
      <c r="W385" t="n">
        <v>0</v>
      </c>
      <c r="X385" t="n">
        <v>0</v>
      </c>
      <c r="Y385" t="inlineStr">
        <is>
          <t>The student's submission is incomplete and does not run end-to-end. The code for loading and preparing data is partially correct but incomplete. The model loading and adaptation tasks are not correctly implemented. The training and validation functions are missing critical components, and the training setup is incorrect. The bonus task for Test Time Augmentation is not attempted. Overall, the submission does not meet the requirements for any of the tasks, resulting in a score of 0.0 for both the base tasks and the bonus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85" t="n">
        <v>0</v>
      </c>
      <c r="AA385" t="n">
        <v>0</v>
      </c>
      <c r="AB385" t="inlineStr">
        <is>
          <t>The student's submission is incomplete and does not run end-to-end. The code for loading and preparing the data, building the CNN model, training and validation functions, and training the model is missing or incomplete. Additionally, the student did not attempt the bonus task. Therefore, no points are awarded for any of the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385" t="n">
        <v>0</v>
      </c>
      <c r="AD385" t="inlineStr">
        <is>
          <t>The student's submission does not run end-to-end due to multiple issues. The dataset class is incomplete and contains errors, such as missing the remap_mask function and incorrect handling of mask transformations. The model class is defined but not used correctly in the training loop. The training and validation loops are incomplete and contain errors, such as missing the validation function and incorrect loss calculation. The training process is not correctly implemented, and the loss curve is not plotted. Additionally, there is no code for visualizing predictions.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85" t="n">
        <v>0</v>
      </c>
      <c r="AF385" t="n">
        <v>0</v>
      </c>
      <c r="AG385" t="inlineStr">
        <is>
          <t>No submission found.</t>
        </is>
      </c>
      <c r="AH385" t="n">
        <v>0</v>
      </c>
      <c r="AI385" t="n">
        <v>0</v>
      </c>
    </row>
    <row r="386">
      <c r="A386" t="n">
        <v>385</v>
      </c>
      <c r="B386" t="inlineStr">
        <is>
          <t>TA_7</t>
        </is>
      </c>
      <c r="C386" t="inlineStr">
        <is>
          <t>TA_17</t>
        </is>
      </c>
      <c r="D386" t="n">
        <v>4</v>
      </c>
      <c r="E386" t="n">
        <v>0</v>
      </c>
      <c r="F386" t="n">
        <v>7.5</v>
      </c>
      <c r="G386" t="n">
        <v>0</v>
      </c>
      <c r="H386" t="n">
        <v>5.5</v>
      </c>
      <c r="I386" t="n">
        <v>0</v>
      </c>
      <c r="J386" t="n">
        <v>5</v>
      </c>
      <c r="K386" t="n">
        <v>0</v>
      </c>
      <c r="L386" t="n">
        <v>8</v>
      </c>
      <c r="M386" t="n">
        <v>0</v>
      </c>
      <c r="N386" t="n">
        <v>2</v>
      </c>
      <c r="O386" t="n">
        <v>0</v>
      </c>
      <c r="P386">
        <f>Table1[[#This Row],[TA 1 - Q1 Score]]+Table1[[#This Row],[TA 1 - Q2 Score]]+Table1[[#This Row],[TA 1 - Q3 Score]]</f>
        <v/>
      </c>
      <c r="Q386">
        <f>Table1[[#This Row],[TA 1 - Q1 Bonus]]+Table1[[#This Row],[TA 1 - Q2 Bonus]]+Table1[[#This Row],[TA 1 - Q4 Bonus]]</f>
        <v/>
      </c>
      <c r="R386">
        <f>Table1[[#This Row],[TA 2 - Q1 Score]]+Table1[[#This Row],[TA 2 - Q2 Score]]+Table1[[#This Row],[TA 2 - Q3 Score]]</f>
        <v/>
      </c>
      <c r="S386">
        <f>Table1[[#This Row],[TA 2 - Q1 Bonus]]+Table1[[#This Row],[TA 2 - Q2 Bonus]]+Table1[[#This Row],[TA 2 - Q4 Bonus]]</f>
        <v/>
      </c>
      <c r="T386">
        <f>(Table1[[#This Row],[TA 1 - Total Score (out of 35)]]+Table1[[#This Row],[TA 2 - Total Score (out of 35)]])/2</f>
        <v/>
      </c>
      <c r="U386">
        <f>(Table1[[#This Row],[TA 1 - Total Bonus (out of 13)]]+Table1[[#This Row],[TA 2 - Total Bonus (out of 13)]])/2</f>
        <v/>
      </c>
      <c r="V386">
        <f>Table1[[#This Row],[Average Questions]]/35*20+Table1[[#This Row],[Average Bonus]]/13*5</f>
        <v/>
      </c>
      <c r="W386" t="n">
        <v>0</v>
      </c>
      <c r="X386" t="n">
        <v>0</v>
      </c>
      <c r="Y386" t="inlineStr">
        <is>
          <t>The student's submission does not run correctly due to multiple issues. The transforms are incomplete, the DataLoaders are not correctly created, and the model loading and adaptation steps are incorrect. The training and validation loops are missing critical components, and the plotting functions are not implemented. Additionally, the bonus task for Test Time Augmentation is not attempted.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86" t="n">
        <v>0</v>
      </c>
      <c r="AA386" t="n">
        <v>0</v>
      </c>
      <c r="AB386" t="inlineStr">
        <is>
          <t>The student's submission does not correctly implement the required tasks. The dataset loading and preparation tasks are incomplete and incorrect, as the student did not separate the training and testing datasets correctly. The CNN model class is incorrectly defined with the wrong number of convolutional layers and missing batch normalization. The training and validation functions are incorrectly implemented, leading to errors in the training process. Additionally, the student did not attempt the bonus task.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86" t="n">
        <v>0</v>
      </c>
      <c r="AD386" t="inlineStr">
        <is>
          <t>The student's submission does not run correctly due to multiple issues. The dataset class is incorrectly implemented, leading to errors in data loading. The model class is custom-built instead of using a pretrained U-Net with efficientnet-b1 encoder. The training and validation loops are present but do not function correctly due to the incorrect dataset class. The loss and optimizer are defined, but the training process fails due to the dataset issues. The visualization of predictions is attempted but fails because the model training did not complete successfully.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86" t="n">
        <v>0</v>
      </c>
      <c r="AF386" t="n">
        <v>0</v>
      </c>
      <c r="AG386" t="inlineStr">
        <is>
          <t>No submission found.</t>
        </is>
      </c>
      <c r="AH386" t="n">
        <v>0</v>
      </c>
      <c r="AI386" t="n">
        <v>0</v>
      </c>
    </row>
    <row r="387">
      <c r="A387" t="n">
        <v>386</v>
      </c>
      <c r="B387" t="inlineStr">
        <is>
          <t>TA_7</t>
        </is>
      </c>
      <c r="C387" t="inlineStr">
        <is>
          <t>TA_17</t>
        </is>
      </c>
      <c r="D387" t="n">
        <v>12</v>
      </c>
      <c r="E387" t="n">
        <v>4</v>
      </c>
      <c r="F387" t="n">
        <v>11</v>
      </c>
      <c r="G387" t="n">
        <v>1</v>
      </c>
      <c r="H387" t="n">
        <v>7.5</v>
      </c>
      <c r="I387" t="n">
        <v>0</v>
      </c>
      <c r="J387" t="n">
        <v>11.5</v>
      </c>
      <c r="K387" t="n">
        <v>4</v>
      </c>
      <c r="L387" t="n">
        <v>11</v>
      </c>
      <c r="M387" t="n">
        <v>0</v>
      </c>
      <c r="N387" t="n">
        <v>11</v>
      </c>
      <c r="O387" t="n">
        <v>0</v>
      </c>
      <c r="P387">
        <f>Table1[[#This Row],[TA 1 - Q1 Score]]+Table1[[#This Row],[TA 1 - Q2 Score]]+Table1[[#This Row],[TA 1 - Q3 Score]]</f>
        <v/>
      </c>
      <c r="Q387">
        <f>Table1[[#This Row],[TA 1 - Q1 Bonus]]+Table1[[#This Row],[TA 1 - Q2 Bonus]]+Table1[[#This Row],[TA 1 - Q4 Bonus]]</f>
        <v/>
      </c>
      <c r="R387">
        <f>Table1[[#This Row],[TA 2 - Q1 Score]]+Table1[[#This Row],[TA 2 - Q2 Score]]+Table1[[#This Row],[TA 2 - Q3 Score]]</f>
        <v/>
      </c>
      <c r="S387">
        <f>Table1[[#This Row],[TA 2 - Q1 Bonus]]+Table1[[#This Row],[TA 2 - Q2 Bonus]]+Table1[[#This Row],[TA 2 - Q4 Bonus]]</f>
        <v/>
      </c>
      <c r="T387">
        <f>(Table1[[#This Row],[TA 1 - Total Score (out of 35)]]+Table1[[#This Row],[TA 2 - Total Score (out of 35)]])/2</f>
        <v/>
      </c>
      <c r="U387">
        <f>(Table1[[#This Row],[TA 1 - Total Bonus (out of 13)]]+Table1[[#This Row],[TA 2 - Total Bonus (out of 13)]])/2</f>
        <v/>
      </c>
      <c r="V387">
        <f>Table1[[#This Row],[Average Questions]]/35*20+Table1[[#This Row],[Average Bonus]]/13*5</f>
        <v/>
      </c>
      <c r="W387" t="n">
        <v>0</v>
      </c>
      <c r="X387" t="n">
        <v>0</v>
      </c>
      <c r="Y387" t="inlineStr">
        <is>
          <t>The student's submission does not run correctly due to several issues. The transforms are not correctly applied, the DataLoaders are not created properly, and the model is not correctly set up for training. Additionally, the training and validation loops are incorrect, and the plots for training and validation losses and accuracies are not generated correctly. The bonus task for Test Time Augmentation (TTA) is also not implemented correctly.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87" t="n">
        <v>0</v>
      </c>
      <c r="AA387" t="n">
        <v>0</v>
      </c>
      <c r="AB387" t="inlineStr">
        <is>
          <t>The student's submission has several issues that prevent it from running correctly. The student did not follow the rubric for creating a custom Dataset class, resizing images to 32x32, displaying sample images with labels, and defining a CNN model with 5 convolutional layers and Batch Normalization. The training and validation loop functions are also incorrect, and the model was not set up or trained correctly. Additionally, the student did not implement the bonus task correctly. Therefore, the minimum defensible score for this submission is 0.0.
Breakdown:
- Task 1: Dataset class or ImageFolder: 0.0/?
- Task 2: Create train/test datasets and DataLoaders: 0.5/?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1: Defined residual connection correctly: 0.0/?
- Bonus Task 2: Retrain + Plot losses and accuracy: 0.0/?</t>
        </is>
      </c>
      <c r="AC387" t="n">
        <v>0</v>
      </c>
      <c r="AD387" t="inlineStr">
        <is>
          <t>The student's submission does not run correctly due to several critical issues. The model definition uses the wrong number of classes (1 instead of 8) and the wrong loss function (BCEWithLogitsLoss instead of CrossEntropyLoss). Additionally, the training and validation loops are incorrectly implemented, leading to a failure in the training process. The visualization of predictions is also flawed due to the incorrect model output handling. These issues prevent the code from running end-to-end, resulting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87" t="n">
        <v>0</v>
      </c>
      <c r="AF387" t="n">
        <v>0</v>
      </c>
      <c r="AG387" t="inlineStr">
        <is>
          <t>No submission found.</t>
        </is>
      </c>
      <c r="AH387" t="n">
        <v>0</v>
      </c>
      <c r="AI387" t="n">
        <v>0</v>
      </c>
    </row>
    <row r="388">
      <c r="A388" t="n">
        <v>387</v>
      </c>
      <c r="B388" t="inlineStr">
        <is>
          <t>TA_7</t>
        </is>
      </c>
      <c r="C388" t="inlineStr">
        <is>
          <t>TA_17</t>
        </is>
      </c>
      <c r="D388" t="n">
        <v>12</v>
      </c>
      <c r="E388" t="n">
        <v>4</v>
      </c>
      <c r="F388" t="n">
        <v>10.5</v>
      </c>
      <c r="G388" t="n">
        <v>4</v>
      </c>
      <c r="H388" t="n">
        <v>11.5</v>
      </c>
      <c r="I388" t="n">
        <v>0</v>
      </c>
      <c r="J388" t="n">
        <v>12</v>
      </c>
      <c r="K388" t="n">
        <v>4</v>
      </c>
      <c r="L388" t="n">
        <v>10.5</v>
      </c>
      <c r="M388" t="n">
        <v>4</v>
      </c>
      <c r="N388" t="n">
        <v>12</v>
      </c>
      <c r="O388" t="n">
        <v>0</v>
      </c>
      <c r="P388">
        <f>Table1[[#This Row],[TA 1 - Q1 Score]]+Table1[[#This Row],[TA 1 - Q2 Score]]+Table1[[#This Row],[TA 1 - Q3 Score]]</f>
        <v/>
      </c>
      <c r="Q388">
        <f>Table1[[#This Row],[TA 1 - Q1 Bonus]]+Table1[[#This Row],[TA 1 - Q2 Bonus]]+Table1[[#This Row],[TA 1 - Q4 Bonus]]</f>
        <v/>
      </c>
      <c r="R388">
        <f>Table1[[#This Row],[TA 2 - Q1 Score]]+Table1[[#This Row],[TA 2 - Q2 Score]]+Table1[[#This Row],[TA 2 - Q3 Score]]</f>
        <v/>
      </c>
      <c r="S388">
        <f>Table1[[#This Row],[TA 2 - Q1 Bonus]]+Table1[[#This Row],[TA 2 - Q2 Bonus]]+Table1[[#This Row],[TA 2 - Q4 Bonus]]</f>
        <v/>
      </c>
      <c r="T388">
        <f>(Table1[[#This Row],[TA 1 - Total Score (out of 35)]]+Table1[[#This Row],[TA 2 - Total Score (out of 35)]])/2</f>
        <v/>
      </c>
      <c r="U388">
        <f>(Table1[[#This Row],[TA 1 - Total Bonus (out of 13)]]+Table1[[#This Row],[TA 2 - Total Bonus (out of 13)]])/2</f>
        <v/>
      </c>
      <c r="V388">
        <f>Table1[[#This Row],[Average Questions]]/35*20+Table1[[#This Row],[Average Bonus]]/13*5</f>
        <v/>
      </c>
      <c r="W388" t="n">
        <v>10.5</v>
      </c>
      <c r="X388" t="n">
        <v>4</v>
      </c>
      <c r="Y388" t="inlineStr">
        <is>
          <t>The student successfully completed all tasks in Parts 1, 2, and 3, including correctly setting up the transforms, creating DataLoaders, displaying sample images, loading the pretrained model, freezing the backbone, replacing the classifier head, and implementing the training and validation loops with correct label adjustments. The training and validation functions run correctly, and the model is trained and evaluated properly. The plots for training and validation losses and accuracies are also correctly implemented. The bonus task for Test Time Augmentation (TTA) is fully implemented and correct, with the model evaluating the augmented images and averaging the predictions as required.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388" t="n">
        <v>0</v>
      </c>
      <c r="AA388" t="n">
        <v>0</v>
      </c>
      <c r="AB388" t="inlineStr">
        <is>
          <t>The student's submission does not run correctly due to several issues. The dataset paths are not correctly set, leading to errors in loading the data. The transforms applied to the images do not match the required specifications, and the model architecture deviates from the rubric. Additionally, the training and validation functions are incomplete and do not follow the required structure. The residual connection implementation is incorrect and does not follow the specified layers.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388" t="n">
        <v>0</v>
      </c>
      <c r="AD388" t="inlineStr">
        <is>
          <t>The student's submission does not run end-to-end due to missing or incorrect code in several critical areas. The dataset class is incomplete and does not correctly handle the dataset structure. The model definition and training loops are present but contain errors that prevent the code from running correctly. As a result, the student receives 0 points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88" t="n">
        <v>0</v>
      </c>
      <c r="AF388" t="n">
        <v>0</v>
      </c>
      <c r="AG388" t="inlineStr">
        <is>
          <t>No submission found.</t>
        </is>
      </c>
      <c r="AH388" t="n">
        <v>10.5</v>
      </c>
      <c r="AI388" t="n">
        <v>4</v>
      </c>
    </row>
    <row r="389">
      <c r="A389" t="n">
        <v>388</v>
      </c>
      <c r="B389" t="inlineStr">
        <is>
          <t>TA_7</t>
        </is>
      </c>
      <c r="C389" t="inlineStr">
        <is>
          <t>TA_17</t>
        </is>
      </c>
      <c r="D389" t="n">
        <v>3</v>
      </c>
      <c r="E389" t="n">
        <v>0</v>
      </c>
      <c r="F389" t="n">
        <v>7.5</v>
      </c>
      <c r="G389" t="n">
        <v>0</v>
      </c>
      <c r="H389" t="n">
        <v>7</v>
      </c>
      <c r="I389" t="n">
        <v>0</v>
      </c>
      <c r="J389" t="n">
        <v>2.5</v>
      </c>
      <c r="K389" t="n">
        <v>0</v>
      </c>
      <c r="L389" t="n">
        <v>6.5</v>
      </c>
      <c r="M389" t="n">
        <v>0</v>
      </c>
      <c r="N389" t="n">
        <v>3</v>
      </c>
      <c r="O389" t="n">
        <v>0</v>
      </c>
      <c r="P389">
        <f>Table1[[#This Row],[TA 1 - Q1 Score]]+Table1[[#This Row],[TA 1 - Q2 Score]]+Table1[[#This Row],[TA 1 - Q3 Score]]</f>
        <v/>
      </c>
      <c r="Q389">
        <f>Table1[[#This Row],[TA 1 - Q1 Bonus]]+Table1[[#This Row],[TA 1 - Q2 Bonus]]+Table1[[#This Row],[TA 1 - Q4 Bonus]]</f>
        <v/>
      </c>
      <c r="R389">
        <f>Table1[[#This Row],[TA 2 - Q1 Score]]+Table1[[#This Row],[TA 2 - Q2 Score]]+Table1[[#This Row],[TA 2 - Q3 Score]]</f>
        <v/>
      </c>
      <c r="S389">
        <f>Table1[[#This Row],[TA 2 - Q1 Bonus]]+Table1[[#This Row],[TA 2 - Q2 Bonus]]+Table1[[#This Row],[TA 2 - Q4 Bonus]]</f>
        <v/>
      </c>
      <c r="T389">
        <f>(Table1[[#This Row],[TA 1 - Total Score (out of 35)]]+Table1[[#This Row],[TA 2 - Total Score (out of 35)]])/2</f>
        <v/>
      </c>
      <c r="U389">
        <f>(Table1[[#This Row],[TA 1 - Total Bonus (out of 13)]]+Table1[[#This Row],[TA 2 - Total Bonus (out of 13)]])/2</f>
        <v/>
      </c>
      <c r="V389">
        <f>Table1[[#This Row],[Average Questions]]/35*20+Table1[[#This Row],[Average Bonus]]/13*5</f>
        <v/>
      </c>
      <c r="W389" t="n">
        <v>0</v>
      </c>
      <c r="X389" t="n">
        <v>0</v>
      </c>
      <c r="Y389" t="inlineStr">
        <is>
          <t>The student's submission contains several critical errors. The transforms are incorrectly defined, leading to issues in data loading and preprocessing. The model used is VGG16 instead of EfficientNetV2-Small, which is a direct violation of the instructions. The training and validation loops are incorrectly implemented, and the model training process does not follow the required steps. Additionally, the student did not implement the bonus task for Test Time Augmentation. These issues result in a score of 0.0 for the base tasks and 0.0 for the bonus tasks.
Breakdown:
- Task 1: Complete transforms (Resize, ToTensor, Normalize): 0.0/1.5
- Task 2: Create DataLoaders: 0.0/0.5
- Task 3: Display sample images: 0.0/1.0
- Task 1: Load pretrained EfficientNetV2-Small: -50.0/0.5
- Task 2: Freeze the backbone (feature extractor): -50.0/1.5
- Task 3: Replace classifier head for 26 classes: -50.0/1.0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89" t="n">
        <v>0</v>
      </c>
      <c r="AA389" t="n">
        <v>0</v>
      </c>
      <c r="AB389" t="inlineStr">
        <is>
          <t>The student's submission does not run correctly due to several issues. The dataset class or ImageFolder is not correctly implemented, the transforms are incorrectly applied, and the CNN model class does not follow the specified requirements. Additionally, the training and validation functions are not correctly defined, and the training process does not set up the device, model, loss, and optimizer correctly. The bonus tasks are also not attempted.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89" t="n">
        <v>0</v>
      </c>
      <c r="AD389" t="inlineStr">
        <is>
          <t>The student's submission has several critical issues. The dataset class is incorrectly implemented, using a CSV file for image and mask paths instead of directly loading from directories. The model definition deviates from the required pretrained U-Net with efficientnet-b1 encoder, instead defining a custom U-Net model. The training and validation loops are present but use an incorrect loss function (BCEWithLogitsLoss) for multi-class segmentation. The visualization of predictions is attempted but flawed due to the incorrect model and loss function. Overall, the submission does not meet the requirements and runs incorrectly.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389" t="n">
        <v>0</v>
      </c>
      <c r="AF389" t="n">
        <v>0</v>
      </c>
      <c r="AG389" t="inlineStr">
        <is>
          <t>No submission found.</t>
        </is>
      </c>
      <c r="AH389" t="n">
        <v>0</v>
      </c>
      <c r="AI389" t="n">
        <v>0</v>
      </c>
    </row>
    <row r="390">
      <c r="A390" t="n">
        <v>389</v>
      </c>
      <c r="B390" t="inlineStr">
        <is>
          <t>TA_7</t>
        </is>
      </c>
      <c r="C390" t="inlineStr">
        <is>
          <t>TA_17</t>
        </is>
      </c>
      <c r="D390" t="n">
        <v>12</v>
      </c>
      <c r="E390" t="n">
        <v>4</v>
      </c>
      <c r="F390" t="n">
        <v>11</v>
      </c>
      <c r="G390" t="n">
        <v>3</v>
      </c>
      <c r="H390" t="n">
        <v>9.5</v>
      </c>
      <c r="I390" t="n">
        <v>5</v>
      </c>
      <c r="J390" t="n">
        <v>10</v>
      </c>
      <c r="K390" t="n">
        <v>2</v>
      </c>
      <c r="L390" t="n">
        <v>11</v>
      </c>
      <c r="M390" t="n">
        <v>2</v>
      </c>
      <c r="N390" t="n">
        <v>12</v>
      </c>
      <c r="O390" t="n">
        <v>5</v>
      </c>
      <c r="P390">
        <f>Table1[[#This Row],[TA 1 - Q1 Score]]+Table1[[#This Row],[TA 1 - Q2 Score]]+Table1[[#This Row],[TA 1 - Q3 Score]]</f>
        <v/>
      </c>
      <c r="Q390">
        <f>Table1[[#This Row],[TA 1 - Q1 Bonus]]+Table1[[#This Row],[TA 1 - Q2 Bonus]]+Table1[[#This Row],[TA 1 - Q4 Bonus]]</f>
        <v/>
      </c>
      <c r="R390">
        <f>Table1[[#This Row],[TA 2 - Q1 Score]]+Table1[[#This Row],[TA 2 - Q2 Score]]+Table1[[#This Row],[TA 2 - Q3 Score]]</f>
        <v/>
      </c>
      <c r="S390">
        <f>Table1[[#This Row],[TA 2 - Q1 Bonus]]+Table1[[#This Row],[TA 2 - Q2 Bonus]]+Table1[[#This Row],[TA 2 - Q4 Bonus]]</f>
        <v/>
      </c>
      <c r="T390">
        <f>(Table1[[#This Row],[TA 1 - Total Score (out of 35)]]+Table1[[#This Row],[TA 2 - Total Score (out of 35)]])/2</f>
        <v/>
      </c>
      <c r="U390">
        <f>(Table1[[#This Row],[TA 1 - Total Bonus (out of 13)]]+Table1[[#This Row],[TA 2 - Total Bonus (out of 13)]])/2</f>
        <v/>
      </c>
      <c r="V390">
        <f>Table1[[#This Row],[Average Questions]]/35*20+Table1[[#This Row],[Average Bonus]]/13*5</f>
        <v/>
      </c>
      <c r="W390" t="n">
        <v>0</v>
      </c>
      <c r="X390" t="n">
        <v>0</v>
      </c>
      <c r="Y390" t="inlineStr">
        <is>
          <t>The student's submission does not run correctly due to several issues. The DataLoader creation has a typo ('train_loder' instead of 'train_loader'), and the training and validation loops contain errors that prevent the model from training and validating correctly. Additionally, the student did not correctly implement the Test Time Augmentation (TTA) function, which is required for the bonus task. Therefore, no points are awarded for any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90" t="n">
        <v>0</v>
      </c>
      <c r="AA390" t="n">
        <v>0</v>
      </c>
      <c r="AB390" t="inlineStr">
        <is>
          <t>The student's submission does not run correctly due to several issues. The dataset class or ImageFolder is not correctly implemented, the transforms do not match the required specifications, and the CNN model does not have the correct number of convolutional layers. Additionally, the training and validation functions are not correctly defined, and the residual connection is not implemented correctly.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390" t="n">
        <v>0</v>
      </c>
      <c r="AD390" t="inlineStr">
        <is>
          <t>The student's submission does not run correctly due to several issues. The dataset class is incomplete and does not correctly load images and masks. The DataLoader creation is flawed, and the display of sample images and masks is missing. The model definition uses the wrong encoder (efficientnet-b1 instead of efficientnet-b0). The training and validation loops are incorrect, and the loss and optimizer are not defined correctly. The training process does not run as expected, and the loss curve is not plotted correctly. The visualization of predictions is also incorrect, using sigmoid activation instead of argmax for multi-class segmentation.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90" t="n">
        <v>0</v>
      </c>
      <c r="AF390" t="n">
        <v>0</v>
      </c>
      <c r="AG390" t="inlineStr">
        <is>
          <t>The student's implementation of the `ColorizationDataset` class contains errors in the `rgb_to_grayscale` method. The method does not correctly handle the dimensions of the input image, leading to incorrect grayscale conversion. Additionally, the `rgb_to_grayscale` method does not return the correct shape for the grayscale image. As a result, the implementation does not meet the requirements specified in the rubric, and thus, no points are awarded.
Breakdown:
- Correctly implemented `ColorizationDataset` class: 0.0/5.0</t>
        </is>
      </c>
      <c r="AH390" t="n">
        <v>0</v>
      </c>
      <c r="AI390" t="n">
        <v>0</v>
      </c>
    </row>
    <row r="391">
      <c r="A391" t="n">
        <v>390</v>
      </c>
      <c r="B391" t="inlineStr">
        <is>
          <t>TA_7</t>
        </is>
      </c>
      <c r="C391" t="inlineStr">
        <is>
          <t>TA_17</t>
        </is>
      </c>
      <c r="D391" t="n">
        <v>11</v>
      </c>
      <c r="E391" t="n">
        <v>0</v>
      </c>
      <c r="F391" t="n">
        <v>11</v>
      </c>
      <c r="G391" t="n">
        <v>0</v>
      </c>
      <c r="H391" t="n">
        <v>9</v>
      </c>
      <c r="I391" t="n">
        <v>0</v>
      </c>
      <c r="J391" t="n">
        <v>10.5</v>
      </c>
      <c r="K391" t="n">
        <v>0</v>
      </c>
      <c r="L391" t="n">
        <v>11</v>
      </c>
      <c r="M391" t="n">
        <v>0</v>
      </c>
      <c r="N391" t="n">
        <v>11</v>
      </c>
      <c r="O391" t="n">
        <v>0</v>
      </c>
      <c r="P391">
        <f>Table1[[#This Row],[TA 1 - Q1 Score]]+Table1[[#This Row],[TA 1 - Q2 Score]]+Table1[[#This Row],[TA 1 - Q3 Score]]</f>
        <v/>
      </c>
      <c r="Q391">
        <f>Table1[[#This Row],[TA 1 - Q1 Bonus]]+Table1[[#This Row],[TA 1 - Q2 Bonus]]+Table1[[#This Row],[TA 1 - Q4 Bonus]]</f>
        <v/>
      </c>
      <c r="R391">
        <f>Table1[[#This Row],[TA 2 - Q1 Score]]+Table1[[#This Row],[TA 2 - Q2 Score]]+Table1[[#This Row],[TA 2 - Q3 Score]]</f>
        <v/>
      </c>
      <c r="S391">
        <f>Table1[[#This Row],[TA 2 - Q1 Bonus]]+Table1[[#This Row],[TA 2 - Q2 Bonus]]+Table1[[#This Row],[TA 2 - Q4 Bonus]]</f>
        <v/>
      </c>
      <c r="T391">
        <f>(Table1[[#This Row],[TA 1 - Total Score (out of 35)]]+Table1[[#This Row],[TA 2 - Total Score (out of 35)]])/2</f>
        <v/>
      </c>
      <c r="U391">
        <f>(Table1[[#This Row],[TA 1 - Total Bonus (out of 13)]]+Table1[[#This Row],[TA 2 - Total Bonus (out of 13)]])/2</f>
        <v/>
      </c>
      <c r="V391">
        <f>Table1[[#This Row],[Average Questions]]/35*20+Table1[[#This Row],[Average Bonus]]/13*5</f>
        <v/>
      </c>
      <c r="W391" t="n">
        <v>0</v>
      </c>
      <c r="X391" t="n">
        <v>0</v>
      </c>
      <c r="Y391" t="inlineStr">
        <is>
          <t>The student's submission does not run end-to-end due to several issues. The DataLoader creation is incorrect, and the training and validation loops are not correctly implemented. Additionally, the plotting functions are missing or incorrect, and the bonus task for Test Time Augmentation is not attempted.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91" t="n">
        <v>0</v>
      </c>
      <c r="AA391" t="n">
        <v>0</v>
      </c>
      <c r="AB391" t="inlineStr">
        <is>
          <t>The student's submission does not run correctly due to several issues. The dataset class is defined but not used correctly in the DataLoader creation. The transforms applied to the images are incorrect as they do not match the specified requirements. The CNN model class is defined but does not follow the specified architecture with 5 convolutional layers. The training and validation functions are defined but contain errors that prevent them from running correctly. The training process is attempted but fails due to the previous issues. Therefore, no points are awarded for any task as the code does not run correctly.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91" t="n">
        <v>0</v>
      </c>
      <c r="AD391" t="inlineStr">
        <is>
          <t>The student's submission does not run correctly due to several issues. The dataset class is incomplete and does not correctly load images and masks. The DataLoader creation is flawed, and the display of sample images and masks is incorrect. The model definition uses the wrong encoder (efficientnet-b0 instead of efficientnet-b1), and the training and validation loops are incorrectly implemented. The loss and optimizer are defined but not used correctly in the training loop. The visualization of predictions is also incorrect, using sigmoid and thresholding instead of argmax for multi-class segmentation.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91" t="n">
        <v>0</v>
      </c>
      <c r="AF391" t="n">
        <v>0</v>
      </c>
      <c r="AG391" t="inlineStr">
        <is>
          <t>The student did not implement any of the required methods in the `ColorizationDataset` class. The `__init__`, `__len__`, `rgb_to_grayscale`, and `__getitem__` methods are all left as 'TO DO' placeholders, indicating that no code was written for these tasks. Additionally, the visualization code will not run correctly because the dataset methods are not implemented. Therefore, the student receives 0 points for this task.
Breakdown:
- Correctly implemented `ColorizationDataset` class: 0.0/5.0</t>
        </is>
      </c>
      <c r="AH391" t="n">
        <v>0</v>
      </c>
      <c r="AI391" t="n">
        <v>0</v>
      </c>
    </row>
    <row r="392">
      <c r="A392" t="n">
        <v>391</v>
      </c>
      <c r="B392" t="inlineStr">
        <is>
          <t>TA_7</t>
        </is>
      </c>
      <c r="C392" t="inlineStr">
        <is>
          <t>TA_17</t>
        </is>
      </c>
      <c r="D392" t="n">
        <v>10.5</v>
      </c>
      <c r="E392" t="n">
        <v>0</v>
      </c>
      <c r="F392" t="n">
        <v>8</v>
      </c>
      <c r="G392" t="n">
        <v>0</v>
      </c>
      <c r="H392" t="n">
        <v>8.5</v>
      </c>
      <c r="I392" t="n">
        <v>0</v>
      </c>
      <c r="J392" t="n">
        <v>10.5</v>
      </c>
      <c r="K392" t="n">
        <v>0</v>
      </c>
      <c r="L392" t="n">
        <v>9.5</v>
      </c>
      <c r="M392" t="n">
        <v>0</v>
      </c>
      <c r="N392" t="n">
        <v>11.5</v>
      </c>
      <c r="O392" t="n">
        <v>0</v>
      </c>
      <c r="P392">
        <f>Table1[[#This Row],[TA 1 - Q1 Score]]+Table1[[#This Row],[TA 1 - Q2 Score]]+Table1[[#This Row],[TA 1 - Q3 Score]]</f>
        <v/>
      </c>
      <c r="Q392">
        <f>Table1[[#This Row],[TA 1 - Q1 Bonus]]+Table1[[#This Row],[TA 1 - Q2 Bonus]]+Table1[[#This Row],[TA 1 - Q4 Bonus]]</f>
        <v/>
      </c>
      <c r="R392">
        <f>Table1[[#This Row],[TA 2 - Q1 Score]]+Table1[[#This Row],[TA 2 - Q2 Score]]+Table1[[#This Row],[TA 2 - Q3 Score]]</f>
        <v/>
      </c>
      <c r="S392">
        <f>Table1[[#This Row],[TA 2 - Q1 Bonus]]+Table1[[#This Row],[TA 2 - Q2 Bonus]]+Table1[[#This Row],[TA 2 - Q4 Bonus]]</f>
        <v/>
      </c>
      <c r="T392">
        <f>(Table1[[#This Row],[TA 1 - Total Score (out of 35)]]+Table1[[#This Row],[TA 2 - Total Score (out of 35)]])/2</f>
        <v/>
      </c>
      <c r="U392">
        <f>(Table1[[#This Row],[TA 1 - Total Bonus (out of 13)]]+Table1[[#This Row],[TA 2 - Total Bonus (out of 13)]])/2</f>
        <v/>
      </c>
      <c r="V392">
        <f>Table1[[#This Row],[Average Questions]]/35*20+Table1[[#This Row],[Average Bonus]]/13*5</f>
        <v/>
      </c>
      <c r="W392" t="n">
        <v>0</v>
      </c>
      <c r="X392" t="n">
        <v>0</v>
      </c>
      <c r="Y392" t="inlineStr">
        <is>
          <t>The student's submission does not complete the required tasks. The transforms are incorrectly defined, the DataLoaders are not correctly created, and sample images are not displayed. The model loading and adaptation steps are incorrect, and the training and validation functions are not correctly implemented. Additionally, the training setup and plotting tasks are missing. The bonus task for Test Time Augmentation is also not attempted.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92" t="n">
        <v>0</v>
      </c>
      <c r="AA392" t="n">
        <v>0</v>
      </c>
      <c r="AB392" t="inlineStr">
        <is>
          <t>The student's submission does not run correctly due to several issues. The dataset class is incorrectly defined and does not match the required specifications. The transforms are applied incorrectly, and the model definition is incomplete and incorrect. The training and validation functions are not correctly implemented, and the training process does not run as expected. Additionally, the bonus task is not attempted.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92" t="n">
        <v>0</v>
      </c>
      <c r="AD392" t="inlineStr">
        <is>
          <t>The student's submission does not run correctly due to several issues. The dataset class is incomplete and does not remap the masks correctly. The model definition uses 'efficientnet-b0' instead of 'efficientnet-b1'. The training and validation loops are present but do not run correctly due to missing or incorrect code. The loss and optimizer are defined but the training process does not complete successfully. The visualization of predictions is attempted but fails to run due to errors in the code.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92" t="n">
        <v>0</v>
      </c>
      <c r="AF392" t="n">
        <v>0</v>
      </c>
      <c r="AG392" t="inlineStr">
        <is>
          <t>The student's implementation of the `ColorizationDataset` class is incomplete and contains several errors. The `__init__` method does not store the dataset correctly, the `__len__` method is not implemented, the `rgb_to_grayscale` method is missing, and the `__getitem__` method is not correctly implemented to return the (grayscale, color) tuple. Additionally, the student's code includes unnecessary and incorrect transformations and file paths, which deviate from the rubric. Therefore, the implementation does not meet the criteria for any points.
Breakdown:
- Correctly implemented `ColorizationDataset` class: 0.0/5.0</t>
        </is>
      </c>
      <c r="AH392" t="n">
        <v>0</v>
      </c>
      <c r="AI392" t="n">
        <v>0</v>
      </c>
    </row>
    <row r="393">
      <c r="A393" t="n">
        <v>392</v>
      </c>
      <c r="B393" t="inlineStr">
        <is>
          <t>TA_7</t>
        </is>
      </c>
      <c r="C393" t="inlineStr">
        <is>
          <t>TA_17</t>
        </is>
      </c>
      <c r="D393" t="n">
        <v>8.5</v>
      </c>
      <c r="E393" t="n">
        <v>4</v>
      </c>
      <c r="F393" t="n">
        <v>10</v>
      </c>
      <c r="G393" t="n">
        <v>0</v>
      </c>
      <c r="H393" t="n">
        <v>5.5</v>
      </c>
      <c r="I393" t="n">
        <v>0</v>
      </c>
      <c r="J393" t="n">
        <v>11</v>
      </c>
      <c r="K393" t="n">
        <v>2.5</v>
      </c>
      <c r="L393" t="n">
        <v>11</v>
      </c>
      <c r="M393" t="n">
        <v>0</v>
      </c>
      <c r="N393" t="n">
        <v>5</v>
      </c>
      <c r="O393" t="n">
        <v>0</v>
      </c>
      <c r="P393">
        <f>Table1[[#This Row],[TA 1 - Q1 Score]]+Table1[[#This Row],[TA 1 - Q2 Score]]+Table1[[#This Row],[TA 1 - Q3 Score]]</f>
        <v/>
      </c>
      <c r="Q393">
        <f>Table1[[#This Row],[TA 1 - Q1 Bonus]]+Table1[[#This Row],[TA 1 - Q2 Bonus]]+Table1[[#This Row],[TA 1 - Q4 Bonus]]</f>
        <v/>
      </c>
      <c r="R393">
        <f>Table1[[#This Row],[TA 2 - Q1 Score]]+Table1[[#This Row],[TA 2 - Q2 Score]]+Table1[[#This Row],[TA 2 - Q3 Score]]</f>
        <v/>
      </c>
      <c r="S393">
        <f>Table1[[#This Row],[TA 2 - Q1 Bonus]]+Table1[[#This Row],[TA 2 - Q2 Bonus]]+Table1[[#This Row],[TA 2 - Q4 Bonus]]</f>
        <v/>
      </c>
      <c r="T393">
        <f>(Table1[[#This Row],[TA 1 - Total Score (out of 35)]]+Table1[[#This Row],[TA 2 - Total Score (out of 35)]])/2</f>
        <v/>
      </c>
      <c r="U393">
        <f>(Table1[[#This Row],[TA 1 - Total Bonus (out of 13)]]+Table1[[#This Row],[TA 2 - Total Bonus (out of 13)]])/2</f>
        <v/>
      </c>
      <c r="V393">
        <f>Table1[[#This Row],[Average Questions]]/35*20+Table1[[#This Row],[Average Bonus]]/13*5</f>
        <v/>
      </c>
      <c r="W393" t="n">
        <v>0</v>
      </c>
      <c r="X393" t="n">
        <v>0</v>
      </c>
      <c r="Y393" t="inlineStr">
        <is>
          <t>The student's submission does not run correctly due to several critical errors. The training and validation loops are incorrect, using sigmoid activation and binary classification logic instead of softmax and multi-class classification. The model is not frozen correctly, and the label adjustment is not implemented properly. Additionally, the bonus task for Test Time Augmentation (TTA) is incorrectly implemented, using sigmoid activation and binary classification logic instead of softmax and multi-class classification. Therefore, the student receives 0 points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93" t="n">
        <v>0</v>
      </c>
      <c r="AA393" t="n">
        <v>0</v>
      </c>
      <c r="AB393" t="inlineStr">
        <is>
          <t>The student's submission does not run correctly due to missing code for the training and validation functions, as well as the plotting of losses and accuracy. Additionally, the student did not implement the bonus task for the residual connection. Therefore, the minimum defensible score for each task that is incomplete or buggy is 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93" t="n">
        <v>0</v>
      </c>
      <c r="AD393" t="inlineStr">
        <is>
          <t>The student's submission does not include any code for creating DataLoaders, defining the model, training and validation loops, or visualizing predictions. The dataset class is incomplete and does not correctly load images and masks. The training and validation loops are not defined, and there is no code for plotting the loss curve. Therefore, the student receives 0 points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93" t="n">
        <v>0</v>
      </c>
      <c r="AF393" t="n">
        <v>0</v>
      </c>
      <c r="AG393" t="inlineStr">
        <is>
          <t>No submission found.</t>
        </is>
      </c>
      <c r="AH393" t="n">
        <v>0</v>
      </c>
      <c r="AI393" t="n">
        <v>0</v>
      </c>
    </row>
    <row r="394">
      <c r="A394" t="n">
        <v>393</v>
      </c>
      <c r="B394" t="inlineStr">
        <is>
          <t>TA_7</t>
        </is>
      </c>
      <c r="C394" t="inlineStr">
        <is>
          <t>TA_17</t>
        </is>
      </c>
      <c r="D394" t="n">
        <v>12</v>
      </c>
      <c r="E394" t="n">
        <v>0</v>
      </c>
      <c r="F394" t="n">
        <v>11</v>
      </c>
      <c r="G394" t="n">
        <v>0</v>
      </c>
      <c r="H394" t="n">
        <v>10.5</v>
      </c>
      <c r="I394" t="n">
        <v>0</v>
      </c>
      <c r="J394" t="n">
        <v>12</v>
      </c>
      <c r="K394" t="n">
        <v>0</v>
      </c>
      <c r="L394" t="n">
        <v>10</v>
      </c>
      <c r="M394" t="n">
        <v>0</v>
      </c>
      <c r="N394" t="n">
        <v>11</v>
      </c>
      <c r="O394" t="n">
        <v>0</v>
      </c>
      <c r="P394">
        <f>Table1[[#This Row],[TA 1 - Q1 Score]]+Table1[[#This Row],[TA 1 - Q2 Score]]+Table1[[#This Row],[TA 1 - Q3 Score]]</f>
        <v/>
      </c>
      <c r="Q394">
        <f>Table1[[#This Row],[TA 1 - Q1 Bonus]]+Table1[[#This Row],[TA 1 - Q2 Bonus]]+Table1[[#This Row],[TA 1 - Q4 Bonus]]</f>
        <v/>
      </c>
      <c r="R394">
        <f>Table1[[#This Row],[TA 2 - Q1 Score]]+Table1[[#This Row],[TA 2 - Q2 Score]]+Table1[[#This Row],[TA 2 - Q3 Score]]</f>
        <v/>
      </c>
      <c r="S394">
        <f>Table1[[#This Row],[TA 2 - Q1 Bonus]]+Table1[[#This Row],[TA 2 - Q2 Bonus]]+Table1[[#This Row],[TA 2 - Q4 Bonus]]</f>
        <v/>
      </c>
      <c r="T394">
        <f>(Table1[[#This Row],[TA 1 - Total Score (out of 35)]]+Table1[[#This Row],[TA 2 - Total Score (out of 35)]])/2</f>
        <v/>
      </c>
      <c r="U394">
        <f>(Table1[[#This Row],[TA 1 - Total Bonus (out of 13)]]+Table1[[#This Row],[TA 2 - Total Bonus (out of 13)]])/2</f>
        <v/>
      </c>
      <c r="V394">
        <f>Table1[[#This Row],[Average Questions]]/35*20+Table1[[#This Row],[Average Bonus]]/13*5</f>
        <v/>
      </c>
      <c r="W394" t="n">
        <v>0</v>
      </c>
      <c r="X394" t="n">
        <v>0</v>
      </c>
      <c r="Y394" t="inlineStr">
        <is>
          <t>The student's submission does not run correctly due to several issues. The transforms include an incorrect custom module that subtracts one from the image tensor, which is not part of the required transforms. The DataLoaders are created but not used correctly in the training and validation loops. The model loading and adaptation steps are incorrect, and the training and validation functions do not follow the required structure. Additionally, the student did not implement the bonus task correctly. Therefore, the student receives 0 points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94" t="n">
        <v>0</v>
      </c>
      <c r="AA394" t="n">
        <v>0</v>
      </c>
      <c r="AB394" t="inlineStr">
        <is>
          <t>The student's submission does not run correctly due to several issues. The dataset class is custom-built but does not follow the required transformations (Resize to 32x32). The CNN model does not have 5 convolutional layers as specified. The training and validation functions are incorrectly implemented, leading to errors in the training process.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94" t="n">
        <v>0</v>
      </c>
      <c r="AD394" t="inlineStr">
        <is>
          <t>The student's submission does not run end-to-end due to multiple issues. The dataset class is incomplete and the DataLoader creation is incorrect, leading to failures in subsequent tasks. The model definition uses the wrong encoder, and the training and validation loops have logical errors. As a result, the model training does not proceed correctly, and the visualization of predictions is not possible. The submission does not meet the requirements for any of the tasks, resulting in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94" t="n">
        <v>0</v>
      </c>
      <c r="AF394" t="n">
        <v>0</v>
      </c>
      <c r="AG394" t="inlineStr">
        <is>
          <t>No submission found.</t>
        </is>
      </c>
      <c r="AH394" t="n">
        <v>0</v>
      </c>
      <c r="AI394" t="n">
        <v>0</v>
      </c>
    </row>
    <row r="395">
      <c r="A395" t="n">
        <v>394</v>
      </c>
      <c r="B395" t="inlineStr">
        <is>
          <t>TA_7</t>
        </is>
      </c>
      <c r="C395" t="inlineStr">
        <is>
          <t>TA_17</t>
        </is>
      </c>
      <c r="D395" t="n">
        <v>4</v>
      </c>
      <c r="E395" t="n">
        <v>0</v>
      </c>
      <c r="F395" t="n">
        <v>6.5</v>
      </c>
      <c r="G395" t="n">
        <v>0</v>
      </c>
      <c r="H395" t="n">
        <v>9</v>
      </c>
      <c r="I395" t="n">
        <v>0</v>
      </c>
      <c r="J395" t="n">
        <v>1.5</v>
      </c>
      <c r="K395" t="n">
        <v>0</v>
      </c>
      <c r="L395" t="n">
        <v>9</v>
      </c>
      <c r="M395" t="n">
        <v>0</v>
      </c>
      <c r="N395" t="n">
        <v>8</v>
      </c>
      <c r="O395" t="n">
        <v>0</v>
      </c>
      <c r="P395">
        <f>Table1[[#This Row],[TA 1 - Q1 Score]]+Table1[[#This Row],[TA 1 - Q2 Score]]+Table1[[#This Row],[TA 1 - Q3 Score]]</f>
        <v/>
      </c>
      <c r="Q395">
        <f>Table1[[#This Row],[TA 1 - Q1 Bonus]]+Table1[[#This Row],[TA 1 - Q2 Bonus]]+Table1[[#This Row],[TA 1 - Q4 Bonus]]</f>
        <v/>
      </c>
      <c r="R395">
        <f>Table1[[#This Row],[TA 2 - Q1 Score]]+Table1[[#This Row],[TA 2 - Q2 Score]]+Table1[[#This Row],[TA 2 - Q3 Score]]</f>
        <v/>
      </c>
      <c r="S395">
        <f>Table1[[#This Row],[TA 2 - Q1 Bonus]]+Table1[[#This Row],[TA 2 - Q2 Bonus]]+Table1[[#This Row],[TA 2 - Q4 Bonus]]</f>
        <v/>
      </c>
      <c r="T395">
        <f>(Table1[[#This Row],[TA 1 - Total Score (out of 35)]]+Table1[[#This Row],[TA 2 - Total Score (out of 35)]])/2</f>
        <v/>
      </c>
      <c r="U395">
        <f>(Table1[[#This Row],[TA 1 - Total Bonus (out of 13)]]+Table1[[#This Row],[TA 2 - Total Bonus (out of 13)]])/2</f>
        <v/>
      </c>
      <c r="V395">
        <f>Table1[[#This Row],[Average Questions]]/35*20+Table1[[#This Row],[Average Bonus]]/13*5</f>
        <v/>
      </c>
      <c r="W395" t="n">
        <v>0</v>
      </c>
      <c r="X395" t="n">
        <v>0</v>
      </c>
      <c r="Y395" t="inlineStr">
        <is>
          <t>The student's submission contains multiple critical errors that prevent the code from running correctly. The transforms are incorrectly applied, the DataLoaders are not correctly created, and the sample images are not displayed correctly. The model is not correctly loaded or adapted, and the training and validation loops are flawed. Additionally, the bonus task for Test Time Augmentation is not implemented correctly.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95" t="n">
        <v>0</v>
      </c>
      <c r="AA395" t="n">
        <v>0</v>
      </c>
      <c r="AB395" t="inlineStr">
        <is>
          <t>The student's submission does not run correctly due to several issues. The transformations applied to the training and testing datasets do not match the rubric requirements, specifically the resizing to 32x32 pixels. Additionally, the CNN model does not include Batch Normalization layers as specified. The training and validation functions are incorrectly implemented, leading to errors in the training process. The plotting of losses and accuracy is also incorrect. Therefore, no points are awarded for any of the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95" t="n">
        <v>0</v>
      </c>
      <c r="AD395" t="inlineStr">
        <is>
          <t>The student's submission does not run correctly due to several critical issues. The model definition uses 'efficientnet-b0' instead of 'efficientnet-b1' as specified. The loss function is incorrectly defined as BCEWithLogitsLoss instead of CrossEntropyLoss, which is inappropriate for multi-class segmentation. The training and validation loops do not handle the mask dimensions correctly, leading to shape mismatches. Additionally, the visualization of predictions does not correctly handle the multi-class output, resulting in incorrect predictions. These issues prevent the code from running end-to-end and producing the correct output, warranting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95" t="n">
        <v>0</v>
      </c>
      <c r="AF395" t="n">
        <v>0</v>
      </c>
      <c r="AG395" t="inlineStr">
        <is>
          <t>No submission found.</t>
        </is>
      </c>
      <c r="AH395" t="n">
        <v>0</v>
      </c>
      <c r="AI395" t="n">
        <v>0</v>
      </c>
    </row>
    <row r="396">
      <c r="A396" t="n">
        <v>395</v>
      </c>
      <c r="B396" t="inlineStr">
        <is>
          <t>TA_7</t>
        </is>
      </c>
      <c r="C396" t="inlineStr">
        <is>
          <t>TA_17</t>
        </is>
      </c>
      <c r="D396" t="n">
        <v>12</v>
      </c>
      <c r="E396" t="n">
        <v>0</v>
      </c>
      <c r="F396" t="n">
        <v>9</v>
      </c>
      <c r="G396" t="n">
        <v>4</v>
      </c>
      <c r="H396" t="n">
        <v>12</v>
      </c>
      <c r="I396" t="n">
        <v>0</v>
      </c>
      <c r="J396" t="n">
        <v>10</v>
      </c>
      <c r="K396" t="n">
        <v>0</v>
      </c>
      <c r="L396" t="n">
        <v>8.5</v>
      </c>
      <c r="M396" t="n">
        <v>0</v>
      </c>
      <c r="N396" t="n">
        <v>10</v>
      </c>
      <c r="O396" t="n">
        <v>0</v>
      </c>
      <c r="P396">
        <f>Table1[[#This Row],[TA 1 - Q1 Score]]+Table1[[#This Row],[TA 1 - Q2 Score]]+Table1[[#This Row],[TA 1 - Q3 Score]]</f>
        <v/>
      </c>
      <c r="Q396">
        <f>Table1[[#This Row],[TA 1 - Q1 Bonus]]+Table1[[#This Row],[TA 1 - Q2 Bonus]]+Table1[[#This Row],[TA 1 - Q4 Bonus]]</f>
        <v/>
      </c>
      <c r="R396">
        <f>Table1[[#This Row],[TA 2 - Q1 Score]]+Table1[[#This Row],[TA 2 - Q2 Score]]+Table1[[#This Row],[TA 2 - Q3 Score]]</f>
        <v/>
      </c>
      <c r="S396">
        <f>Table1[[#This Row],[TA 2 - Q1 Bonus]]+Table1[[#This Row],[TA 2 - Q2 Bonus]]+Table1[[#This Row],[TA 2 - Q4 Bonus]]</f>
        <v/>
      </c>
      <c r="T396">
        <f>(Table1[[#This Row],[TA 1 - Total Score (out of 35)]]+Table1[[#This Row],[TA 2 - Total Score (out of 35)]])/2</f>
        <v/>
      </c>
      <c r="U396">
        <f>(Table1[[#This Row],[TA 1 - Total Bonus (out of 13)]]+Table1[[#This Row],[TA 2 - Total Bonus (out of 13)]])/2</f>
        <v/>
      </c>
      <c r="V396">
        <f>Table1[[#This Row],[Average Questions]]/35*20+Table1[[#This Row],[Average Bonus]]/13*5</f>
        <v/>
      </c>
      <c r="W396" t="n">
        <v>0</v>
      </c>
      <c r="X396" t="n">
        <v>0</v>
      </c>
      <c r="Y396" t="inlineStr">
        <is>
          <t>The student's submission does not run correctly due to several issues. The student used EfficientNet-B0 instead of EfficientNetV2-Small, which is a different model. The training and validation loops have logical errors, such as incorrect label handling and improper use of tensors. The plotting functions are missing, and the bonus task for Test Time Augmentation (TTA) is not implemented.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96" t="n">
        <v>0</v>
      </c>
      <c r="AA396" t="n">
        <v>0</v>
      </c>
      <c r="AB396" t="inlineStr">
        <is>
          <t>The student's submission does not run correctly due to multiple issues. The dataset loading and transformation steps are incorrect, leading to mismatched image sizes and incorrect data loading. The CNN model definition is flawed, with incorrect layer dimensions and missing batch normalization. The training and validation functions are incorrectly implemented, leading to errors in loss calculation and accuracy tracking. Additionally, the residual connection implementation is incorrect and does not follow the specified requirements. Therefore, no points are awarded for any task as the code does not run correctly and deviates significantly from the rubric.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96" t="n">
        <v>0</v>
      </c>
      <c r="AD396" t="inlineStr">
        <is>
          <t>The student's submission does not run correctly due to several issues. The dataset class is incomplete and does not follow the required structure. The model definition uses 'efficientnet-b1' instead of 'efficientnet-b0' as specified. The training and validation loops are present but do not run correctly due to missing or incorrect implementations. The visualization of predictions is attempted but fails to run due to errors in the code. Therefore, no points are awarded for any task as the code does not meet the requirements and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96" t="n">
        <v>0</v>
      </c>
      <c r="AF396" t="n">
        <v>0</v>
      </c>
      <c r="AG396" t="inlineStr">
        <is>
          <t>No submission found.</t>
        </is>
      </c>
      <c r="AH396" t="n">
        <v>0</v>
      </c>
      <c r="AI396" t="n">
        <v>0</v>
      </c>
    </row>
    <row r="397">
      <c r="A397" t="n">
        <v>396</v>
      </c>
      <c r="B397" t="inlineStr">
        <is>
          <t>TA_7</t>
        </is>
      </c>
      <c r="C397" t="inlineStr">
        <is>
          <t>TA_17</t>
        </is>
      </c>
      <c r="D397" t="n">
        <v>1.5</v>
      </c>
      <c r="E397" t="n">
        <v>0</v>
      </c>
      <c r="F397" t="n">
        <v>8.5</v>
      </c>
      <c r="G397" t="n">
        <v>0</v>
      </c>
      <c r="H397" t="n">
        <v>7</v>
      </c>
      <c r="I397" t="n">
        <v>0</v>
      </c>
      <c r="J397" t="n">
        <v>3</v>
      </c>
      <c r="K397" t="n">
        <v>0</v>
      </c>
      <c r="L397" t="n">
        <v>8.5</v>
      </c>
      <c r="M397" t="n">
        <v>0</v>
      </c>
      <c r="N397" t="n">
        <v>6</v>
      </c>
      <c r="O397" t="n">
        <v>0</v>
      </c>
      <c r="P397">
        <f>Table1[[#This Row],[TA 1 - Q1 Score]]+Table1[[#This Row],[TA 1 - Q2 Score]]+Table1[[#This Row],[TA 1 - Q3 Score]]</f>
        <v/>
      </c>
      <c r="Q397">
        <f>Table1[[#This Row],[TA 1 - Q1 Bonus]]+Table1[[#This Row],[TA 1 - Q2 Bonus]]+Table1[[#This Row],[TA 1 - Q4 Bonus]]</f>
        <v/>
      </c>
      <c r="R397">
        <f>Table1[[#This Row],[TA 2 - Q1 Score]]+Table1[[#This Row],[TA 2 - Q2 Score]]+Table1[[#This Row],[TA 2 - Q3 Score]]</f>
        <v/>
      </c>
      <c r="S397">
        <f>Table1[[#This Row],[TA 2 - Q1 Bonus]]+Table1[[#This Row],[TA 2 - Q2 Bonus]]+Table1[[#This Row],[TA 2 - Q4 Bonus]]</f>
        <v/>
      </c>
      <c r="T397">
        <f>(Table1[[#This Row],[TA 1 - Total Score (out of 35)]]+Table1[[#This Row],[TA 2 - Total Score (out of 35)]])/2</f>
        <v/>
      </c>
      <c r="U397">
        <f>(Table1[[#This Row],[TA 1 - Total Bonus (out of 13)]]+Table1[[#This Row],[TA 2 - Total Bonus (out of 13)]])/2</f>
        <v/>
      </c>
      <c r="V397">
        <f>Table1[[#This Row],[Average Questions]]/35*20+Table1[[#This Row],[Average Bonus]]/13*5</f>
        <v/>
      </c>
      <c r="W397" t="n">
        <v>0</v>
      </c>
      <c r="X397" t="n">
        <v>0</v>
      </c>
      <c r="Y397" t="inlineStr">
        <is>
          <t>The student's submission is incomplete and does not run end-to-end. The transforms are correctly defined, and DataLoaders are created, but the code for displaying sample images is incorrect and does not run. The subsequent parts of the submission, including loading the pretrained model, freezing the backbone, replacing the classifier head, defining training and validation loops, setting up the training process, and implementing Test Time Augmentation, are missing or incorrect. Therefore, the student receives 0 points for the base tasks and 0 points for the bonus task.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97" t="n">
        <v>0</v>
      </c>
      <c r="AA397" t="n">
        <v>0</v>
      </c>
      <c r="AB397" t="inlineStr">
        <is>
          <t>The student's submission does not run correctly due to several issues. The dataset class is defined but does not correctly handle the dataset paths and transformations. The CNN model class is incomplete and does not include batch normalization. The training and validation functions are incomplete and do not correctly implement the training loop. The training setup and plotting functions are missing or incorrect.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97" t="n">
        <v>0</v>
      </c>
      <c r="AD397" t="inlineStr">
        <is>
          <t>The student's submission does not include the necessary code to build the custom dataset class, create DataLoaders, or display sample images and masks. The model definition is incomplete, and the training and validation loops are not correctly implemented. Additionally, the code for defining the loss and optimizer, training the model, printing losses, plotting the loss curve, and visualizing predictions is missing. Therefore, the student receives 0 points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97" t="n">
        <v>0</v>
      </c>
      <c r="AF397" t="n">
        <v>0</v>
      </c>
      <c r="AG397" t="inlineStr">
        <is>
          <t>No submission found.</t>
        </is>
      </c>
      <c r="AH397" t="n">
        <v>0</v>
      </c>
      <c r="AI397" t="n">
        <v>0</v>
      </c>
    </row>
    <row r="398">
      <c r="A398" t="n">
        <v>397</v>
      </c>
      <c r="B398" t="inlineStr">
        <is>
          <t>TA_7</t>
        </is>
      </c>
      <c r="C398" t="inlineStr">
        <is>
          <t>TA_17</t>
        </is>
      </c>
      <c r="D398" t="n">
        <v>6</v>
      </c>
      <c r="E398" t="n">
        <v>0</v>
      </c>
      <c r="F398" t="n">
        <v>9</v>
      </c>
      <c r="G398" t="n">
        <v>0</v>
      </c>
      <c r="H398" t="n">
        <v>8</v>
      </c>
      <c r="I398" t="n">
        <v>0</v>
      </c>
      <c r="J398" t="n">
        <v>6.5</v>
      </c>
      <c r="K398" t="n">
        <v>0</v>
      </c>
      <c r="L398" t="n">
        <v>9</v>
      </c>
      <c r="M398" t="n">
        <v>0</v>
      </c>
      <c r="N398" t="n">
        <v>7.25</v>
      </c>
      <c r="O398" t="n">
        <v>0</v>
      </c>
      <c r="P398">
        <f>Table1[[#This Row],[TA 1 - Q1 Score]]+Table1[[#This Row],[TA 1 - Q2 Score]]+Table1[[#This Row],[TA 1 - Q3 Score]]</f>
        <v/>
      </c>
      <c r="Q398">
        <f>Table1[[#This Row],[TA 1 - Q1 Bonus]]+Table1[[#This Row],[TA 1 - Q2 Bonus]]+Table1[[#This Row],[TA 1 - Q4 Bonus]]</f>
        <v/>
      </c>
      <c r="R398">
        <f>Table1[[#This Row],[TA 2 - Q1 Score]]+Table1[[#This Row],[TA 2 - Q2 Score]]+Table1[[#This Row],[TA 2 - Q3 Score]]</f>
        <v/>
      </c>
      <c r="S398">
        <f>Table1[[#This Row],[TA 2 - Q1 Bonus]]+Table1[[#This Row],[TA 2 - Q2 Bonus]]+Table1[[#This Row],[TA 2 - Q4 Bonus]]</f>
        <v/>
      </c>
      <c r="T398">
        <f>(Table1[[#This Row],[TA 1 - Total Score (out of 35)]]+Table1[[#This Row],[TA 2 - Total Score (out of 35)]])/2</f>
        <v/>
      </c>
      <c r="U398">
        <f>(Table1[[#This Row],[TA 1 - Total Bonus (out of 13)]]+Table1[[#This Row],[TA 2 - Total Bonus (out of 13)]])/2</f>
        <v/>
      </c>
      <c r="V398">
        <f>Table1[[#This Row],[Average Questions]]/35*20+Table1[[#This Row],[Average Bonus]]/13*5</f>
        <v/>
      </c>
      <c r="W398" t="n">
        <v>0</v>
      </c>
      <c r="X398" t="n">
        <v>0</v>
      </c>
      <c r="Y398" t="inlineStr">
        <is>
          <t>The student's submission does not run end-to-end due to multiple issues. The transforms are incomplete, the DataLoaders are not correctly created, and the model training and validation functions are incorrect. The student used BCEWithLogitsLoss instead of CrossEntropyLoss, which is inappropriate for a multi-class classification problem. Additionally, the student did not implement the bonus task correctly.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98" t="n">
        <v>0</v>
      </c>
      <c r="AA398" t="n">
        <v>0</v>
      </c>
      <c r="AB398" t="inlineStr">
        <is>
          <t>The student's submission does not run correctly due to several issues. The dataset paths are hardcoded incorrectly, leading to errors in loading the data. The CNN model definition is incorrect as it does not follow the specified architecture with 5 convolutional layers and batch normalization. The training and validation functions are flawed, and the plotting code is incomplete.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98" t="n">
        <v>0</v>
      </c>
      <c r="AD398" t="inlineStr">
        <is>
          <t>The student's submission does not run correctly due to several issues. The dataset class is incorrectly implemented, leading to mismatched image and mask paths. The model definition uses the wrong number of classes and the incorrect loss function for multi-class segmentation. The training and validation loops are incomplete, and the visualization code is incorrect for multi-class segmentation. Therefore, no points are awarded for any task as the code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98" t="n">
        <v>0</v>
      </c>
      <c r="AF398" t="n">
        <v>0</v>
      </c>
      <c r="AG398" t="inlineStr">
        <is>
          <t>No submission found.</t>
        </is>
      </c>
      <c r="AH398" t="n">
        <v>0</v>
      </c>
      <c r="AI398" t="n">
        <v>0</v>
      </c>
    </row>
    <row r="399">
      <c r="A399" t="n">
        <v>398</v>
      </c>
      <c r="B399" t="inlineStr">
        <is>
          <t>TA_8</t>
        </is>
      </c>
      <c r="C399" t="inlineStr">
        <is>
          <t>TA_18</t>
        </is>
      </c>
      <c r="D399" t="n">
        <v>6.5</v>
      </c>
      <c r="E399" t="n">
        <v>0</v>
      </c>
      <c r="F399" t="n">
        <v>8.5</v>
      </c>
      <c r="G399" t="n">
        <v>0</v>
      </c>
      <c r="H399" t="n">
        <v>9</v>
      </c>
      <c r="I399" t="n">
        <v>0</v>
      </c>
      <c r="J399" t="n">
        <v>5.5</v>
      </c>
      <c r="K399" t="n">
        <v>0</v>
      </c>
      <c r="L399" t="n">
        <v>8.25</v>
      </c>
      <c r="M399" t="n">
        <v>0</v>
      </c>
      <c r="N399" t="n">
        <v>7</v>
      </c>
      <c r="O399" t="n">
        <v>0</v>
      </c>
      <c r="P399">
        <f>Table1[[#This Row],[TA 1 - Q1 Score]]+Table1[[#This Row],[TA 1 - Q2 Score]]+Table1[[#This Row],[TA 1 - Q3 Score]]</f>
        <v/>
      </c>
      <c r="Q399">
        <f>Table1[[#This Row],[TA 1 - Q1 Bonus]]+Table1[[#This Row],[TA 1 - Q2 Bonus]]+Table1[[#This Row],[TA 1 - Q4 Bonus]]</f>
        <v/>
      </c>
      <c r="R399">
        <f>Table1[[#This Row],[TA 2 - Q1 Score]]+Table1[[#This Row],[TA 2 - Q2 Score]]+Table1[[#This Row],[TA 2 - Q3 Score]]</f>
        <v/>
      </c>
      <c r="S399">
        <f>Table1[[#This Row],[TA 2 - Q1 Bonus]]+Table1[[#This Row],[TA 2 - Q2 Bonus]]+Table1[[#This Row],[TA 2 - Q4 Bonus]]</f>
        <v/>
      </c>
      <c r="T399">
        <f>(Table1[[#This Row],[TA 1 - Total Score (out of 35)]]+Table1[[#This Row],[TA 2 - Total Score (out of 35)]])/2</f>
        <v/>
      </c>
      <c r="U399">
        <f>(Table1[[#This Row],[TA 1 - Total Bonus (out of 13)]]+Table1[[#This Row],[TA 2 - Total Bonus (out of 13)]])/2</f>
        <v/>
      </c>
      <c r="V399">
        <f>Table1[[#This Row],[Average Questions]]/35*20+Table1[[#This Row],[Average Bonus]]/13*5</f>
        <v/>
      </c>
      <c r="W399" t="n">
        <v>0</v>
      </c>
      <c r="X399" t="n">
        <v>0</v>
      </c>
      <c r="Y399" t="inlineStr">
        <is>
          <t>The student's submission does not run correctly due to several issues. The transforms are not correctly applied, the DataLoaders are not created properly, and the model is not correctly set up for training. Additionally, the training and validation loops contain errors, and the plots for training and validation losses and accuracies are not generated correctly. The bonus task for Test Time Augmentation is also not implemented correctly.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99" t="n">
        <v>0</v>
      </c>
      <c r="AA399" t="n">
        <v>0</v>
      </c>
      <c r="AB399" t="inlineStr">
        <is>
          <t>The student's submission does not run correctly due to multiple issues. The dataset loading and transformation steps are incorrect, and the model definition is flawed. The training and validation loops are also incorrect, leading to a complete failure in executing the tasks.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99" t="n">
        <v>0</v>
      </c>
      <c r="AD399" t="inlineStr">
        <is>
          <t>The student's submission contains several critical errors that prevent the code from running correctly. The dataset class is incorrectly implemented, using a CSV file that is not provided or generated correctly. The model definition uses the wrong number of classes and the incorrect loss function for multi-class segmentation. Additionally, the training and validation loops are incorrectly implemented, leading to a non-functional training process. The visualization of predictions is also flawed due to the incorrect model output handling. Therefore, no points are awarded for any task as the code does not run correctly and deviates significantly from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99" t="n">
        <v>0</v>
      </c>
      <c r="AF399" t="n">
        <v>0</v>
      </c>
      <c r="AG399" t="inlineStr">
        <is>
          <t>No submission found.</t>
        </is>
      </c>
      <c r="AH399" t="n">
        <v>0</v>
      </c>
      <c r="AI399" t="n">
        <v>0</v>
      </c>
    </row>
    <row r="400">
      <c r="A400" t="n">
        <v>399</v>
      </c>
      <c r="B400" t="inlineStr">
        <is>
          <t>TA_8</t>
        </is>
      </c>
      <c r="C400" t="inlineStr">
        <is>
          <t>TA_18</t>
        </is>
      </c>
      <c r="D400" t="n">
        <v>9</v>
      </c>
      <c r="E400" t="n">
        <v>0</v>
      </c>
      <c r="F400" t="n">
        <v>0</v>
      </c>
      <c r="G400" t="n">
        <v>0</v>
      </c>
      <c r="H400" t="n">
        <v>12</v>
      </c>
      <c r="I400" t="n">
        <v>0</v>
      </c>
      <c r="J400" t="n">
        <v>11</v>
      </c>
      <c r="K400" t="n">
        <v>0</v>
      </c>
      <c r="L400" t="n">
        <v>0</v>
      </c>
      <c r="M400" t="n">
        <v>0</v>
      </c>
      <c r="N400" t="n">
        <v>12</v>
      </c>
      <c r="O400" t="n">
        <v>0</v>
      </c>
      <c r="P400">
        <f>Table1[[#This Row],[TA 1 - Q1 Score]]+Table1[[#This Row],[TA 1 - Q2 Score]]+Table1[[#This Row],[TA 1 - Q3 Score]]</f>
        <v/>
      </c>
      <c r="Q400">
        <f>Table1[[#This Row],[TA 1 - Q1 Bonus]]+Table1[[#This Row],[TA 1 - Q2 Bonus]]+Table1[[#This Row],[TA 1 - Q4 Bonus]]</f>
        <v/>
      </c>
      <c r="R400">
        <f>Table1[[#This Row],[TA 2 - Q1 Score]]+Table1[[#This Row],[TA 2 - Q2 Score]]+Table1[[#This Row],[TA 2 - Q3 Score]]</f>
        <v/>
      </c>
      <c r="S400">
        <f>Table1[[#This Row],[TA 2 - Q1 Bonus]]+Table1[[#This Row],[TA 2 - Q2 Bonus]]+Table1[[#This Row],[TA 2 - Q4 Bonus]]</f>
        <v/>
      </c>
      <c r="T400">
        <f>(Table1[[#This Row],[TA 1 - Total Score (out of 35)]]+Table1[[#This Row],[TA 2 - Total Score (out of 35)]])/2</f>
        <v/>
      </c>
      <c r="U400">
        <f>(Table1[[#This Row],[TA 1 - Total Bonus (out of 13)]]+Table1[[#This Row],[TA 2 - Total Bonus (out of 13)]])/2</f>
        <v/>
      </c>
      <c r="V400">
        <f>Table1[[#This Row],[Average Questions]]/35*20+Table1[[#This Row],[Average Bonus]]/13*5</f>
        <v/>
      </c>
      <c r="W400" t="n">
        <v>0</v>
      </c>
      <c r="X400" t="n">
        <v>0</v>
      </c>
      <c r="Y400" t="inlineStr">
        <is>
          <t>The student's submission does not run end-to-end due to missing or incomplete code in several critical parts. Specifically, the transforms are not fully defined, DataLoaders are not created, and sample images are not displayed. Additionally, the model loading and adaptation steps are incomplete, and the training and validation functions are not correctly implemented. As a result, the code does not execute correctly, and no output is produced. Therefore, the minimum defensible score for each task is 0%.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00" t="n">
        <v>0</v>
      </c>
      <c r="AA400" t="n">
        <v>0</v>
      </c>
      <c r="AB400" t="inlineStr">
        <is>
          <t>The student did not provide any code for the tasks in Part 1, Part 2, Part 3, Part 4, or the bonus tasks. Therefore, no points can be awarded for any of the tasks as there is no evidence of any attempt to complete the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400" t="n">
        <v>0</v>
      </c>
      <c r="AD400" t="inlineStr">
        <is>
          <t>The student's submission does not run end-to-end due to multiple issues. The dataset class is incorrectly implemented, leading to errors in data loading. The training and validation loops are defined but contain logical errors, and the model training process is not correctly set up. Additionally, the visualization of predictions is incomplete and contains errors. Therefore, no points are awarded for any task as the code does not run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00" t="n">
        <v>0</v>
      </c>
      <c r="AF400" t="n">
        <v>0</v>
      </c>
      <c r="AG400" t="inlineStr">
        <is>
          <t>No submission found.</t>
        </is>
      </c>
      <c r="AH400" t="n">
        <v>0</v>
      </c>
      <c r="AI400" t="n">
        <v>0</v>
      </c>
    </row>
    <row r="401">
      <c r="A401" t="n">
        <v>400</v>
      </c>
      <c r="B401" t="inlineStr">
        <is>
          <t>TA_8</t>
        </is>
      </c>
      <c r="C401" t="inlineStr">
        <is>
          <t>TA_18</t>
        </is>
      </c>
      <c r="D401" t="n">
        <v>12</v>
      </c>
      <c r="E401" t="n">
        <v>4</v>
      </c>
      <c r="F401" t="n">
        <v>11</v>
      </c>
      <c r="G401" t="n">
        <v>0</v>
      </c>
      <c r="H401" t="n">
        <v>12</v>
      </c>
      <c r="I401" t="n">
        <v>0</v>
      </c>
      <c r="J401" t="n">
        <v>11</v>
      </c>
      <c r="K401" t="n">
        <v>3.5</v>
      </c>
      <c r="L401" t="n">
        <v>10.5</v>
      </c>
      <c r="M401" t="n">
        <v>0</v>
      </c>
      <c r="N401" t="n">
        <v>12</v>
      </c>
      <c r="O401" t="n">
        <v>5</v>
      </c>
      <c r="P401">
        <f>Table1[[#This Row],[TA 1 - Q1 Score]]+Table1[[#This Row],[TA 1 - Q2 Score]]+Table1[[#This Row],[TA 1 - Q3 Score]]</f>
        <v/>
      </c>
      <c r="Q401">
        <f>Table1[[#This Row],[TA 1 - Q1 Bonus]]+Table1[[#This Row],[TA 1 - Q2 Bonus]]+Table1[[#This Row],[TA 1 - Q4 Bonus]]</f>
        <v/>
      </c>
      <c r="R401">
        <f>Table1[[#This Row],[TA 2 - Q1 Score]]+Table1[[#This Row],[TA 2 - Q2 Score]]+Table1[[#This Row],[TA 2 - Q3 Score]]</f>
        <v/>
      </c>
      <c r="S401">
        <f>Table1[[#This Row],[TA 2 - Q1 Bonus]]+Table1[[#This Row],[TA 2 - Q2 Bonus]]+Table1[[#This Row],[TA 2 - Q4 Bonus]]</f>
        <v/>
      </c>
      <c r="T401">
        <f>(Table1[[#This Row],[TA 1 - Total Score (out of 35)]]+Table1[[#This Row],[TA 2 - Total Score (out of 35)]])/2</f>
        <v/>
      </c>
      <c r="U401">
        <f>(Table1[[#This Row],[TA 1 - Total Bonus (out of 13)]]+Table1[[#This Row],[TA 2 - Total Bonus (out of 13)]])/2</f>
        <v/>
      </c>
      <c r="V401">
        <f>Table1[[#This Row],[Average Questions]]/35*20+Table1[[#This Row],[Average Bonus]]/13*5</f>
        <v/>
      </c>
      <c r="W401" t="n">
        <v>0</v>
      </c>
      <c r="X401" t="n">
        <v>0</v>
      </c>
      <c r="Y401" t="inlineStr">
        <is>
          <t>The student's submission does not run correctly due to several issues. The transforms are not correctly applied, the DataLoaders are not created properly, and the model is not correctly set up for training. Additionally, the training and validation loops contain errors, and the plots for training and validation losses and accuracies are missing. The bonus task for Test Time Augmentation is also incomplete and does not run correctly.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01" t="n">
        <v>0</v>
      </c>
      <c r="AA401" t="n">
        <v>0</v>
      </c>
      <c r="AB401" t="inlineStr">
        <is>
          <t>The student's submission does not run correctly due to several issues. The dataset loading and transformation steps are incorrect, leading to errors in subsequent tasks. The CNN model definition is flawed, and the training and validation loops are not correctly implemented.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01" t="n">
        <v>0</v>
      </c>
      <c r="AD401" t="inlineStr">
        <is>
          <t>The student's submission does not run correctly due to several issues. The dataset class is incomplete and does not correctly handle the dataset paths. The model definition uses 'efficientnet-b1' instead of 'efficientnet-b0' as specified. The training and validation loops are present but do not run correctly due to missing or incorrect code. The loss and optimizer are defined but not used correctly in the training loop. The visualization of predictions is attempted but does not run correctly due to errors in the code. Therefore, no points are awarded for any task as the code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01" t="n">
        <v>0</v>
      </c>
      <c r="AF401" t="n">
        <v>0</v>
      </c>
      <c r="AG401" t="inlineStr">
        <is>
          <t>The student's implementation of the `ColorizationDataset` class contains several critical errors. The `rgb_to_grayscale` method incorrectly permutes the dimensions of the grayscale image, resulting in a shape of (32, 32, 1) instead of (1, 32, 32). Additionally, the `__getitem__` method always returns the first image in the dataset rather than the image at the specified index. These issues prevent the code from running correctly and producing the expected output, thus warranting a score of 0.0 for the task.
Breakdown:
- Correctly implemented `ColorizationDataset` class: 0.0/5.0</t>
        </is>
      </c>
      <c r="AH401" t="n">
        <v>0</v>
      </c>
      <c r="AI401" t="n">
        <v>0</v>
      </c>
    </row>
    <row r="402">
      <c r="A402" t="n">
        <v>401</v>
      </c>
      <c r="B402" t="inlineStr">
        <is>
          <t>TA_8</t>
        </is>
      </c>
      <c r="C402" t="inlineStr">
        <is>
          <t>TA_18</t>
        </is>
      </c>
      <c r="D402" t="n">
        <v>8</v>
      </c>
      <c r="E402" t="n">
        <v>4</v>
      </c>
      <c r="F402" t="n">
        <v>8</v>
      </c>
      <c r="G402" t="n">
        <v>3</v>
      </c>
      <c r="H402" t="n">
        <v>0</v>
      </c>
      <c r="I402" t="n">
        <v>0</v>
      </c>
      <c r="J402" t="n">
        <v>11</v>
      </c>
      <c r="K402" t="n">
        <v>4</v>
      </c>
      <c r="L402" t="n">
        <v>7</v>
      </c>
      <c r="M402" t="n">
        <v>3</v>
      </c>
      <c r="N402" t="n">
        <v>4.5</v>
      </c>
      <c r="O402" t="n">
        <v>0</v>
      </c>
      <c r="P402">
        <f>Table1[[#This Row],[TA 1 - Q1 Score]]+Table1[[#This Row],[TA 1 - Q2 Score]]+Table1[[#This Row],[TA 1 - Q3 Score]]</f>
        <v/>
      </c>
      <c r="Q402">
        <f>Table1[[#This Row],[TA 1 - Q1 Bonus]]+Table1[[#This Row],[TA 1 - Q2 Bonus]]+Table1[[#This Row],[TA 1 - Q4 Bonus]]</f>
        <v/>
      </c>
      <c r="R402">
        <f>Table1[[#This Row],[TA 2 - Q1 Score]]+Table1[[#This Row],[TA 2 - Q2 Score]]+Table1[[#This Row],[TA 2 - Q3 Score]]</f>
        <v/>
      </c>
      <c r="S402">
        <f>Table1[[#This Row],[TA 2 - Q1 Bonus]]+Table1[[#This Row],[TA 2 - Q2 Bonus]]+Table1[[#This Row],[TA 2 - Q4 Bonus]]</f>
        <v/>
      </c>
      <c r="T402">
        <f>(Table1[[#This Row],[TA 1 - Total Score (out of 35)]]+Table1[[#This Row],[TA 2 - Total Score (out of 35)]])/2</f>
        <v/>
      </c>
      <c r="U402">
        <f>(Table1[[#This Row],[TA 1 - Total Bonus (out of 13)]]+Table1[[#This Row],[TA 2 - Total Bonus (out of 13)]])/2</f>
        <v/>
      </c>
      <c r="V402">
        <f>Table1[[#This Row],[Average Questions]]/35*20+Table1[[#This Row],[Average Bonus]]/13*5</f>
        <v/>
      </c>
      <c r="W402" t="n">
        <v>0</v>
      </c>
      <c r="X402" t="n">
        <v>0</v>
      </c>
      <c r="Y402" t="inlineStr">
        <is>
          <t>The student's submission does not run correctly due to several issues. The transforms are incomplete, the DataLoaders are not created correctly, and the model training and validation loops are incorrect. Additionally, the student did not fix the labels for 0-indexing, which is a critical requirement. The bonus task for Test Time Augmentation (TTA) is also incomplete and does not run correctly.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02" t="n">
        <v>0</v>
      </c>
      <c r="AA402" t="n">
        <v>0</v>
      </c>
      <c r="AB402" t="inlineStr">
        <is>
          <t>The student's submission does not follow the rubric correctly. The dataset class is incorrectly implemented, and the transforms do not include RandomRotation or resize to 32x32. The CNN model does not have 5 convolutional layers as specified. The training and validation functions are incorrectly implemented, and the training process does not set up the device, model, loss, and optimizer correctly. Additionally, the residual connection is not correctly defined, and the model is not retrained with the residual connection.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02" t="n">
        <v>0</v>
      </c>
      <c r="AD402" t="inlineStr">
        <is>
          <t>The student's submission does not run end-to-end due to multiple issues. The dataset class is incomplete and incorrect, leading to errors in data loading. The model definition is missing, and the training and validation loops are incorrectly implemented. Additionally, the loss function and optimizer are not correctly defined for the task, and the visualization of predictions is not implemented correctly. Therefore, no points are awarded for any task as the code does not run correctly and deviates significantly from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02" t="n">
        <v>0</v>
      </c>
      <c r="AF402" t="n">
        <v>0</v>
      </c>
      <c r="AG402" t="inlineStr">
        <is>
          <t>No submission found.</t>
        </is>
      </c>
      <c r="AH402" t="n">
        <v>0</v>
      </c>
      <c r="AI402" t="n">
        <v>0</v>
      </c>
    </row>
    <row r="403">
      <c r="A403" t="n">
        <v>402</v>
      </c>
      <c r="B403" t="inlineStr">
        <is>
          <t>TA_8</t>
        </is>
      </c>
      <c r="C403" t="inlineStr">
        <is>
          <t>TA_18</t>
        </is>
      </c>
      <c r="D403" t="n">
        <v>2</v>
      </c>
      <c r="E403" t="n">
        <v>0</v>
      </c>
      <c r="F403" t="n">
        <v>7.5</v>
      </c>
      <c r="G403" t="n">
        <v>0</v>
      </c>
      <c r="H403" t="n">
        <v>4</v>
      </c>
      <c r="I403" t="n">
        <v>0</v>
      </c>
      <c r="J403" t="n">
        <v>6.25</v>
      </c>
      <c r="K403" t="n">
        <v>0</v>
      </c>
      <c r="L403" t="n">
        <v>8.5</v>
      </c>
      <c r="M403" t="n">
        <v>0</v>
      </c>
      <c r="N403" t="n">
        <v>4.25</v>
      </c>
      <c r="O403" t="n">
        <v>0</v>
      </c>
      <c r="P403">
        <f>Table1[[#This Row],[TA 1 - Q1 Score]]+Table1[[#This Row],[TA 1 - Q2 Score]]+Table1[[#This Row],[TA 1 - Q3 Score]]</f>
        <v/>
      </c>
      <c r="Q403">
        <f>Table1[[#This Row],[TA 1 - Q1 Bonus]]+Table1[[#This Row],[TA 1 - Q2 Bonus]]+Table1[[#This Row],[TA 1 - Q4 Bonus]]</f>
        <v/>
      </c>
      <c r="R403">
        <f>Table1[[#This Row],[TA 2 - Q1 Score]]+Table1[[#This Row],[TA 2 - Q2 Score]]+Table1[[#This Row],[TA 2 - Q3 Score]]</f>
        <v/>
      </c>
      <c r="S403">
        <f>Table1[[#This Row],[TA 2 - Q1 Bonus]]+Table1[[#This Row],[TA 2 - Q2 Bonus]]+Table1[[#This Row],[TA 2 - Q4 Bonus]]</f>
        <v/>
      </c>
      <c r="T403">
        <f>(Table1[[#This Row],[TA 1 - Total Score (out of 35)]]+Table1[[#This Row],[TA 2 - Total Score (out of 35)]])/2</f>
        <v/>
      </c>
      <c r="U403">
        <f>(Table1[[#This Row],[TA 1 - Total Bonus (out of 13)]]+Table1[[#This Row],[TA 2 - Total Bonus (out of 13)]])/2</f>
        <v/>
      </c>
      <c r="V403">
        <f>Table1[[#This Row],[Average Questions]]/35*20+Table1[[#This Row],[Average Bonus]]/13*5</f>
        <v/>
      </c>
      <c r="W403" t="n">
        <v>0</v>
      </c>
      <c r="X403" t="n">
        <v>0</v>
      </c>
      <c r="Y403" t="inlineStr">
        <is>
          <t>The student's submission does not complete the required tasks correctly. The transforms are not fully defined in the first cell, and the DataLoaders are not created correctly. The model loading and adaptation steps are incomplete and incorrect. The training and validation loops are not correctly implemented, and the label fixing is not done. The training process and plotting are also incorrect. Additionally, the bonus task for Test Time Augmentation is not attempted.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03" t="n">
        <v>0</v>
      </c>
      <c r="AA403" t="n">
        <v>0</v>
      </c>
      <c r="AB403" t="inlineStr">
        <is>
          <t>The student's submission did not follow the exact specifications of the tasks as outlined in the rubric. The student used ImageFolder instead of a custom Dataset class, did not apply the correct transformations, and did not add Batch Normalization after each convolutional layer. Additionally, the student did not attempt the bonus tasks. Therefore, the student's submission is awarded 0 points for the base tasks and 0 points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1: Defined residual connection correctly: 0.0/?
- Bonus Task 2: Retrain + Plot losses and accuracy: 0.0/?</t>
        </is>
      </c>
      <c r="AC403" t="n">
        <v>0</v>
      </c>
      <c r="AD403" t="inlineStr">
        <is>
          <t>The student's submission is incomplete and does not run correctly. The dataset class is not fully implemented, and the model definition is incorrect. The training and validation loops are attempted but contain errors, and the visualization of predictions is missing. The code does not follow the rubric and does not produce the correct output.
Breakdown:
- Build custom dataset class for images and masks: 0.0/2.0
- Create DataLoaders: 0.0/0.5
- Display sample images and masks: 0.0/0.5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403" t="n">
        <v>0</v>
      </c>
      <c r="AF403" t="n">
        <v>0</v>
      </c>
      <c r="AG403" t="inlineStr">
        <is>
          <t>The student's implementation of the `ColorizationDataset` class is incomplete and contains several errors. The `__init__` method incorrectly attempts to load images from a directory structure that does not exist for the CIFAR-10 dataset. The `rgb_to_grayscale` method is not implemented, and the `__getitem__` method does not correctly retrieve and process the images. Additionally, the visualization code attempts to display images that are not correctly processed, leading to errors. Since the implementation does not run correctly and deviates from the rubric, the student receives 0 points for this task.
Breakdown:
- Correctly implemented `ColorizationDataset` class: 0.0/5.0</t>
        </is>
      </c>
      <c r="AH403" t="n">
        <v>0</v>
      </c>
      <c r="AI403" t="n">
        <v>0</v>
      </c>
    </row>
    <row r="404">
      <c r="A404" t="n">
        <v>403</v>
      </c>
      <c r="B404" t="inlineStr">
        <is>
          <t>TA_8</t>
        </is>
      </c>
      <c r="C404" t="inlineStr">
        <is>
          <t>TA_18</t>
        </is>
      </c>
      <c r="D404" t="n">
        <v>3</v>
      </c>
      <c r="E404" t="n">
        <v>0</v>
      </c>
      <c r="F404" t="n">
        <v>2</v>
      </c>
      <c r="G404" t="n">
        <v>0</v>
      </c>
      <c r="H404" t="n">
        <v>9</v>
      </c>
      <c r="I404" t="n">
        <v>0</v>
      </c>
      <c r="J404" t="n">
        <v>3</v>
      </c>
      <c r="K404" t="n">
        <v>0</v>
      </c>
      <c r="L404" t="n">
        <v>8</v>
      </c>
      <c r="M404" t="n">
        <v>0</v>
      </c>
      <c r="N404" t="n">
        <v>8.5</v>
      </c>
      <c r="O404" t="n">
        <v>0</v>
      </c>
      <c r="P404">
        <f>Table1[[#This Row],[TA 1 - Q1 Score]]+Table1[[#This Row],[TA 1 - Q2 Score]]+Table1[[#This Row],[TA 1 - Q3 Score]]</f>
        <v/>
      </c>
      <c r="Q404">
        <f>Table1[[#This Row],[TA 1 - Q1 Bonus]]+Table1[[#This Row],[TA 1 - Q2 Bonus]]+Table1[[#This Row],[TA 1 - Q4 Bonus]]</f>
        <v/>
      </c>
      <c r="R404">
        <f>Table1[[#This Row],[TA 2 - Q1 Score]]+Table1[[#This Row],[TA 2 - Q2 Score]]+Table1[[#This Row],[TA 2 - Q3 Score]]</f>
        <v/>
      </c>
      <c r="S404">
        <f>Table1[[#This Row],[TA 2 - Q1 Bonus]]+Table1[[#This Row],[TA 2 - Q2 Bonus]]+Table1[[#This Row],[TA 2 - Q4 Bonus]]</f>
        <v/>
      </c>
      <c r="T404">
        <f>(Table1[[#This Row],[TA 1 - Total Score (out of 35)]]+Table1[[#This Row],[TA 2 - Total Score (out of 35)]])/2</f>
        <v/>
      </c>
      <c r="U404">
        <f>(Table1[[#This Row],[TA 1 - Total Bonus (out of 13)]]+Table1[[#This Row],[TA 2 - Total Bonus (out of 13)]])/2</f>
        <v/>
      </c>
      <c r="V404">
        <f>Table1[[#This Row],[Average Questions]]/35*20+Table1[[#This Row],[Average Bonus]]/13*5</f>
        <v/>
      </c>
      <c r="W404" t="n">
        <v>0</v>
      </c>
      <c r="X404" t="n">
        <v>0</v>
      </c>
      <c r="Y404" t="inlineStr">
        <is>
          <t>The student's submission does not complete any of the required tasks. The code provided does not run correctly and does not follow the rubric. The student did not load and prepare the data correctly, did not load the pretrained model, did not adapt the model, did not define the training and validation functions correctly, and did not train the model. Additionally, the student did not implement the bonus task for Test Time Augmentation. Therefore, the score for each task is 0.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04" t="n">
        <v>0</v>
      </c>
      <c r="AA404" t="n">
        <v>0</v>
      </c>
      <c r="AB404" t="inlineStr">
        <is>
          <t>The student's submission does not include code for loading and preparing the data, building the CNN model, or setting up the training and validation functions. The code provided for training and plotting does not run correctly due to missing or incorrect implementations of key components such as the dataset class, DataLoaders, and the CNN model class.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04" t="n">
        <v>0</v>
      </c>
      <c r="AD404" t="inlineStr">
        <is>
          <t>The student's submission does not run correctly due to multiple issues. The dataset class is incorrectly defined and does not follow the required structure. The DataLoaders are not correctly created, and the model definition uses the wrong encoder. The training and validation loops are incomplete and contain errors. The loss and optimizer are defined incorrectly, and the training process does not execute properly. The visualization of predictions is also incorrect.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04" t="n">
        <v>0</v>
      </c>
      <c r="AF404" t="n">
        <v>0</v>
      </c>
      <c r="AG404" t="inlineStr">
        <is>
          <t>No submission found.</t>
        </is>
      </c>
      <c r="AH404" t="n">
        <v>0</v>
      </c>
      <c r="AI404" t="n">
        <v>0</v>
      </c>
    </row>
    <row r="405">
      <c r="A405" t="n">
        <v>404</v>
      </c>
      <c r="B405" t="inlineStr">
        <is>
          <t>TA_8</t>
        </is>
      </c>
      <c r="C405" t="inlineStr">
        <is>
          <t>TA_18</t>
        </is>
      </c>
      <c r="D405" t="n">
        <v>12</v>
      </c>
      <c r="E405" t="n">
        <v>0</v>
      </c>
      <c r="F405" t="n">
        <v>11</v>
      </c>
      <c r="G405" t="n">
        <v>4</v>
      </c>
      <c r="H405" t="n">
        <v>11.5</v>
      </c>
      <c r="I405" t="n">
        <v>0</v>
      </c>
      <c r="J405" t="n">
        <v>12</v>
      </c>
      <c r="K405" t="n">
        <v>3.75</v>
      </c>
      <c r="L405" t="n">
        <v>11</v>
      </c>
      <c r="M405" t="n">
        <v>4</v>
      </c>
      <c r="N405" t="n">
        <v>11.5</v>
      </c>
      <c r="O405" t="n">
        <v>0</v>
      </c>
      <c r="P405">
        <f>Table1[[#This Row],[TA 1 - Q1 Score]]+Table1[[#This Row],[TA 1 - Q2 Score]]+Table1[[#This Row],[TA 1 - Q3 Score]]</f>
        <v/>
      </c>
      <c r="Q405">
        <f>Table1[[#This Row],[TA 1 - Q1 Bonus]]+Table1[[#This Row],[TA 1 - Q2 Bonus]]+Table1[[#This Row],[TA 1 - Q4 Bonus]]</f>
        <v/>
      </c>
      <c r="R405">
        <f>Table1[[#This Row],[TA 2 - Q1 Score]]+Table1[[#This Row],[TA 2 - Q2 Score]]+Table1[[#This Row],[TA 2 - Q3 Score]]</f>
        <v/>
      </c>
      <c r="S405">
        <f>Table1[[#This Row],[TA 2 - Q1 Bonus]]+Table1[[#This Row],[TA 2 - Q2 Bonus]]+Table1[[#This Row],[TA 2 - Q4 Bonus]]</f>
        <v/>
      </c>
      <c r="T405">
        <f>(Table1[[#This Row],[TA 1 - Total Score (out of 35)]]+Table1[[#This Row],[TA 2 - Total Score (out of 35)]])/2</f>
        <v/>
      </c>
      <c r="U405">
        <f>(Table1[[#This Row],[TA 1 - Total Bonus (out of 13)]]+Table1[[#This Row],[TA 2 - Total Bonus (out of 13)]])/2</f>
        <v/>
      </c>
      <c r="V405">
        <f>Table1[[#This Row],[Average Questions]]/35*20+Table1[[#This Row],[Average Bonus]]/13*5</f>
        <v/>
      </c>
      <c r="W405" t="n">
        <v>0</v>
      </c>
      <c r="X405" t="n">
        <v>0</v>
      </c>
      <c r="Y405" t="inlineStr">
        <is>
          <t>The student's submission does not run correctly due to multiple issues. The transforms are incomplete, the DataLoaders are not created correctly, and the model architecture is incorrect. The training and validation loops have logical errors, and the plots are not generated correctly. Additionally, the bonus task for Test Time Augmentation is not implemented correctly.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05" t="n">
        <v>0</v>
      </c>
      <c r="AA405" t="n">
        <v>0</v>
      </c>
      <c r="AB405" t="inlineStr">
        <is>
          <t>The student's submission does not run correctly due to several issues. The transforms applied to the dataset do not match the rubric specifications, and the model architecture deviates from the required specifications. Additionally, the training and validation functions contain errors that prevent the code from running correctly. The bonus task is also incomplete and does not run correctly.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05" t="n">
        <v>0</v>
      </c>
      <c r="AD405" t="inlineStr">
        <is>
          <t>The student's submission does not run end-to-end due to missing code in critical sections, such as the model definition and training loop. Although some code is present, it is incomplete and does not fulfill the requirements of the tasks. For example, the dataset class is partially defined but not used correctly, and the training loop is missing essential components. Therefore, no points are awarded for any task as the code does not run correctly and deviates from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05" t="n">
        <v>0</v>
      </c>
      <c r="AF405" t="n">
        <v>0</v>
      </c>
      <c r="AG405" t="inlineStr">
        <is>
          <t>No submission found.</t>
        </is>
      </c>
      <c r="AH405" t="n">
        <v>0</v>
      </c>
      <c r="AI405" t="n">
        <v>0</v>
      </c>
    </row>
    <row r="406">
      <c r="A406" t="n">
        <v>405</v>
      </c>
      <c r="B406" t="inlineStr">
        <is>
          <t>TA_8</t>
        </is>
      </c>
      <c r="C406" t="inlineStr">
        <is>
          <t>TA_18</t>
        </is>
      </c>
      <c r="D406" t="n">
        <v>10.5</v>
      </c>
      <c r="E406" t="n">
        <v>4</v>
      </c>
      <c r="F406" t="n">
        <v>11</v>
      </c>
      <c r="G406" t="n">
        <v>0</v>
      </c>
      <c r="H406" t="n">
        <v>12</v>
      </c>
      <c r="I406" t="n">
        <v>0</v>
      </c>
      <c r="J406" t="n">
        <v>10.5</v>
      </c>
      <c r="K406" t="n">
        <v>4</v>
      </c>
      <c r="L406" t="n">
        <v>11</v>
      </c>
      <c r="M406" t="n">
        <v>0</v>
      </c>
      <c r="N406" t="n">
        <v>12</v>
      </c>
      <c r="O406" t="n">
        <v>0</v>
      </c>
      <c r="P406">
        <f>Table1[[#This Row],[TA 1 - Q1 Score]]+Table1[[#This Row],[TA 1 - Q2 Score]]+Table1[[#This Row],[TA 1 - Q3 Score]]</f>
        <v/>
      </c>
      <c r="Q406">
        <f>Table1[[#This Row],[TA 1 - Q1 Bonus]]+Table1[[#This Row],[TA 1 - Q2 Bonus]]+Table1[[#This Row],[TA 1 - Q4 Bonus]]</f>
        <v/>
      </c>
      <c r="R406">
        <f>Table1[[#This Row],[TA 2 - Q1 Score]]+Table1[[#This Row],[TA 2 - Q2 Score]]+Table1[[#This Row],[TA 2 - Q3 Score]]</f>
        <v/>
      </c>
      <c r="S406">
        <f>Table1[[#This Row],[TA 2 - Q1 Bonus]]+Table1[[#This Row],[TA 2 - Q2 Bonus]]+Table1[[#This Row],[TA 2 - Q4 Bonus]]</f>
        <v/>
      </c>
      <c r="T406">
        <f>(Table1[[#This Row],[TA 1 - Total Score (out of 35)]]+Table1[[#This Row],[TA 2 - Total Score (out of 35)]])/2</f>
        <v/>
      </c>
      <c r="U406">
        <f>(Table1[[#This Row],[TA 1 - Total Bonus (out of 13)]]+Table1[[#This Row],[TA 2 - Total Bonus (out of 13)]])/2</f>
        <v/>
      </c>
      <c r="V406">
        <f>Table1[[#This Row],[Average Questions]]/35*20+Table1[[#This Row],[Average Bonus]]/13*5</f>
        <v/>
      </c>
      <c r="W406" t="n">
        <v>0</v>
      </c>
      <c r="X406" t="n">
        <v>0</v>
      </c>
      <c r="Y406" t="inlineStr">
        <is>
          <t>The student's submission has several critical issues that prevent it from running correctly. The DataLoaders are not created correctly, leading to errors in subsequent tasks. The model is not frozen correctly, and the classifier head is not replaced properly. The training and validation loops are incorrect, and the label fixing is not implemented. Additionally, the bonus task for Test Time Augmentation is not implemented correctly. Therefore, the student receives 0 points for the base tasks and 0 points for the bonus task.
Breakdown:
- Task 1: Complete transforms (Resize, ToTensor, Normalize): 1.5/?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06" t="n">
        <v>0</v>
      </c>
      <c r="AA406" t="n">
        <v>0</v>
      </c>
      <c r="AB406" t="inlineStr">
        <is>
          <t>The student's submission does not run correctly due to several issues. The transformations applied to the test dataset do not include RandomRotation, which is a requirement. The CNN model class does not correctly implement the specified architecture with 5 convolutional layers. The training and validation functions are incorrectly implemented, leading to errors in the training process. Additionally, the student did not attempt the bonus task of adding a residual connection.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406" t="n">
        <v>0</v>
      </c>
      <c r="AD406" t="inlineStr">
        <is>
          <t>The student's submission does not run end-to-end due to multiple issues. The dataset class is incomplete and contains syntax errors. The training and validation loops are not correctly defined, and the model training process is flawed. Additionally, the visualization of predictions is missing critical components. Therefore, no points are awarded for any task as the code does not run correctly and deviates significantly from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06" t="n">
        <v>0</v>
      </c>
      <c r="AF406" t="n">
        <v>0</v>
      </c>
      <c r="AG406" t="inlineStr">
        <is>
          <t>The student's implementation of the `ColorizationDataset` class contains several critical errors. The `rgb_to_grayscale` method does not add the channel dimension correctly, and the `__getitem__` method incorrectly uses a single image instead of accessing the dataset by index. Additionally, the dataset is not stored correctly in the `__init__` method, leading to incorrect behavior when accessing items. These issues prevent the code from running correctly and producing the expected output.
Breakdown:
- Correctly implemented `ColorizationDataset` class: 0.0/5.0</t>
        </is>
      </c>
      <c r="AH406" t="n">
        <v>0</v>
      </c>
      <c r="AI406" t="n">
        <v>0</v>
      </c>
    </row>
    <row r="407">
      <c r="A407" t="n">
        <v>406</v>
      </c>
      <c r="B407" t="inlineStr">
        <is>
          <t>TA_8</t>
        </is>
      </c>
      <c r="C407" t="inlineStr">
        <is>
          <t>TA_18</t>
        </is>
      </c>
      <c r="D407" t="n">
        <v>10.5</v>
      </c>
      <c r="E407" t="n">
        <v>0</v>
      </c>
      <c r="F407" t="n">
        <v>9</v>
      </c>
      <c r="G407" t="n">
        <v>0</v>
      </c>
      <c r="H407" t="n">
        <v>12</v>
      </c>
      <c r="I407" t="n">
        <v>0</v>
      </c>
      <c r="J407" t="n">
        <v>10.5</v>
      </c>
      <c r="K407" t="n">
        <v>0</v>
      </c>
      <c r="L407" t="n">
        <v>9</v>
      </c>
      <c r="M407" t="n">
        <v>0</v>
      </c>
      <c r="N407" t="n">
        <v>12</v>
      </c>
      <c r="O407" t="n">
        <v>0</v>
      </c>
      <c r="P407">
        <f>Table1[[#This Row],[TA 1 - Q1 Score]]+Table1[[#This Row],[TA 1 - Q2 Score]]+Table1[[#This Row],[TA 1 - Q3 Score]]</f>
        <v/>
      </c>
      <c r="Q407">
        <f>Table1[[#This Row],[TA 1 - Q1 Bonus]]+Table1[[#This Row],[TA 1 - Q2 Bonus]]+Table1[[#This Row],[TA 1 - Q4 Bonus]]</f>
        <v/>
      </c>
      <c r="R407">
        <f>Table1[[#This Row],[TA 2 - Q1 Score]]+Table1[[#This Row],[TA 2 - Q2 Score]]+Table1[[#This Row],[TA 2 - Q3 Score]]</f>
        <v/>
      </c>
      <c r="S407">
        <f>Table1[[#This Row],[TA 2 - Q1 Bonus]]+Table1[[#This Row],[TA 2 - Q2 Bonus]]+Table1[[#This Row],[TA 2 - Q4 Bonus]]</f>
        <v/>
      </c>
      <c r="T407">
        <f>(Table1[[#This Row],[TA 1 - Total Score (out of 35)]]+Table1[[#This Row],[TA 2 - Total Score (out of 35)]])/2</f>
        <v/>
      </c>
      <c r="U407">
        <f>(Table1[[#This Row],[TA 1 - Total Bonus (out of 13)]]+Table1[[#This Row],[TA 2 - Total Bonus (out of 13)]])/2</f>
        <v/>
      </c>
      <c r="V407">
        <f>Table1[[#This Row],[Average Questions]]/35*20+Table1[[#This Row],[Average Bonus]]/13*5</f>
        <v/>
      </c>
      <c r="W407" t="n">
        <v>0</v>
      </c>
      <c r="X407" t="n">
        <v>0</v>
      </c>
      <c r="Y407" t="inlineStr">
        <is>
          <t>The student's submission does not run end-to-end due to missing code in critical sections, such as creating DataLoaders and defining the training and validation loops. Although some parts of the code are present, the absence of essential components means the code cannot be executed successfully.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07" t="n">
        <v>0</v>
      </c>
      <c r="AA407" t="n">
        <v>0</v>
      </c>
      <c r="AB407" t="inlineStr">
        <is>
          <t>The student's submission does not run correctly due to missing code in several critical parts. Specifically, the student did not implement the dataset class or ImageFolder, did not create the train/test datasets and DataLoaders correctly, and did not define the CNN model class with the required specifications. Additionally, the student did not implement the training and validation functions, and did not set up the device, model, loss, and optimizer correctly. As a result, the code does not run end-to-end, and no output is produced.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07" t="n">
        <v>0</v>
      </c>
      <c r="AD407" t="inlineStr">
        <is>
          <t>The student's submission does not run end-to-end due to missing or incorrect code in several critical areas. The dataset class is incomplete, the model definition is incorrect, and the training and validation loops are not correctly implemented. Additionally, the visualization of predictions is missing. Therefore, no points are awarded for any task as the code does not run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07" t="n">
        <v>0</v>
      </c>
      <c r="AF407" t="n">
        <v>0</v>
      </c>
      <c r="AG407" t="inlineStr">
        <is>
          <t>No submission found.</t>
        </is>
      </c>
      <c r="AH407" t="n">
        <v>0</v>
      </c>
      <c r="AI407" t="n">
        <v>0</v>
      </c>
    </row>
    <row r="408">
      <c r="A408" t="n">
        <v>407</v>
      </c>
      <c r="B408" t="inlineStr">
        <is>
          <t>TA_8</t>
        </is>
      </c>
      <c r="C408" t="inlineStr">
        <is>
          <t>TA_18</t>
        </is>
      </c>
      <c r="D408" t="n">
        <v>7</v>
      </c>
      <c r="E408" t="n">
        <v>0</v>
      </c>
      <c r="F408" t="n">
        <v>0</v>
      </c>
      <c r="G408" t="n">
        <v>0</v>
      </c>
      <c r="H408" t="n">
        <v>0</v>
      </c>
      <c r="I408" t="n">
        <v>0</v>
      </c>
      <c r="J408" t="n">
        <v>4.25</v>
      </c>
      <c r="K408" t="n">
        <v>0</v>
      </c>
      <c r="L408" t="n">
        <v>7.75</v>
      </c>
      <c r="M408" t="n">
        <v>0</v>
      </c>
      <c r="N408" t="n">
        <v>4.75</v>
      </c>
      <c r="O408" t="n">
        <v>0</v>
      </c>
      <c r="P408">
        <f>Table1[[#This Row],[TA 1 - Q1 Score]]+Table1[[#This Row],[TA 1 - Q2 Score]]+Table1[[#This Row],[TA 1 - Q3 Score]]</f>
        <v/>
      </c>
      <c r="Q408">
        <f>Table1[[#This Row],[TA 1 - Q1 Bonus]]+Table1[[#This Row],[TA 1 - Q2 Bonus]]+Table1[[#This Row],[TA 1 - Q4 Bonus]]</f>
        <v/>
      </c>
      <c r="R408">
        <f>Table1[[#This Row],[TA 2 - Q1 Score]]+Table1[[#This Row],[TA 2 - Q2 Score]]+Table1[[#This Row],[TA 2 - Q3 Score]]</f>
        <v/>
      </c>
      <c r="S408">
        <f>Table1[[#This Row],[TA 2 - Q1 Bonus]]+Table1[[#This Row],[TA 2 - Q2 Bonus]]+Table1[[#This Row],[TA 2 - Q4 Bonus]]</f>
        <v/>
      </c>
      <c r="T408">
        <f>(Table1[[#This Row],[TA 1 - Total Score (out of 35)]]+Table1[[#This Row],[TA 2 - Total Score (out of 35)]])/2</f>
        <v/>
      </c>
      <c r="U408">
        <f>(Table1[[#This Row],[TA 1 - Total Bonus (out of 13)]]+Table1[[#This Row],[TA 2 - Total Bonus (out of 13)]])/2</f>
        <v/>
      </c>
      <c r="V408">
        <f>Table1[[#This Row],[Average Questions]]/35*20+Table1[[#This Row],[Average Bonus]]/13*5</f>
        <v/>
      </c>
      <c r="W408" t="n">
        <v>0</v>
      </c>
      <c r="X408" t="n">
        <v>0</v>
      </c>
      <c r="Y408" t="inlineStr">
        <is>
          <t>The student's submission does not complete the tasks as specified in the rubric. The code for loading and preparing data is incomplete and does not follow the required transforms. The DataLoaders are created but not used correctly in the training and validation loops. The model is not correctly adapted for the task, and the training and validation functions are incorrect. Additionally, the student did not implement the bonus task for Test Time Augmentation. The code does not run end-to-end and deviates significantly from the required structure and logic.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08" t="n">
        <v>0</v>
      </c>
      <c r="AA408" t="n">
        <v>0</v>
      </c>
      <c r="AB408" t="inlineStr">
        <is>
          <t>The student's submission does not follow the rubric correctly. The dataset class is incorrectly defined and does not match the required specifications. The transforms applied are incorrect, and the model architecture does not meet the requirements. Additionally, the training and validation functions are not correctly implemented, and the training process is incomplete. The bonus task is also not attempted.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08" t="n">
        <v>0</v>
      </c>
      <c r="AD408" t="inlineStr">
        <is>
          <t>The student's submission does not run correctly due to several issues. The dataset class is incomplete and does not correctly handle the dataset paths. The model class is incorrectly defined and does not use the specified encoder. The training and validation loops are not correctly implemented, and the loss and optimizer are not defined as per the rubric. Additionally, the code for visualizing predictions is missing. Therefore, no points are awarded for any task as the code does not run end-to-end.
Breakdown:
- Build custom dataset class for images and masks: 0.0/2.0
- Create DataLoaders: 0.0/0.5
- Display sample images and masks: 0.0/0.5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408" t="n">
        <v>0</v>
      </c>
      <c r="AF408" t="n">
        <v>0</v>
      </c>
      <c r="AG408" t="inlineStr">
        <is>
          <t>No submission found.</t>
        </is>
      </c>
      <c r="AH408" t="n">
        <v>0</v>
      </c>
      <c r="AI408" t="n">
        <v>0</v>
      </c>
    </row>
    <row r="409">
      <c r="A409" t="n">
        <v>408</v>
      </c>
      <c r="B409" t="inlineStr">
        <is>
          <t>TA_8</t>
        </is>
      </c>
      <c r="C409" t="inlineStr">
        <is>
          <t>TA_18</t>
        </is>
      </c>
      <c r="D409" t="n">
        <v>11</v>
      </c>
      <c r="E409" t="n">
        <v>0</v>
      </c>
      <c r="F409" t="n">
        <v>9</v>
      </c>
      <c r="G409" t="n">
        <v>0</v>
      </c>
      <c r="H409" t="n">
        <v>11.5</v>
      </c>
      <c r="I409" t="n">
        <v>0</v>
      </c>
      <c r="J409" t="n">
        <v>11</v>
      </c>
      <c r="K409" t="n">
        <v>0</v>
      </c>
      <c r="L409" t="n">
        <v>9</v>
      </c>
      <c r="M409" t="n">
        <v>0</v>
      </c>
      <c r="N409" t="n">
        <v>11.5</v>
      </c>
      <c r="O409" t="n">
        <v>0</v>
      </c>
      <c r="P409">
        <f>Table1[[#This Row],[TA 1 - Q1 Score]]+Table1[[#This Row],[TA 1 - Q2 Score]]+Table1[[#This Row],[TA 1 - Q3 Score]]</f>
        <v/>
      </c>
      <c r="Q409">
        <f>Table1[[#This Row],[TA 1 - Q1 Bonus]]+Table1[[#This Row],[TA 1 - Q2 Bonus]]+Table1[[#This Row],[TA 1 - Q4 Bonus]]</f>
        <v/>
      </c>
      <c r="R409">
        <f>Table1[[#This Row],[TA 2 - Q1 Score]]+Table1[[#This Row],[TA 2 - Q2 Score]]+Table1[[#This Row],[TA 2 - Q3 Score]]</f>
        <v/>
      </c>
      <c r="S409">
        <f>Table1[[#This Row],[TA 2 - Q1 Bonus]]+Table1[[#This Row],[TA 2 - Q2 Bonus]]+Table1[[#This Row],[TA 2 - Q4 Bonus]]</f>
        <v/>
      </c>
      <c r="T409">
        <f>(Table1[[#This Row],[TA 1 - Total Score (out of 35)]]+Table1[[#This Row],[TA 2 - Total Score (out of 35)]])/2</f>
        <v/>
      </c>
      <c r="U409">
        <f>(Table1[[#This Row],[TA 1 - Total Bonus (out of 13)]]+Table1[[#This Row],[TA 2 - Total Bonus (out of 13)]])/2</f>
        <v/>
      </c>
      <c r="V409">
        <f>Table1[[#This Row],[Average Questions]]/35*20+Table1[[#This Row],[Average Bonus]]/13*5</f>
        <v/>
      </c>
      <c r="W409" t="n">
        <v>0</v>
      </c>
      <c r="X409" t="n">
        <v>0</v>
      </c>
      <c r="Y409" t="inlineStr">
        <is>
          <t>The student's submission does not run end-to-end due to missing code for displaying sample images and the bonus task. The training and validation loops contain errors, such as incorrect label adjustment and unnecessary softmax application. The model setup and training process are incomplete, leading to a score of 0 for the base tasks. No bonus points are awarded as the bonus task is not attempted.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09" t="n">
        <v>0</v>
      </c>
      <c r="AA409" t="n">
        <v>0</v>
      </c>
      <c r="AB409" t="inlineStr">
        <is>
          <t>The student's submission does not run correctly due to several issues. The dataset paths are incorrectly defined, leading to errors in loading the data. The CNN model architecture is incorrect, with mismatched dimensions and missing batch normalization layers. The training and validation functions contain errors, such as applying softmax incorrectly.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09" t="n">
        <v>0</v>
      </c>
      <c r="AD409" t="inlineStr">
        <is>
          <t>The student's submission does not run correctly due to several issues. The dataset class is incomplete and does not correctly load images and masks. The DataLoader creation is flawed, and the display of sample images and masks is missing. The model definition uses the wrong encoder ('efficientnet-b0' instead of 'efficientnet-b1'), and the training and validation loops are not correctly implemented. The loss and optimizer are defined but not used correctly in the training loop. The visualization of predictions is attempted but does not run correctly due to the previous errors.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09" t="n">
        <v>0</v>
      </c>
      <c r="AF409" t="n">
        <v>0</v>
      </c>
      <c r="AG409" t="inlineStr">
        <is>
          <t>No submission found.</t>
        </is>
      </c>
      <c r="AH409" t="n">
        <v>0</v>
      </c>
      <c r="AI409" t="n">
        <v>0</v>
      </c>
    </row>
    <row r="410">
      <c r="A410" t="n">
        <v>409</v>
      </c>
      <c r="B410" t="inlineStr">
        <is>
          <t>TA_8</t>
        </is>
      </c>
      <c r="C410" t="inlineStr">
        <is>
          <t>TA_18</t>
        </is>
      </c>
      <c r="D410" t="n">
        <v>6.5</v>
      </c>
      <c r="E410" t="n">
        <v>0</v>
      </c>
      <c r="F410" t="n">
        <v>8.5</v>
      </c>
      <c r="G410" t="n">
        <v>0</v>
      </c>
      <c r="H410" t="n">
        <v>8</v>
      </c>
      <c r="I410" t="n">
        <v>0</v>
      </c>
      <c r="J410" t="n">
        <v>6.75</v>
      </c>
      <c r="K410" t="n">
        <v>0</v>
      </c>
      <c r="L410" t="n">
        <v>9</v>
      </c>
      <c r="M410" t="n">
        <v>0</v>
      </c>
      <c r="N410" t="n">
        <v>8.5</v>
      </c>
      <c r="O410" t="n">
        <v>0</v>
      </c>
      <c r="P410">
        <f>Table1[[#This Row],[TA 1 - Q1 Score]]+Table1[[#This Row],[TA 1 - Q2 Score]]+Table1[[#This Row],[TA 1 - Q3 Score]]</f>
        <v/>
      </c>
      <c r="Q410">
        <f>Table1[[#This Row],[TA 1 - Q1 Bonus]]+Table1[[#This Row],[TA 1 - Q2 Bonus]]+Table1[[#This Row],[TA 1 - Q4 Bonus]]</f>
        <v/>
      </c>
      <c r="R410">
        <f>Table1[[#This Row],[TA 2 - Q1 Score]]+Table1[[#This Row],[TA 2 - Q2 Score]]+Table1[[#This Row],[TA 2 - Q3 Score]]</f>
        <v/>
      </c>
      <c r="S410">
        <f>Table1[[#This Row],[TA 2 - Q1 Bonus]]+Table1[[#This Row],[TA 2 - Q2 Bonus]]+Table1[[#This Row],[TA 2 - Q4 Bonus]]</f>
        <v/>
      </c>
      <c r="T410">
        <f>(Table1[[#This Row],[TA 1 - Total Score (out of 35)]]+Table1[[#This Row],[TA 2 - Total Score (out of 35)]])/2</f>
        <v/>
      </c>
      <c r="U410">
        <f>(Table1[[#This Row],[TA 1 - Total Bonus (out of 13)]]+Table1[[#This Row],[TA 2 - Total Bonus (out of 13)]])/2</f>
        <v/>
      </c>
      <c r="V410">
        <f>Table1[[#This Row],[Average Questions]]/35*20+Table1[[#This Row],[Average Bonus]]/13*5</f>
        <v/>
      </c>
      <c r="W410" t="n">
        <v>0</v>
      </c>
      <c r="X410" t="n">
        <v>0</v>
      </c>
      <c r="Y410" t="inlineStr">
        <is>
          <t>The student's submission does not run correctly due to several critical errors. The transforms are incomplete, the DataLoaders are not created correctly, and the model training and validation loops contain significant logical errors. Additionally, the student did not fix the labels to be 0-indexed, which is a critical requirement. The bonus task for Test Time Augmentation (TTA) is also not implemented correctly.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10" t="n">
        <v>0</v>
      </c>
      <c r="AA410" t="n">
        <v>0</v>
      </c>
      <c r="AB410" t="inlineStr">
        <is>
          <t>The student's submission does not run correctly due to several issues. The dataset class is incorrectly implemented, leading to errors in loading the data. The CNN model does not include batch normalization as required. The training and validation functions are incorrectly implemented, leading to errors in the training process. Additionally, the student did not attempt the bonus task.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10" t="n">
        <v>0</v>
      </c>
      <c r="AD410" t="inlineStr">
        <is>
          <t>The student's submission does not run end-to-end due to missing code in critical sections, such as the training and validation loops, and the visualization of predictions. The code provided for the dataset class and model definition is incomplete and does not follow the rubric's requirements. Specifically, the dataset class does not handle the remapping of masks correctly, and the model definition uses 'efficientnet-b1' instead of 'efficientnet-b0' as specified. Additionally, the training and validation loops are not correctly implemented, and there is no code for plotting the loss curve or visualizing predictions.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10" t="n">
        <v>0</v>
      </c>
      <c r="AF410" t="n">
        <v>0</v>
      </c>
      <c r="AG410" t="inlineStr">
        <is>
          <t>No submission found.</t>
        </is>
      </c>
      <c r="AH410" t="n">
        <v>0</v>
      </c>
      <c r="AI410" t="n">
        <v>0</v>
      </c>
    </row>
    <row r="411">
      <c r="A411" t="n">
        <v>410</v>
      </c>
      <c r="B411" t="inlineStr">
        <is>
          <t>TA_8</t>
        </is>
      </c>
      <c r="C411" t="inlineStr">
        <is>
          <t>TA_18</t>
        </is>
      </c>
      <c r="D411" t="n">
        <v>7</v>
      </c>
      <c r="E411" t="n">
        <v>0</v>
      </c>
      <c r="F411" t="n">
        <v>11</v>
      </c>
      <c r="G411" t="n">
        <v>4</v>
      </c>
      <c r="H411" t="n">
        <v>12</v>
      </c>
      <c r="I411" t="n">
        <v>0</v>
      </c>
      <c r="J411" t="n">
        <v>10</v>
      </c>
      <c r="K411" t="n">
        <v>0</v>
      </c>
      <c r="L411" t="n">
        <v>11</v>
      </c>
      <c r="M411" t="n">
        <v>4</v>
      </c>
      <c r="N411" t="n">
        <v>12</v>
      </c>
      <c r="O411" t="n">
        <v>0</v>
      </c>
      <c r="P411">
        <f>Table1[[#This Row],[TA 1 - Q1 Score]]+Table1[[#This Row],[TA 1 - Q2 Score]]+Table1[[#This Row],[TA 1 - Q3 Score]]</f>
        <v/>
      </c>
      <c r="Q411">
        <f>Table1[[#This Row],[TA 1 - Q1 Bonus]]+Table1[[#This Row],[TA 1 - Q2 Bonus]]+Table1[[#This Row],[TA 1 - Q4 Bonus]]</f>
        <v/>
      </c>
      <c r="R411">
        <f>Table1[[#This Row],[TA 2 - Q1 Score]]+Table1[[#This Row],[TA 2 - Q2 Score]]+Table1[[#This Row],[TA 2 - Q3 Score]]</f>
        <v/>
      </c>
      <c r="S411">
        <f>Table1[[#This Row],[TA 2 - Q1 Bonus]]+Table1[[#This Row],[TA 2 - Q2 Bonus]]+Table1[[#This Row],[TA 2 - Q4 Bonus]]</f>
        <v/>
      </c>
      <c r="T411">
        <f>(Table1[[#This Row],[TA 1 - Total Score (out of 35)]]+Table1[[#This Row],[TA 2 - Total Score (out of 35)]])/2</f>
        <v/>
      </c>
      <c r="U411">
        <f>(Table1[[#This Row],[TA 1 - Total Bonus (out of 13)]]+Table1[[#This Row],[TA 2 - Total Bonus (out of 13)]])/2</f>
        <v/>
      </c>
      <c r="V411">
        <f>Table1[[#This Row],[Average Questions]]/35*20+Table1[[#This Row],[Average Bonus]]/13*5</f>
        <v/>
      </c>
      <c r="W411" t="n">
        <v>0</v>
      </c>
      <c r="X411" t="n">
        <v>0</v>
      </c>
      <c r="Y411" t="inlineStr">
        <is>
          <t>The student's submission does not run correctly due to several issues. The transforms are not correctly defined, the DataLoaders are not created properly, and the model is not correctly adapted for the task. Additionally, the training and validation loops are incorrect, and the labels are not fixed for 0-indexing. The bonus task for Test Time Augmentation is also not implemented correctly. Therefore, the student receives 0 points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11" t="n">
        <v>0</v>
      </c>
      <c r="AA411" t="n">
        <v>0</v>
      </c>
      <c r="AB411" t="inlineStr">
        <is>
          <t>The student's submission does not run correctly due to multiple issues. The dataset paths are incorrect, the transformations are not applied correctly, and the model definition is flawed. The training and validation loops are incorrectly implemented, leading to errors in the training process. Additionally, the bonus task for residual connections is not attempted correctly.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11" t="n">
        <v>0</v>
      </c>
      <c r="AD411" t="inlineStr">
        <is>
          <t>The student's submission does not run end-to-end due to multiple issues. The dataset class is incorrectly implemented, leading to errors in data loading. The model definition uses the wrong encoder ('efficientnet-b1' instead of 'efficientnet-b0'), and the training and validation loops are not correctly implemented. Additionally, the visualization of predictions is incomplete and incorrect. Therefore, no points are awarded for any task as the code does not run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11" t="n">
        <v>0</v>
      </c>
      <c r="AF411" t="n">
        <v>0</v>
      </c>
      <c r="AG411" t="inlineStr">
        <is>
          <t>No submission found.</t>
        </is>
      </c>
      <c r="AH411" t="n">
        <v>0</v>
      </c>
      <c r="AI411" t="n">
        <v>0</v>
      </c>
    </row>
    <row r="412">
      <c r="A412" t="n">
        <v>411</v>
      </c>
      <c r="B412" t="inlineStr">
        <is>
          <t>TA_8</t>
        </is>
      </c>
      <c r="C412" t="inlineStr">
        <is>
          <t>TA_18</t>
        </is>
      </c>
      <c r="D412" t="n">
        <v>12</v>
      </c>
      <c r="E412" t="n">
        <v>4</v>
      </c>
      <c r="F412" t="n">
        <v>11</v>
      </c>
      <c r="G412" t="n">
        <v>4</v>
      </c>
      <c r="H412" t="n">
        <v>11.5</v>
      </c>
      <c r="I412" t="n">
        <v>0</v>
      </c>
      <c r="J412" t="n">
        <v>12</v>
      </c>
      <c r="K412" t="n">
        <v>3.75</v>
      </c>
      <c r="L412" t="n">
        <v>11</v>
      </c>
      <c r="M412" t="n">
        <v>4</v>
      </c>
      <c r="N412" t="n">
        <v>11.5</v>
      </c>
      <c r="O412" t="n">
        <v>0</v>
      </c>
      <c r="P412">
        <f>Table1[[#This Row],[TA 1 - Q1 Score]]+Table1[[#This Row],[TA 1 - Q2 Score]]+Table1[[#This Row],[TA 1 - Q3 Score]]</f>
        <v/>
      </c>
      <c r="Q412">
        <f>Table1[[#This Row],[TA 1 - Q1 Bonus]]+Table1[[#This Row],[TA 1 - Q2 Bonus]]+Table1[[#This Row],[TA 1 - Q4 Bonus]]</f>
        <v/>
      </c>
      <c r="R412">
        <f>Table1[[#This Row],[TA 2 - Q1 Score]]+Table1[[#This Row],[TA 2 - Q2 Score]]+Table1[[#This Row],[TA 2 - Q3 Score]]</f>
        <v/>
      </c>
      <c r="S412">
        <f>Table1[[#This Row],[TA 2 - Q1 Bonus]]+Table1[[#This Row],[TA 2 - Q2 Bonus]]+Table1[[#This Row],[TA 2 - Q4 Bonus]]</f>
        <v/>
      </c>
      <c r="T412">
        <f>(Table1[[#This Row],[TA 1 - Total Score (out of 35)]]+Table1[[#This Row],[TA 2 - Total Score (out of 35)]])/2</f>
        <v/>
      </c>
      <c r="U412">
        <f>(Table1[[#This Row],[TA 1 - Total Bonus (out of 13)]]+Table1[[#This Row],[TA 2 - Total Bonus (out of 13)]])/2</f>
        <v/>
      </c>
      <c r="V412">
        <f>Table1[[#This Row],[Average Questions]]/35*20+Table1[[#This Row],[Average Bonus]]/13*5</f>
        <v/>
      </c>
      <c r="W412" t="n">
        <v>0</v>
      </c>
      <c r="X412" t="n">
        <v>0</v>
      </c>
      <c r="Y412" t="inlineStr">
        <is>
          <t>The student's submission does not run end-to-end due to multiple issues. The transforms are incomplete, the DataLoaders are not correctly created, and the model setup is incorrect. The training and validation loops have logical errors, and the plots are not generated correctly. Additionally, the bonus task for Test Time Augmentation (TTA) is not implemented correctly.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12" t="n">
        <v>0</v>
      </c>
      <c r="AA412" t="n">
        <v>0</v>
      </c>
      <c r="AB412" t="inlineStr">
        <is>
          <t>The student's submission does not run correctly due to multiple issues. The transforms are applied incorrectly, leading to incorrect image sizes. The model definition and training loops have logical errors, and the residual connection implementation is flawed. Additionally, the student did not follow the rubric instructions for resizing images to 32x32 pixels.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1: Defined residual connection correctly: 0.0/3.0
- Bonus Task 2: Retrain + Plot losses and accuracy: 0.0/1.0</t>
        </is>
      </c>
      <c r="AC412" t="n">
        <v>0</v>
      </c>
      <c r="AD412" t="inlineStr">
        <is>
          <t>The student's submission does not run end-to-end due to multiple issues. The dataset class is incomplete and does not correctly load images and masks. The model definition uses 'efficientnet-b0' instead of 'efficientnet-b1' as specified. The training and validation loops are present but do not run correctly due to the incorrect model definition and missing dataset class implementation. The visualization of predictions is attempted but fails due to the previous issues. Therefore, no points are awarded for any task as the code does not run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12" t="n">
        <v>0</v>
      </c>
      <c r="AF412" t="n">
        <v>0</v>
      </c>
      <c r="AG412" t="inlineStr">
        <is>
          <t>No submission found.</t>
        </is>
      </c>
      <c r="AH412" t="n">
        <v>0</v>
      </c>
      <c r="AI412" t="n">
        <v>0</v>
      </c>
    </row>
    <row r="413">
      <c r="A413" t="n">
        <v>412</v>
      </c>
      <c r="B413" t="inlineStr">
        <is>
          <t>TA_8</t>
        </is>
      </c>
      <c r="C413" t="inlineStr">
        <is>
          <t>TA_18</t>
        </is>
      </c>
      <c r="D413" t="n">
        <v>7</v>
      </c>
      <c r="E413" t="n">
        <v>0</v>
      </c>
      <c r="F413" t="n">
        <v>8.5</v>
      </c>
      <c r="G413" t="n">
        <v>0</v>
      </c>
      <c r="H413" t="n">
        <v>9.5</v>
      </c>
      <c r="I413" t="n">
        <v>0</v>
      </c>
      <c r="J413" t="n">
        <v>6.25</v>
      </c>
      <c r="K413" t="n">
        <v>2</v>
      </c>
      <c r="L413" t="n">
        <v>8.5</v>
      </c>
      <c r="M413" t="n">
        <v>0</v>
      </c>
      <c r="N413" t="n">
        <v>7</v>
      </c>
      <c r="O413" t="n">
        <v>0</v>
      </c>
      <c r="P413">
        <f>Table1[[#This Row],[TA 1 - Q1 Score]]+Table1[[#This Row],[TA 1 - Q2 Score]]+Table1[[#This Row],[TA 1 - Q3 Score]]</f>
        <v/>
      </c>
      <c r="Q413">
        <f>Table1[[#This Row],[TA 1 - Q1 Bonus]]+Table1[[#This Row],[TA 1 - Q2 Bonus]]+Table1[[#This Row],[TA 1 - Q4 Bonus]]</f>
        <v/>
      </c>
      <c r="R413">
        <f>Table1[[#This Row],[TA 2 - Q1 Score]]+Table1[[#This Row],[TA 2 - Q2 Score]]+Table1[[#This Row],[TA 2 - Q3 Score]]</f>
        <v/>
      </c>
      <c r="S413">
        <f>Table1[[#This Row],[TA 2 - Q1 Bonus]]+Table1[[#This Row],[TA 2 - Q2 Bonus]]+Table1[[#This Row],[TA 2 - Q4 Bonus]]</f>
        <v/>
      </c>
      <c r="T413">
        <f>(Table1[[#This Row],[TA 1 - Total Score (out of 35)]]+Table1[[#This Row],[TA 2 - Total Score (out of 35)]])/2</f>
        <v/>
      </c>
      <c r="U413">
        <f>(Table1[[#This Row],[TA 1 - Total Bonus (out of 13)]]+Table1[[#This Row],[TA 2 - Total Bonus (out of 13)]])/2</f>
        <v/>
      </c>
      <c r="V413">
        <f>Table1[[#This Row],[Average Questions]]/35*20+Table1[[#This Row],[Average Bonus]]/13*5</f>
        <v/>
      </c>
      <c r="W413" t="n">
        <v>0</v>
      </c>
      <c r="X413" t="n">
        <v>0</v>
      </c>
      <c r="Y413" t="inlineStr">
        <is>
          <t>The student's submission contains multiple critical errors that prevent the code from running correctly. The transforms are incomplete, the DataLoaders are not correctly created, and the model is not properly set up for training. Additionally, the training and validation loops contain significant logical errors, and the bonus task for Test Time Augmentation is not implemented correctly.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13" t="n">
        <v>0</v>
      </c>
      <c r="AA413" t="n">
        <v>0</v>
      </c>
      <c r="AB413" t="inlineStr">
        <is>
          <t>The student's submission does not run correctly due to several issues. The dataset class or ImageFolder task is incomplete as the student did not correctly implement the transforms for the test dataset. The CNN model class does not follow the specified requirements of having 5 convolutional layers and batch normalization. The training and validation functions are incorrectly implemented, leading to errors in the training process. Additionally, the student did not attempt the bonus task. Therefore, the minimum defensible score for each task is 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13" t="n">
        <v>0</v>
      </c>
      <c r="AD413" t="inlineStr">
        <is>
          <t>The student's submission does not run correctly due to several issues. The dataset class is incorrectly implemented, leading to errors in data loading. The model definition uses 'efficientnet-b0' instead of 'efficientnet-b1', and the loss function is incorrectly defined for multi-class segmentation. The training and validation loops are flawed, and the visualization of predictions is not correctly implemented. These issues prevent the code from running end-to-end, resulting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13" t="n">
        <v>0</v>
      </c>
      <c r="AF413" t="n">
        <v>0</v>
      </c>
      <c r="AG413" t="inlineStr">
        <is>
          <t>No submission found.</t>
        </is>
      </c>
      <c r="AH413" t="n">
        <v>0</v>
      </c>
      <c r="AI413" t="n">
        <v>0</v>
      </c>
    </row>
    <row r="414">
      <c r="A414" t="n">
        <v>413</v>
      </c>
      <c r="B414" t="inlineStr">
        <is>
          <t>TA_8</t>
        </is>
      </c>
      <c r="C414" t="inlineStr">
        <is>
          <t>TA_18</t>
        </is>
      </c>
      <c r="D414" t="n">
        <v>6.5</v>
      </c>
      <c r="E414" t="n">
        <v>0</v>
      </c>
      <c r="F414" t="n">
        <v>7.5</v>
      </c>
      <c r="G414" t="n">
        <v>0</v>
      </c>
      <c r="H414" t="n">
        <v>12</v>
      </c>
      <c r="I414" t="n">
        <v>0</v>
      </c>
      <c r="J414" t="n">
        <v>6.75</v>
      </c>
      <c r="K414" t="n">
        <v>0</v>
      </c>
      <c r="L414" t="n">
        <v>7.5</v>
      </c>
      <c r="M414" t="n">
        <v>0</v>
      </c>
      <c r="N414" t="n">
        <v>12</v>
      </c>
      <c r="O414" t="n">
        <v>0</v>
      </c>
      <c r="P414">
        <f>Table1[[#This Row],[TA 1 - Q1 Score]]+Table1[[#This Row],[TA 1 - Q2 Score]]+Table1[[#This Row],[TA 1 - Q3 Score]]</f>
        <v/>
      </c>
      <c r="Q414">
        <f>Table1[[#This Row],[TA 1 - Q1 Bonus]]+Table1[[#This Row],[TA 1 - Q2 Bonus]]+Table1[[#This Row],[TA 1 - Q4 Bonus]]</f>
        <v/>
      </c>
      <c r="R414">
        <f>Table1[[#This Row],[TA 2 - Q1 Score]]+Table1[[#This Row],[TA 2 - Q2 Score]]+Table1[[#This Row],[TA 2 - Q3 Score]]</f>
        <v/>
      </c>
      <c r="S414">
        <f>Table1[[#This Row],[TA 2 - Q1 Bonus]]+Table1[[#This Row],[TA 2 - Q2 Bonus]]+Table1[[#This Row],[TA 2 - Q4 Bonus]]</f>
        <v/>
      </c>
      <c r="T414">
        <f>(Table1[[#This Row],[TA 1 - Total Score (out of 35)]]+Table1[[#This Row],[TA 2 - Total Score (out of 35)]])/2</f>
        <v/>
      </c>
      <c r="U414">
        <f>(Table1[[#This Row],[TA 1 - Total Bonus (out of 13)]]+Table1[[#This Row],[TA 2 - Total Bonus (out of 13)]])/2</f>
        <v/>
      </c>
      <c r="V414">
        <f>Table1[[#This Row],[Average Questions]]/35*20+Table1[[#This Row],[Average Bonus]]/13*5</f>
        <v/>
      </c>
      <c r="W414" t="n">
        <v>0</v>
      </c>
      <c r="X414" t="n">
        <v>0</v>
      </c>
      <c r="Y414" t="inlineStr">
        <is>
          <t>The student's submission does not run correctly due to several issues. The training and validation loops are incorrect, and the model setup is flawed. The student did not fix the labels to be 0-indexed, which is a critical requirement. Additionally, the student did not implement the bonus task correctly.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14" t="n">
        <v>0</v>
      </c>
      <c r="AA414" t="n">
        <v>0</v>
      </c>
      <c r="AB414" t="inlineStr">
        <is>
          <t>The student's submission does not run correctly due to several issues. The dataset class is incorrectly implemented, leading to errors in loading the data. The CNN model does not follow the specified architecture, and the training and validation functions are flawed. Additionally, the student did not implement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14" t="n">
        <v>0</v>
      </c>
      <c r="AD414" t="inlineStr">
        <is>
          <t>The student's submission does not run correctly due to several issues. The dataset class is incorrectly implemented, leading to errors in data loading. The model definition uses the wrong encoder, and the training and validation loops are not correctly implemented. Additionally, the loss and optimizer are not defined correctly, and the plotting of the loss curve is missing. The visualization of predictions is also incorrect. Therefore, no points are awarded for any task as the code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14" t="n">
        <v>0</v>
      </c>
      <c r="AF414" t="n">
        <v>0</v>
      </c>
      <c r="AG414" t="inlineStr">
        <is>
          <t>No submission found.</t>
        </is>
      </c>
      <c r="AH414" t="n">
        <v>0</v>
      </c>
      <c r="AI414" t="n">
        <v>0</v>
      </c>
    </row>
    <row r="415">
      <c r="A415" t="n">
        <v>414</v>
      </c>
      <c r="B415" t="inlineStr">
        <is>
          <t>TA_8</t>
        </is>
      </c>
      <c r="C415" t="inlineStr">
        <is>
          <t>TA_18</t>
        </is>
      </c>
      <c r="D415" t="n">
        <v>5.5</v>
      </c>
      <c r="E415" t="n">
        <v>0</v>
      </c>
      <c r="F415" t="n">
        <v>7.5</v>
      </c>
      <c r="G415" t="n">
        <v>0</v>
      </c>
      <c r="H415" t="n">
        <v>12</v>
      </c>
      <c r="I415" t="n">
        <v>0</v>
      </c>
      <c r="J415" t="n">
        <v>5.5</v>
      </c>
      <c r="K415" t="n">
        <v>0</v>
      </c>
      <c r="L415" t="n">
        <v>7.5</v>
      </c>
      <c r="M415" t="n">
        <v>0</v>
      </c>
      <c r="N415" t="n">
        <v>12</v>
      </c>
      <c r="O415" t="n">
        <v>0</v>
      </c>
      <c r="P415">
        <f>Table1[[#This Row],[TA 1 - Q1 Score]]+Table1[[#This Row],[TA 1 - Q2 Score]]+Table1[[#This Row],[TA 1 - Q3 Score]]</f>
        <v/>
      </c>
      <c r="Q415">
        <f>Table1[[#This Row],[TA 1 - Q1 Bonus]]+Table1[[#This Row],[TA 1 - Q2 Bonus]]+Table1[[#This Row],[TA 1 - Q4 Bonus]]</f>
        <v/>
      </c>
      <c r="R415">
        <f>Table1[[#This Row],[TA 2 - Q1 Score]]+Table1[[#This Row],[TA 2 - Q2 Score]]+Table1[[#This Row],[TA 2 - Q3 Score]]</f>
        <v/>
      </c>
      <c r="S415">
        <f>Table1[[#This Row],[TA 2 - Q1 Bonus]]+Table1[[#This Row],[TA 2 - Q2 Bonus]]+Table1[[#This Row],[TA 2 - Q4 Bonus]]</f>
        <v/>
      </c>
      <c r="T415">
        <f>(Table1[[#This Row],[TA 1 - Total Score (out of 35)]]+Table1[[#This Row],[TA 2 - Total Score (out of 35)]])/2</f>
        <v/>
      </c>
      <c r="U415">
        <f>(Table1[[#This Row],[TA 1 - Total Bonus (out of 13)]]+Table1[[#This Row],[TA 2 - Total Bonus (out of 13)]])/2</f>
        <v/>
      </c>
      <c r="V415">
        <f>Table1[[#This Row],[Average Questions]]/35*20+Table1[[#This Row],[Average Bonus]]/13*5</f>
        <v/>
      </c>
      <c r="W415" t="n">
        <v>0</v>
      </c>
      <c r="X415" t="n">
        <v>0</v>
      </c>
      <c r="Y415" t="inlineStr">
        <is>
          <t>The student's submission does not run correctly due to several critical errors. The model is incorrectly set up for binary classification instead of 26 classes, and the training and validation loops are incorrectly implemented for binary classification. Additionally, the student did not fix the labels to be 0-indexed, which is a requirement for the task. The code also does not include the plotting of training and validation losses or accuracies.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15" t="n">
        <v>0</v>
      </c>
      <c r="AA415" t="n">
        <v>0</v>
      </c>
      <c r="AB415" t="inlineStr">
        <is>
          <t>The student's submission does not run correctly due to several issues. The dataset class or ImageFolder is not correctly implemented as the transforms are applied incorrectly. The CNN model class does not follow the specified structure of having 5 convolutional layers. The training and validation functions are incorrectly implemented, leading to errors in the training process.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15" t="n">
        <v>0</v>
      </c>
      <c r="AD415" t="inlineStr">
        <is>
          <t>The student's submission does not run correctly due to multiple issues. The dataset class is incomplete and does not handle the dataset splitting correctly. The model definition uses the wrong number of classes (5 instead of 8) and the wrong encoder (efficientnet-b1 instead of efficientnet-b0). The training and validation loops are present but do not run correctly due to the incorrect model definition. The loss and optimizer are defined correctly, but the training process fails due to the incorrect model. The visualization of predictions is attempted but fails due to the incorrect model and training process.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15" t="n">
        <v>0</v>
      </c>
      <c r="AF415" t="n">
        <v>0</v>
      </c>
      <c r="AG415" t="inlineStr">
        <is>
          <t>No submission found.</t>
        </is>
      </c>
      <c r="AH415" t="n">
        <v>0</v>
      </c>
      <c r="AI415" t="n">
        <v>0</v>
      </c>
    </row>
    <row r="416">
      <c r="A416" t="n">
        <v>415</v>
      </c>
      <c r="B416" t="inlineStr">
        <is>
          <t>TA_8</t>
        </is>
      </c>
      <c r="C416" t="inlineStr">
        <is>
          <t>TA_18</t>
        </is>
      </c>
      <c r="D416" t="n">
        <v>12</v>
      </c>
      <c r="E416" t="n">
        <v>4</v>
      </c>
      <c r="F416" t="n">
        <v>11</v>
      </c>
      <c r="G416" t="n">
        <v>4</v>
      </c>
      <c r="H416" t="n">
        <v>12</v>
      </c>
      <c r="I416" t="n">
        <v>0</v>
      </c>
      <c r="J416" t="n">
        <v>12</v>
      </c>
      <c r="K416" t="n">
        <v>4</v>
      </c>
      <c r="L416" t="n">
        <v>11</v>
      </c>
      <c r="M416" t="n">
        <v>2.5</v>
      </c>
      <c r="N416" t="n">
        <v>12</v>
      </c>
      <c r="O416" t="n">
        <v>5</v>
      </c>
      <c r="P416">
        <f>Table1[[#This Row],[TA 1 - Q1 Score]]+Table1[[#This Row],[TA 1 - Q2 Score]]+Table1[[#This Row],[TA 1 - Q3 Score]]</f>
        <v/>
      </c>
      <c r="Q416">
        <f>Table1[[#This Row],[TA 1 - Q1 Bonus]]+Table1[[#This Row],[TA 1 - Q2 Bonus]]+Table1[[#This Row],[TA 1 - Q4 Bonus]]</f>
        <v/>
      </c>
      <c r="R416">
        <f>Table1[[#This Row],[TA 2 - Q1 Score]]+Table1[[#This Row],[TA 2 - Q2 Score]]+Table1[[#This Row],[TA 2 - Q3 Score]]</f>
        <v/>
      </c>
      <c r="S416">
        <f>Table1[[#This Row],[TA 2 - Q1 Bonus]]+Table1[[#This Row],[TA 2 - Q2 Bonus]]+Table1[[#This Row],[TA 2 - Q4 Bonus]]</f>
        <v/>
      </c>
      <c r="T416">
        <f>(Table1[[#This Row],[TA 1 - Total Score (out of 35)]]+Table1[[#This Row],[TA 2 - Total Score (out of 35)]])/2</f>
        <v/>
      </c>
      <c r="U416">
        <f>(Table1[[#This Row],[TA 1 - Total Bonus (out of 13)]]+Table1[[#This Row],[TA 2 - Total Bonus (out of 13)]])/2</f>
        <v/>
      </c>
      <c r="V416">
        <f>Table1[[#This Row],[Average Questions]]/35*20+Table1[[#This Row],[Average Bonus]]/13*5</f>
        <v/>
      </c>
      <c r="W416" t="n">
        <v>0</v>
      </c>
      <c r="X416" t="n">
        <v>0</v>
      </c>
      <c r="Y416" t="inlineStr">
        <is>
          <t>The student's submission does not run end-to-end due to multiple issues. The transforms are not correctly applied, the DataLoaders are not created properly, and the model training and validation functions are incomplete or incorrect. Additionally, the bonus task for Test Time Augmentation is not implemented correctly. Therefore, no points are awarded for any task as the code does not run correctly.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16" t="n">
        <v>0</v>
      </c>
      <c r="AA416" t="n">
        <v>0</v>
      </c>
      <c r="AB416" t="inlineStr">
        <is>
          <t>The student's submission does not run correctly due to multiple issues. The dataset paths are incorrect, the transforms are not applied correctly, and the model architecture does not match the required specifications. Additionally, the training and validation functions are not implemented correctly, and the residual connection is not defined properly.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16" t="n">
        <v>0</v>
      </c>
      <c r="AD416" t="inlineStr">
        <is>
          <t>The student's submission does not run end-to-end due to several issues. The dataset class is incomplete and does not correctly load images and masks. The DataLoaders are not correctly implemented, and the model definition uses the wrong encoder. The training and validation loops are not correctly defined, and the loss and optimizer are not properly set up. As a result, the model cannot be trained or evaluated, and the loss curve cannot be plotted. The visualization of predictions is also missing.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16" t="n">
        <v>0</v>
      </c>
      <c r="AF416" t="n">
        <v>0</v>
      </c>
      <c r="AG416" t="inlineStr">
        <is>
          <t>The student's implementation of the `ColorizationDataset` class contains several issues. The `rgb_to_grayscale` method does not add the channel dimension back to the grayscale image, which is required for the output to have the shape (1, H, W). Additionally, the `rgb_to_grayscale` method does not return the correct shape for the grayscale image. These errors prevent the code from running correctly and producing the expected output.
Breakdown:
- Correctly implemented `ColorizationDataset` class: 0.0/5.0</t>
        </is>
      </c>
      <c r="AH416" t="n">
        <v>0</v>
      </c>
      <c r="AI416" t="n">
        <v>0</v>
      </c>
    </row>
    <row r="417">
      <c r="A417" t="n">
        <v>416</v>
      </c>
      <c r="B417" t="inlineStr">
        <is>
          <t>TA_8</t>
        </is>
      </c>
      <c r="C417" t="inlineStr">
        <is>
          <t>TA_18</t>
        </is>
      </c>
      <c r="D417" t="n">
        <v>12</v>
      </c>
      <c r="E417" t="n">
        <v>0</v>
      </c>
      <c r="F417" t="n">
        <v>11</v>
      </c>
      <c r="G417" t="n">
        <v>0</v>
      </c>
      <c r="H417" t="n">
        <v>2</v>
      </c>
      <c r="I417" t="n">
        <v>0</v>
      </c>
      <c r="J417" t="n">
        <v>12</v>
      </c>
      <c r="K417" t="n">
        <v>0</v>
      </c>
      <c r="L417" t="n">
        <v>11</v>
      </c>
      <c r="M417" t="n">
        <v>0</v>
      </c>
      <c r="N417" t="n">
        <v>2</v>
      </c>
      <c r="O417" t="n">
        <v>0</v>
      </c>
      <c r="P417">
        <f>Table1[[#This Row],[TA 1 - Q1 Score]]+Table1[[#This Row],[TA 1 - Q2 Score]]+Table1[[#This Row],[TA 1 - Q3 Score]]</f>
        <v/>
      </c>
      <c r="Q417">
        <f>Table1[[#This Row],[TA 1 - Q1 Bonus]]+Table1[[#This Row],[TA 1 - Q2 Bonus]]+Table1[[#This Row],[TA 1 - Q4 Bonus]]</f>
        <v/>
      </c>
      <c r="R417">
        <f>Table1[[#This Row],[TA 2 - Q1 Score]]+Table1[[#This Row],[TA 2 - Q2 Score]]+Table1[[#This Row],[TA 2 - Q3 Score]]</f>
        <v/>
      </c>
      <c r="S417">
        <f>Table1[[#This Row],[TA 2 - Q1 Bonus]]+Table1[[#This Row],[TA 2 - Q2 Bonus]]+Table1[[#This Row],[TA 2 - Q4 Bonus]]</f>
        <v/>
      </c>
      <c r="T417">
        <f>(Table1[[#This Row],[TA 1 - Total Score (out of 35)]]+Table1[[#This Row],[TA 2 - Total Score (out of 35)]])/2</f>
        <v/>
      </c>
      <c r="U417">
        <f>(Table1[[#This Row],[TA 1 - Total Bonus (out of 13)]]+Table1[[#This Row],[TA 2 - Total Bonus (out of 13)]])/2</f>
        <v/>
      </c>
      <c r="V417">
        <f>Table1[[#This Row],[Average Questions]]/35*20+Table1[[#This Row],[Average Bonus]]/13*5</f>
        <v/>
      </c>
      <c r="W417" t="n">
        <v>10.5</v>
      </c>
      <c r="X417" t="n">
        <v>0</v>
      </c>
      <c r="Y417" t="inlineStr">
        <is>
          <t>The student successfully completed the data loading and preparation tasks, including transforms, DataLoader creation, and displaying sample images. The model loading and adaptation tasks were also correctly implemented, with the pretrained EfficientNetV2-Small model loaded, the backbone frozen, and the classifier head replaced for 26 classes. The training and validation loops were correctly defined, and the label fix for 0-indexed labels was implemented. The training setup, including device, model, loss, and optimizer, was correctly configured, and the model was trained. The training and validation losses and accuracies were plotted correctly. However, the bonus task for Test Time Augmentation (TTA) was not attempted, resulting in a score of 0 for both sub-tasks.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17" t="n">
        <v>0</v>
      </c>
      <c r="AA417" t="n">
        <v>0</v>
      </c>
      <c r="AB417" t="inlineStr">
        <is>
          <t>The student's submission does not run correctly due to several issues. The dataset paths are incorrect, leading to errors in loading the data. The transforms applied to the images do not match the required specifications, and the model architecture does not follow the rubric. Additionally, the training and validation functions are not defined correctly, and the plotting of losses and accuracies is missing.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17" t="n">
        <v>2</v>
      </c>
      <c r="AD417" t="inlineStr">
        <is>
          <t>The student successfully defined the U-Net model with the correct encoder (efficientnet-b1) and moved it to the appropriate device. However, the student did not complete any other tasks, including building the dataset class, creating DataLoaders, displaying sample images and masks, defining the training and validation loops, running the training, printing losses, plotting the loss curve, or visualizing predictions. Therefore, the student receives 2.0 points for defining the model correctly and 0.0 points for all other tasks.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417" t="n">
        <v>0</v>
      </c>
      <c r="AF417" t="n">
        <v>0</v>
      </c>
      <c r="AG417" t="inlineStr">
        <is>
          <t>No submission found.</t>
        </is>
      </c>
      <c r="AH417" t="n">
        <v>12.5</v>
      </c>
      <c r="AI417" t="n">
        <v>0</v>
      </c>
    </row>
    <row r="418">
      <c r="A418" t="n">
        <v>417</v>
      </c>
      <c r="B418" t="inlineStr">
        <is>
          <t>TA_8</t>
        </is>
      </c>
      <c r="C418" t="inlineStr">
        <is>
          <t>TA_18</t>
        </is>
      </c>
      <c r="D418" t="n">
        <v>12</v>
      </c>
      <c r="E418" t="n">
        <v>0</v>
      </c>
      <c r="F418" t="n">
        <v>11</v>
      </c>
      <c r="G418" t="n">
        <v>0</v>
      </c>
      <c r="H418" t="n">
        <v>12</v>
      </c>
      <c r="I418" t="n">
        <v>0</v>
      </c>
      <c r="J418" t="n">
        <v>12</v>
      </c>
      <c r="K418" t="n">
        <v>3.75</v>
      </c>
      <c r="L418" t="n">
        <v>11</v>
      </c>
      <c r="M418" t="n">
        <v>0</v>
      </c>
      <c r="N418" t="n">
        <v>12</v>
      </c>
      <c r="O418" t="n">
        <v>0</v>
      </c>
      <c r="P418">
        <f>Table1[[#This Row],[TA 1 - Q1 Score]]+Table1[[#This Row],[TA 1 - Q2 Score]]+Table1[[#This Row],[TA 1 - Q3 Score]]</f>
        <v/>
      </c>
      <c r="Q418">
        <f>Table1[[#This Row],[TA 1 - Q1 Bonus]]+Table1[[#This Row],[TA 1 - Q2 Bonus]]+Table1[[#This Row],[TA 1 - Q4 Bonus]]</f>
        <v/>
      </c>
      <c r="R418">
        <f>Table1[[#This Row],[TA 2 - Q1 Score]]+Table1[[#This Row],[TA 2 - Q2 Score]]+Table1[[#This Row],[TA 2 - Q3 Score]]</f>
        <v/>
      </c>
      <c r="S418">
        <f>Table1[[#This Row],[TA 2 - Q1 Bonus]]+Table1[[#This Row],[TA 2 - Q2 Bonus]]+Table1[[#This Row],[TA 2 - Q4 Bonus]]</f>
        <v/>
      </c>
      <c r="T418">
        <f>(Table1[[#This Row],[TA 1 - Total Score (out of 35)]]+Table1[[#This Row],[TA 2 - Total Score (out of 35)]])/2</f>
        <v/>
      </c>
      <c r="U418">
        <f>(Table1[[#This Row],[TA 1 - Total Bonus (out of 13)]]+Table1[[#This Row],[TA 2 - Total Bonus (out of 13)]])/2</f>
        <v/>
      </c>
      <c r="V418">
        <f>Table1[[#This Row],[Average Questions]]/35*20+Table1[[#This Row],[Average Bonus]]/13*5</f>
        <v/>
      </c>
      <c r="W418" t="n">
        <v>0</v>
      </c>
      <c r="X418" t="n">
        <v>0</v>
      </c>
      <c r="Y418" t="inlineStr">
        <is>
          <t>The student's submission does not run correctly due to several issues. The training and validation loops contain errors, such as incorrect use of softmax and incorrect handling of labels. The plotting functions are also incorrect, and the bonus task for Test Time Augmentation (TTA) is not implemented correctly.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18" t="n">
        <v>0</v>
      </c>
      <c r="AA418" t="n">
        <v>0</v>
      </c>
      <c r="AB418" t="inlineStr">
        <is>
          <t>The student's submission does not run correctly due to several issues. The dataset paths are incorrect, leading to errors in loading the data. The transforms applied to the images do not match the required specifications, and the model architecture deviates from the rubric. Additionally, the training and validation functions contain errors, and the plotting code is incomplete. The bonus task is not attempted.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18" t="n">
        <v>10</v>
      </c>
      <c r="AD418" t="inlineStr">
        <is>
          <t>The student's submission successfully completes all tasks as per the rubric. The dataset class is correctly implemented and DataLoaders are created. The model class is defined with the correct encoder. The training and validation loops are correctly implemented and the model is trained with the defined loss and optimizer. The training and validation losses are printed and plotted. The predictions are visualized correctly against the ground truth. There are no deviations from the rubric, and the code runs correctly.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18" t="n">
        <v>0</v>
      </c>
      <c r="AF418" t="n">
        <v>0</v>
      </c>
      <c r="AG418" t="inlineStr">
        <is>
          <t>No submission found.</t>
        </is>
      </c>
      <c r="AH418" t="n">
        <v>10</v>
      </c>
      <c r="AI418" t="n">
        <v>0</v>
      </c>
    </row>
    <row r="419">
      <c r="A419" t="n">
        <v>418</v>
      </c>
      <c r="B419" t="inlineStr">
        <is>
          <t>TA_8</t>
        </is>
      </c>
      <c r="C419" t="inlineStr">
        <is>
          <t>TA_18</t>
        </is>
      </c>
      <c r="D419" t="n">
        <v>12</v>
      </c>
      <c r="E419" t="n">
        <v>0</v>
      </c>
      <c r="F419" t="n">
        <v>9</v>
      </c>
      <c r="G419" t="n">
        <v>0</v>
      </c>
      <c r="H419" t="n">
        <v>9</v>
      </c>
      <c r="I419" t="n">
        <v>0</v>
      </c>
      <c r="J419" t="n">
        <v>12</v>
      </c>
      <c r="K419" t="n">
        <v>0</v>
      </c>
      <c r="L419" t="n">
        <v>9</v>
      </c>
      <c r="M419" t="n">
        <v>0</v>
      </c>
      <c r="N419" t="n">
        <v>8.25</v>
      </c>
      <c r="O419" t="n">
        <v>0</v>
      </c>
      <c r="P419">
        <f>Table1[[#This Row],[TA 1 - Q1 Score]]+Table1[[#This Row],[TA 1 - Q2 Score]]+Table1[[#This Row],[TA 1 - Q3 Score]]</f>
        <v/>
      </c>
      <c r="Q419">
        <f>Table1[[#This Row],[TA 1 - Q1 Bonus]]+Table1[[#This Row],[TA 1 - Q2 Bonus]]+Table1[[#This Row],[TA 1 - Q4 Bonus]]</f>
        <v/>
      </c>
      <c r="R419">
        <f>Table1[[#This Row],[TA 2 - Q1 Score]]+Table1[[#This Row],[TA 2 - Q2 Score]]+Table1[[#This Row],[TA 2 - Q3 Score]]</f>
        <v/>
      </c>
      <c r="S419">
        <f>Table1[[#This Row],[TA 2 - Q1 Bonus]]+Table1[[#This Row],[TA 2 - Q2 Bonus]]+Table1[[#This Row],[TA 2 - Q4 Bonus]]</f>
        <v/>
      </c>
      <c r="T419">
        <f>(Table1[[#This Row],[TA 1 - Total Score (out of 35)]]+Table1[[#This Row],[TA 2 - Total Score (out of 35)]])/2</f>
        <v/>
      </c>
      <c r="U419">
        <f>(Table1[[#This Row],[TA 1 - Total Bonus (out of 13)]]+Table1[[#This Row],[TA 2 - Total Bonus (out of 13)]])/2</f>
        <v/>
      </c>
      <c r="V419">
        <f>Table1[[#This Row],[Average Questions]]/35*20+Table1[[#This Row],[Average Bonus]]/13*5</f>
        <v/>
      </c>
      <c r="W419" t="n">
        <v>0</v>
      </c>
      <c r="X419" t="n">
        <v>0</v>
      </c>
      <c r="Y419" t="inlineStr">
        <is>
          <t>The student's submission does not run correctly due to several issues. The transforms are incomplete, the DataLoaders are not created correctly, and the model is not loaded or adapted properly. The training and validation loops are incorrect, and the plots for losses and accuracies are missing. Additionally, the bonus task for Test Time Augmentation is not implemented.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19" t="n">
        <v>0</v>
      </c>
      <c r="AA419" t="n">
        <v>0</v>
      </c>
      <c r="AB419" t="inlineStr">
        <is>
          <t>The student's submission does not follow the rubric correctly. The dataset class or ImageFolder is incorrectly implemented, the transforms do not match the required specifications, and the CNN model does not have the correct number of convolutional layers or batch normalization. Additionally, the training and validation functions are incorrectly implemented, and the training process does not follow the specified steps. The bonus task is also not attempted.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19" t="n">
        <v>0</v>
      </c>
      <c r="AD419" t="inlineStr">
        <is>
          <t>The student's submission has several critical issues that prevent it from running correctly. The dataset splitting logic is incorrect, leading to errors in DataLoader creation. The model definition uses 'efficientnet-b1' instead of 'efficientnet-b0' as specified. The training and validation loops have logical errors, such as incorrect data types for masks. Additionally, the visualization of predictions does not run due to these issues. Since the code does not run end-to-end, no partial credit can be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19" t="n">
        <v>0</v>
      </c>
      <c r="AF419" t="n">
        <v>0</v>
      </c>
      <c r="AG419" t="inlineStr">
        <is>
          <t>No submission found.</t>
        </is>
      </c>
      <c r="AH419" t="n">
        <v>0</v>
      </c>
      <c r="AI419" t="n">
        <v>0</v>
      </c>
    </row>
    <row r="420">
      <c r="A420" t="n">
        <v>419</v>
      </c>
      <c r="B420" t="inlineStr">
        <is>
          <t>TA_8</t>
        </is>
      </c>
      <c r="C420" t="inlineStr">
        <is>
          <t>TA_18</t>
        </is>
      </c>
      <c r="D420" t="n">
        <v>6</v>
      </c>
      <c r="E420" t="n">
        <v>0</v>
      </c>
      <c r="F420" t="n">
        <v>9</v>
      </c>
      <c r="G420" t="n">
        <v>0</v>
      </c>
      <c r="H420" t="n">
        <v>11.5</v>
      </c>
      <c r="I420" t="n">
        <v>0</v>
      </c>
      <c r="J420" t="n">
        <v>6</v>
      </c>
      <c r="K420" t="n">
        <v>0</v>
      </c>
      <c r="L420" t="n">
        <v>9</v>
      </c>
      <c r="M420" t="n">
        <v>0</v>
      </c>
      <c r="N420" t="n">
        <v>11.5</v>
      </c>
      <c r="O420" t="n">
        <v>0</v>
      </c>
      <c r="P420">
        <f>Table1[[#This Row],[TA 1 - Q1 Score]]+Table1[[#This Row],[TA 1 - Q2 Score]]+Table1[[#This Row],[TA 1 - Q3 Score]]</f>
        <v/>
      </c>
      <c r="Q420">
        <f>Table1[[#This Row],[TA 1 - Q1 Bonus]]+Table1[[#This Row],[TA 1 - Q2 Bonus]]+Table1[[#This Row],[TA 1 - Q4 Bonus]]</f>
        <v/>
      </c>
      <c r="R420">
        <f>Table1[[#This Row],[TA 2 - Q1 Score]]+Table1[[#This Row],[TA 2 - Q2 Score]]+Table1[[#This Row],[TA 2 - Q3 Score]]</f>
        <v/>
      </c>
      <c r="S420">
        <f>Table1[[#This Row],[TA 2 - Q1 Bonus]]+Table1[[#This Row],[TA 2 - Q2 Bonus]]+Table1[[#This Row],[TA 2 - Q4 Bonus]]</f>
        <v/>
      </c>
      <c r="T420">
        <f>(Table1[[#This Row],[TA 1 - Total Score (out of 35)]]+Table1[[#This Row],[TA 2 - Total Score (out of 35)]])/2</f>
        <v/>
      </c>
      <c r="U420">
        <f>(Table1[[#This Row],[TA 1 - Total Bonus (out of 13)]]+Table1[[#This Row],[TA 2 - Total Bonus (out of 13)]])/2</f>
        <v/>
      </c>
      <c r="V420">
        <f>Table1[[#This Row],[Average Questions]]/35*20+Table1[[#This Row],[Average Bonus]]/13*5</f>
        <v/>
      </c>
      <c r="W420" t="n">
        <v>0</v>
      </c>
      <c r="X420" t="n">
        <v>0</v>
      </c>
      <c r="Y420" t="inlineStr">
        <is>
          <t>The student's submission is incomplete and does not run end-to-end. The code for displaying sample images is incorrect and does not show the labels. The training and validation functions are missing, and there is no code for training the model or plotting the losses and accuracies. Additionally, the student did not implement the bonus task for Test Time Augmentation.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20" t="n">
        <v>0</v>
      </c>
      <c r="AA420" t="n">
        <v>0</v>
      </c>
      <c r="AB420" t="inlineStr">
        <is>
          <t>The student's submission does not run correctly due to several issues. The transforms applied to the dataset do not match the rubric specifications, and the CNN model does not include batch normalization as required. Additionally, the training and validation functions are incorrect, and the model training process is flawed. The bonus task is also incomplete and does not run correctly.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20" t="n">
        <v>0</v>
      </c>
      <c r="AD420" t="inlineStr">
        <is>
          <t>The student's submission does not run correctly due to several issues. The dataset class is incorrectly implemented, using a binary remapping function instead of the required multi-class remapping. The model definition uses the wrong number of classes and the incorrect encoder. The training and validation loops are incorrectly implemented, using BCEWithLogitsLoss instead of CrossEntropyLoss, which is inappropriate for multi-class segmentation. Additionally, the visualization of predictions is flawed due to the incorrect model output handling. These issues prevent the code from running end-to-end correctly, resulting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20" t="n">
        <v>0</v>
      </c>
      <c r="AF420" t="n">
        <v>0</v>
      </c>
      <c r="AG420" t="inlineStr">
        <is>
          <t>No submission found.</t>
        </is>
      </c>
      <c r="AH420" t="n">
        <v>0</v>
      </c>
      <c r="AI420" t="n">
        <v>0</v>
      </c>
    </row>
    <row r="421">
      <c r="A421" t="n">
        <v>420</v>
      </c>
      <c r="B421" t="inlineStr">
        <is>
          <t>TA_8</t>
        </is>
      </c>
      <c r="C421" t="inlineStr">
        <is>
          <t>TA_18</t>
        </is>
      </c>
      <c r="D421" t="n">
        <v>12</v>
      </c>
      <c r="E421" t="n">
        <v>0</v>
      </c>
      <c r="F421" t="n">
        <v>11</v>
      </c>
      <c r="G421" t="n">
        <v>0</v>
      </c>
      <c r="H421" t="n">
        <v>12</v>
      </c>
      <c r="I421" t="n">
        <v>0</v>
      </c>
      <c r="J421" t="n">
        <v>12</v>
      </c>
      <c r="K421" t="n">
        <v>0</v>
      </c>
      <c r="L421" t="n">
        <v>11</v>
      </c>
      <c r="M421" t="n">
        <v>0</v>
      </c>
      <c r="N421" t="n">
        <v>12</v>
      </c>
      <c r="O421" t="n">
        <v>0</v>
      </c>
      <c r="P421">
        <f>Table1[[#This Row],[TA 1 - Q1 Score]]+Table1[[#This Row],[TA 1 - Q2 Score]]+Table1[[#This Row],[TA 1 - Q3 Score]]</f>
        <v/>
      </c>
      <c r="Q421">
        <f>Table1[[#This Row],[TA 1 - Q1 Bonus]]+Table1[[#This Row],[TA 1 - Q2 Bonus]]+Table1[[#This Row],[TA 1 - Q4 Bonus]]</f>
        <v/>
      </c>
      <c r="R421">
        <f>Table1[[#This Row],[TA 2 - Q1 Score]]+Table1[[#This Row],[TA 2 - Q2 Score]]+Table1[[#This Row],[TA 2 - Q3 Score]]</f>
        <v/>
      </c>
      <c r="S421">
        <f>Table1[[#This Row],[TA 2 - Q1 Bonus]]+Table1[[#This Row],[TA 2 - Q2 Bonus]]+Table1[[#This Row],[TA 2 - Q4 Bonus]]</f>
        <v/>
      </c>
      <c r="T421">
        <f>(Table1[[#This Row],[TA 1 - Total Score (out of 35)]]+Table1[[#This Row],[TA 2 - Total Score (out of 35)]])/2</f>
        <v/>
      </c>
      <c r="U421">
        <f>(Table1[[#This Row],[TA 1 - Total Bonus (out of 13)]]+Table1[[#This Row],[TA 2 - Total Bonus (out of 13)]])/2</f>
        <v/>
      </c>
      <c r="V421">
        <f>Table1[[#This Row],[Average Questions]]/35*20+Table1[[#This Row],[Average Bonus]]/13*5</f>
        <v/>
      </c>
      <c r="W421" t="n">
        <v>0</v>
      </c>
      <c r="X421" t="n">
        <v>0</v>
      </c>
      <c r="Y421" t="inlineStr">
        <is>
          <t>The student's submission does not run correctly due to several issues. The transforms are incomplete, the DataLoaders are not created correctly, and the model training and validation loops contain errors. Additionally, the student did not implement the bonus task for Test Time Augmentation.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21" t="n">
        <v>0</v>
      </c>
      <c r="AA421" t="n">
        <v>0</v>
      </c>
      <c r="AB421" t="inlineStr">
        <is>
          <t>The student's submission does not run correctly due to several issues. The transforms applied to the training and testing datasets are incorrect, as the training dataset is resized to 32x32 before the RandomRotation, which should be applied first. Additionally, the model definition and training loop contain errors that prevent the code from running successfully. The student did not attempt the bonus task, resulting in a score of 0 for the bonus tasks. Therefore, the total score is 0.0.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21" t="n">
        <v>0</v>
      </c>
      <c r="AD421" t="inlineStr">
        <is>
          <t>The student's submission failed to run correctly due to several critical issues. The dataset class was incorrectly implemented, leading to errors in data loading. The model definition used the wrong encoder (efficientnet-b0 instead of efficientnet-b1), and the loss function was incorrectly specified for a multi-class segmentation task. Additionally, the training and validation loops were not correctly implemented, and the visualization of predictions was missing. These issues resulted in a complete failure to meet the task requirements, warranting a score of 0.0 for the base tasks.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421" t="n">
        <v>0</v>
      </c>
      <c r="AF421" t="n">
        <v>0</v>
      </c>
      <c r="AG421" t="inlineStr">
        <is>
          <t>No submission found.</t>
        </is>
      </c>
      <c r="AH421" t="n">
        <v>0</v>
      </c>
      <c r="AI421" t="n">
        <v>0</v>
      </c>
    </row>
    <row r="422">
      <c r="A422" t="n">
        <v>421</v>
      </c>
      <c r="B422" t="inlineStr">
        <is>
          <t>TA_8</t>
        </is>
      </c>
      <c r="C422" t="inlineStr">
        <is>
          <t>TA_18</t>
        </is>
      </c>
      <c r="D422" t="n">
        <v>4.5</v>
      </c>
      <c r="E422" t="n">
        <v>0</v>
      </c>
      <c r="F422" t="n">
        <v>8.5</v>
      </c>
      <c r="G422" t="n">
        <v>0</v>
      </c>
      <c r="H422" t="n">
        <v>9</v>
      </c>
      <c r="I422" t="n">
        <v>0</v>
      </c>
      <c r="J422" t="n">
        <v>6.5</v>
      </c>
      <c r="K422" t="n">
        <v>0</v>
      </c>
      <c r="L422" t="n">
        <v>10.5</v>
      </c>
      <c r="M422" t="n">
        <v>0</v>
      </c>
      <c r="N422" t="n">
        <v>6.25</v>
      </c>
      <c r="O422" t="n">
        <v>0</v>
      </c>
      <c r="P422">
        <f>Table1[[#This Row],[TA 1 - Q1 Score]]+Table1[[#This Row],[TA 1 - Q2 Score]]+Table1[[#This Row],[TA 1 - Q3 Score]]</f>
        <v/>
      </c>
      <c r="Q422">
        <f>Table1[[#This Row],[TA 1 - Q1 Bonus]]+Table1[[#This Row],[TA 1 - Q2 Bonus]]+Table1[[#This Row],[TA 1 - Q4 Bonus]]</f>
        <v/>
      </c>
      <c r="R422">
        <f>Table1[[#This Row],[TA 2 - Q1 Score]]+Table1[[#This Row],[TA 2 - Q2 Score]]+Table1[[#This Row],[TA 2 - Q3 Score]]</f>
        <v/>
      </c>
      <c r="S422">
        <f>Table1[[#This Row],[TA 2 - Q1 Bonus]]+Table1[[#This Row],[TA 2 - Q2 Bonus]]+Table1[[#This Row],[TA 2 - Q4 Bonus]]</f>
        <v/>
      </c>
      <c r="T422">
        <f>(Table1[[#This Row],[TA 1 - Total Score (out of 35)]]+Table1[[#This Row],[TA 2 - Total Score (out of 35)]])/2</f>
        <v/>
      </c>
      <c r="U422">
        <f>(Table1[[#This Row],[TA 1 - Total Bonus (out of 13)]]+Table1[[#This Row],[TA 2 - Total Bonus (out of 13)]])/2</f>
        <v/>
      </c>
      <c r="V422">
        <f>Table1[[#This Row],[Average Questions]]/35*20+Table1[[#This Row],[Average Bonus]]/13*5</f>
        <v/>
      </c>
      <c r="W422" t="n">
        <v>0</v>
      </c>
      <c r="X422" t="n">
        <v>0</v>
      </c>
      <c r="Y422" t="inlineStr">
        <is>
          <t>The student's submission contains several critical errors that prevent the code from running correctly. The student used the wrong model (EfficientNet-B0 instead of EfficientNetV2-Small), did not correctly freeze the backbone, and did not implement the training and validation loops correctly. Additionally, the student did not display sample images or plot the training and validation losses and accuracies. The student also did not implement the bonus task for Test Time Augmentation. Therefore, the student receives 0 points for the base tasks and 0 points for the bonus task.
Breakdown:
- Task 1: Complete transforms (Resize, ToTensor, Normalize): 0.0/?
- Task 2: Create DataLoaders: 0.0/?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22" t="n">
        <v>0</v>
      </c>
      <c r="AA422" t="n">
        <v>0</v>
      </c>
      <c r="AB422" t="inlineStr">
        <is>
          <t>The student's submission does not meet the requirements for any of the tasks. The dataset class is incorrectly implemented, the transformations are not applied correctly, the CNN model is not defined correctly, and the training and validation functions are not implemented as required. Additionally, the bonus task for residual connections is not attempted.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22" t="n">
        <v>0</v>
      </c>
      <c r="AD422" t="inlineStr">
        <is>
          <t>The student's submission does not run correctly due to multiple issues. The dataset class is incorrectly implemented, leading to errors in loading images and masks. The model definition uses the wrong encoder and the number of classes is incorrect. The training and validation loops are not correctly implemented, and the loss function and optimizer are not defined correctly. Additionally, the code for visualizing predictions is incomplete and does not run. Therefore, no points are awarded for any task as the code does not meet the requirements specified in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22" t="n">
        <v>0</v>
      </c>
      <c r="AF422" t="n">
        <v>0</v>
      </c>
      <c r="AG422" t="inlineStr">
        <is>
          <t>No submission found.</t>
        </is>
      </c>
      <c r="AH422" t="n">
        <v>0</v>
      </c>
      <c r="AI422" t="n">
        <v>0</v>
      </c>
    </row>
    <row r="423">
      <c r="A423" t="n">
        <v>422</v>
      </c>
      <c r="B423" t="inlineStr">
        <is>
          <t>TA_8</t>
        </is>
      </c>
      <c r="C423" t="inlineStr">
        <is>
          <t>TA_18</t>
        </is>
      </c>
      <c r="D423" t="n">
        <v>5</v>
      </c>
      <c r="E423" t="n">
        <v>0</v>
      </c>
      <c r="F423" t="n">
        <v>4.5</v>
      </c>
      <c r="G423" t="n">
        <v>0</v>
      </c>
      <c r="H423" t="n">
        <v>10</v>
      </c>
      <c r="I423" t="n">
        <v>0</v>
      </c>
      <c r="J423" t="n">
        <v>0.5</v>
      </c>
      <c r="K423" t="n">
        <v>0</v>
      </c>
      <c r="L423" t="n">
        <v>2.5</v>
      </c>
      <c r="M423" t="n">
        <v>0</v>
      </c>
      <c r="N423" t="n">
        <v>6</v>
      </c>
      <c r="O423" t="n">
        <v>0</v>
      </c>
      <c r="P423">
        <f>Table1[[#This Row],[TA 1 - Q1 Score]]+Table1[[#This Row],[TA 1 - Q2 Score]]+Table1[[#This Row],[TA 1 - Q3 Score]]</f>
        <v/>
      </c>
      <c r="Q423">
        <f>Table1[[#This Row],[TA 1 - Q1 Bonus]]+Table1[[#This Row],[TA 1 - Q2 Bonus]]+Table1[[#This Row],[TA 1 - Q4 Bonus]]</f>
        <v/>
      </c>
      <c r="R423">
        <f>Table1[[#This Row],[TA 2 - Q1 Score]]+Table1[[#This Row],[TA 2 - Q2 Score]]+Table1[[#This Row],[TA 2 - Q3 Score]]</f>
        <v/>
      </c>
      <c r="S423">
        <f>Table1[[#This Row],[TA 2 - Q1 Bonus]]+Table1[[#This Row],[TA 2 - Q2 Bonus]]+Table1[[#This Row],[TA 2 - Q4 Bonus]]</f>
        <v/>
      </c>
      <c r="T423">
        <f>(Table1[[#This Row],[TA 1 - Total Score (out of 35)]]+Table1[[#This Row],[TA 2 - Total Score (out of 35)]])/2</f>
        <v/>
      </c>
      <c r="U423">
        <f>(Table1[[#This Row],[TA 1 - Total Bonus (out of 13)]]+Table1[[#This Row],[TA 2 - Total Bonus (out of 13)]])/2</f>
        <v/>
      </c>
      <c r="V423">
        <f>Table1[[#This Row],[Average Questions]]/35*20+Table1[[#This Row],[Average Bonus]]/13*5</f>
        <v/>
      </c>
      <c r="W423" t="n">
        <v>0</v>
      </c>
      <c r="X423" t="n">
        <v>0</v>
      </c>
      <c r="Y423" t="inlineStr">
        <is>
          <t>The student's submission contains several critical errors that prevent the code from running correctly. The transforms include an incorrect custom module that subtracts one from the image tensor, which is not part of the required transforms. The DataLoader creation is incomplete and does not display sample images. The model loading and adaptation are incorrect, with a custom class that does not properly load or modify the EfficientNetV2-Small model. The training and validation loops are incorrectly implemented, using sigmoid activation and binary classification loss, which are inappropriate for a multi-class classification problem. Additionally, the training process does not plot the training and validation losses or accuracies. The bonus task for Test Time Augmentation is not attempted.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23" t="n">
        <v>0</v>
      </c>
      <c r="AA423" t="n">
        <v>0</v>
      </c>
      <c r="AB423" t="inlineStr">
        <is>
          <t>The student's submission does not run correctly due to multiple issues. The dataset class is incorrectly implemented, the transformations do not match the rubric, the CNN model does not have the required number of convolutional layers or batch normalization, and the training and validation functions are incorrectly implemented. Additionally, the student did not attempt the bonus task.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23" t="n">
        <v>0</v>
      </c>
      <c r="AD423" t="inlineStr">
        <is>
          <t>The student's submission does not follow the rubric correctly. The dataset class is incorrectly named and does not follow the required structure. The model class is entirely wrong, using a custom U-Net implementation instead of the required pretrained U-Net with efficientnet-b1 encoder. The training and validation loops, as well as the loss and optimizer definition, are not correctly implemented. The code does not run end-to-end due to these issues, resulting in a score of 0.0 for the base tasks and -50.0 for the model class task due to using an entirely wrong approach.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423" t="n">
        <v>0</v>
      </c>
      <c r="AF423" t="n">
        <v>0</v>
      </c>
      <c r="AG423" t="inlineStr">
        <is>
          <t>No submission found.</t>
        </is>
      </c>
      <c r="AH423" t="n">
        <v>0</v>
      </c>
      <c r="AI423" t="n">
        <v>0</v>
      </c>
    </row>
    <row r="424">
      <c r="A424" t="n">
        <v>423</v>
      </c>
      <c r="B424" t="inlineStr">
        <is>
          <t>TA_8</t>
        </is>
      </c>
      <c r="C424" t="inlineStr">
        <is>
          <t>TA_18</t>
        </is>
      </c>
      <c r="D424" t="n">
        <v>8</v>
      </c>
      <c r="E424" t="n">
        <v>4</v>
      </c>
      <c r="F424" t="n">
        <v>11</v>
      </c>
      <c r="G424" t="n">
        <v>0</v>
      </c>
      <c r="H424" t="n">
        <v>12</v>
      </c>
      <c r="I424" t="n">
        <v>5</v>
      </c>
      <c r="J424" t="n">
        <v>8.75</v>
      </c>
      <c r="K424" t="n">
        <v>4</v>
      </c>
      <c r="L424" t="n">
        <v>11</v>
      </c>
      <c r="M424" t="n">
        <v>0</v>
      </c>
      <c r="N424" t="n">
        <v>11.75</v>
      </c>
      <c r="O424" t="n">
        <v>5</v>
      </c>
      <c r="P424">
        <f>Table1[[#This Row],[TA 1 - Q1 Score]]+Table1[[#This Row],[TA 1 - Q2 Score]]+Table1[[#This Row],[TA 1 - Q3 Score]]</f>
        <v/>
      </c>
      <c r="Q424">
        <f>Table1[[#This Row],[TA 1 - Q1 Bonus]]+Table1[[#This Row],[TA 1 - Q2 Bonus]]+Table1[[#This Row],[TA 1 - Q4 Bonus]]</f>
        <v/>
      </c>
      <c r="R424">
        <f>Table1[[#This Row],[TA 2 - Q1 Score]]+Table1[[#This Row],[TA 2 - Q2 Score]]+Table1[[#This Row],[TA 2 - Q3 Score]]</f>
        <v/>
      </c>
      <c r="S424">
        <f>Table1[[#This Row],[TA 2 - Q1 Bonus]]+Table1[[#This Row],[TA 2 - Q2 Bonus]]+Table1[[#This Row],[TA 2 - Q4 Bonus]]</f>
        <v/>
      </c>
      <c r="T424">
        <f>(Table1[[#This Row],[TA 1 - Total Score (out of 35)]]+Table1[[#This Row],[TA 2 - Total Score (out of 35)]])/2</f>
        <v/>
      </c>
      <c r="U424">
        <f>(Table1[[#This Row],[TA 1 - Total Bonus (out of 13)]]+Table1[[#This Row],[TA 2 - Total Bonus (out of 13)]])/2</f>
        <v/>
      </c>
      <c r="V424">
        <f>Table1[[#This Row],[Average Questions]]/35*20+Table1[[#This Row],[Average Bonus]]/13*5</f>
        <v/>
      </c>
      <c r="W424" t="n">
        <v>0</v>
      </c>
      <c r="X424" t="n">
        <v>0</v>
      </c>
      <c r="Y424" t="inlineStr">
        <is>
          <t>The student's submission contains several critical errors that prevent the code from running correctly. The transforms are incorrectly set to resize images to 224x224 instead of 28x28, which is a fundamental deviation from the task requirements. Additionally, the model is not correctly frozen, and the training and validation loops are incomplete. The student did not display sample images, and the bonus task for Test Time Augmentation (TTA) is not implemented correctly. These issues result in a score of 0 for the base tasks and 0 for the bonus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24" t="n">
        <v>0</v>
      </c>
      <c r="AA424" t="n">
        <v>0</v>
      </c>
      <c r="AB424" t="inlineStr">
        <is>
          <t>The student's submission does not run correctly due to missing code for the bonus task and incorrect implementation of the CNN model class. The CNN model class does not follow the specified architecture with 5 convolutional layers, and the residual connection is not implemented. Additionally, the student did not include the code for displaying sample images with labels, which is a required task. Therefore, the student receives 0 points for the base tasks and 0 points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24" t="n">
        <v>0</v>
      </c>
      <c r="AD424" t="inlineStr">
        <is>
          <t>The student's submission does not run end-to-end due to multiple issues. The dataset class is incomplete and does not handle the masks correctly. The model definition uses the wrong encoder (efficientnet-b0 instead of efficientnet-b1). The training and validation loops are incorrectly implemented, leading to errors in the training process. Additionally, the visualization of predictions is missing crucial steps, and the code does not plot the loss curve correctly. Therefore, no points are awarded for any task as the code does not run correctly and deviates from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24" t="n">
        <v>0</v>
      </c>
      <c r="AF424" t="n">
        <v>0</v>
      </c>
      <c r="AG424" t="inlineStr">
        <is>
          <t>The student's implementation of the `ColorizationDataset` class contains errors. The `rgb_to_grayscale` method does not correctly handle the dimensions of the input image, leading to incorrect grayscale conversion. Additionally, the `__getitem__` method does not return the correct tuple of (grayscale_image, color_image). The visualization code runs but produces incorrect outputs due to the errors in the dataset class implementation.
Breakdown:
- Correctly implemented `ColorizationDataset` class: 0.0/5.0</t>
        </is>
      </c>
      <c r="AH424" t="n">
        <v>0</v>
      </c>
      <c r="AI424" t="n">
        <v>0</v>
      </c>
    </row>
    <row r="425">
      <c r="A425" t="n">
        <v>424</v>
      </c>
      <c r="B425" t="inlineStr">
        <is>
          <t>TA_8</t>
        </is>
      </c>
      <c r="C425" t="inlineStr">
        <is>
          <t>TA_18</t>
        </is>
      </c>
      <c r="D425" t="n">
        <v>12</v>
      </c>
      <c r="E425" t="n">
        <v>0</v>
      </c>
      <c r="F425" t="n">
        <v>11</v>
      </c>
      <c r="G425" t="n">
        <v>0</v>
      </c>
      <c r="H425" t="n">
        <v>12</v>
      </c>
      <c r="I425" t="n">
        <v>5</v>
      </c>
      <c r="J425" t="n">
        <v>12</v>
      </c>
      <c r="K425" t="n">
        <v>0</v>
      </c>
      <c r="L425" t="n">
        <v>11</v>
      </c>
      <c r="M425" t="n">
        <v>0</v>
      </c>
      <c r="N425" t="n">
        <v>12</v>
      </c>
      <c r="O425" t="n">
        <v>5</v>
      </c>
      <c r="P425">
        <f>Table1[[#This Row],[TA 1 - Q1 Score]]+Table1[[#This Row],[TA 1 - Q2 Score]]+Table1[[#This Row],[TA 1 - Q3 Score]]</f>
        <v/>
      </c>
      <c r="Q425">
        <f>Table1[[#This Row],[TA 1 - Q1 Bonus]]+Table1[[#This Row],[TA 1 - Q2 Bonus]]+Table1[[#This Row],[TA 1 - Q4 Bonus]]</f>
        <v/>
      </c>
      <c r="R425">
        <f>Table1[[#This Row],[TA 2 - Q1 Score]]+Table1[[#This Row],[TA 2 - Q2 Score]]+Table1[[#This Row],[TA 2 - Q3 Score]]</f>
        <v/>
      </c>
      <c r="S425">
        <f>Table1[[#This Row],[TA 2 - Q1 Bonus]]+Table1[[#This Row],[TA 2 - Q2 Bonus]]+Table1[[#This Row],[TA 2 - Q4 Bonus]]</f>
        <v/>
      </c>
      <c r="T425">
        <f>(Table1[[#This Row],[TA 1 - Total Score (out of 35)]]+Table1[[#This Row],[TA 2 - Total Score (out of 35)]])/2</f>
        <v/>
      </c>
      <c r="U425">
        <f>(Table1[[#This Row],[TA 1 - Total Bonus (out of 13)]]+Table1[[#This Row],[TA 2 - Total Bonus (out of 13)]])/2</f>
        <v/>
      </c>
      <c r="V425">
        <f>Table1[[#This Row],[Average Questions]]/35*20+Table1[[#This Row],[Average Bonus]]/13*5</f>
        <v/>
      </c>
      <c r="W425" t="n">
        <v>0</v>
      </c>
      <c r="X425" t="n">
        <v>0</v>
      </c>
      <c r="Y425" t="inlineStr">
        <is>
          <t>The student's submission has several issues that prevent it from running correctly. The DataLoader creation is incorrect due to the use of a custom dataset that subtracts 1 from the labels, which is not the correct approach for this task. The model training and validation loops are incomplete and do not correctly handle the label adjustment. Additionally, the student did not implement the bonus task for Test Time Augmentation. Therefore, the student receives 0 points for the base tasks and 0 points for the bonus task.
Breakdown:
- Task 1: Complete transforms (Resize, ToTensor, Normalize): 1.5/?
- Task 2: Create DataLoaders: 0.0/?
- Task 3: Display sample images: 0.0/?
- Task 1: Load pretrained EfficientNetV2-Small: 0.5/?
- Task 2: Freeze the backbone (feature extractor): 0.0/?
- Task 3: Replace classifier head for 26 classes: 0.0/?
- Correct training loop: 0.5/?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25" t="n">
        <v>0</v>
      </c>
      <c r="AA425" t="n">
        <v>0</v>
      </c>
      <c r="AB425" t="inlineStr">
        <is>
          <t>The student's submission does not run correctly due to several issues. The dataset paths are incorrect, the transforms are not applied correctly, and the model architecture does not match the required specifications. Additionally, the training and validation functions are not correctly implemented, and the plotting of losses and accuracy is missing.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25" t="n">
        <v>0</v>
      </c>
      <c r="AD425" t="inlineStr">
        <is>
          <t>The student's submission does not run correctly due to missing code in critical sections, such as the dataset class implementation and the training loop. The code provided is incomplete and does not follow the rubric, resulting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25" t="n">
        <v>0</v>
      </c>
      <c r="AF425" t="n">
        <v>0</v>
      </c>
      <c r="AG425" t="inlineStr">
        <is>
          <t>The student's implementation of the `ColorizationDataset` class contains several issues. The `rgb_to_grayscale` method does not correctly handle the dimensions of the input tensor, leading to incorrect grayscale conversion. Additionally, the `__getitem__` method does not properly return the grayscale and color image tuple. These errors prevent the code from running correctly, resulting in a score of 0.0 for this task.
Breakdown:
- Correctly implemented `ColorizationDataset` class: 0.0/5.0</t>
        </is>
      </c>
      <c r="AH425" t="n">
        <v>0</v>
      </c>
      <c r="AI425" t="n">
        <v>0</v>
      </c>
    </row>
    <row r="426">
      <c r="A426" t="n">
        <v>425</v>
      </c>
      <c r="B426" t="inlineStr">
        <is>
          <t>TA_8</t>
        </is>
      </c>
      <c r="C426" t="inlineStr">
        <is>
          <t>TA_18</t>
        </is>
      </c>
      <c r="D426" t="n">
        <v>5</v>
      </c>
      <c r="E426" t="n">
        <v>0</v>
      </c>
      <c r="F426" t="n">
        <v>3.5</v>
      </c>
      <c r="G426" t="n">
        <v>0</v>
      </c>
      <c r="H426" t="n">
        <v>10</v>
      </c>
      <c r="I426" t="n">
        <v>0</v>
      </c>
      <c r="J426" t="n">
        <v>6.75</v>
      </c>
      <c r="K426" t="n">
        <v>0</v>
      </c>
      <c r="L426" t="n">
        <v>5.25</v>
      </c>
      <c r="M426" t="n">
        <v>0</v>
      </c>
      <c r="N426" t="n">
        <v>7</v>
      </c>
      <c r="O426" t="n">
        <v>0</v>
      </c>
      <c r="P426">
        <f>Table1[[#This Row],[TA 1 - Q1 Score]]+Table1[[#This Row],[TA 1 - Q2 Score]]+Table1[[#This Row],[TA 1 - Q3 Score]]</f>
        <v/>
      </c>
      <c r="Q426">
        <f>Table1[[#This Row],[TA 1 - Q1 Bonus]]+Table1[[#This Row],[TA 1 - Q2 Bonus]]+Table1[[#This Row],[TA 1 - Q4 Bonus]]</f>
        <v/>
      </c>
      <c r="R426">
        <f>Table1[[#This Row],[TA 2 - Q1 Score]]+Table1[[#This Row],[TA 2 - Q2 Score]]+Table1[[#This Row],[TA 2 - Q3 Score]]</f>
        <v/>
      </c>
      <c r="S426">
        <f>Table1[[#This Row],[TA 2 - Q1 Bonus]]+Table1[[#This Row],[TA 2 - Q2 Bonus]]+Table1[[#This Row],[TA 2 - Q4 Bonus]]</f>
        <v/>
      </c>
      <c r="T426">
        <f>(Table1[[#This Row],[TA 1 - Total Score (out of 35)]]+Table1[[#This Row],[TA 2 - Total Score (out of 35)]])/2</f>
        <v/>
      </c>
      <c r="U426">
        <f>(Table1[[#This Row],[TA 1 - Total Bonus (out of 13)]]+Table1[[#This Row],[TA 2 - Total Bonus (out of 13)]])/2</f>
        <v/>
      </c>
      <c r="V426">
        <f>Table1[[#This Row],[Average Questions]]/35*20+Table1[[#This Row],[Average Bonus]]/13*5</f>
        <v/>
      </c>
      <c r="W426" t="n">
        <v>0</v>
      </c>
      <c r="X426" t="n">
        <v>0</v>
      </c>
      <c r="Y426" t="inlineStr">
        <is>
          <t>The student's submission does not run correctly due to multiple issues. The transforms are incomplete, the DataLoaders are not correctly created, and the model setup is incorrect. The training and validation loops are flawed, and the plots are missing. Additionally, the bonus task for Test Time Augmentation is not implemented.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26" t="n">
        <v>0</v>
      </c>
      <c r="AA426" t="n">
        <v>0</v>
      </c>
      <c r="AB426" t="inlineStr">
        <is>
          <t>The student's submission does not run correctly due to multiple issues. The dataset loading and transformation steps are incorrect, leading to errors in subsequent tasks. The CNN model definition is flawed, with incorrect layer configurations and missing batch normalization. The training and validation functions are incomplete and contain logical errors. As a result, the model cannot be trained or validated correctly, and the bonus tasks are not attempted.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26" t="n">
        <v>0</v>
      </c>
      <c r="AD426" t="inlineStr">
        <is>
          <t>The student's submission does not run end-to-end due to multiple issues. The dataset class is incomplete and incorrectly implemented, leading to errors in data loading. The model definition uses the wrong number of classes and the training loop has logical errors. Additionally, the visualization code is incomplete and does not display the predictions correctly. Therefore, no points are awarded for any task as the code does not run correctly and deviates significantly from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26" t="n">
        <v>0</v>
      </c>
      <c r="AF426" t="n">
        <v>0</v>
      </c>
      <c r="AG426" t="inlineStr">
        <is>
          <t>No submission found.</t>
        </is>
      </c>
      <c r="AH426" t="n">
        <v>0</v>
      </c>
      <c r="AI426" t="n">
        <v>0</v>
      </c>
    </row>
    <row r="427">
      <c r="A427" t="n">
        <v>426</v>
      </c>
      <c r="B427" t="inlineStr">
        <is>
          <t>TA_8</t>
        </is>
      </c>
      <c r="C427" t="inlineStr">
        <is>
          <t>TA_18</t>
        </is>
      </c>
      <c r="D427" t="n">
        <v>11</v>
      </c>
      <c r="E427" t="n">
        <v>0</v>
      </c>
      <c r="F427" t="n">
        <v>8.5</v>
      </c>
      <c r="G427" t="n">
        <v>0</v>
      </c>
      <c r="H427" t="n">
        <v>11.5</v>
      </c>
      <c r="I427" t="n">
        <v>0</v>
      </c>
      <c r="J427" t="n">
        <v>11</v>
      </c>
      <c r="K427" t="n">
        <v>0</v>
      </c>
      <c r="L427" t="n">
        <v>8.5</v>
      </c>
      <c r="M427" t="n">
        <v>0</v>
      </c>
      <c r="N427" t="n">
        <v>11.5</v>
      </c>
      <c r="O427" t="n">
        <v>0</v>
      </c>
      <c r="P427">
        <f>Table1[[#This Row],[TA 1 - Q1 Score]]+Table1[[#This Row],[TA 1 - Q2 Score]]+Table1[[#This Row],[TA 1 - Q3 Score]]</f>
        <v/>
      </c>
      <c r="Q427">
        <f>Table1[[#This Row],[TA 1 - Q1 Bonus]]+Table1[[#This Row],[TA 1 - Q2 Bonus]]+Table1[[#This Row],[TA 1 - Q4 Bonus]]</f>
        <v/>
      </c>
      <c r="R427">
        <f>Table1[[#This Row],[TA 2 - Q1 Score]]+Table1[[#This Row],[TA 2 - Q2 Score]]+Table1[[#This Row],[TA 2 - Q3 Score]]</f>
        <v/>
      </c>
      <c r="S427">
        <f>Table1[[#This Row],[TA 2 - Q1 Bonus]]+Table1[[#This Row],[TA 2 - Q2 Bonus]]+Table1[[#This Row],[TA 2 - Q4 Bonus]]</f>
        <v/>
      </c>
      <c r="T427">
        <f>(Table1[[#This Row],[TA 1 - Total Score (out of 35)]]+Table1[[#This Row],[TA 2 - Total Score (out of 35)]])/2</f>
        <v/>
      </c>
      <c r="U427">
        <f>(Table1[[#This Row],[TA 1 - Total Bonus (out of 13)]]+Table1[[#This Row],[TA 2 - Total Bonus (out of 13)]])/2</f>
        <v/>
      </c>
      <c r="V427">
        <f>Table1[[#This Row],[Average Questions]]/35*20+Table1[[#This Row],[Average Bonus]]/13*5</f>
        <v/>
      </c>
      <c r="W427" t="n">
        <v>0</v>
      </c>
      <c r="X427" t="n">
        <v>0</v>
      </c>
      <c r="Y427" t="inlineStr">
        <is>
          <t>The student's submission does not run correctly due to several issues. The training and validation loops are incorrect because the model outputs are squeezed, which is not necessary and leads to incorrect dimensions for the loss function. Additionally, the student did not implement the plotting of training and validation losses or accuracies. The bonus task for Test Time Augmentation (TTA) is also missing.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27" t="n">
        <v>0</v>
      </c>
      <c r="AA427" t="n">
        <v>0</v>
      </c>
      <c r="AB427" t="inlineStr">
        <is>
          <t>The student's submission does not run correctly due to missing code for several critical tasks, including setting up the device, model, loss, and optimizer, as well as training the model and plotting losses and accuracy. Additionally, the student did not implement the residual connection for the bonus task. Therefore, the minimum defensible score for each incomplete or buggy task is 0.0.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27" t="n">
        <v>10</v>
      </c>
      <c r="AD427" t="inlineStr">
        <is>
          <t>The student's submission successfully builds a custom dataset class, creates DataLoaders, and displays sample images and masks. The model class is correctly defined with the pretrained U-Net using efficientnet-b1 encoder. The training and validation loops are implemented correctly. The model is trained, and the training and validation losses are printed and plotted. The visualization of predictions vs ground truth for multiple images is also correctly implemented. However, the student did not include the bonus task, so no bonus points are awarded.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27" t="n">
        <v>0</v>
      </c>
      <c r="AF427" t="n">
        <v>0</v>
      </c>
      <c r="AG427" t="inlineStr">
        <is>
          <t>The student's submission for Question 4 is incomplete and contains several errors. The `ColorizationDataset` class is not correctly implemented, with missing or incorrect methods. The `rgb_to_grayscale` method does not convert the image to grayscale correctly, and the `__getitem__` method does not return the correct tuple. The use of `Image.open` and `convert("RGB")` is inappropriate as the dataset is already in tensor format. Therefore, the implementation does not meet the requirements of the task and receives a score of 0.0.
Breakdown:
- Correctly implemented `ColorizationDataset` class: 0.0/?</t>
        </is>
      </c>
      <c r="AH427" t="n">
        <v>10</v>
      </c>
      <c r="AI427" t="n">
        <v>0</v>
      </c>
    </row>
    <row r="428">
      <c r="A428" t="n">
        <v>427</v>
      </c>
      <c r="B428" t="inlineStr">
        <is>
          <t>TA_8</t>
        </is>
      </c>
      <c r="C428" t="inlineStr">
        <is>
          <t>TA_18</t>
        </is>
      </c>
      <c r="D428" t="n">
        <v>12</v>
      </c>
      <c r="E428" t="n">
        <v>4</v>
      </c>
      <c r="F428" t="n">
        <v>11</v>
      </c>
      <c r="G428" t="n">
        <v>0</v>
      </c>
      <c r="H428" t="n">
        <v>12</v>
      </c>
      <c r="I428" t="n">
        <v>0</v>
      </c>
      <c r="J428" t="n">
        <v>12</v>
      </c>
      <c r="K428" t="n">
        <v>4</v>
      </c>
      <c r="L428" t="n">
        <v>11</v>
      </c>
      <c r="M428" t="n">
        <v>3.25</v>
      </c>
      <c r="N428" t="n">
        <v>12</v>
      </c>
      <c r="O428" t="n">
        <v>0</v>
      </c>
      <c r="P428">
        <f>Table1[[#This Row],[TA 1 - Q1 Score]]+Table1[[#This Row],[TA 1 - Q2 Score]]+Table1[[#This Row],[TA 1 - Q3 Score]]</f>
        <v/>
      </c>
      <c r="Q428">
        <f>Table1[[#This Row],[TA 1 - Q1 Bonus]]+Table1[[#This Row],[TA 1 - Q2 Bonus]]+Table1[[#This Row],[TA 1 - Q4 Bonus]]</f>
        <v/>
      </c>
      <c r="R428">
        <f>Table1[[#This Row],[TA 2 - Q1 Score]]+Table1[[#This Row],[TA 2 - Q2 Score]]+Table1[[#This Row],[TA 2 - Q3 Score]]</f>
        <v/>
      </c>
      <c r="S428">
        <f>Table1[[#This Row],[TA 2 - Q1 Bonus]]+Table1[[#This Row],[TA 2 - Q2 Bonus]]+Table1[[#This Row],[TA 2 - Q4 Bonus]]</f>
        <v/>
      </c>
      <c r="T428">
        <f>(Table1[[#This Row],[TA 1 - Total Score (out of 35)]]+Table1[[#This Row],[TA 2 - Total Score (out of 35)]])/2</f>
        <v/>
      </c>
      <c r="U428">
        <f>(Table1[[#This Row],[TA 1 - Total Bonus (out of 13)]]+Table1[[#This Row],[TA 2 - Total Bonus (out of 13)]])/2</f>
        <v/>
      </c>
      <c r="V428">
        <f>Table1[[#This Row],[Average Questions]]/35*20+Table1[[#This Row],[Average Bonus]]/13*5</f>
        <v/>
      </c>
      <c r="W428" t="n">
        <v>0</v>
      </c>
      <c r="X428" t="n">
        <v>0</v>
      </c>
      <c r="Y428" t="inlineStr">
        <is>
          <t>The student's submission does not run correctly due to several issues. The training and validation loops are incorrect because the model outputs are squeezed, which changes the shape of the output tensor. This causes the loss function to fail. Additionally, the student did not correctly implement the Test Time Augmentation (TTA) function, as the predictions are not averaged correctly. The student also did not fix the labels to be 0-indexed, which is a requirement for the task. Therefore, the student receives 0 points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28" t="n">
        <v>0</v>
      </c>
      <c r="AA428" t="n">
        <v>0</v>
      </c>
      <c r="AB428" t="inlineStr">
        <is>
          <t>The student's submission does not run correctly due to several issues. The transforms applied to the dataset do not match the required specifications, and the model architecture does not adhere to the rubric. Additionally, the training and validation functions contain errors that prevent the model from training properly. The bonus task is also incomplete and does not run correctly. Therefore, the minimum defensible score for each task is 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28" t="n">
        <v>0</v>
      </c>
      <c r="AD428" t="inlineStr">
        <is>
          <t>The student's submission does not run end-to-end due to several issues. The dataset class is incorrectly implemented, leading to errors in data loading. The model definition uses 'efficientnet-b1' instead of 'efficientnet-b0' as specified. The training and validation loops have logical errors, and the loss plotting code is incorrect. Additionally, the visualization of predictions is flawed. These issues prevent the code from running correctly, resulting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28" t="n">
        <v>0</v>
      </c>
      <c r="AF428" t="n">
        <v>0</v>
      </c>
      <c r="AG428" t="inlineStr">
        <is>
          <t>No submission found.</t>
        </is>
      </c>
      <c r="AH428" t="n">
        <v>0</v>
      </c>
      <c r="AI428" t="n">
        <v>0</v>
      </c>
    </row>
    <row r="429">
      <c r="A429" t="n">
        <v>428</v>
      </c>
      <c r="B429" t="inlineStr">
        <is>
          <t>TA_8</t>
        </is>
      </c>
      <c r="C429" t="inlineStr">
        <is>
          <t>TA_18</t>
        </is>
      </c>
      <c r="D429" t="n">
        <v>7</v>
      </c>
      <c r="E429" t="n">
        <v>0</v>
      </c>
      <c r="F429" t="n">
        <v>9.5</v>
      </c>
      <c r="G429" t="n">
        <v>0</v>
      </c>
      <c r="H429" t="n">
        <v>10</v>
      </c>
      <c r="I429" t="n">
        <v>0</v>
      </c>
      <c r="J429" t="n">
        <v>10.25</v>
      </c>
      <c r="K429" t="n">
        <v>0</v>
      </c>
      <c r="L429" t="n">
        <v>9.5</v>
      </c>
      <c r="M429" t="n">
        <v>0</v>
      </c>
      <c r="N429" t="n">
        <v>8.25</v>
      </c>
      <c r="O429" t="n">
        <v>0</v>
      </c>
      <c r="P429">
        <f>Table1[[#This Row],[TA 1 - Q1 Score]]+Table1[[#This Row],[TA 1 - Q2 Score]]+Table1[[#This Row],[TA 1 - Q3 Score]]</f>
        <v/>
      </c>
      <c r="Q429">
        <f>Table1[[#This Row],[TA 1 - Q1 Bonus]]+Table1[[#This Row],[TA 1 - Q2 Bonus]]+Table1[[#This Row],[TA 1 - Q4 Bonus]]</f>
        <v/>
      </c>
      <c r="R429">
        <f>Table1[[#This Row],[TA 2 - Q1 Score]]+Table1[[#This Row],[TA 2 - Q2 Score]]+Table1[[#This Row],[TA 2 - Q3 Score]]</f>
        <v/>
      </c>
      <c r="S429">
        <f>Table1[[#This Row],[TA 2 - Q1 Bonus]]+Table1[[#This Row],[TA 2 - Q2 Bonus]]+Table1[[#This Row],[TA 2 - Q4 Bonus]]</f>
        <v/>
      </c>
      <c r="T429">
        <f>(Table1[[#This Row],[TA 1 - Total Score (out of 35)]]+Table1[[#This Row],[TA 2 - Total Score (out of 35)]])/2</f>
        <v/>
      </c>
      <c r="U429">
        <f>(Table1[[#This Row],[TA 1 - Total Bonus (out of 13)]]+Table1[[#This Row],[TA 2 - Total Bonus (out of 13)]])/2</f>
        <v/>
      </c>
      <c r="V429">
        <f>Table1[[#This Row],[Average Questions]]/35*20+Table1[[#This Row],[Average Bonus]]/13*5</f>
        <v/>
      </c>
      <c r="W429" t="n">
        <v>0</v>
      </c>
      <c r="X429" t="n">
        <v>0</v>
      </c>
      <c r="Y429" t="inlineStr">
        <is>
          <t>The student's submission does not run correctly due to several issues. The training and validation loops are incorrect, and the model is not properly set up for training. The student did not display sample images, and the transforms are not correctly applied. Additionally, the student did not implement the bonus task for Test Time Augmentation.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29" t="n">
        <v>0</v>
      </c>
      <c r="AA429" t="n">
        <v>0</v>
      </c>
      <c r="AB429" t="inlineStr">
        <is>
          <t>The student's submission does not run correctly due to missing code for displaying sample images with labels, defining the CNN model class with 5 convolutional layers, and adding Batch Normalization. Additionally, the training and validation functions are incomplete, and there is no code for setting up the device, model, loss, optimizer, training the model, or plotting losses and accuracy. The bonus tasks are also not attempted.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29" t="n">
        <v>0</v>
      </c>
      <c r="AD429" t="inlineStr">
        <is>
          <t>The student's submission failed to run end-to-end due to incorrect dataset paths and missing necessary imports. The dataset class and DataLoaders were incorrectly implemented, leading to errors in loading the data. The model definition used 'efficientnet-b0' instead of 'efficientnet-b1', which is a deviation from the rubric. The training and validation loops, as well as the loss and optimizer definitions, were not correctly implemented. The student did not provide any code for visualizing predictions, and the overall structure of the submission was disorganized and fragmented.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429" t="n">
        <v>0</v>
      </c>
      <c r="AF429" t="n">
        <v>0</v>
      </c>
      <c r="AG429" t="inlineStr">
        <is>
          <t>No submission found.</t>
        </is>
      </c>
      <c r="AH429" t="n">
        <v>0</v>
      </c>
      <c r="AI429" t="n">
        <v>0</v>
      </c>
    </row>
    <row r="430">
      <c r="A430" t="n">
        <v>429</v>
      </c>
      <c r="B430" t="inlineStr">
        <is>
          <t>TA_8</t>
        </is>
      </c>
      <c r="C430" t="inlineStr">
        <is>
          <t>TA_18</t>
        </is>
      </c>
      <c r="D430" t="n">
        <v>12</v>
      </c>
      <c r="E430" t="n">
        <v>0</v>
      </c>
      <c r="F430" t="n">
        <v>8</v>
      </c>
      <c r="G430" t="n">
        <v>0</v>
      </c>
      <c r="H430" t="n">
        <v>5.5</v>
      </c>
      <c r="I430" t="n">
        <v>0</v>
      </c>
      <c r="J430" t="n">
        <v>12</v>
      </c>
      <c r="K430" t="n">
        <v>0</v>
      </c>
      <c r="L430" t="n">
        <v>11</v>
      </c>
      <c r="M430" t="n">
        <v>0.25</v>
      </c>
      <c r="N430" t="n">
        <v>9.25</v>
      </c>
      <c r="O430" t="n">
        <v>0</v>
      </c>
      <c r="P430">
        <f>Table1[[#This Row],[TA 1 - Q1 Score]]+Table1[[#This Row],[TA 1 - Q2 Score]]+Table1[[#This Row],[TA 1 - Q3 Score]]</f>
        <v/>
      </c>
      <c r="Q430">
        <f>Table1[[#This Row],[TA 1 - Q1 Bonus]]+Table1[[#This Row],[TA 1 - Q2 Bonus]]+Table1[[#This Row],[TA 1 - Q4 Bonus]]</f>
        <v/>
      </c>
      <c r="R430">
        <f>Table1[[#This Row],[TA 2 - Q1 Score]]+Table1[[#This Row],[TA 2 - Q2 Score]]+Table1[[#This Row],[TA 2 - Q3 Score]]</f>
        <v/>
      </c>
      <c r="S430">
        <f>Table1[[#This Row],[TA 2 - Q1 Bonus]]+Table1[[#This Row],[TA 2 - Q2 Bonus]]+Table1[[#This Row],[TA 2 - Q4 Bonus]]</f>
        <v/>
      </c>
      <c r="T430">
        <f>(Table1[[#This Row],[TA 1 - Total Score (out of 35)]]+Table1[[#This Row],[TA 2 - Total Score (out of 35)]])/2</f>
        <v/>
      </c>
      <c r="U430">
        <f>(Table1[[#This Row],[TA 1 - Total Bonus (out of 13)]]+Table1[[#This Row],[TA 2 - Total Bonus (out of 13)]])/2</f>
        <v/>
      </c>
      <c r="V430">
        <f>Table1[[#This Row],[Average Questions]]/35*20+Table1[[#This Row],[Average Bonus]]/13*5</f>
        <v/>
      </c>
      <c r="W430" t="n">
        <v>0</v>
      </c>
      <c r="X430" t="n">
        <v>0</v>
      </c>
      <c r="Y430" t="inlineStr">
        <is>
          <t>The student's submission does not run correctly due to several issues. The validation loop in the training and validation functions is incorrect, as it uses torch.softmax and torch.sigmoid incorrectly, which leads to incorrect predictions and loss calculations. Additionally, the student did not implement the bonus task correctly, and the code for displaying sample images is incomplete.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30" t="n">
        <v>0</v>
      </c>
      <c r="AA430" t="n">
        <v>0</v>
      </c>
      <c r="AB430" t="inlineStr">
        <is>
          <t>The student's submission does not follow the rubric correctly. The student did not use the correct dataset class or ImageFolder, did not create the train/test datasets and DataLoaders correctly, and did not apply the correct transforms. The CNN model class does not have 5 convolutional layers and does not include Batch Normalization. The training and validation functions are incorrect and do not run correctly. The training process is incomplete and does not plot the losses and accuracy correctly. The bonus task is not attempted correctly and does not define a residual connection or retrain the model.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30" t="n">
        <v>0</v>
      </c>
      <c r="AD430" t="inlineStr">
        <is>
          <t>The student's submission does not run correctly due to several issues. The dataset class is incorrectly implemented, leading to errors in data loading. The DataLoader creation is flawed, and the model definition uses the wrong encoder. The training and validation loops are incomplete and contain errors. Additionally, the loss and optimizer are not correctly defined, and the training process does not execute properly. The visualization of predictions is also incorrect. Therefore, no points are awarded for any task as the code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30" t="n">
        <v>0</v>
      </c>
      <c r="AF430" t="n">
        <v>0</v>
      </c>
      <c r="AG430" t="inlineStr">
        <is>
          <t>No submission found.</t>
        </is>
      </c>
      <c r="AH430" t="n">
        <v>0</v>
      </c>
      <c r="AI430" t="n">
        <v>0</v>
      </c>
    </row>
    <row r="431">
      <c r="A431" t="n">
        <v>430</v>
      </c>
      <c r="B431" t="inlineStr">
        <is>
          <t>TA_8</t>
        </is>
      </c>
      <c r="C431" t="inlineStr">
        <is>
          <t>TA_18</t>
        </is>
      </c>
      <c r="D431" t="n">
        <v>12</v>
      </c>
      <c r="E431" t="n">
        <v>0</v>
      </c>
      <c r="F431" t="n">
        <v>11</v>
      </c>
      <c r="G431" t="n">
        <v>0</v>
      </c>
      <c r="H431" t="n">
        <v>12</v>
      </c>
      <c r="I431" t="n">
        <v>0</v>
      </c>
      <c r="J431" t="n">
        <v>12</v>
      </c>
      <c r="K431" t="n">
        <v>0</v>
      </c>
      <c r="L431" t="n">
        <v>11</v>
      </c>
      <c r="M431" t="n">
        <v>0</v>
      </c>
      <c r="N431" t="n">
        <v>12</v>
      </c>
      <c r="O431" t="n">
        <v>0</v>
      </c>
      <c r="P431">
        <f>Table1[[#This Row],[TA 1 - Q1 Score]]+Table1[[#This Row],[TA 1 - Q2 Score]]+Table1[[#This Row],[TA 1 - Q3 Score]]</f>
        <v/>
      </c>
      <c r="Q431">
        <f>Table1[[#This Row],[TA 1 - Q1 Bonus]]+Table1[[#This Row],[TA 1 - Q2 Bonus]]+Table1[[#This Row],[TA 1 - Q4 Bonus]]</f>
        <v/>
      </c>
      <c r="R431">
        <f>Table1[[#This Row],[TA 2 - Q1 Score]]+Table1[[#This Row],[TA 2 - Q2 Score]]+Table1[[#This Row],[TA 2 - Q3 Score]]</f>
        <v/>
      </c>
      <c r="S431">
        <f>Table1[[#This Row],[TA 2 - Q1 Bonus]]+Table1[[#This Row],[TA 2 - Q2 Bonus]]+Table1[[#This Row],[TA 2 - Q4 Bonus]]</f>
        <v/>
      </c>
      <c r="T431">
        <f>(Table1[[#This Row],[TA 1 - Total Score (out of 35)]]+Table1[[#This Row],[TA 2 - Total Score (out of 35)]])/2</f>
        <v/>
      </c>
      <c r="U431">
        <f>(Table1[[#This Row],[TA 1 - Total Bonus (out of 13)]]+Table1[[#This Row],[TA 2 - Total Bonus (out of 13)]])/2</f>
        <v/>
      </c>
      <c r="V431">
        <f>Table1[[#This Row],[Average Questions]]/35*20+Table1[[#This Row],[Average Bonus]]/13*5</f>
        <v/>
      </c>
      <c r="W431" t="n">
        <v>0</v>
      </c>
      <c r="X431" t="n">
        <v>0</v>
      </c>
      <c r="Y431" t="inlineStr">
        <is>
          <t>The student's submission does not run correctly due to several issues. The DataLoader creation is incorrect as it uses 'valid_loader' instead of 'test_loader'. The model training and validation loops contain errors, such as incorrect label adjustment and improper use of softmax. Additionally, the plotting code is incomplete and does not display the training and validation losses or accuracies. The bonus task for Test Time Augmentation is not attempted.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31" t="n">
        <v>0</v>
      </c>
      <c r="AA431" t="n">
        <v>0</v>
      </c>
      <c r="AB431" t="inlineStr">
        <is>
          <t>The student's submission does not run correctly due to several issues. The dataset class or ImageFolder is incorrectly implemented, the transforms do not match the rubric, and the CNN model does not follow the specified architecture. Additionally, the training and validation functions are incorrect, and the residual connection implementation is flawed. The code does not produce the correct output and deviates significantly from the rubric, resulting in a score of 0.0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431" t="n">
        <v>0</v>
      </c>
      <c r="AD431" t="inlineStr">
        <is>
          <t>The student's submission does not run correctly due to several issues. The dataset class is incomplete and does not correctly handle the image and mask paths. The DataLoader creation is flawed, and the display of sample images and masks is incorrect. The model definition uses the wrong encoder, and the training and validation loops are not correctly implemented. Additionally, the loss and optimizer are not defined correctly, and the training process does not run as expected. The visualization of predictions is also incorrect.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31" t="n">
        <v>0</v>
      </c>
      <c r="AF431" t="n">
        <v>0</v>
      </c>
      <c r="AG431" t="inlineStr">
        <is>
          <t>No submission found.</t>
        </is>
      </c>
      <c r="AH431" t="n">
        <v>0</v>
      </c>
      <c r="AI431" t="n">
        <v>0</v>
      </c>
    </row>
    <row r="432">
      <c r="A432" t="n">
        <v>431</v>
      </c>
      <c r="B432" t="inlineStr">
        <is>
          <t>TA_8</t>
        </is>
      </c>
      <c r="C432" t="inlineStr">
        <is>
          <t>TA_18</t>
        </is>
      </c>
      <c r="D432" t="n">
        <v>4.5</v>
      </c>
      <c r="E432" t="n">
        <v>0</v>
      </c>
      <c r="F432" t="n">
        <v>9</v>
      </c>
      <c r="G432" t="n">
        <v>0</v>
      </c>
      <c r="H432" t="n">
        <v>11.5</v>
      </c>
      <c r="I432" t="n">
        <v>0</v>
      </c>
      <c r="J432" t="n">
        <v>5.75</v>
      </c>
      <c r="K432" t="n">
        <v>0</v>
      </c>
      <c r="L432" t="n">
        <v>7.75</v>
      </c>
      <c r="M432" t="n">
        <v>0</v>
      </c>
      <c r="N432" t="n">
        <v>5.75</v>
      </c>
      <c r="O432" t="n">
        <v>0</v>
      </c>
      <c r="P432">
        <f>Table1[[#This Row],[TA 1 - Q1 Score]]+Table1[[#This Row],[TA 1 - Q2 Score]]+Table1[[#This Row],[TA 1 - Q3 Score]]</f>
        <v/>
      </c>
      <c r="Q432">
        <f>Table1[[#This Row],[TA 1 - Q1 Bonus]]+Table1[[#This Row],[TA 1 - Q2 Bonus]]+Table1[[#This Row],[TA 1 - Q4 Bonus]]</f>
        <v/>
      </c>
      <c r="R432">
        <f>Table1[[#This Row],[TA 2 - Q1 Score]]+Table1[[#This Row],[TA 2 - Q2 Score]]+Table1[[#This Row],[TA 2 - Q3 Score]]</f>
        <v/>
      </c>
      <c r="S432">
        <f>Table1[[#This Row],[TA 2 - Q1 Bonus]]+Table1[[#This Row],[TA 2 - Q2 Bonus]]+Table1[[#This Row],[TA 2 - Q4 Bonus]]</f>
        <v/>
      </c>
      <c r="T432">
        <f>(Table1[[#This Row],[TA 1 - Total Score (out of 35)]]+Table1[[#This Row],[TA 2 - Total Score (out of 35)]])/2</f>
        <v/>
      </c>
      <c r="U432">
        <f>(Table1[[#This Row],[TA 1 - Total Bonus (out of 13)]]+Table1[[#This Row],[TA 2 - Total Bonus (out of 13)]])/2</f>
        <v/>
      </c>
      <c r="V432">
        <f>Table1[[#This Row],[Average Questions]]/35*20+Table1[[#This Row],[Average Bonus]]/13*5</f>
        <v/>
      </c>
      <c r="W432" t="n">
        <v>0</v>
      </c>
      <c r="X432" t="n">
        <v>0</v>
      </c>
      <c r="Y432" t="inlineStr">
        <is>
          <t>The student's submission contains several critical errors that prevent the code from running correctly. The transforms are incomplete, the DataLoaders are not correctly created, and the model is not properly set up for training. Additionally, the training and validation loops are incorrect, and the plots for training and validation losses and accuracies are missing. The bonus task for Test Time Augmentation is also not attempted.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32" t="n">
        <v>0</v>
      </c>
      <c r="AA432" t="n">
        <v>0</v>
      </c>
      <c r="AB432" t="inlineStr">
        <is>
          <t>The student's submission does not run correctly due to several issues. The dataset class is incorrectly implemented, leading to errors in data loading. The transforms are not applied correctly, and the model architecture does not match the requirements. Additionally, the training and validation functions are flawed, and the plotting code is incomplete. The bonus task is also not attempted.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32" t="n">
        <v>0</v>
      </c>
      <c r="AD432" t="inlineStr">
        <is>
          <t>The student's submission does not follow the rubric correctly. The dataset class is incorrectly implemented, using a CSV file that was not provided or mentioned in the instructions. The model definition uses 'efficientnet-b1' instead of 'efficientnet-b0' as specified. The loss function and optimizer are incorrectly defined for a multi-class segmentation task. The training and validation loops do not handle the multi-class nature of the problem. Additionally, the visualization of predictions is incorrect and does not follow the required format. The code does not run correctly due to these issues, resulting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32" t="n">
        <v>0</v>
      </c>
      <c r="AF432" t="n">
        <v>0</v>
      </c>
      <c r="AG432" t="inlineStr">
        <is>
          <t>No submission found.</t>
        </is>
      </c>
      <c r="AH432" t="n">
        <v>0</v>
      </c>
      <c r="AI432" t="n">
        <v>0</v>
      </c>
    </row>
    <row r="433">
      <c r="A433" t="n">
        <v>432</v>
      </c>
      <c r="B433" t="inlineStr">
        <is>
          <t>TA_8</t>
        </is>
      </c>
      <c r="C433" t="inlineStr">
        <is>
          <t>TA_18</t>
        </is>
      </c>
      <c r="D433" t="n">
        <v>6</v>
      </c>
      <c r="E433" t="n">
        <v>0</v>
      </c>
      <c r="F433" t="n">
        <v>7.5</v>
      </c>
      <c r="G433" t="n">
        <v>0</v>
      </c>
      <c r="H433" t="n">
        <v>8.5</v>
      </c>
      <c r="I433" t="n">
        <v>0</v>
      </c>
      <c r="J433" t="n">
        <v>6.75</v>
      </c>
      <c r="K433" t="n">
        <v>0</v>
      </c>
      <c r="L433" t="n">
        <v>8.5</v>
      </c>
      <c r="M433" t="n">
        <v>2.5</v>
      </c>
      <c r="N433" t="n">
        <v>9</v>
      </c>
      <c r="O433" t="n">
        <v>0</v>
      </c>
      <c r="P433">
        <f>Table1[[#This Row],[TA 1 - Q1 Score]]+Table1[[#This Row],[TA 1 - Q2 Score]]+Table1[[#This Row],[TA 1 - Q3 Score]]</f>
        <v/>
      </c>
      <c r="Q433">
        <f>Table1[[#This Row],[TA 1 - Q1 Bonus]]+Table1[[#This Row],[TA 1 - Q2 Bonus]]+Table1[[#This Row],[TA 1 - Q4 Bonus]]</f>
        <v/>
      </c>
      <c r="R433">
        <f>Table1[[#This Row],[TA 2 - Q1 Score]]+Table1[[#This Row],[TA 2 - Q2 Score]]+Table1[[#This Row],[TA 2 - Q3 Score]]</f>
        <v/>
      </c>
      <c r="S433">
        <f>Table1[[#This Row],[TA 2 - Q1 Bonus]]+Table1[[#This Row],[TA 2 - Q2 Bonus]]+Table1[[#This Row],[TA 2 - Q4 Bonus]]</f>
        <v/>
      </c>
      <c r="T433">
        <f>(Table1[[#This Row],[TA 1 - Total Score (out of 35)]]+Table1[[#This Row],[TA 2 - Total Score (out of 35)]])/2</f>
        <v/>
      </c>
      <c r="U433">
        <f>(Table1[[#This Row],[TA 1 - Total Bonus (out of 13)]]+Table1[[#This Row],[TA 2 - Total Bonus (out of 13)]])/2</f>
        <v/>
      </c>
      <c r="V433">
        <f>Table1[[#This Row],[Average Questions]]/35*20+Table1[[#This Row],[Average Bonus]]/13*5</f>
        <v/>
      </c>
      <c r="W433" t="n">
        <v>0</v>
      </c>
      <c r="X433" t="n">
        <v>0</v>
      </c>
      <c r="Y433" t="inlineStr">
        <is>
          <t>The student's submission does not run correctly due to several issues. The transforms are incomplete, the DataLoaders are not correctly created, and the model is not properly set up. The training and validation loops are incorrect, and the labels are not fixed. Additionally, the plots for training and validation losses and accuracies are missing. The bonus task for Test Time Augmentation is also not implemented correctly.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33" t="n">
        <v>0</v>
      </c>
      <c r="AA433" t="n">
        <v>0</v>
      </c>
      <c r="AB433" t="inlineStr">
        <is>
          <t>The student's submission does not run correctly due to multiple issues. The dataset paths are incorrect, the model architecture is flawed, and the training and validation loops are not correctly implemented. Additionally, the residual connection implementation is incorrect and does not follow the specified instructions.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33" t="n">
        <v>0</v>
      </c>
      <c r="AD433" t="inlineStr">
        <is>
          <t>The student's submission does not run end-to-end due to multiple issues. The dataset class is incomplete and does not correctly handle the image and mask paths. The DataLoader creation is flawed as it uses the same dataset for both training and testing without proper splitting. The model definition uses the wrong number of classes and the loss function is incorrectly defined for a multi-class segmentation task. The training and validation loops are present but will not run correctly due to the aforementioned issues. The visualization code is incomplete and will not display the correct predictions.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33" t="n">
        <v>0</v>
      </c>
      <c r="AF433" t="n">
        <v>0</v>
      </c>
      <c r="AG433" t="inlineStr">
        <is>
          <t>No submission found.</t>
        </is>
      </c>
      <c r="AH433" t="n">
        <v>0</v>
      </c>
      <c r="AI433" t="n">
        <v>0</v>
      </c>
    </row>
    <row r="434">
      <c r="A434" t="n">
        <v>433</v>
      </c>
      <c r="B434" t="inlineStr">
        <is>
          <t>TA_8</t>
        </is>
      </c>
      <c r="C434" t="inlineStr">
        <is>
          <t>TA_18</t>
        </is>
      </c>
      <c r="D434" t="n">
        <v>8.5</v>
      </c>
      <c r="E434" t="n">
        <v>0</v>
      </c>
      <c r="F434" t="n">
        <v>11</v>
      </c>
      <c r="G434" t="n">
        <v>0</v>
      </c>
      <c r="H434" t="n">
        <v>12</v>
      </c>
      <c r="I434" t="n">
        <v>0</v>
      </c>
      <c r="J434" t="n">
        <v>3.5</v>
      </c>
      <c r="K434" t="n">
        <v>0</v>
      </c>
      <c r="L434" t="n">
        <v>10.5</v>
      </c>
      <c r="M434" t="n">
        <v>0</v>
      </c>
      <c r="N434" t="n">
        <v>4.5</v>
      </c>
      <c r="O434" t="n">
        <v>0</v>
      </c>
      <c r="P434">
        <f>Table1[[#This Row],[TA 1 - Q1 Score]]+Table1[[#This Row],[TA 1 - Q2 Score]]+Table1[[#This Row],[TA 1 - Q3 Score]]</f>
        <v/>
      </c>
      <c r="Q434">
        <f>Table1[[#This Row],[TA 1 - Q1 Bonus]]+Table1[[#This Row],[TA 1 - Q2 Bonus]]+Table1[[#This Row],[TA 1 - Q4 Bonus]]</f>
        <v/>
      </c>
      <c r="R434">
        <f>Table1[[#This Row],[TA 2 - Q1 Score]]+Table1[[#This Row],[TA 2 - Q2 Score]]+Table1[[#This Row],[TA 2 - Q3 Score]]</f>
        <v/>
      </c>
      <c r="S434">
        <f>Table1[[#This Row],[TA 2 - Q1 Bonus]]+Table1[[#This Row],[TA 2 - Q2 Bonus]]+Table1[[#This Row],[TA 2 - Q4 Bonus]]</f>
        <v/>
      </c>
      <c r="T434">
        <f>(Table1[[#This Row],[TA 1 - Total Score (out of 35)]]+Table1[[#This Row],[TA 2 - Total Score (out of 35)]])/2</f>
        <v/>
      </c>
      <c r="U434">
        <f>(Table1[[#This Row],[TA 1 - Total Bonus (out of 13)]]+Table1[[#This Row],[TA 2 - Total Bonus (out of 13)]])/2</f>
        <v/>
      </c>
      <c r="V434">
        <f>Table1[[#This Row],[Average Questions]]/35*20+Table1[[#This Row],[Average Bonus]]/13*5</f>
        <v/>
      </c>
      <c r="W434" t="n">
        <v>0</v>
      </c>
      <c r="X434" t="n">
        <v>0</v>
      </c>
      <c r="Y434" t="inlineStr">
        <is>
          <t>The student's submission does not follow the required structure and logic for the tasks. The code for loading and preparing the data, training and validation loops, and training the model is incorrect or incomplete. The student did not correctly load the pretrained model, freeze the backbone, or replace the classifier head. Additionally, the student did not implement the bonus task for Test Time Augmentation. The code does not run correctly and deviates significantly from the rubric, resulting in a score of 0.0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34" t="n">
        <v>0</v>
      </c>
      <c r="AA434" t="n">
        <v>0</v>
      </c>
      <c r="AB434" t="inlineStr">
        <is>
          <t>The student's submission contains several critical errors that prevent the code from running correctly. The dataset paths are incorrect, leading to issues in loading the data. The CNN model definition is flawed, with incorrect batch normalization implementations and an incorrect number of convolutional layers. The training and validation functions are incomplete and contain logical errors.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34" t="n">
        <v>0</v>
      </c>
      <c r="AD434" t="inlineStr">
        <is>
          <t>The student's submission does not follow the rubric correctly. The dataset class is incomplete and incorrectly implemented, leading to issues in loading images and masks. The model definition is incorrect and does not use the specified encoder. The training and validation loops are not correctly implemented, and the visualization of predictions is missing. The code does not run end-to-end due to these issues, resulting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34" t="n">
        <v>0</v>
      </c>
      <c r="AF434" t="n">
        <v>0</v>
      </c>
      <c r="AG434" t="inlineStr">
        <is>
          <t>No submission found.</t>
        </is>
      </c>
      <c r="AH434" t="n">
        <v>0</v>
      </c>
      <c r="AI434" t="n">
        <v>0</v>
      </c>
    </row>
    <row r="435">
      <c r="A435" t="n">
        <v>434</v>
      </c>
      <c r="B435" t="inlineStr">
        <is>
          <t>TA_8</t>
        </is>
      </c>
      <c r="C435" t="inlineStr">
        <is>
          <t>TA_18</t>
        </is>
      </c>
      <c r="D435" t="n">
        <v>7</v>
      </c>
      <c r="E435" t="n">
        <v>0</v>
      </c>
      <c r="F435" t="n">
        <v>8.5</v>
      </c>
      <c r="G435" t="n">
        <v>0</v>
      </c>
      <c r="H435" t="n">
        <v>12</v>
      </c>
      <c r="I435" t="n">
        <v>0</v>
      </c>
      <c r="J435" t="n">
        <v>6.75</v>
      </c>
      <c r="K435" t="n">
        <v>0</v>
      </c>
      <c r="L435" t="n">
        <v>9</v>
      </c>
      <c r="M435" t="n">
        <v>2</v>
      </c>
      <c r="N435" t="n">
        <v>10</v>
      </c>
      <c r="O435" t="n">
        <v>0</v>
      </c>
      <c r="P435">
        <f>Table1[[#This Row],[TA 1 - Q1 Score]]+Table1[[#This Row],[TA 1 - Q2 Score]]+Table1[[#This Row],[TA 1 - Q3 Score]]</f>
        <v/>
      </c>
      <c r="Q435">
        <f>Table1[[#This Row],[TA 1 - Q1 Bonus]]+Table1[[#This Row],[TA 1 - Q2 Bonus]]+Table1[[#This Row],[TA 1 - Q4 Bonus]]</f>
        <v/>
      </c>
      <c r="R435">
        <f>Table1[[#This Row],[TA 2 - Q1 Score]]+Table1[[#This Row],[TA 2 - Q2 Score]]+Table1[[#This Row],[TA 2 - Q3 Score]]</f>
        <v/>
      </c>
      <c r="S435">
        <f>Table1[[#This Row],[TA 2 - Q1 Bonus]]+Table1[[#This Row],[TA 2 - Q2 Bonus]]+Table1[[#This Row],[TA 2 - Q4 Bonus]]</f>
        <v/>
      </c>
      <c r="T435">
        <f>(Table1[[#This Row],[TA 1 - Total Score (out of 35)]]+Table1[[#This Row],[TA 2 - Total Score (out of 35)]])/2</f>
        <v/>
      </c>
      <c r="U435">
        <f>(Table1[[#This Row],[TA 1 - Total Bonus (out of 13)]]+Table1[[#This Row],[TA 2 - Total Bonus (out of 13)]])/2</f>
        <v/>
      </c>
      <c r="V435">
        <f>Table1[[#This Row],[Average Questions]]/35*20+Table1[[#This Row],[Average Bonus]]/13*5</f>
        <v/>
      </c>
      <c r="W435" t="n">
        <v>0</v>
      </c>
      <c r="X435" t="n">
        <v>0</v>
      </c>
      <c r="Y435" t="inlineStr">
        <is>
          <t>The student's submission does not run correctly due to several issues. The transforms are not correctly applied, the DataLoaders are not created properly, and the sample images are not displayed correctly. The model is not correctly loaded or adapted for the task. The training and validation loops are incorrect, and the labels are not fixed. The training process is not set up correctly, and the plots for training and validation losses and accuracies are missing. The bonus task for Test Time Augmentation is also not implemented correctly.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35" t="n">
        <v>0</v>
      </c>
      <c r="AA435" t="n">
        <v>0</v>
      </c>
      <c r="AB435" t="inlineStr">
        <is>
          <t>The student's submission does not run correctly due to multiple syntax errors and logical mistakes. The code for loading and preparing the data, building the CNN model, training and validation functions, and training the model contains numerous issues that prevent it from executing properly. Additionally, the bonus task for residual connection is not attempted correctly. Therefore, no points are awarded for any of the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35" t="n">
        <v>0</v>
      </c>
      <c r="AD435" t="inlineStr">
        <is>
          <t>The student's submission has several critical issues. The dataset class is incorrectly implemented, leading to incorrect data loading. The model definition uses the wrong encoder ('efficientnet-b0' instead of 'efficientnet-b1') and the wrong number of classes (1 instead of 8). The training and validation loops are incorrectly implemented, using the wrong loss function (BCEWithLogitsLoss instead of CrossEntropyLoss) and incorrect data types. The visualization of predictions is also incorrect, using a binary threshold instead of multi-class segmentation. These issues result in a score of 0.0 for the base tasks and -50.0 for the model definition task due to the entirely wrong approach.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435" t="n">
        <v>0</v>
      </c>
      <c r="AF435" t="n">
        <v>0</v>
      </c>
      <c r="AG435" t="inlineStr">
        <is>
          <t>No submission found.</t>
        </is>
      </c>
      <c r="AH435" t="n">
        <v>0</v>
      </c>
      <c r="AI435" t="n">
        <v>0</v>
      </c>
    </row>
    <row r="436">
      <c r="A436" t="n">
        <v>435</v>
      </c>
      <c r="B436" t="inlineStr">
        <is>
          <t>TA_8</t>
        </is>
      </c>
      <c r="C436" t="inlineStr">
        <is>
          <t>TA_18</t>
        </is>
      </c>
      <c r="D436" t="n">
        <v>7</v>
      </c>
      <c r="E436" t="n">
        <v>0</v>
      </c>
      <c r="F436" t="n">
        <v>9.5</v>
      </c>
      <c r="G436" t="n">
        <v>0</v>
      </c>
      <c r="H436" t="n">
        <v>11.5</v>
      </c>
      <c r="I436" t="n">
        <v>5</v>
      </c>
      <c r="J436" t="n">
        <v>2.5</v>
      </c>
      <c r="K436" t="n">
        <v>0</v>
      </c>
      <c r="L436" t="n">
        <v>10.5</v>
      </c>
      <c r="M436" t="n">
        <v>0</v>
      </c>
      <c r="N436" t="n">
        <v>11.5</v>
      </c>
      <c r="O436" t="n">
        <v>5</v>
      </c>
      <c r="P436">
        <f>Table1[[#This Row],[TA 1 - Q1 Score]]+Table1[[#This Row],[TA 1 - Q2 Score]]+Table1[[#This Row],[TA 1 - Q3 Score]]</f>
        <v/>
      </c>
      <c r="Q436">
        <f>Table1[[#This Row],[TA 1 - Q1 Bonus]]+Table1[[#This Row],[TA 1 - Q2 Bonus]]+Table1[[#This Row],[TA 1 - Q4 Bonus]]</f>
        <v/>
      </c>
      <c r="R436">
        <f>Table1[[#This Row],[TA 2 - Q1 Score]]+Table1[[#This Row],[TA 2 - Q2 Score]]+Table1[[#This Row],[TA 2 - Q3 Score]]</f>
        <v/>
      </c>
      <c r="S436">
        <f>Table1[[#This Row],[TA 2 - Q1 Bonus]]+Table1[[#This Row],[TA 2 - Q2 Bonus]]+Table1[[#This Row],[TA 2 - Q4 Bonus]]</f>
        <v/>
      </c>
      <c r="T436">
        <f>(Table1[[#This Row],[TA 1 - Total Score (out of 35)]]+Table1[[#This Row],[TA 2 - Total Score (out of 35)]])/2</f>
        <v/>
      </c>
      <c r="U436">
        <f>(Table1[[#This Row],[TA 1 - Total Bonus (out of 13)]]+Table1[[#This Row],[TA 2 - Total Bonus (out of 13)]])/2</f>
        <v/>
      </c>
      <c r="V436">
        <f>Table1[[#This Row],[Average Questions]]/35*20+Table1[[#This Row],[Average Bonus]]/13*5</f>
        <v/>
      </c>
      <c r="W436" t="n">
        <v>0</v>
      </c>
      <c r="X436" t="n">
        <v>0</v>
      </c>
      <c r="Y436" t="inlineStr">
        <is>
          <t>The student's submission does not run end-to-end due to missing or incomplete code in several critical parts. Specifically, the transforms are not fully defined, the DataLoaders are not created correctly, and the model training and validation functions are incomplete. Additionally, the student did not implement the bonus task for Test Time Augmentation.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36" t="n">
        <v>0</v>
      </c>
      <c r="AA436" t="n">
        <v>0</v>
      </c>
      <c r="AB436" t="inlineStr">
        <is>
          <t>The student's submission does not include any code for loading and preparing the data, building the CNN model, or training and validation functions. The code provided does not address the tasks specified in the rubric, resulting in a score of 0.0 for all tasks. The student did not attempt to implement the required functionalities, and there is no evidence of any effort to complete the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36" t="n">
        <v>10</v>
      </c>
      <c r="AD436" t="inlineStr">
        <is>
          <t>The student's submission successfully builds a custom dataset class, creates DataLoaders, and displays sample images and masks. The model class is correctly defined with the pretrained U-Net using efficientnet-b1 encoder. The training and validation loops are implemented correctly. The loss and optimizer are defined, and the model is trained with training and validation losses printed and plotted. The visualization of predictions vs ground truth for multiple images is also correctly implemented. The student's code runs end-to-end without errors, adhering to the rubric.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36" t="n">
        <v>0</v>
      </c>
      <c r="AF436" t="n">
        <v>0</v>
      </c>
      <c r="AG436" t="inlineStr">
        <is>
          <t>The student's implementation of the `ColorizationDataset` class is missing the `rgb_to_grayscale` method, which is a critical part of the task. Without this method, the class does not fully adhere to the rubric requirements. Therefore, the implementation is incomplete and does not run correctly, resulting in a score of 0.0 for the task.
Breakdown:
- Correctly implemented `ColorizationDataset` class: 0.0/5.0</t>
        </is>
      </c>
      <c r="AH436" t="n">
        <v>10</v>
      </c>
      <c r="AI436" t="n">
        <v>0</v>
      </c>
    </row>
    <row r="437">
      <c r="A437" t="n">
        <v>436</v>
      </c>
      <c r="B437" t="inlineStr">
        <is>
          <t>TA_8</t>
        </is>
      </c>
      <c r="C437" t="inlineStr">
        <is>
          <t>TA_18</t>
        </is>
      </c>
      <c r="D437" t="n">
        <v>4.5</v>
      </c>
      <c r="E437" t="n">
        <v>0</v>
      </c>
      <c r="F437" t="n">
        <v>0</v>
      </c>
      <c r="G437" t="n">
        <v>0</v>
      </c>
      <c r="H437" t="n">
        <v>0</v>
      </c>
      <c r="I437" t="n">
        <v>0</v>
      </c>
      <c r="J437" t="n">
        <v>6.25</v>
      </c>
      <c r="K437" t="n">
        <v>0</v>
      </c>
      <c r="L437" t="n">
        <v>7.25</v>
      </c>
      <c r="M437" t="n">
        <v>0</v>
      </c>
      <c r="N437" t="n">
        <v>7</v>
      </c>
      <c r="O437" t="n">
        <v>0</v>
      </c>
      <c r="P437">
        <f>Table1[[#This Row],[TA 1 - Q1 Score]]+Table1[[#This Row],[TA 1 - Q2 Score]]+Table1[[#This Row],[TA 1 - Q3 Score]]</f>
        <v/>
      </c>
      <c r="Q437">
        <f>Table1[[#This Row],[TA 1 - Q1 Bonus]]+Table1[[#This Row],[TA 1 - Q2 Bonus]]+Table1[[#This Row],[TA 1 - Q4 Bonus]]</f>
        <v/>
      </c>
      <c r="R437">
        <f>Table1[[#This Row],[TA 2 - Q1 Score]]+Table1[[#This Row],[TA 2 - Q2 Score]]+Table1[[#This Row],[TA 2 - Q3 Score]]</f>
        <v/>
      </c>
      <c r="S437">
        <f>Table1[[#This Row],[TA 2 - Q1 Bonus]]+Table1[[#This Row],[TA 2 - Q2 Bonus]]+Table1[[#This Row],[TA 2 - Q4 Bonus]]</f>
        <v/>
      </c>
      <c r="T437">
        <f>(Table1[[#This Row],[TA 1 - Total Score (out of 35)]]+Table1[[#This Row],[TA 2 - Total Score (out of 35)]])/2</f>
        <v/>
      </c>
      <c r="U437">
        <f>(Table1[[#This Row],[TA 1 - Total Bonus (out of 13)]]+Table1[[#This Row],[TA 2 - Total Bonus (out of 13)]])/2</f>
        <v/>
      </c>
      <c r="V437">
        <f>Table1[[#This Row],[Average Questions]]/35*20+Table1[[#This Row],[Average Bonus]]/13*5</f>
        <v/>
      </c>
      <c r="W437" t="n">
        <v>0</v>
      </c>
      <c r="X437" t="n">
        <v>0</v>
      </c>
      <c r="Y437" t="inlineStr">
        <is>
          <t>The student's submission contains several critical errors and omissions that prevent the code from running correctly. The transforms are incorrectly set to resize images to 224x224 instead of 28x28, which is a fundamental deviation from the task requirements. The DataLoader creation and image display tasks are incomplete, and the model adaptation tasks are incorrectly implemented. The training and validation loops are missing key components, and the training process is not correctly set up. Additionally, the bonus task for Test Time Augmentation is not attempted. These issues collectively result in a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37" t="n">
        <v>0</v>
      </c>
      <c r="AA437" t="n">
        <v>0</v>
      </c>
      <c r="AB437" t="inlineStr">
        <is>
          <t>The student's submission contains multiple errors and omissions that prevent the code from running correctly. The dataset class is incorrectly defined, leading to issues in loading the data. The transforms are applied incorrectly, and the DataLoader setup is flawed. The CNN model is missing batch normalization layers, and the training and validation functions are not correctly implemented. Additionally, the student did not attempt the bonus task. Therefore, the minimum defensible score for each task is 0% due to the code not running correctly.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37" t="n">
        <v>0</v>
      </c>
      <c r="AD437" t="inlineStr">
        <is>
          <t>The student's submission is incomplete and contains significant errors. The dataset class is incorrectly implemented, with missing paths and incorrect transformations. The model definition uses the wrong activation function and does not follow the specified encoder. The training and validation loops are incomplete and do not run correctly. Additionally, the student did not define the DataLoaders, display sample images and masks, or visualize predictions. The submission does not meet the requirements of the rubric and thus receives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37" t="n">
        <v>0</v>
      </c>
      <c r="AF437" t="n">
        <v>0</v>
      </c>
      <c r="AG437" t="inlineStr">
        <is>
          <t>No submission found.</t>
        </is>
      </c>
      <c r="AH437" t="n">
        <v>0</v>
      </c>
      <c r="AI437" t="n">
        <v>0</v>
      </c>
    </row>
    <row r="438">
      <c r="A438" t="n">
        <v>437</v>
      </c>
      <c r="B438" t="inlineStr">
        <is>
          <t>TA_8</t>
        </is>
      </c>
      <c r="C438" t="inlineStr">
        <is>
          <t>TA_18</t>
        </is>
      </c>
      <c r="D438" t="n">
        <v>10.5</v>
      </c>
      <c r="E438" t="n">
        <v>0</v>
      </c>
      <c r="F438" t="n">
        <v>9</v>
      </c>
      <c r="G438" t="n">
        <v>0</v>
      </c>
      <c r="H438" t="n">
        <v>12</v>
      </c>
      <c r="I438" t="n">
        <v>0</v>
      </c>
      <c r="J438" t="n">
        <v>10.5</v>
      </c>
      <c r="K438" t="n">
        <v>3.5</v>
      </c>
      <c r="L438" t="n">
        <v>9</v>
      </c>
      <c r="M438" t="n">
        <v>0</v>
      </c>
      <c r="N438" t="n">
        <v>12</v>
      </c>
      <c r="O438" t="n">
        <v>0</v>
      </c>
      <c r="P438">
        <f>Table1[[#This Row],[TA 1 - Q1 Score]]+Table1[[#This Row],[TA 1 - Q2 Score]]+Table1[[#This Row],[TA 1 - Q3 Score]]</f>
        <v/>
      </c>
      <c r="Q438">
        <f>Table1[[#This Row],[TA 1 - Q1 Bonus]]+Table1[[#This Row],[TA 1 - Q2 Bonus]]+Table1[[#This Row],[TA 1 - Q4 Bonus]]</f>
        <v/>
      </c>
      <c r="R438">
        <f>Table1[[#This Row],[TA 2 - Q1 Score]]+Table1[[#This Row],[TA 2 - Q2 Score]]+Table1[[#This Row],[TA 2 - Q3 Score]]</f>
        <v/>
      </c>
      <c r="S438">
        <f>Table1[[#This Row],[TA 2 - Q1 Bonus]]+Table1[[#This Row],[TA 2 - Q2 Bonus]]+Table1[[#This Row],[TA 2 - Q4 Bonus]]</f>
        <v/>
      </c>
      <c r="T438">
        <f>(Table1[[#This Row],[TA 1 - Total Score (out of 35)]]+Table1[[#This Row],[TA 2 - Total Score (out of 35)]])/2</f>
        <v/>
      </c>
      <c r="U438">
        <f>(Table1[[#This Row],[TA 1 - Total Bonus (out of 13)]]+Table1[[#This Row],[TA 2 - Total Bonus (out of 13)]])/2</f>
        <v/>
      </c>
      <c r="V438">
        <f>Table1[[#This Row],[Average Questions]]/35*20+Table1[[#This Row],[Average Bonus]]/13*5</f>
        <v/>
      </c>
      <c r="W438" t="n">
        <v>0</v>
      </c>
      <c r="X438" t="n">
        <v>0</v>
      </c>
      <c r="Y438" t="inlineStr">
        <is>
          <t>The student's submission does not run correctly due to several issues. The transforms are not correctly applied, the DataLoaders are not created properly, and the model is not correctly adapted for the task. Additionally, the training and validation loops are incorrect, and the label fixing is not implemented. The bonus task for Test Time Augmentation is also incorrect. Therefore, the student receives 0 points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38" t="n">
        <v>0</v>
      </c>
      <c r="AA438" t="n">
        <v>0</v>
      </c>
      <c r="AB438" t="inlineStr">
        <is>
          <t>The student's submission does not run correctly due to several issues. The transforms applied to the test dataset include RandomRotation, which is not specified in the rubric. The CNN model class does not include Batch Normalization layers as required. The training and validation functions include incorrect softmax application, which is not needed with CrossEntropyLoss. The model is trained on the wrong number of output classes (10 instead of 3). Additionally, the bonus task for residual connections is not attempted.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38" t="n">
        <v>0</v>
      </c>
      <c r="AD438" t="inlineStr">
        <is>
          <t>The student's submission does not run correctly due to missing code for defining the loss and optimizer, and the training loop. Additionally, the dataset class and DataLoaders are incorrectly implemented, leading to a complete failure in running the training process. The student's code does not follow the rubric's instructions, resulting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38" t="n">
        <v>0</v>
      </c>
      <c r="AF438" t="n">
        <v>0</v>
      </c>
      <c r="AG438" t="inlineStr">
        <is>
          <t>No submission found.</t>
        </is>
      </c>
      <c r="AH438" t="n">
        <v>0</v>
      </c>
      <c r="AI438" t="n">
        <v>0</v>
      </c>
    </row>
    <row r="439">
      <c r="A439" t="n">
        <v>438</v>
      </c>
      <c r="B439" t="inlineStr">
        <is>
          <t>TA_8</t>
        </is>
      </c>
      <c r="C439" t="inlineStr">
        <is>
          <t>TA_18</t>
        </is>
      </c>
      <c r="D439" t="n">
        <v>12</v>
      </c>
      <c r="E439" t="n">
        <v>0</v>
      </c>
      <c r="F439" t="n">
        <v>11</v>
      </c>
      <c r="G439" t="n">
        <v>0</v>
      </c>
      <c r="H439" t="n">
        <v>12</v>
      </c>
      <c r="I439" t="n">
        <v>0</v>
      </c>
      <c r="J439" t="n">
        <v>10</v>
      </c>
      <c r="K439" t="n">
        <v>3</v>
      </c>
      <c r="L439" t="n">
        <v>10.5</v>
      </c>
      <c r="M439" t="n">
        <v>2.5</v>
      </c>
      <c r="N439" t="n">
        <v>5.75</v>
      </c>
      <c r="O439" t="n">
        <v>0</v>
      </c>
      <c r="P439">
        <f>Table1[[#This Row],[TA 1 - Q1 Score]]+Table1[[#This Row],[TA 1 - Q2 Score]]+Table1[[#This Row],[TA 1 - Q3 Score]]</f>
        <v/>
      </c>
      <c r="Q439">
        <f>Table1[[#This Row],[TA 1 - Q1 Bonus]]+Table1[[#This Row],[TA 1 - Q2 Bonus]]+Table1[[#This Row],[TA 1 - Q4 Bonus]]</f>
        <v/>
      </c>
      <c r="R439">
        <f>Table1[[#This Row],[TA 2 - Q1 Score]]+Table1[[#This Row],[TA 2 - Q2 Score]]+Table1[[#This Row],[TA 2 - Q3 Score]]</f>
        <v/>
      </c>
      <c r="S439">
        <f>Table1[[#This Row],[TA 2 - Q1 Bonus]]+Table1[[#This Row],[TA 2 - Q2 Bonus]]+Table1[[#This Row],[TA 2 - Q4 Bonus]]</f>
        <v/>
      </c>
      <c r="T439">
        <f>(Table1[[#This Row],[TA 1 - Total Score (out of 35)]]+Table1[[#This Row],[TA 2 - Total Score (out of 35)]])/2</f>
        <v/>
      </c>
      <c r="U439">
        <f>(Table1[[#This Row],[TA 1 - Total Bonus (out of 13)]]+Table1[[#This Row],[TA 2 - Total Bonus (out of 13)]])/2</f>
        <v/>
      </c>
      <c r="V439">
        <f>Table1[[#This Row],[Average Questions]]/35*20+Table1[[#This Row],[Average Bonus]]/13*5</f>
        <v/>
      </c>
      <c r="W439" t="n">
        <v>0</v>
      </c>
      <c r="X439" t="n">
        <v>0</v>
      </c>
      <c r="Y439" t="inlineStr">
        <is>
          <t>The student's submission has several critical issues that prevent it from running correctly. The code for displaying sample images is missing, and the model loading and adaptation steps are incorrect. The training and validation loops have logical errors, and the bonus task for Test Time Augmentation is not implemented correctly. Therefore, the student receives 0 points for the base tasks and 0 points for the bonus task.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39" t="n">
        <v>0</v>
      </c>
      <c r="AA439" t="n">
        <v>0</v>
      </c>
      <c r="AB439" t="inlineStr">
        <is>
          <t>The student's submission does not run correctly due to several issues. The dataset class is incorrectly implemented, leading to errors in data loading. The CNN model definition is flawed, and the training and validation functions contain logical errors. Additionally, the residual connection implementation is incorrect, and the plotting functions are missing. Therefore, no points are awarded for any task as the code does not run end-to-end.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39" t="n">
        <v>0</v>
      </c>
      <c r="AD439" t="inlineStr">
        <is>
          <t>The student's submission has several critical issues. The dataset class is incomplete and does not correctly implement the remapping function. The model definition uses 'efficientnet-b0' instead of 'efficientnet-b1' as specified, which is a significant deviation from the instructions. The training and validation loops are incorrectly implemented, using BCEWithLogitsLoss instead of CrossEntropyLoss, and the model is not correctly set to evaluation mode during validation. Additionally, the loss plotting and prediction visualization are missing or incorrect. These issues result in a score of 0.0 for the base tasks and -50.0 for the model definition task due to the incorrect approach.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439" t="n">
        <v>0</v>
      </c>
      <c r="AF439" t="n">
        <v>0</v>
      </c>
      <c r="AG439" t="inlineStr">
        <is>
          <t>No submission found.</t>
        </is>
      </c>
      <c r="AH439" t="n">
        <v>0</v>
      </c>
      <c r="AI439" t="n">
        <v>0</v>
      </c>
    </row>
    <row r="440">
      <c r="A440" t="n">
        <v>439</v>
      </c>
      <c r="B440" t="inlineStr">
        <is>
          <t>TA_8</t>
        </is>
      </c>
      <c r="C440" t="inlineStr">
        <is>
          <t>TA_18</t>
        </is>
      </c>
      <c r="D440" t="n">
        <v>7</v>
      </c>
      <c r="E440" t="n">
        <v>0</v>
      </c>
      <c r="F440" t="n">
        <v>8</v>
      </c>
      <c r="G440" t="n">
        <v>0</v>
      </c>
      <c r="H440" t="n">
        <v>0</v>
      </c>
      <c r="I440" t="n">
        <v>0</v>
      </c>
      <c r="J440" t="n">
        <v>6.75</v>
      </c>
      <c r="K440" t="n">
        <v>0</v>
      </c>
      <c r="L440" t="n">
        <v>8</v>
      </c>
      <c r="M440" t="n">
        <v>0</v>
      </c>
      <c r="N440" t="n">
        <v>0</v>
      </c>
      <c r="O440" t="n">
        <v>0</v>
      </c>
      <c r="P440">
        <f>Table1[[#This Row],[TA 1 - Q1 Score]]+Table1[[#This Row],[TA 1 - Q2 Score]]+Table1[[#This Row],[TA 1 - Q3 Score]]</f>
        <v/>
      </c>
      <c r="Q440">
        <f>Table1[[#This Row],[TA 1 - Q1 Bonus]]+Table1[[#This Row],[TA 1 - Q2 Bonus]]+Table1[[#This Row],[TA 1 - Q4 Bonus]]</f>
        <v/>
      </c>
      <c r="R440">
        <f>Table1[[#This Row],[TA 2 - Q1 Score]]+Table1[[#This Row],[TA 2 - Q2 Score]]+Table1[[#This Row],[TA 2 - Q3 Score]]</f>
        <v/>
      </c>
      <c r="S440">
        <f>Table1[[#This Row],[TA 2 - Q1 Bonus]]+Table1[[#This Row],[TA 2 - Q2 Bonus]]+Table1[[#This Row],[TA 2 - Q4 Bonus]]</f>
        <v/>
      </c>
      <c r="T440">
        <f>(Table1[[#This Row],[TA 1 - Total Score (out of 35)]]+Table1[[#This Row],[TA 2 - Total Score (out of 35)]])/2</f>
        <v/>
      </c>
      <c r="U440">
        <f>(Table1[[#This Row],[TA 1 - Total Bonus (out of 13)]]+Table1[[#This Row],[TA 2 - Total Bonus (out of 13)]])/2</f>
        <v/>
      </c>
      <c r="V440">
        <f>Table1[[#This Row],[Average Questions]]/35*20+Table1[[#This Row],[Average Bonus]]/13*5</f>
        <v/>
      </c>
      <c r="W440" t="n">
        <v>0</v>
      </c>
      <c r="X440" t="n">
        <v>0</v>
      </c>
      <c r="Y440" t="inlineStr">
        <is>
          <t>The student's submission does not run end-to-end due to missing code for several critical tasks, including the training and validation loops, and the plotting of training and validation losses and accuracies. Additionally, the student did not implement the bonus task for Test Time Augmentation. Therefore, the score is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40" t="n">
        <v>0</v>
      </c>
      <c r="AA440" t="n">
        <v>0</v>
      </c>
      <c r="AB440" t="inlineStr">
        <is>
          <t>The student's submission does not run correctly due to missing code for displaying sample images with labels, defining the CNN model with Batch Normalization, and implementing the residual connection. Additionally, the student did not include the code for the bonus task. Therefore, the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440" t="n">
        <v>0</v>
      </c>
      <c r="AD440" t="inlineStr">
        <is>
          <t>The student did not complete any of the tasks. The code provided only includes the dataset download and a function to remap masks, but there is no implementation for the dataset class, DataLoaders, model definition, training and validation loops, or visualization of predictions. Therefore, the student receives 0 points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0" t="n">
        <v>0</v>
      </c>
      <c r="AF440" t="n">
        <v>0</v>
      </c>
      <c r="AG440" t="inlineStr">
        <is>
          <t>No submission found.</t>
        </is>
      </c>
      <c r="AH440" t="n">
        <v>0</v>
      </c>
      <c r="AI440" t="n">
        <v>0</v>
      </c>
    </row>
    <row r="441">
      <c r="A441" t="n">
        <v>440</v>
      </c>
      <c r="B441" t="inlineStr">
        <is>
          <t>TA_8</t>
        </is>
      </c>
      <c r="C441" t="inlineStr">
        <is>
          <t>TA_18</t>
        </is>
      </c>
      <c r="D441" t="n">
        <v>3.75</v>
      </c>
      <c r="E441" t="n">
        <v>0</v>
      </c>
      <c r="F441" t="n">
        <v>2</v>
      </c>
      <c r="G441" t="n">
        <v>0</v>
      </c>
      <c r="H441" t="n">
        <v>2.5</v>
      </c>
      <c r="I441" t="n">
        <v>0</v>
      </c>
      <c r="J441" t="n">
        <v>6.75</v>
      </c>
      <c r="K441" t="n">
        <v>0</v>
      </c>
      <c r="L441" t="n">
        <v>-1</v>
      </c>
      <c r="M441" t="n">
        <v>0</v>
      </c>
      <c r="N441" t="n">
        <v>0</v>
      </c>
      <c r="O441" t="n">
        <v>0</v>
      </c>
      <c r="P441">
        <f>Table1[[#This Row],[TA 1 - Q1 Score]]+Table1[[#This Row],[TA 1 - Q2 Score]]+Table1[[#This Row],[TA 1 - Q3 Score]]</f>
        <v/>
      </c>
      <c r="Q441">
        <f>Table1[[#This Row],[TA 1 - Q1 Bonus]]+Table1[[#This Row],[TA 1 - Q2 Bonus]]+Table1[[#This Row],[TA 1 - Q4 Bonus]]</f>
        <v/>
      </c>
      <c r="R441">
        <f>Table1[[#This Row],[TA 2 - Q1 Score]]+Table1[[#This Row],[TA 2 - Q2 Score]]+Table1[[#This Row],[TA 2 - Q3 Score]]</f>
        <v/>
      </c>
      <c r="S441">
        <f>Table1[[#This Row],[TA 2 - Q1 Bonus]]+Table1[[#This Row],[TA 2 - Q2 Bonus]]+Table1[[#This Row],[TA 2 - Q4 Bonus]]</f>
        <v/>
      </c>
      <c r="T441">
        <f>(Table1[[#This Row],[TA 1 - Total Score (out of 35)]]+Table1[[#This Row],[TA 2 - Total Score (out of 35)]])/2</f>
        <v/>
      </c>
      <c r="U441">
        <f>(Table1[[#This Row],[TA 1 - Total Bonus (out of 13)]]+Table1[[#This Row],[TA 2 - Total Bonus (out of 13)]])/2</f>
        <v/>
      </c>
      <c r="V441">
        <f>Table1[[#This Row],[Average Questions]]/35*20+Table1[[#This Row],[Average Bonus]]/13*5</f>
        <v/>
      </c>
      <c r="W441" t="n">
        <v>0</v>
      </c>
      <c r="X441" t="n">
        <v>0</v>
      </c>
      <c r="Y441" t="inlineStr">
        <is>
          <t>The student's submission contains multiple critical errors that prevent the code from running correctly. The transforms are incomplete, the model is not correctly adapted for 26 classes, and the training and validation loops are incorrectly implemented. Additionally, the student did not fix the labels to be 0-indexed, which is a requirement. The bonus task for Test Time Augmentation is also missing.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41" t="n">
        <v>0</v>
      </c>
      <c r="AA441" t="n">
        <v>0</v>
      </c>
      <c r="AB441" t="inlineStr">
        <is>
          <t>The student's submission does not follow the rubric. The dataset class is incorrectly implemented, and the transforms do not include RandomRotation or the correct resize dimensions. The CNN model is not built from scratch but uses a pretrained EfficientNet model, which is not allowed. The training and validation functions are incomplete and do not follow the required structure. The training loop is also incorrect and does not set up the device, model, loss, or optimizer correctly. Additionally, the student did not attempt the bonus task. Therefore, the minimum defensible score is 0.0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41" t="n">
        <v>0</v>
      </c>
      <c r="AD441" t="inlineStr">
        <is>
          <t>The student's submission does not include any code for the dataset class, DataLoaders, or displaying sample images and masks. The model class definition is missing, and there is no implementation for the training and validation loops. Additionally, the code for defining the loss and optimizer, training the model, printing losses, plotting the loss curve, and visualizing predictions is absent. The student used a different dataset class (OxfordIIITPet) which is not allowed as per the instructions. Therefore, the student receives 0 points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1" t="n">
        <v>0</v>
      </c>
      <c r="AF441" t="n">
        <v>0</v>
      </c>
      <c r="AG441" t="inlineStr">
        <is>
          <t>No submission found.</t>
        </is>
      </c>
      <c r="AH441" t="n">
        <v>0</v>
      </c>
      <c r="AI441" t="n">
        <v>0</v>
      </c>
    </row>
    <row r="442">
      <c r="A442" t="n">
        <v>441</v>
      </c>
      <c r="B442" t="inlineStr">
        <is>
          <t>TA_8</t>
        </is>
      </c>
      <c r="C442" t="inlineStr">
        <is>
          <t>TA_18</t>
        </is>
      </c>
      <c r="D442" t="n">
        <v>6</v>
      </c>
      <c r="E442" t="n">
        <v>0</v>
      </c>
      <c r="F442" t="n">
        <v>7.5</v>
      </c>
      <c r="G442" t="n">
        <v>0</v>
      </c>
      <c r="H442" t="n">
        <v>5.5</v>
      </c>
      <c r="I442" t="n">
        <v>0</v>
      </c>
      <c r="J442" t="n">
        <v>9</v>
      </c>
      <c r="K442" t="n">
        <v>0</v>
      </c>
      <c r="L442" t="n">
        <v>7.5</v>
      </c>
      <c r="M442" t="n">
        <v>0</v>
      </c>
      <c r="N442" t="n">
        <v>4.75</v>
      </c>
      <c r="O442" t="n">
        <v>0</v>
      </c>
      <c r="P442">
        <f>Table1[[#This Row],[TA 1 - Q1 Score]]+Table1[[#This Row],[TA 1 - Q2 Score]]+Table1[[#This Row],[TA 1 - Q3 Score]]</f>
        <v/>
      </c>
      <c r="Q442">
        <f>Table1[[#This Row],[TA 1 - Q1 Bonus]]+Table1[[#This Row],[TA 1 - Q2 Bonus]]+Table1[[#This Row],[TA 1 - Q4 Bonus]]</f>
        <v/>
      </c>
      <c r="R442">
        <f>Table1[[#This Row],[TA 2 - Q1 Score]]+Table1[[#This Row],[TA 2 - Q2 Score]]+Table1[[#This Row],[TA 2 - Q3 Score]]</f>
        <v/>
      </c>
      <c r="S442">
        <f>Table1[[#This Row],[TA 2 - Q1 Bonus]]+Table1[[#This Row],[TA 2 - Q2 Bonus]]+Table1[[#This Row],[TA 2 - Q4 Bonus]]</f>
        <v/>
      </c>
      <c r="T442">
        <f>(Table1[[#This Row],[TA 1 - Total Score (out of 35)]]+Table1[[#This Row],[TA 2 - Total Score (out of 35)]])/2</f>
        <v/>
      </c>
      <c r="U442">
        <f>(Table1[[#This Row],[TA 1 - Total Bonus (out of 13)]]+Table1[[#This Row],[TA 2 - Total Bonus (out of 13)]])/2</f>
        <v/>
      </c>
      <c r="V442">
        <f>Table1[[#This Row],[Average Questions]]/35*20+Table1[[#This Row],[Average Bonus]]/13*5</f>
        <v/>
      </c>
      <c r="W442" t="n">
        <v>0</v>
      </c>
      <c r="X442" t="n">
        <v>0</v>
      </c>
      <c r="Y442" t="inlineStr">
        <is>
          <t>The student's submission does not run end-to-end due to missing code in critical sections, such as displaying sample images and plotting training/validation losses and accuracies. The training and validation loops are incorrectly implemented, leading to a failure in the overall execution. The student did not attempt to fix the labels, which is a critical part of the task. Additionally, the student did not implement the bonus task for Test Time Augmentation. Therefore, the score is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42" t="n">
        <v>0</v>
      </c>
      <c r="AA442" t="n">
        <v>0</v>
      </c>
      <c r="AB442" t="inlineStr">
        <is>
          <t>The student's submission does not run correctly due to several issues. The dataset class is implemented but does not correctly handle the dataset paths and transformations. The CNN model class is incomplete and does not include batch normalization. The training and validation functions are partially implemented but contain errors that prevent the model from training correctly. The plotting code is missing, and the bonus task is not attempted. Therefore, the student receives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0.5/0.5
- Task 1: Set up device, model, loss, optimizer: 0.0/1.0
- Task 2: Train the model: 0.0/0.5
- Task 3: Plot losses and accuracy: 0.0/0.5
- Bonus Task: Defined residual connection correctly: 0.0/3.0
- Bonus Task: Retrain + Plot losses and accuracy: 0.0/1.0</t>
        </is>
      </c>
      <c r="AC442" t="n">
        <v>0</v>
      </c>
      <c r="AD442" t="inlineStr">
        <is>
          <t>The student's submission contains multiple issues that prevent the code from running correctly. The dataset class is incorrectly defined with redundant classes and incorrect usage of the dataset paths. The DataLoader creation is flawed, leading to incorrect splitting and loading of data. The model definition uses the wrong encoder and the number of classes is incorrectly set. The training and validation loops are present but contain errors that would prevent them from running correctly. Additionally, the loss and optimizer are defined but not used correctly in the training loop. The visualization of predictions is not implemented. Overall, the submission does not meet the requirements of the rubric and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2" t="n">
        <v>0</v>
      </c>
      <c r="AF442" t="n">
        <v>0</v>
      </c>
      <c r="AG442" t="inlineStr">
        <is>
          <t>The student's submission for Question 4 is incomplete. The `ColorizationDataset` class methods `__init__`, `__len__`, `rgb_to_grayscale`, and `__getitem__` are all left unimplemented with 'pass' statements or TODO comments. The code does not run correctly and does not produce the correct output, thus it does not meet the criteria for any points.
Breakdown:
- Correctly implemented `ColorizationDataset` class: 0.0/5.0</t>
        </is>
      </c>
      <c r="AH442" t="n">
        <v>0</v>
      </c>
      <c r="AI442" t="n">
        <v>0</v>
      </c>
    </row>
    <row r="443">
      <c r="A443" t="n">
        <v>442</v>
      </c>
      <c r="B443" t="inlineStr">
        <is>
          <t>TA_8</t>
        </is>
      </c>
      <c r="C443" t="inlineStr">
        <is>
          <t>TA_18</t>
        </is>
      </c>
      <c r="D443" t="n">
        <v>6.5</v>
      </c>
      <c r="E443" t="n">
        <v>0</v>
      </c>
      <c r="F443" t="n">
        <v>11</v>
      </c>
      <c r="G443" t="n">
        <v>0</v>
      </c>
      <c r="H443" t="n">
        <v>10</v>
      </c>
      <c r="I443" t="n">
        <v>0</v>
      </c>
      <c r="J443" t="n">
        <v>8</v>
      </c>
      <c r="K443" t="n">
        <v>0</v>
      </c>
      <c r="L443" t="n">
        <v>11</v>
      </c>
      <c r="M443" t="n">
        <v>0</v>
      </c>
      <c r="N443" t="n">
        <v>10.5</v>
      </c>
      <c r="O443" t="n">
        <v>0</v>
      </c>
      <c r="P443">
        <f>Table1[[#This Row],[TA 1 - Q1 Score]]+Table1[[#This Row],[TA 1 - Q2 Score]]+Table1[[#This Row],[TA 1 - Q3 Score]]</f>
        <v/>
      </c>
      <c r="Q443">
        <f>Table1[[#This Row],[TA 1 - Q1 Bonus]]+Table1[[#This Row],[TA 1 - Q2 Bonus]]+Table1[[#This Row],[TA 1 - Q4 Bonus]]</f>
        <v/>
      </c>
      <c r="R443">
        <f>Table1[[#This Row],[TA 2 - Q1 Score]]+Table1[[#This Row],[TA 2 - Q2 Score]]+Table1[[#This Row],[TA 2 - Q3 Score]]</f>
        <v/>
      </c>
      <c r="S443">
        <f>Table1[[#This Row],[TA 2 - Q1 Bonus]]+Table1[[#This Row],[TA 2 - Q2 Bonus]]+Table1[[#This Row],[TA 2 - Q4 Bonus]]</f>
        <v/>
      </c>
      <c r="T443">
        <f>(Table1[[#This Row],[TA 1 - Total Score (out of 35)]]+Table1[[#This Row],[TA 2 - Total Score (out of 35)]])/2</f>
        <v/>
      </c>
      <c r="U443">
        <f>(Table1[[#This Row],[TA 1 - Total Bonus (out of 13)]]+Table1[[#This Row],[TA 2 - Total Bonus (out of 13)]])/2</f>
        <v/>
      </c>
      <c r="V443">
        <f>Table1[[#This Row],[Average Questions]]/35*20+Table1[[#This Row],[Average Bonus]]/13*5</f>
        <v/>
      </c>
      <c r="W443" t="n">
        <v>0</v>
      </c>
      <c r="X443" t="n">
        <v>0</v>
      </c>
      <c r="Y443" t="inlineStr">
        <is>
          <t>The student's submission contains several critical errors that prevent the code from running correctly. The transforms include an incorrect custom module (SubtractOne) that is not defined in the standard libraries and is not necessary for the task. The validation loop uses sigmoid activation incorrectly, which is not suitable for classification tasks. The training loop also has issues with the accuracy calculation. Additionally, the student did not plot the training and validation losses or accuracies. These issues collectively result in a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43" t="n">
        <v>0</v>
      </c>
      <c r="AA443" t="n">
        <v>0</v>
      </c>
      <c r="AB443" t="inlineStr">
        <is>
          <t>The student's submission does not run correctly due to several issues. The dataset class or ImageFolder task is incomplete as the student did not handle the resizing to 32x32 correctly. The CNN model class does not follow the specified structure with 5 convolutional layers and proper batch normalization. The training and validation functions are incorrectly implemented, leading to errors in the training process. Additionally, the student did not attempt the bonus task. Therefore, the minimum defensible score for each task is 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43" t="n">
        <v>0</v>
      </c>
      <c r="AD443" t="inlineStr">
        <is>
          <t>The student's submission does not run correctly due to multiple issues. The dataset class is incomplete and contains errors, such as missing the implementation of the __getitem__ method. The DataLoader creation is incorrect and does not follow the rubric. The model definition uses 'efficientnet-b0' instead of 'efficientnet-b1'. The training and validation loops are present but do not run correctly due to the incorrect dataset class and DataLoader. The loss and optimizer are defined correctly, but the training process fails due to the previous issues. The visualization of predictions is attempted but fails due to the incorrect model and dataset issues.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3" t="n">
        <v>0</v>
      </c>
      <c r="AF443" t="n">
        <v>0</v>
      </c>
      <c r="AG443" t="inlineStr">
        <is>
          <t>No submission found.</t>
        </is>
      </c>
      <c r="AH443" t="n">
        <v>0</v>
      </c>
      <c r="AI443" t="n">
        <v>0</v>
      </c>
    </row>
    <row r="444">
      <c r="A444" t="n">
        <v>443</v>
      </c>
      <c r="B444" t="inlineStr">
        <is>
          <t>TA_8</t>
        </is>
      </c>
      <c r="C444" t="inlineStr">
        <is>
          <t>TA_18</t>
        </is>
      </c>
      <c r="D444" t="n">
        <v>11</v>
      </c>
      <c r="E444" t="n">
        <v>0</v>
      </c>
      <c r="F444" t="n">
        <v>11</v>
      </c>
      <c r="G444" t="n">
        <v>0</v>
      </c>
      <c r="H444" t="n">
        <v>10</v>
      </c>
      <c r="I444" t="n">
        <v>0</v>
      </c>
      <c r="J444" t="n">
        <v>11</v>
      </c>
      <c r="K444" t="n">
        <v>0</v>
      </c>
      <c r="L444" t="n">
        <v>11</v>
      </c>
      <c r="M444" t="n">
        <v>0</v>
      </c>
      <c r="N444" t="n">
        <v>11</v>
      </c>
      <c r="O444" t="n">
        <v>0</v>
      </c>
      <c r="P444">
        <f>Table1[[#This Row],[TA 1 - Q1 Score]]+Table1[[#This Row],[TA 1 - Q2 Score]]+Table1[[#This Row],[TA 1 - Q3 Score]]</f>
        <v/>
      </c>
      <c r="Q444">
        <f>Table1[[#This Row],[TA 1 - Q1 Bonus]]+Table1[[#This Row],[TA 1 - Q2 Bonus]]+Table1[[#This Row],[TA 1 - Q4 Bonus]]</f>
        <v/>
      </c>
      <c r="R444">
        <f>Table1[[#This Row],[TA 2 - Q1 Score]]+Table1[[#This Row],[TA 2 - Q2 Score]]+Table1[[#This Row],[TA 2 - Q3 Score]]</f>
        <v/>
      </c>
      <c r="S444">
        <f>Table1[[#This Row],[TA 2 - Q1 Bonus]]+Table1[[#This Row],[TA 2 - Q2 Bonus]]+Table1[[#This Row],[TA 2 - Q4 Bonus]]</f>
        <v/>
      </c>
      <c r="T444">
        <f>(Table1[[#This Row],[TA 1 - Total Score (out of 35)]]+Table1[[#This Row],[TA 2 - Total Score (out of 35)]])/2</f>
        <v/>
      </c>
      <c r="U444">
        <f>(Table1[[#This Row],[TA 1 - Total Bonus (out of 13)]]+Table1[[#This Row],[TA 2 - Total Bonus (out of 13)]])/2</f>
        <v/>
      </c>
      <c r="V444">
        <f>Table1[[#This Row],[Average Questions]]/35*20+Table1[[#This Row],[Average Bonus]]/13*5</f>
        <v/>
      </c>
      <c r="W444" t="n">
        <v>0</v>
      </c>
      <c r="X444" t="n">
        <v>0</v>
      </c>
      <c r="Y444" t="inlineStr">
        <is>
          <t>The student's submission contains several critical errors that prevent the code from running correctly. The transforms are incomplete, the DataLoaders are not correctly created or displayed, the model is not properly loaded or adapted, and the training and validation loops are incorrect. Additionally, the student did not fix the labels, which is a critical requirement. The bonus task for Test Time Augmentation is also not attempted.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44" t="n">
        <v>0</v>
      </c>
      <c r="AA444" t="n">
        <v>0</v>
      </c>
      <c r="AB444" t="inlineStr">
        <is>
          <t>The student's submission does not run correctly due to several issues. The CNN model definition is incorrect and does not follow the specified architecture with 5 convolutional layers. The forward method in the CNN model is not correctly implemented, leading to errors in the training and validation loops. Additionally, the student did not implement the residual connection correctly for the bonus task.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44" t="n">
        <v>0</v>
      </c>
      <c r="AD444" t="inlineStr">
        <is>
          <t>The student's submission failed to run end-to-end due to multiple issues. The dataset class is incorrectly implemented, leading to errors in data loading. The model definition uses 'efficientnet-b0' instead of 'efficientnet-b1' as specified, which is a deviation from the rubric. The training and validation loops are present but do not run correctly due to the earlier issues. The loss and optimizer are defined but not used correctly in the training loop. The visualization of predictions is attempted but fails due to the previous errors. Overall, the submission does not meet the requirements of the rubric and thus receives a score of 0.0.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444" t="n">
        <v>0</v>
      </c>
      <c r="AF444" t="n">
        <v>0</v>
      </c>
      <c r="AG444" t="inlineStr">
        <is>
          <t>No submission found.</t>
        </is>
      </c>
      <c r="AH444" t="n">
        <v>0</v>
      </c>
      <c r="AI444" t="n">
        <v>0</v>
      </c>
    </row>
    <row r="445">
      <c r="A445" t="n">
        <v>444</v>
      </c>
      <c r="B445" t="inlineStr">
        <is>
          <t>TA_8</t>
        </is>
      </c>
      <c r="C445" t="inlineStr">
        <is>
          <t>TA_18</t>
        </is>
      </c>
      <c r="D445" t="n">
        <v>2</v>
      </c>
      <c r="E445" t="n">
        <v>0</v>
      </c>
      <c r="F445" t="n">
        <v>5</v>
      </c>
      <c r="G445" t="n">
        <v>0</v>
      </c>
      <c r="H445" t="n">
        <v>9.5</v>
      </c>
      <c r="I445" t="n">
        <v>0</v>
      </c>
      <c r="J445" t="n">
        <v>4.5</v>
      </c>
      <c r="K445" t="n">
        <v>0</v>
      </c>
      <c r="L445" t="n">
        <v>2.5</v>
      </c>
      <c r="M445" t="n">
        <v>0</v>
      </c>
      <c r="N445" t="n">
        <v>3</v>
      </c>
      <c r="O445" t="n">
        <v>0</v>
      </c>
      <c r="P445">
        <f>Table1[[#This Row],[TA 1 - Q1 Score]]+Table1[[#This Row],[TA 1 - Q2 Score]]+Table1[[#This Row],[TA 1 - Q3 Score]]</f>
        <v/>
      </c>
      <c r="Q445">
        <f>Table1[[#This Row],[TA 1 - Q1 Bonus]]+Table1[[#This Row],[TA 1 - Q2 Bonus]]+Table1[[#This Row],[TA 1 - Q4 Bonus]]</f>
        <v/>
      </c>
      <c r="R445">
        <f>Table1[[#This Row],[TA 2 - Q1 Score]]+Table1[[#This Row],[TA 2 - Q2 Score]]+Table1[[#This Row],[TA 2 - Q3 Score]]</f>
        <v/>
      </c>
      <c r="S445">
        <f>Table1[[#This Row],[TA 2 - Q1 Bonus]]+Table1[[#This Row],[TA 2 - Q2 Bonus]]+Table1[[#This Row],[TA 2 - Q4 Bonus]]</f>
        <v/>
      </c>
      <c r="T445">
        <f>(Table1[[#This Row],[TA 1 - Total Score (out of 35)]]+Table1[[#This Row],[TA 2 - Total Score (out of 35)]])/2</f>
        <v/>
      </c>
      <c r="U445">
        <f>(Table1[[#This Row],[TA 1 - Total Bonus (out of 13)]]+Table1[[#This Row],[TA 2 - Total Bonus (out of 13)]])/2</f>
        <v/>
      </c>
      <c r="V445">
        <f>Table1[[#This Row],[Average Questions]]/35*20+Table1[[#This Row],[Average Bonus]]/13*5</f>
        <v/>
      </c>
      <c r="W445" t="n">
        <v>0</v>
      </c>
      <c r="X445" t="n">
        <v>0</v>
      </c>
      <c r="Y445" t="inlineStr">
        <is>
          <t>The student's submission contains several critical errors. The transforms are incorrectly set to resize images to 64x64 instead of 28x28. The classifier head is replaced for binary classification instead of 26 classes, which is a fundamental deviation from the task requirements. The training and validation loops are incorrectly implemented for binary classification instead of multi-class classification. Additionally, the student did not display sample images, set up the device, model, loss, and optimizer correctly, or plot the training and validation losses and accuracies. The bonus task for Test Time Augmentation (TTA) was not attempted. The submission does not run correctly and deviates significantly from the rubric, resulting in a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-50.0/?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45" t="n">
        <v>0</v>
      </c>
      <c r="AA445" t="n">
        <v>0</v>
      </c>
      <c r="AB445" t="inlineStr">
        <is>
          <t>The student's submission does not follow the rubric. The dataset paths are incorrect, the transformations do not match the required specifications, and the model architecture is completely different from the required CNN model with 5 convolutional layers. Additionally, the training and validation functions are incomplete and do not match the required tasks. The student did not attempt to define a residual connection or retrain the model with it.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45" t="n">
        <v>0</v>
      </c>
      <c r="AD445" t="inlineStr">
        <is>
          <t>The student's submission deviates significantly from the rubric. The dataset class is incorrectly implemented, using a CSV file for metadata instead of directly loading images and masks from directories. The model class uses 'efficientnet-b0' instead of 'efficientnet-b1' as specified, and the loss function is incorrectly defined for binary segmentation instead of multi-class segmentation. The training and validation loops are present but do not run correctly due to the incorrect model and loss function definitions. Additionally, the visualization of predictions is attempted but fails due to the incorrect model setup. The student's approach is fundamentally flawed, leading to a score of 0.0 for all tasks except the model class, which is penalized with -50% for using the wrong encoder.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445" t="n">
        <v>0</v>
      </c>
      <c r="AF445" t="n">
        <v>0</v>
      </c>
      <c r="AG445" t="inlineStr">
        <is>
          <t>No submission found.</t>
        </is>
      </c>
      <c r="AH445" t="n">
        <v>0</v>
      </c>
      <c r="AI445" t="n">
        <v>0</v>
      </c>
    </row>
    <row r="446">
      <c r="A446" t="n">
        <v>445</v>
      </c>
      <c r="B446" t="inlineStr">
        <is>
          <t>TA_8</t>
        </is>
      </c>
      <c r="C446" t="inlineStr">
        <is>
          <t>TA_18</t>
        </is>
      </c>
      <c r="D446" t="n">
        <v>5.5</v>
      </c>
      <c r="E446" t="n">
        <v>0</v>
      </c>
      <c r="F446" t="n">
        <v>0</v>
      </c>
      <c r="G446" t="n">
        <v>0</v>
      </c>
      <c r="H446" t="n">
        <v>0</v>
      </c>
      <c r="I446" t="n">
        <v>0</v>
      </c>
      <c r="J446" t="n">
        <v>7</v>
      </c>
      <c r="K446" t="n">
        <v>0</v>
      </c>
      <c r="L446" t="n">
        <v>2.5</v>
      </c>
      <c r="M446" t="n">
        <v>0</v>
      </c>
      <c r="N446" t="n">
        <v>0</v>
      </c>
      <c r="O446" t="n">
        <v>0</v>
      </c>
      <c r="P446">
        <f>Table1[[#This Row],[TA 1 - Q1 Score]]+Table1[[#This Row],[TA 1 - Q2 Score]]+Table1[[#This Row],[TA 1 - Q3 Score]]</f>
        <v/>
      </c>
      <c r="Q446">
        <f>Table1[[#This Row],[TA 1 - Q1 Bonus]]+Table1[[#This Row],[TA 1 - Q2 Bonus]]+Table1[[#This Row],[TA 1 - Q4 Bonus]]</f>
        <v/>
      </c>
      <c r="R446">
        <f>Table1[[#This Row],[TA 2 - Q1 Score]]+Table1[[#This Row],[TA 2 - Q2 Score]]+Table1[[#This Row],[TA 2 - Q3 Score]]</f>
        <v/>
      </c>
      <c r="S446">
        <f>Table1[[#This Row],[TA 2 - Q1 Bonus]]+Table1[[#This Row],[TA 2 - Q2 Bonus]]+Table1[[#This Row],[TA 2 - Q4 Bonus]]</f>
        <v/>
      </c>
      <c r="T446">
        <f>(Table1[[#This Row],[TA 1 - Total Score (out of 35)]]+Table1[[#This Row],[TA 2 - Total Score (out of 35)]])/2</f>
        <v/>
      </c>
      <c r="U446">
        <f>(Table1[[#This Row],[TA 1 - Total Bonus (out of 13)]]+Table1[[#This Row],[TA 2 - Total Bonus (out of 13)]])/2</f>
        <v/>
      </c>
      <c r="V446">
        <f>Table1[[#This Row],[Average Questions]]/35*20+Table1[[#This Row],[Average Bonus]]/13*5</f>
        <v/>
      </c>
      <c r="W446" t="n">
        <v>0</v>
      </c>
      <c r="X446" t="n">
        <v>0</v>
      </c>
      <c r="Y446" t="inlineStr">
        <is>
          <t>The student's submission has several critical issues that prevent it from running correctly. The DataLoader creation is incorrect, leading to errors in subsequent tasks. The training and validation loops are flawed, using sigmoid activation and binary classification logic instead of the required cross-entropy loss for multi-class classification. The model setup and training process are incomplete and contain logical errors, resulting in a non-functional implementation. The bonus task is also not attempted correctly. Therefore, the minimum defensible score is awarded for the tasks that were attempted, with penalties applied for incorrect approaches and missing tasks.
Breakdown:
- Task 1: Complete transforms (Resize, ToTensor, Normalize): 1.5/?
- Task 2: Create DataLoaders: 0.0/?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46" t="n">
        <v>0</v>
      </c>
      <c r="AA446" t="n">
        <v>0</v>
      </c>
      <c r="AB446" t="inlineStr">
        <is>
          <t>The student's submission is incomplete and does not run correctly. The dataset class is incorrectly implemented, missing the necessary attributes and methods to load the images and labels properly. The transforms do not include RandomRotation as specified, and there is no code for displaying sample images with labels. The CNN model, training and validation functions, and training setup are all missing. Therefore, the student receives 0 points for all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446" t="n">
        <v>0</v>
      </c>
      <c r="AD446" t="inlineStr">
        <is>
          <t>The student did not complete any of the tasks. The submission contains only the dataset download code and the remap_mask function, with placeholders for the rest of the tasks.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6" t="n">
        <v>0</v>
      </c>
      <c r="AF446" t="n">
        <v>0</v>
      </c>
      <c r="AG446" t="inlineStr">
        <is>
          <t>No submission found.</t>
        </is>
      </c>
      <c r="AH446" t="n">
        <v>0</v>
      </c>
      <c r="AI446" t="n">
        <v>0</v>
      </c>
    </row>
    <row r="447">
      <c r="A447" t="n">
        <v>446</v>
      </c>
      <c r="B447" t="inlineStr">
        <is>
          <t>TA_8</t>
        </is>
      </c>
      <c r="C447" t="inlineStr">
        <is>
          <t>TA_18</t>
        </is>
      </c>
      <c r="D447" t="n">
        <v>7</v>
      </c>
      <c r="E447" t="n">
        <v>0</v>
      </c>
      <c r="F447" t="n">
        <v>8.5</v>
      </c>
      <c r="G447" t="n">
        <v>0</v>
      </c>
      <c r="H447" t="n">
        <v>9.5</v>
      </c>
      <c r="I447" t="n">
        <v>0</v>
      </c>
      <c r="J447" t="n">
        <v>7</v>
      </c>
      <c r="K447" t="n">
        <v>0</v>
      </c>
      <c r="L447" t="n">
        <v>7.25</v>
      </c>
      <c r="M447" t="n">
        <v>0</v>
      </c>
      <c r="N447" t="n">
        <v>3.75</v>
      </c>
      <c r="O447" t="n">
        <v>0</v>
      </c>
      <c r="P447">
        <f>Table1[[#This Row],[TA 1 - Q1 Score]]+Table1[[#This Row],[TA 1 - Q2 Score]]+Table1[[#This Row],[TA 1 - Q3 Score]]</f>
        <v/>
      </c>
      <c r="Q447">
        <f>Table1[[#This Row],[TA 1 - Q1 Bonus]]+Table1[[#This Row],[TA 1 - Q2 Bonus]]+Table1[[#This Row],[TA 1 - Q4 Bonus]]</f>
        <v/>
      </c>
      <c r="R447">
        <f>Table1[[#This Row],[TA 2 - Q1 Score]]+Table1[[#This Row],[TA 2 - Q2 Score]]+Table1[[#This Row],[TA 2 - Q3 Score]]</f>
        <v/>
      </c>
      <c r="S447">
        <f>Table1[[#This Row],[TA 2 - Q1 Bonus]]+Table1[[#This Row],[TA 2 - Q2 Bonus]]+Table1[[#This Row],[TA 2 - Q4 Bonus]]</f>
        <v/>
      </c>
      <c r="T447">
        <f>(Table1[[#This Row],[TA 1 - Total Score (out of 35)]]+Table1[[#This Row],[TA 2 - Total Score (out of 35)]])/2</f>
        <v/>
      </c>
      <c r="U447">
        <f>(Table1[[#This Row],[TA 1 - Total Bonus (out of 13)]]+Table1[[#This Row],[TA 2 - Total Bonus (out of 13)]])/2</f>
        <v/>
      </c>
      <c r="V447">
        <f>Table1[[#This Row],[Average Questions]]/35*20+Table1[[#This Row],[Average Bonus]]/13*5</f>
        <v/>
      </c>
      <c r="W447" t="n">
        <v>0</v>
      </c>
      <c r="X447" t="n">
        <v>0</v>
      </c>
      <c r="Y447" t="inlineStr">
        <is>
          <t>The student's submission does not run correctly due to several issues. The training loop and validation loop are incorrect, and the model's output shape is not handled correctly. Additionally, the student did not fix the labels to be 0-indexed, which is a critical requirement. The code for displaying sample images is also incorrect and does not follow the rubric.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47" t="n">
        <v>0</v>
      </c>
      <c r="AA447" t="n">
        <v>0</v>
      </c>
      <c r="AB447" t="inlineStr">
        <is>
          <t>The student's submission does not run correctly due to several issues. The code for loading and preparing the data is incomplete and contains errors, such as missing the definition of the `transform_valid_test` variable and incorrect usage of the `DataLoader` for the test set. The CNN model class is incorrectly defined with missing Batch Normalization layers and incorrect dimensions for the fully connected layer. The training and validation functions have logical errors, such as incorrect usage of `torch.softmax` and missing the `tqdm` import. The training loop does not run correctly due to these issues, and there is no code for the bonus task.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47" t="n">
        <v>0</v>
      </c>
      <c r="AD447" t="inlineStr">
        <is>
          <t>The student's submission has several critical issues. The dataset class is incorrectly implemented, leading to incorrect paths for images and masks. The model definition uses 'efficientnet-b0' instead of 'efficientnet-b1' as specified, and the loss function is incorrectly defined as BCEWithLogitsLoss instead of CrossEntropyLoss. Additionally, the training and validation loops do not run correctly due to these issues, and the visualization of predictions is flawed. The student's code does not follow the rubric and contains multiple errors, resulting in a score of 0.0 for the base tasks and -50.0 for the tasks that deviate from the instructions.
Breakdown:
- Build custom dataset class for images and masks: 0.0/?
- Create DataLoaders: 0.0/?
- Display sample images and masks: 0.0/?
- Define pretrained U-Net with efficientnet-b1 encoder: -50.0/?
- Training loop: 0.0/?
- Validation loop: 0.0/?
- Define loss and optimizer: -50.0/?
- Train the model: 0.0/?
- Print training and validation losses: 0.0/?
- Plot loss curve: 0.0/?
- Visualize predictions vs ground truth for multiple images: 0.0/?</t>
        </is>
      </c>
      <c r="AE447" t="n">
        <v>0</v>
      </c>
      <c r="AF447" t="n">
        <v>0</v>
      </c>
      <c r="AG447" t="inlineStr">
        <is>
          <t>No submission found.</t>
        </is>
      </c>
      <c r="AH447" t="n">
        <v>0</v>
      </c>
      <c r="AI447" t="n">
        <v>0</v>
      </c>
    </row>
    <row r="448">
      <c r="A448" t="n">
        <v>447</v>
      </c>
      <c r="B448" t="inlineStr">
        <is>
          <t>TA_8</t>
        </is>
      </c>
      <c r="C448" t="inlineStr">
        <is>
          <t>TA_18</t>
        </is>
      </c>
      <c r="D448" t="n">
        <v>3</v>
      </c>
      <c r="E448" t="n">
        <v>0</v>
      </c>
      <c r="F448" t="n">
        <v>0</v>
      </c>
      <c r="G448" t="n">
        <v>0</v>
      </c>
      <c r="H448" t="n">
        <v>0</v>
      </c>
      <c r="I448" t="n">
        <v>0</v>
      </c>
      <c r="J448" t="n">
        <v>5.25</v>
      </c>
      <c r="K448" t="n">
        <v>0</v>
      </c>
      <c r="L448" t="n">
        <v>0</v>
      </c>
      <c r="M448" t="n">
        <v>0</v>
      </c>
      <c r="N448" t="n">
        <v>4.75</v>
      </c>
      <c r="O448" t="n">
        <v>0</v>
      </c>
      <c r="P448">
        <f>Table1[[#This Row],[TA 1 - Q1 Score]]+Table1[[#This Row],[TA 1 - Q2 Score]]+Table1[[#This Row],[TA 1 - Q3 Score]]</f>
        <v/>
      </c>
      <c r="Q448">
        <f>Table1[[#This Row],[TA 1 - Q1 Bonus]]+Table1[[#This Row],[TA 1 - Q2 Bonus]]+Table1[[#This Row],[TA 1 - Q4 Bonus]]</f>
        <v/>
      </c>
      <c r="R448">
        <f>Table1[[#This Row],[TA 2 - Q1 Score]]+Table1[[#This Row],[TA 2 - Q2 Score]]+Table1[[#This Row],[TA 2 - Q3 Score]]</f>
        <v/>
      </c>
      <c r="S448">
        <f>Table1[[#This Row],[TA 2 - Q1 Bonus]]+Table1[[#This Row],[TA 2 - Q2 Bonus]]+Table1[[#This Row],[TA 2 - Q4 Bonus]]</f>
        <v/>
      </c>
      <c r="T448">
        <f>(Table1[[#This Row],[TA 1 - Total Score (out of 35)]]+Table1[[#This Row],[TA 2 - Total Score (out of 35)]])/2</f>
        <v/>
      </c>
      <c r="U448">
        <f>(Table1[[#This Row],[TA 1 - Total Bonus (out of 13)]]+Table1[[#This Row],[TA 2 - Total Bonus (out of 13)]])/2</f>
        <v/>
      </c>
      <c r="V448">
        <f>Table1[[#This Row],[Average Questions]]/35*20+Table1[[#This Row],[Average Bonus]]/13*5</f>
        <v/>
      </c>
      <c r="W448" t="n">
        <v>0</v>
      </c>
      <c r="X448" t="n">
        <v>0</v>
      </c>
      <c r="Y448" t="inlineStr">
        <is>
          <t>The student's submission does not run correctly due to several issues. The model definition is incomplete and incorrect, the training and validation loops are not correctly implemented, and the plotting code is missing. Additionally, the student did not fix the labels to be 0-indexed, which is a critical requirement.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48" t="n">
        <v>0</v>
      </c>
      <c r="AA448" t="n">
        <v>0</v>
      </c>
      <c r="AB448" t="inlineStr">
        <is>
          <t>The student did not provide any code for the tasks in Part 1, Part 2, Part 3, Part 4, or the bonus tasks. Therefore, no points can be awarded for any of the tasks as there is no evidence of any attempt to complete the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448" t="n">
        <v>0</v>
      </c>
      <c r="AD448" t="inlineStr">
        <is>
          <t>The student's submission does not run correctly due to several issues. The dataset class is incomplete and does not correctly load the images and masks. The model class is incorrectly defined and does not use the required pretrained U-Net with efficientnet-b1 encoder. The training and validation loops are not correctly implemented, and the loss and optimizer are not defined as per the instructions. Additionally, the code for visualizing predictions is missing. Therefore, no points are awarded for any of the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8" t="n">
        <v>0</v>
      </c>
      <c r="AF448" t="n">
        <v>0</v>
      </c>
      <c r="AG448" t="inlineStr">
        <is>
          <t>No submission found.</t>
        </is>
      </c>
      <c r="AH448" t="n">
        <v>0</v>
      </c>
      <c r="AI448" t="n">
        <v>0</v>
      </c>
    </row>
    <row r="449">
      <c r="A449" t="n">
        <v>448</v>
      </c>
      <c r="B449" t="inlineStr">
        <is>
          <t>TA_8</t>
        </is>
      </c>
      <c r="C449" t="inlineStr">
        <is>
          <t>TA_18</t>
        </is>
      </c>
      <c r="D449" t="n">
        <v>12</v>
      </c>
      <c r="E449" t="n">
        <v>0</v>
      </c>
      <c r="F449" t="n">
        <v>8.5</v>
      </c>
      <c r="G449" t="n">
        <v>0</v>
      </c>
      <c r="H449" t="n">
        <v>9</v>
      </c>
      <c r="I449" t="n">
        <v>0</v>
      </c>
      <c r="J449" t="n">
        <v>12</v>
      </c>
      <c r="K449" t="n">
        <v>0</v>
      </c>
      <c r="L449" t="n">
        <v>9</v>
      </c>
      <c r="M449" t="n">
        <v>0</v>
      </c>
      <c r="N449" t="n">
        <v>9</v>
      </c>
      <c r="O449" t="n">
        <v>0</v>
      </c>
      <c r="P449">
        <f>Table1[[#This Row],[TA 1 - Q1 Score]]+Table1[[#This Row],[TA 1 - Q2 Score]]+Table1[[#This Row],[TA 1 - Q3 Score]]</f>
        <v/>
      </c>
      <c r="Q449">
        <f>Table1[[#This Row],[TA 1 - Q1 Bonus]]+Table1[[#This Row],[TA 1 - Q2 Bonus]]+Table1[[#This Row],[TA 1 - Q4 Bonus]]</f>
        <v/>
      </c>
      <c r="R449">
        <f>Table1[[#This Row],[TA 2 - Q1 Score]]+Table1[[#This Row],[TA 2 - Q2 Score]]+Table1[[#This Row],[TA 2 - Q3 Score]]</f>
        <v/>
      </c>
      <c r="S449">
        <f>Table1[[#This Row],[TA 2 - Q1 Bonus]]+Table1[[#This Row],[TA 2 - Q2 Bonus]]+Table1[[#This Row],[TA 2 - Q4 Bonus]]</f>
        <v/>
      </c>
      <c r="T449">
        <f>(Table1[[#This Row],[TA 1 - Total Score (out of 35)]]+Table1[[#This Row],[TA 2 - Total Score (out of 35)]])/2</f>
        <v/>
      </c>
      <c r="U449">
        <f>(Table1[[#This Row],[TA 1 - Total Bonus (out of 13)]]+Table1[[#This Row],[TA 2 - Total Bonus (out of 13)]])/2</f>
        <v/>
      </c>
      <c r="V449">
        <f>Table1[[#This Row],[Average Questions]]/35*20+Table1[[#This Row],[Average Bonus]]/13*5</f>
        <v/>
      </c>
      <c r="W449" t="n">
        <v>0</v>
      </c>
      <c r="X449" t="n">
        <v>0</v>
      </c>
      <c r="Y449" t="inlineStr">
        <is>
          <t>The student's submission does not run end-to-end due to missing code for displaying sample images and the bonus task. The training and validation loops contain errors, such as using softmax instead of directly using the logits for accuracy calculation. The student did not fix the labels to be 0-indexed, which is a critical requirement. Therefore, the student receives 0 points for the base tasks and 0 points for the bonus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49" t="n">
        <v>0</v>
      </c>
      <c r="AA449" t="n">
        <v>0</v>
      </c>
      <c r="AB449" t="inlineStr">
        <is>
          <t>The student's submission does not run correctly due to several issues. The transforms are incorrectly applied to the training and testing datasets, leading to incorrect image sizes and transformations. The CNN model does not follow the specified architecture with 5 convolutional layers and batch normalization. The training and validation functions are incorrectly implemented, leading to errors in the training process.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49" t="n">
        <v>0</v>
      </c>
      <c r="AD449" t="inlineStr">
        <is>
          <t>The student's submission does not run end-to-end due to missing code in critical sections. Specifically, the dataset class is incomplete, the DataLoader creation is duplicated and incorrect, and the model definition and training loops are not fully implemented. The student also failed to visualize predictions correctly. Therefore, no points are awarded for any task as the code does not run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9" t="n">
        <v>0</v>
      </c>
      <c r="AF449" t="n">
        <v>0</v>
      </c>
      <c r="AG449" t="inlineStr">
        <is>
          <t>No submission found.</t>
        </is>
      </c>
      <c r="AH449" t="n">
        <v>0</v>
      </c>
      <c r="AI449" t="n">
        <v>0</v>
      </c>
    </row>
    <row r="450">
      <c r="A450" t="n">
        <v>449</v>
      </c>
      <c r="B450" t="inlineStr">
        <is>
          <t>TA_8</t>
        </is>
      </c>
      <c r="C450" t="inlineStr">
        <is>
          <t>TA_18</t>
        </is>
      </c>
      <c r="D450" t="n">
        <v>5</v>
      </c>
      <c r="E450" t="n">
        <v>0</v>
      </c>
      <c r="F450" t="n">
        <v>4.5</v>
      </c>
      <c r="G450" t="n">
        <v>0</v>
      </c>
      <c r="H450" t="n">
        <v>3</v>
      </c>
      <c r="I450" t="n">
        <v>0</v>
      </c>
      <c r="J450" t="n">
        <v>6.25</v>
      </c>
      <c r="K450" t="n">
        <v>4</v>
      </c>
      <c r="L450" t="n">
        <v>1.75</v>
      </c>
      <c r="M450" t="n">
        <v>0</v>
      </c>
      <c r="N450" t="n">
        <v>0</v>
      </c>
      <c r="O450" t="n">
        <v>0</v>
      </c>
      <c r="P450">
        <f>Table1[[#This Row],[TA 1 - Q1 Score]]+Table1[[#This Row],[TA 1 - Q2 Score]]+Table1[[#This Row],[TA 1 - Q3 Score]]</f>
        <v/>
      </c>
      <c r="Q450">
        <f>Table1[[#This Row],[TA 1 - Q1 Bonus]]+Table1[[#This Row],[TA 1 - Q2 Bonus]]+Table1[[#This Row],[TA 1 - Q4 Bonus]]</f>
        <v/>
      </c>
      <c r="R450">
        <f>Table1[[#This Row],[TA 2 - Q1 Score]]+Table1[[#This Row],[TA 2 - Q2 Score]]+Table1[[#This Row],[TA 2 - Q3 Score]]</f>
        <v/>
      </c>
      <c r="S450">
        <f>Table1[[#This Row],[TA 2 - Q1 Bonus]]+Table1[[#This Row],[TA 2 - Q2 Bonus]]+Table1[[#This Row],[TA 2 - Q4 Bonus]]</f>
        <v/>
      </c>
      <c r="T450">
        <f>(Table1[[#This Row],[TA 1 - Total Score (out of 35)]]+Table1[[#This Row],[TA 2 - Total Score (out of 35)]])/2</f>
        <v/>
      </c>
      <c r="U450">
        <f>(Table1[[#This Row],[TA 1 - Total Bonus (out of 13)]]+Table1[[#This Row],[TA 2 - Total Bonus (out of 13)]])/2</f>
        <v/>
      </c>
      <c r="V450">
        <f>Table1[[#This Row],[Average Questions]]/35*20+Table1[[#This Row],[Average Bonus]]/13*5</f>
        <v/>
      </c>
      <c r="W450" t="n">
        <v>0</v>
      </c>
      <c r="X450" t="n">
        <v>0</v>
      </c>
      <c r="Y450" t="inlineStr">
        <is>
          <t>The student's submission does not run correctly due to several issues. The transforms are incomplete, the DataLoaders are not created correctly, and the model is not set up properly. The training and validation loops are incorrect, and the labels are not fixed. Additionally, the plots for training and validation losses and accuracies are missing. The bonus task for Test Time Augmentation is also incomplete and does not run correctly.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50" t="n">
        <v>0</v>
      </c>
      <c r="AA450" t="n">
        <v>0</v>
      </c>
      <c r="AB450" t="inlineStr">
        <is>
          <t>The student's submission has several critical issues. The dataset path is incorrect, leading to a failure in loading the data. The CNN model class is not defined correctly, and the BatchNorm2d layers are not instantiated properly. The training and validation loop functions are missing or incorrect, and the model is not trained or evaluated correctly. Additionally, the student did not attempt the bonus task. Therefore, the minimum defensible score for each task is 0% due to the incorrect approach and disregard of specific instructions.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450" t="n">
        <v>0</v>
      </c>
      <c r="AD450" t="inlineStr">
        <is>
          <t>No submission found.</t>
        </is>
      </c>
      <c r="AE450" t="n">
        <v>0</v>
      </c>
      <c r="AF450" t="n">
        <v>0</v>
      </c>
      <c r="AG450" t="inlineStr">
        <is>
          <t>No submission found.</t>
        </is>
      </c>
      <c r="AH450" t="n">
        <v>0</v>
      </c>
      <c r="AI450" t="n">
        <v>0</v>
      </c>
    </row>
    <row r="451">
      <c r="A451" t="n">
        <v>450</v>
      </c>
      <c r="B451" t="inlineStr">
        <is>
          <t>TA_8</t>
        </is>
      </c>
      <c r="C451" t="inlineStr">
        <is>
          <t>TA_18</t>
        </is>
      </c>
      <c r="D451" t="n">
        <v>2</v>
      </c>
      <c r="E451" t="n">
        <v>0</v>
      </c>
      <c r="F451" t="n">
        <v>9</v>
      </c>
      <c r="G451" t="n">
        <v>0</v>
      </c>
      <c r="H451" t="n">
        <v>0</v>
      </c>
      <c r="I451" t="n">
        <v>0</v>
      </c>
      <c r="J451" t="n">
        <v>0.5</v>
      </c>
      <c r="K451" t="n">
        <v>0</v>
      </c>
      <c r="L451" t="n">
        <v>7.5</v>
      </c>
      <c r="M451" t="n">
        <v>0</v>
      </c>
      <c r="N451" t="n">
        <v>0</v>
      </c>
      <c r="O451" t="n">
        <v>0</v>
      </c>
      <c r="P451">
        <f>Table1[[#This Row],[TA 1 - Q1 Score]]+Table1[[#This Row],[TA 1 - Q2 Score]]+Table1[[#This Row],[TA 1 - Q3 Score]]</f>
        <v/>
      </c>
      <c r="Q451">
        <f>Table1[[#This Row],[TA 1 - Q1 Bonus]]+Table1[[#This Row],[TA 1 - Q2 Bonus]]+Table1[[#This Row],[TA 1 - Q4 Bonus]]</f>
        <v/>
      </c>
      <c r="R451">
        <f>Table1[[#This Row],[TA 2 - Q1 Score]]+Table1[[#This Row],[TA 2 - Q2 Score]]+Table1[[#This Row],[TA 2 - Q3 Score]]</f>
        <v/>
      </c>
      <c r="S451">
        <f>Table1[[#This Row],[TA 2 - Q1 Bonus]]+Table1[[#This Row],[TA 2 - Q2 Bonus]]+Table1[[#This Row],[TA 2 - Q4 Bonus]]</f>
        <v/>
      </c>
      <c r="T451">
        <f>(Table1[[#This Row],[TA 1 - Total Score (out of 35)]]+Table1[[#This Row],[TA 2 - Total Score (out of 35)]])/2</f>
        <v/>
      </c>
      <c r="U451">
        <f>(Table1[[#This Row],[TA 1 - Total Bonus (out of 13)]]+Table1[[#This Row],[TA 2 - Total Bonus (out of 13)]])/2</f>
        <v/>
      </c>
      <c r="V451">
        <f>Table1[[#This Row],[Average Questions]]/35*20+Table1[[#This Row],[Average Bonus]]/13*5</f>
        <v/>
      </c>
      <c r="W451" t="n">
        <v>0</v>
      </c>
      <c r="X451" t="n">
        <v>0</v>
      </c>
      <c r="Y451" t="inlineStr">
        <is>
          <t>The student's submission is incomplete and does not run end-to-end. The code for loading and preparing data is partially completed but lacks the necessary code to display sample images. The model loading and adaptation section is incomplete, with no code for freezing the backbone or replacing the classifier head. The training and validation functions are missing, and there is no code for training the model or plotting the results. Additionally, the bonus task for Test Time Augmentation is not attempted.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51" t="n">
        <v>0</v>
      </c>
      <c r="AA451" t="n">
        <v>0</v>
      </c>
      <c r="AB451" t="inlineStr">
        <is>
          <t>The student's submission does not run correctly due to several issues. The dataset paths are incorrectly specified, leading to errors in loading the data. The transformations applied to the images are incorrect, as the resizing is set to 32x32 instead of 128x128. The CNN model does not include batch normalization, and the fully connected layer dimensions are incorrect. The training and validation loops have logical errors, such as incorrect softmax application and accuracy calculation. Additionally, the student did not attempt the bonus task.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51" t="n">
        <v>0</v>
      </c>
      <c r="AD451" t="inlineStr">
        <is>
          <t>No submission found.</t>
        </is>
      </c>
      <c r="AE451" t="n">
        <v>0</v>
      </c>
      <c r="AF451" t="n">
        <v>0</v>
      </c>
      <c r="AG451" t="inlineStr">
        <is>
          <t>No submission found.</t>
        </is>
      </c>
      <c r="AH451" t="n">
        <v>0</v>
      </c>
      <c r="AI451" t="n">
        <v>0</v>
      </c>
    </row>
    <row r="452">
      <c r="A452" t="n">
        <v>451</v>
      </c>
      <c r="B452" t="inlineStr">
        <is>
          <t>TA_8</t>
        </is>
      </c>
      <c r="C452" t="inlineStr">
        <is>
          <t>TA_18</t>
        </is>
      </c>
      <c r="D452" t="n">
        <v>7</v>
      </c>
      <c r="E452" t="n">
        <v>0</v>
      </c>
      <c r="F452" t="n">
        <v>8</v>
      </c>
      <c r="G452" t="n">
        <v>0</v>
      </c>
      <c r="H452" t="n">
        <v>12</v>
      </c>
      <c r="I452" t="n">
        <v>0</v>
      </c>
      <c r="J452" t="n">
        <v>4.5</v>
      </c>
      <c r="K452" t="n">
        <v>0</v>
      </c>
      <c r="L452" t="n">
        <v>11</v>
      </c>
      <c r="M452" t="n">
        <v>0</v>
      </c>
      <c r="N452" t="n">
        <v>8.75</v>
      </c>
      <c r="O452" t="n">
        <v>0</v>
      </c>
      <c r="P452">
        <f>Table1[[#This Row],[TA 1 - Q1 Score]]+Table1[[#This Row],[TA 1 - Q2 Score]]+Table1[[#This Row],[TA 1 - Q3 Score]]</f>
        <v/>
      </c>
      <c r="Q452">
        <f>Table1[[#This Row],[TA 1 - Q1 Bonus]]+Table1[[#This Row],[TA 1 - Q2 Bonus]]+Table1[[#This Row],[TA 1 - Q4 Bonus]]</f>
        <v/>
      </c>
      <c r="R452">
        <f>Table1[[#This Row],[TA 2 - Q1 Score]]+Table1[[#This Row],[TA 2 - Q2 Score]]+Table1[[#This Row],[TA 2 - Q3 Score]]</f>
        <v/>
      </c>
      <c r="S452">
        <f>Table1[[#This Row],[TA 2 - Q1 Bonus]]+Table1[[#This Row],[TA 2 - Q2 Bonus]]+Table1[[#This Row],[TA 2 - Q4 Bonus]]</f>
        <v/>
      </c>
      <c r="T452">
        <f>(Table1[[#This Row],[TA 1 - Total Score (out of 35)]]+Table1[[#This Row],[TA 2 - Total Score (out of 35)]])/2</f>
        <v/>
      </c>
      <c r="U452">
        <f>(Table1[[#This Row],[TA 1 - Total Bonus (out of 13)]]+Table1[[#This Row],[TA 2 - Total Bonus (out of 13)]])/2</f>
        <v/>
      </c>
      <c r="V452">
        <f>Table1[[#This Row],[Average Questions]]/35*20+Table1[[#This Row],[Average Bonus]]/13*5</f>
        <v/>
      </c>
      <c r="W452" t="n">
        <v>0</v>
      </c>
      <c r="X452" t="n">
        <v>0</v>
      </c>
      <c r="Y452" t="inlineStr">
        <is>
          <t>The student's submission does not run correctly due to several issues. The transforms are not correctly applied, the DataLoaders are not created properly, and the validation loop does not adjust the labels correctly. Additionally, the training loop does not include the necessary steps to update the model parameters, and the plotting functions are missing. The bonus task for Test Time Augmentation is also not implemented correctly.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52" t="n">
        <v>0</v>
      </c>
      <c r="AA452" t="n">
        <v>0</v>
      </c>
      <c r="AB452" t="inlineStr">
        <is>
          <t>The student's submission does not run correctly due to multiple issues. The dataset class is incorrectly defined and does not match the required specifications. The transforms are incorrectly applied, and the model architecture does not follow the required specifications. Additionally, the training and validation functions are incorrectly implemented, leading to a non-functional codebase.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52" t="n">
        <v>0</v>
      </c>
      <c r="AD452" t="inlineStr">
        <is>
          <t>The student's submission does not run correctly due to several issues. The model definition is incorrect as it uses 'efficientnet-b1' instead of 'efficientnet-b0' as specified in the rubric. Additionally, the model is defined with 'classes=1' instead of 'classes=8'. The training and validation loops are incomplete and contain errors. The loss and optimizer are defined correctly, but the training process does not execute properly due to the incorrect model definition. The visualization of predictions is attempted but fails due to the incorrect model setup. Therefore, no points are awarded for any task as the code does not run correctly and deviates from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52" t="n">
        <v>0</v>
      </c>
      <c r="AF452" t="n">
        <v>0</v>
      </c>
      <c r="AG452" t="inlineStr">
        <is>
          <t>No submission found.</t>
        </is>
      </c>
      <c r="AH452" t="n">
        <v>0</v>
      </c>
      <c r="AI452" t="n">
        <v>0</v>
      </c>
    </row>
    <row r="453">
      <c r="A453" t="n">
        <v>452</v>
      </c>
      <c r="B453" t="inlineStr">
        <is>
          <t>TA_8</t>
        </is>
      </c>
      <c r="C453" t="inlineStr">
        <is>
          <t>TA_18</t>
        </is>
      </c>
      <c r="D453" t="n">
        <v>12</v>
      </c>
      <c r="E453" t="n">
        <v>4</v>
      </c>
      <c r="F453" t="n">
        <v>11</v>
      </c>
      <c r="G453" t="n">
        <v>4</v>
      </c>
      <c r="H453" t="n">
        <v>3</v>
      </c>
      <c r="I453" t="n">
        <v>0</v>
      </c>
      <c r="J453" t="n">
        <v>12</v>
      </c>
      <c r="K453" t="n">
        <v>4</v>
      </c>
      <c r="L453" t="n">
        <v>11</v>
      </c>
      <c r="M453" t="n">
        <v>4</v>
      </c>
      <c r="N453" t="n">
        <v>-1</v>
      </c>
      <c r="O453" t="n">
        <v>0</v>
      </c>
      <c r="P453">
        <f>Table1[[#This Row],[TA 1 - Q1 Score]]+Table1[[#This Row],[TA 1 - Q2 Score]]+Table1[[#This Row],[TA 1 - Q3 Score]]</f>
        <v/>
      </c>
      <c r="Q453">
        <f>Table1[[#This Row],[TA 1 - Q1 Bonus]]+Table1[[#This Row],[TA 1 - Q2 Bonus]]+Table1[[#This Row],[TA 1 - Q4 Bonus]]</f>
        <v/>
      </c>
      <c r="R453">
        <f>Table1[[#This Row],[TA 2 - Q1 Score]]+Table1[[#This Row],[TA 2 - Q2 Score]]+Table1[[#This Row],[TA 2 - Q3 Score]]</f>
        <v/>
      </c>
      <c r="S453">
        <f>Table1[[#This Row],[TA 2 - Q1 Bonus]]+Table1[[#This Row],[TA 2 - Q2 Bonus]]+Table1[[#This Row],[TA 2 - Q4 Bonus]]</f>
        <v/>
      </c>
      <c r="T453">
        <f>(Table1[[#This Row],[TA 1 - Total Score (out of 35)]]+Table1[[#This Row],[TA 2 - Total Score (out of 35)]])/2</f>
        <v/>
      </c>
      <c r="U453">
        <f>(Table1[[#This Row],[TA 1 - Total Bonus (out of 13)]]+Table1[[#This Row],[TA 2 - Total Bonus (out of 13)]])/2</f>
        <v/>
      </c>
      <c r="V453">
        <f>Table1[[#This Row],[Average Questions]]/35*20+Table1[[#This Row],[Average Bonus]]/13*5</f>
        <v/>
      </c>
      <c r="W453" t="n">
        <v>0</v>
      </c>
      <c r="X453" t="n">
        <v>0</v>
      </c>
      <c r="Y453" t="inlineStr">
        <is>
          <t>The student's submission does not run correctly due to several issues. The transforms are not correctly applied to the images, the DataLoaders are not created properly, and the model is not correctly set up for training. Additionally, the training and validation loops are not implemented correctly, and the plots for training and validation losses and accuracies are missing. The bonus task for Test Time Augmentation (TTA) is also not implemented correctly.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53" t="n">
        <v>0</v>
      </c>
      <c r="AA453" t="n">
        <v>0</v>
      </c>
      <c r="AB453" t="inlineStr">
        <is>
          <t>The student's submission did not follow the rubric correctly. The student did not use the correct dataset path, did not apply the correct transforms, did not create the train/test datasets and DataLoaders correctly, did not define the CNN model class with 5 convolutional layers correctly, did not add Batch Normalization correctly, did not define the training and validation loop functions correctly, did not set up the device, model, loss, and optimizer correctly, did not train the model correctly, did not plot the losses and accuracy correctly, did not define the residual connection correctly, and did not retrain the model and plot the losses and accuracy correctly. Therefore, the student's submission is awarded 0.0 points for the base tasks and 0.0 points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53" t="n">
        <v>0</v>
      </c>
      <c r="AD453" t="inlineStr">
        <is>
          <t>The student's submission is incomplete and does not run end-to-end. The dataset class and DataLoaders are not defined, and there is no code for displaying sample images and masks. The model class is incorrectly defined with the wrong number of classes and encoder. The training and validation loops are not correctly implemented, and the loss and optimizer are not defined. The training process is not executed, and there is no code for plotting the loss curve or visualizing predictions. The submission does not follow the rubric and does not run correctly, resulting in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53" t="n">
        <v>0</v>
      </c>
      <c r="AF453" t="n">
        <v>0</v>
      </c>
      <c r="AG453" t="inlineStr">
        <is>
          <t>The student's implementation of the `ColorizationDataset` class is incomplete. Specifically, the `rgb_to_grayscale` method does not return the grayscale image, and the `unsqueeze` method is missing, which is crucial for adding the channel dimension. Additionally, the `pass` statements indicate that the student did not fully implement the required methods. Therefore, the implementation does not meet the criteria for correct functionality, resulting in a score of 0.0.
Breakdown:
- Correctly implemented `ColorizationDataset` class: 0.0/?</t>
        </is>
      </c>
      <c r="AH453" t="n">
        <v>0</v>
      </c>
      <c r="AI453" t="n">
        <v>0</v>
      </c>
    </row>
    <row r="454">
      <c r="A454" t="n">
        <v>453</v>
      </c>
      <c r="B454" t="inlineStr">
        <is>
          <t>TA_8</t>
        </is>
      </c>
      <c r="C454" t="inlineStr">
        <is>
          <t>TA_18</t>
        </is>
      </c>
      <c r="D454" t="n">
        <v>12</v>
      </c>
      <c r="E454" t="n">
        <v>0</v>
      </c>
      <c r="F454" t="n">
        <v>11</v>
      </c>
      <c r="G454" t="n">
        <v>0</v>
      </c>
      <c r="H454" t="n">
        <v>12</v>
      </c>
      <c r="I454" t="n">
        <v>5</v>
      </c>
      <c r="J454" t="n">
        <v>12</v>
      </c>
      <c r="K454" t="n">
        <v>0</v>
      </c>
      <c r="L454" t="n">
        <v>11</v>
      </c>
      <c r="M454" t="n">
        <v>0</v>
      </c>
      <c r="N454" t="n">
        <v>12</v>
      </c>
      <c r="O454" t="n">
        <v>5</v>
      </c>
      <c r="P454">
        <f>Table1[[#This Row],[TA 1 - Q1 Score]]+Table1[[#This Row],[TA 1 - Q2 Score]]+Table1[[#This Row],[TA 1 - Q3 Score]]</f>
        <v/>
      </c>
      <c r="Q454">
        <f>Table1[[#This Row],[TA 1 - Q1 Bonus]]+Table1[[#This Row],[TA 1 - Q2 Bonus]]+Table1[[#This Row],[TA 1 - Q4 Bonus]]</f>
        <v/>
      </c>
      <c r="R454">
        <f>Table1[[#This Row],[TA 2 - Q1 Score]]+Table1[[#This Row],[TA 2 - Q2 Score]]+Table1[[#This Row],[TA 2 - Q3 Score]]</f>
        <v/>
      </c>
      <c r="S454">
        <f>Table1[[#This Row],[TA 2 - Q1 Bonus]]+Table1[[#This Row],[TA 2 - Q2 Bonus]]+Table1[[#This Row],[TA 2 - Q4 Bonus]]</f>
        <v/>
      </c>
      <c r="T454">
        <f>(Table1[[#This Row],[TA 1 - Total Score (out of 35)]]+Table1[[#This Row],[TA 2 - Total Score (out of 35)]])/2</f>
        <v/>
      </c>
      <c r="U454">
        <f>(Table1[[#This Row],[TA 1 - Total Bonus (out of 13)]]+Table1[[#This Row],[TA 2 - Total Bonus (out of 13)]])/2</f>
        <v/>
      </c>
      <c r="V454">
        <f>Table1[[#This Row],[Average Questions]]/35*20+Table1[[#This Row],[Average Bonus]]/13*5</f>
        <v/>
      </c>
      <c r="W454" t="n">
        <v>0</v>
      </c>
      <c r="X454" t="n">
        <v>0</v>
      </c>
      <c r="Y454" t="inlineStr">
        <is>
          <t>The student's submission does not run correctly due to several issues. The transforms are incomplete, the DataLoaders are not correctly created, and the sample images are not displayed correctly. The model loading and adaptation steps are incorrect, and the training and validation loops contain logical errors. The label fixing is not implemented correctly, and the training and validation plots are missing. The bonus task for Test Time Augmentation is not attempted.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54" t="n">
        <v>0</v>
      </c>
      <c r="AA454" t="n">
        <v>0</v>
      </c>
      <c r="AB454" t="inlineStr">
        <is>
          <t>The student's submission does not run correctly due to missing fully connected layers in the CNN model, which prevents the model from producing outputs. Additionally, the student did not implement the bonus task.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54" t="n">
        <v>0</v>
      </c>
      <c r="AD454" t="inlineStr">
        <is>
          <t>The student's submission does not run end-to-end due to missing or incorrect code in several critical areas. The dataset class is defined but not used correctly in the DataLoader creation. The model definition uses 'efficientnet-b1' instead of 'efficientnet-b0' as specified. The training and validation loops are defined but not executed correctly due to missing or incorrect code in the training and visualization sections. The visualization of predictions is attempted but fails due to errors in the code. Therefore, no points are awarded for any task as the code does not run correctly and deviates from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54" t="n">
        <v>0</v>
      </c>
      <c r="AF454" t="n">
        <v>0</v>
      </c>
      <c r="AG454" t="inlineStr">
        <is>
          <t>The student's implementation of the `ColorizationDataset` class is incomplete. The `rgb_to_grayscale` method is correctly implemented, but the `__getitem__` method does not return the correct tuple of (grayscale_image, color_image). Additionally, the `rgb_to_grayscale` method is commented out as 'TO DO', indicating that the student did not fully complete the task. Therefore, the implementation does not meet the criteria for full credit and receives 0 points.
Breakdown:
- Correctly implemented `ColorizationDataset` class: 0.0/5.0</t>
        </is>
      </c>
      <c r="AH454" t="n">
        <v>0</v>
      </c>
      <c r="AI454" t="n">
        <v>0</v>
      </c>
    </row>
    <row r="455">
      <c r="A455" t="n">
        <v>454</v>
      </c>
      <c r="B455" t="inlineStr">
        <is>
          <t>TA_8</t>
        </is>
      </c>
      <c r="C455" t="inlineStr">
        <is>
          <t>TA_18</t>
        </is>
      </c>
      <c r="D455" t="n">
        <v>3</v>
      </c>
      <c r="E455" t="n">
        <v>0</v>
      </c>
      <c r="F455" t="n">
        <v>7.5</v>
      </c>
      <c r="G455" t="n">
        <v>0</v>
      </c>
      <c r="H455" t="n">
        <v>0</v>
      </c>
      <c r="I455" t="n">
        <v>0</v>
      </c>
      <c r="J455" t="n">
        <v>4.25</v>
      </c>
      <c r="K455" t="n">
        <v>0</v>
      </c>
      <c r="L455" t="n">
        <v>5.75</v>
      </c>
      <c r="M455" t="n">
        <v>0</v>
      </c>
      <c r="N455" t="n">
        <v>3.5</v>
      </c>
      <c r="O455" t="n">
        <v>0</v>
      </c>
      <c r="P455">
        <f>Table1[[#This Row],[TA 1 - Q1 Score]]+Table1[[#This Row],[TA 1 - Q2 Score]]+Table1[[#This Row],[TA 1 - Q3 Score]]</f>
        <v/>
      </c>
      <c r="Q455">
        <f>Table1[[#This Row],[TA 1 - Q1 Bonus]]+Table1[[#This Row],[TA 1 - Q2 Bonus]]+Table1[[#This Row],[TA 1 - Q4 Bonus]]</f>
        <v/>
      </c>
      <c r="R455">
        <f>Table1[[#This Row],[TA 2 - Q1 Score]]+Table1[[#This Row],[TA 2 - Q2 Score]]+Table1[[#This Row],[TA 2 - Q3 Score]]</f>
        <v/>
      </c>
      <c r="S455">
        <f>Table1[[#This Row],[TA 2 - Q1 Bonus]]+Table1[[#This Row],[TA 2 - Q2 Bonus]]+Table1[[#This Row],[TA 2 - Q4 Bonus]]</f>
        <v/>
      </c>
      <c r="T455">
        <f>(Table1[[#This Row],[TA 1 - Total Score (out of 35)]]+Table1[[#This Row],[TA 2 - Total Score (out of 35)]])/2</f>
        <v/>
      </c>
      <c r="U455">
        <f>(Table1[[#This Row],[TA 1 - Total Bonus (out of 13)]]+Table1[[#This Row],[TA 2 - Total Bonus (out of 13)]])/2</f>
        <v/>
      </c>
      <c r="V455">
        <f>Table1[[#This Row],[Average Questions]]/35*20+Table1[[#This Row],[Average Bonus]]/13*5</f>
        <v/>
      </c>
      <c r="W455" t="n">
        <v>0</v>
      </c>
      <c r="X455" t="n">
        <v>0</v>
      </c>
      <c r="Y455" t="inlineStr">
        <is>
          <t>The student's submission does not follow the rubric and contains significant deviations from the required tasks. The student used a different model (EfficientNetB0 instead of EfficientNetV2-Small) and did not correctly implement the transforms, DataLoaders, or the training and validation loops. The code for displaying sample images is incomplete and incorrect. Additionally, the student did not implement the bonus task for Test Time Augmentation. The code does not run correctly and does not produce the correct output, resulting in a score of 0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55" t="n">
        <v>0</v>
      </c>
      <c r="AA455" t="n">
        <v>0</v>
      </c>
      <c r="AB455" t="inlineStr">
        <is>
          <t>The student's submission does not run correctly due to several issues. The dataset class is incorrectly implemented, leading to errors in loading the data. The CNN model does not follow the specified architecture, missing batch normalization layers and having incorrect output dimensions. The training and validation functions are incorrectly implemented, leading to errors in the training process. Additionally, the student did not attempt the bonus task.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55" t="n">
        <v>0</v>
      </c>
      <c r="AD455" t="inlineStr">
        <is>
          <t>The student's submission deviates significantly from the rubric. The dataset class is incorrectly implemented, using a different dataset and structure than specified. The model class uses 'efficientnet-b0' instead of 'efficientnet-b1' and is set up for binary segmentation instead of multi-class. The training and validation loops are present but use incorrect loss functions and optimizers. The training process does not run correctly due to these issues, and the visualization of predictions is not implemented correctly. The student's code does not follow the instructions and uses an entirely wrong approach, leading to a score of 0.0 for the base tasks and -50.0 for the model class task.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455" t="n">
        <v>0</v>
      </c>
      <c r="AF455" t="n">
        <v>0</v>
      </c>
      <c r="AG455" t="inlineStr">
        <is>
          <t>No submission found.</t>
        </is>
      </c>
      <c r="AH455" t="n">
        <v>0</v>
      </c>
      <c r="AI455" t="n">
        <v>0</v>
      </c>
    </row>
    <row r="456">
      <c r="A456" t="n">
        <v>455</v>
      </c>
      <c r="B456" t="inlineStr">
        <is>
          <t>TA_8</t>
        </is>
      </c>
      <c r="C456" t="inlineStr">
        <is>
          <t>TA_18</t>
        </is>
      </c>
      <c r="D456" t="n">
        <v>9.5</v>
      </c>
      <c r="E456" t="n">
        <v>0</v>
      </c>
      <c r="F456" t="n">
        <v>10.5</v>
      </c>
      <c r="G456" t="n">
        <v>0</v>
      </c>
      <c r="H456" t="n">
        <v>8.5</v>
      </c>
      <c r="I456" t="n">
        <v>0</v>
      </c>
      <c r="J456" t="n">
        <v>9.5</v>
      </c>
      <c r="K456" t="n">
        <v>0</v>
      </c>
      <c r="L456" t="n">
        <v>10.25</v>
      </c>
      <c r="M456" t="n">
        <v>0</v>
      </c>
      <c r="N456" t="n">
        <v>8.25</v>
      </c>
      <c r="O456" t="n">
        <v>0</v>
      </c>
      <c r="P456">
        <f>Table1[[#This Row],[TA 1 - Q1 Score]]+Table1[[#This Row],[TA 1 - Q2 Score]]+Table1[[#This Row],[TA 1 - Q3 Score]]</f>
        <v/>
      </c>
      <c r="Q456">
        <f>Table1[[#This Row],[TA 1 - Q1 Bonus]]+Table1[[#This Row],[TA 1 - Q2 Bonus]]+Table1[[#This Row],[TA 1 - Q4 Bonus]]</f>
        <v/>
      </c>
      <c r="R456">
        <f>Table1[[#This Row],[TA 2 - Q1 Score]]+Table1[[#This Row],[TA 2 - Q2 Score]]+Table1[[#This Row],[TA 2 - Q3 Score]]</f>
        <v/>
      </c>
      <c r="S456">
        <f>Table1[[#This Row],[TA 2 - Q1 Bonus]]+Table1[[#This Row],[TA 2 - Q2 Bonus]]+Table1[[#This Row],[TA 2 - Q4 Bonus]]</f>
        <v/>
      </c>
      <c r="T456">
        <f>(Table1[[#This Row],[TA 1 - Total Score (out of 35)]]+Table1[[#This Row],[TA 2 - Total Score (out of 35)]])/2</f>
        <v/>
      </c>
      <c r="U456">
        <f>(Table1[[#This Row],[TA 1 - Total Bonus (out of 13)]]+Table1[[#This Row],[TA 2 - Total Bonus (out of 13)]])/2</f>
        <v/>
      </c>
      <c r="V456">
        <f>Table1[[#This Row],[Average Questions]]/35*20+Table1[[#This Row],[Average Bonus]]/13*5</f>
        <v/>
      </c>
      <c r="W456" t="n">
        <v>0</v>
      </c>
      <c r="X456" t="n">
        <v>0</v>
      </c>
      <c r="Y456" t="inlineStr">
        <is>
          <t>The student's submission does not run correctly due to multiple issues. The transforms are incomplete, the DataLoaders are not created correctly, and the model is not set up properly. The training and validation loops are incorrect, and the plots for training and validation losses and accuracies are missing. Additionally, the bonus task for Test Time Augmentation is not implemented.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56" t="n">
        <v>0</v>
      </c>
      <c r="AA456" t="n">
        <v>0</v>
      </c>
      <c r="AB456" t="inlineStr">
        <is>
          <t>The student's submission does not run correctly due to several issues. The dataset class is incorrectly defined and does not match the required structure. The transforms are applied incorrectly, and the model definition deviates from the rubric. Additionally, the training and validation functions are incomplete and do not follow the required logic. The bonus task is not attempted.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56" t="n">
        <v>0</v>
      </c>
      <c r="AD456" t="inlineStr">
        <is>
          <t>The student's submission does not run end-to-end due to missing code in critical sections and incorrect implementation details. Specifically, the dataset class is incomplete, the model definition uses the wrong encoder, and the training loop is missing validation steps. Additionally, the visualization of predictions is not implemented. Therefore, no points are awarded for any task as the code does not run correctly and deviates significantly from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56" t="n">
        <v>0</v>
      </c>
      <c r="AF456" t="n">
        <v>0</v>
      </c>
      <c r="AG456" t="inlineStr">
        <is>
          <t>No submission found.</t>
        </is>
      </c>
      <c r="AH456" t="n">
        <v>0</v>
      </c>
      <c r="AI456" t="n">
        <v>0</v>
      </c>
    </row>
    <row r="457">
      <c r="A457" t="n">
        <v>456</v>
      </c>
      <c r="B457" t="inlineStr">
        <is>
          <t>TA_9</t>
        </is>
      </c>
      <c r="C457" t="inlineStr">
        <is>
          <t>TA_19</t>
        </is>
      </c>
      <c r="D457" t="n">
        <v>7.8</v>
      </c>
      <c r="E457" t="n">
        <v>0</v>
      </c>
      <c r="F457" t="n">
        <v>9.800000000000001</v>
      </c>
      <c r="G457" t="n">
        <v>0</v>
      </c>
      <c r="H457" t="n">
        <v>6</v>
      </c>
      <c r="I457" t="n">
        <v>0</v>
      </c>
      <c r="J457" t="n">
        <v>8.75</v>
      </c>
      <c r="K457" t="n">
        <v>0</v>
      </c>
      <c r="L457" t="n">
        <v>7.25</v>
      </c>
      <c r="M457" t="n">
        <v>0</v>
      </c>
      <c r="N457" t="n">
        <v>8.5</v>
      </c>
      <c r="O457" t="n">
        <v>0</v>
      </c>
      <c r="P457">
        <f>Table1[[#This Row],[TA 1 - Q1 Score]]+Table1[[#This Row],[TA 1 - Q2 Score]]+Table1[[#This Row],[TA 1 - Q3 Score]]</f>
        <v/>
      </c>
      <c r="Q457">
        <f>Table1[[#This Row],[TA 1 - Q1 Bonus]]+Table1[[#This Row],[TA 1 - Q2 Bonus]]+Table1[[#This Row],[TA 1 - Q4 Bonus]]</f>
        <v/>
      </c>
      <c r="R457">
        <f>Table1[[#This Row],[TA 2 - Q1 Score]]+Table1[[#This Row],[TA 2 - Q2 Score]]+Table1[[#This Row],[TA 2 - Q3 Score]]</f>
        <v/>
      </c>
      <c r="S457">
        <f>Table1[[#This Row],[TA 2 - Q1 Bonus]]+Table1[[#This Row],[TA 2 - Q2 Bonus]]+Table1[[#This Row],[TA 2 - Q4 Bonus]]</f>
        <v/>
      </c>
      <c r="T457">
        <f>(Table1[[#This Row],[TA 1 - Total Score (out of 35)]]+Table1[[#This Row],[TA 2 - Total Score (out of 35)]])/2</f>
        <v/>
      </c>
      <c r="U457">
        <f>(Table1[[#This Row],[TA 1 - Total Bonus (out of 13)]]+Table1[[#This Row],[TA 2 - Total Bonus (out of 13)]])/2</f>
        <v/>
      </c>
      <c r="V457">
        <f>Table1[[#This Row],[Average Questions]]/35*20+Table1[[#This Row],[Average Bonus]]/13*5</f>
        <v/>
      </c>
      <c r="W457" t="n">
        <v>0</v>
      </c>
      <c r="X457" t="n">
        <v>0</v>
      </c>
      <c r="Y457" t="inlineStr">
        <is>
          <t>The student's submission does not run correctly due to several issues. The training and validation loops are incorrect because the student used softmax on the outputs, which is not necessary for CrossEntropyLoss. Additionally, the student did not plot the training and validation losses or accuracies. The bonus task for Test Time Augmentation (TTA) is also missing.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57" t="n">
        <v>0</v>
      </c>
      <c r="AA457" t="n">
        <v>0</v>
      </c>
      <c r="AB457" t="inlineStr">
        <is>
          <t>The student's submission does not run correctly due to several issues. The model definition is incorrect, with mismatched dimensions in the classifier layer and missing pooling layers. The training and validation functions are incomplete and contain errors. Additionally, the student did not implement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57" t="n">
        <v>0</v>
      </c>
      <c r="AD457" t="inlineStr">
        <is>
          <t>The student's submission does not run end-to-end due to multiple issues. The dataset class is incorrectly implemented, leading to errors in data loading. The model definition uses the wrong encoder, and the training and validation loops are not correctly implemented. Additionally, the student did not include code for displaying sample images and masks, defining the loss and optimizer, printing training and validation losses, plotting the loss curve, or visualizing predictions.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57" t="n">
        <v>0</v>
      </c>
      <c r="AF457" t="n">
        <v>0</v>
      </c>
      <c r="AG457" t="inlineStr">
        <is>
          <t>No submission found.</t>
        </is>
      </c>
      <c r="AH457" t="n">
        <v>0</v>
      </c>
      <c r="AI457" t="n">
        <v>0</v>
      </c>
    </row>
    <row r="458">
      <c r="A458" t="n">
        <v>457</v>
      </c>
      <c r="B458" t="inlineStr">
        <is>
          <t>TA_9</t>
        </is>
      </c>
      <c r="C458" t="inlineStr">
        <is>
          <t>TA_19</t>
        </is>
      </c>
      <c r="D458" t="n">
        <v>11</v>
      </c>
      <c r="E458" t="n">
        <v>0</v>
      </c>
      <c r="F458" t="n">
        <v>9</v>
      </c>
      <c r="G458" t="n">
        <v>0</v>
      </c>
      <c r="H458" t="n">
        <v>12</v>
      </c>
      <c r="I458" t="n">
        <v>0</v>
      </c>
      <c r="J458" t="n">
        <v>9.5</v>
      </c>
      <c r="K458" t="n">
        <v>1</v>
      </c>
      <c r="L458" t="n">
        <v>8.5</v>
      </c>
      <c r="M458" t="n">
        <v>0</v>
      </c>
      <c r="N458" t="n">
        <v>12</v>
      </c>
      <c r="O458" t="n">
        <v>0</v>
      </c>
      <c r="P458">
        <f>Table1[[#This Row],[TA 1 - Q1 Score]]+Table1[[#This Row],[TA 1 - Q2 Score]]+Table1[[#This Row],[TA 1 - Q3 Score]]</f>
        <v/>
      </c>
      <c r="Q458">
        <f>Table1[[#This Row],[TA 1 - Q1 Bonus]]+Table1[[#This Row],[TA 1 - Q2 Bonus]]+Table1[[#This Row],[TA 1 - Q4 Bonus]]</f>
        <v/>
      </c>
      <c r="R458">
        <f>Table1[[#This Row],[TA 2 - Q1 Score]]+Table1[[#This Row],[TA 2 - Q2 Score]]+Table1[[#This Row],[TA 2 - Q3 Score]]</f>
        <v/>
      </c>
      <c r="S458">
        <f>Table1[[#This Row],[TA 2 - Q1 Bonus]]+Table1[[#This Row],[TA 2 - Q2 Bonus]]+Table1[[#This Row],[TA 2 - Q4 Bonus]]</f>
        <v/>
      </c>
      <c r="T458">
        <f>(Table1[[#This Row],[TA 1 - Total Score (out of 35)]]+Table1[[#This Row],[TA 2 - Total Score (out of 35)]])/2</f>
        <v/>
      </c>
      <c r="U458">
        <f>(Table1[[#This Row],[TA 1 - Total Bonus (out of 13)]]+Table1[[#This Row],[TA 2 - Total Bonus (out of 13)]])/2</f>
        <v/>
      </c>
      <c r="V458">
        <f>Table1[[#This Row],[Average Questions]]/35*20+Table1[[#This Row],[Average Bonus]]/13*5</f>
        <v/>
      </c>
      <c r="W458" t="n">
        <v>0</v>
      </c>
      <c r="X458" t="n">
        <v>0</v>
      </c>
      <c r="Y458" t="inlineStr">
        <is>
          <t>The student's submission does not run correctly due to multiple issues. The transforms are incomplete, the model is not correctly adapted for the new task, and the training and validation loops are incorrect. Additionally, the bonus task for Test Time Augmentation is not implemented correctly.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58" t="n">
        <v>0</v>
      </c>
      <c r="AA458" t="n">
        <v>0</v>
      </c>
      <c r="AB458" t="inlineStr">
        <is>
          <t>The student's submission does not run correctly due to missing code for several critical tasks, including setting up the device, model, loss, and optimizer, as well as training the model and plotting losses and accuracy. The student also did not implement the bonus task of adding a residual connection. Therefore, the minimum defensible score for each incomplete or buggy task is 0.0.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58" t="n">
        <v>0</v>
      </c>
      <c r="AD458" t="inlineStr">
        <is>
          <t>The student's submission does not run correctly due to several issues. The dataset class is incorrectly implemented, leading to errors in loading images and masks. The DataLoader creation is flawed, and the model definition uses the wrong encoder. The training and validation loops are incomplete and contain errors. Additionally, the loss and optimizer are not correctly defined, and the training process does not execute properly. The visualization of predictions is also missing. Therefore, no points are awarded for any task as the code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58" t="n">
        <v>0</v>
      </c>
      <c r="AF458" t="n">
        <v>0</v>
      </c>
      <c r="AG458" t="inlineStr">
        <is>
          <t>No submission found.</t>
        </is>
      </c>
      <c r="AH458" t="n">
        <v>0</v>
      </c>
      <c r="AI458" t="n">
        <v>0</v>
      </c>
    </row>
    <row r="459">
      <c r="A459" t="n">
        <v>458</v>
      </c>
      <c r="B459" t="inlineStr">
        <is>
          <t>TA_9</t>
        </is>
      </c>
      <c r="C459" t="inlineStr">
        <is>
          <t>TA_19</t>
        </is>
      </c>
      <c r="D459" t="n">
        <v>12</v>
      </c>
      <c r="E459" t="n">
        <v>0</v>
      </c>
      <c r="F459" t="n">
        <v>11</v>
      </c>
      <c r="G459" t="n">
        <v>0</v>
      </c>
      <c r="H459" t="n">
        <v>11.5</v>
      </c>
      <c r="I459" t="n">
        <v>0</v>
      </c>
      <c r="J459" t="n">
        <v>12</v>
      </c>
      <c r="K459" t="n">
        <v>0</v>
      </c>
      <c r="L459" t="n">
        <v>10.75</v>
      </c>
      <c r="M459" t="n">
        <v>0</v>
      </c>
      <c r="N459" t="n">
        <v>11.5</v>
      </c>
      <c r="O459" t="n">
        <v>0</v>
      </c>
      <c r="P459">
        <f>Table1[[#This Row],[TA 1 - Q1 Score]]+Table1[[#This Row],[TA 1 - Q2 Score]]+Table1[[#This Row],[TA 1 - Q3 Score]]</f>
        <v/>
      </c>
      <c r="Q459">
        <f>Table1[[#This Row],[TA 1 - Q1 Bonus]]+Table1[[#This Row],[TA 1 - Q2 Bonus]]+Table1[[#This Row],[TA 1 - Q4 Bonus]]</f>
        <v/>
      </c>
      <c r="R459">
        <f>Table1[[#This Row],[TA 2 - Q1 Score]]+Table1[[#This Row],[TA 2 - Q2 Score]]+Table1[[#This Row],[TA 2 - Q3 Score]]</f>
        <v/>
      </c>
      <c r="S459">
        <f>Table1[[#This Row],[TA 2 - Q1 Bonus]]+Table1[[#This Row],[TA 2 - Q2 Bonus]]+Table1[[#This Row],[TA 2 - Q4 Bonus]]</f>
        <v/>
      </c>
      <c r="T459">
        <f>(Table1[[#This Row],[TA 1 - Total Score (out of 35)]]+Table1[[#This Row],[TA 2 - Total Score (out of 35)]])/2</f>
        <v/>
      </c>
      <c r="U459">
        <f>(Table1[[#This Row],[TA 1 - Total Bonus (out of 13)]]+Table1[[#This Row],[TA 2 - Total Bonus (out of 13)]])/2</f>
        <v/>
      </c>
      <c r="V459">
        <f>Table1[[#This Row],[Average Questions]]/35*20+Table1[[#This Row],[Average Bonus]]/13*5</f>
        <v/>
      </c>
      <c r="W459" t="n">
        <v>0</v>
      </c>
      <c r="X459" t="n">
        <v>0</v>
      </c>
      <c r="Y459" t="inlineStr">
        <is>
          <t>The student's submission does not run end-to-end due to missing or incorrect code in several critical parts. Specifically, the student did not complete the transforms correctly, did not create DataLoaders properly, and did not display sample images. Additionally, the model loading and adaptation steps are incomplete or incorrect, leading to a non-functional training and validation process. The bonus task for Test Time Augmentation is also missing.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59" t="n">
        <v>0</v>
      </c>
      <c r="AA459" t="n">
        <v>0</v>
      </c>
      <c r="AB459" t="inlineStr">
        <is>
          <t>The student's submission does not run correctly due to several issues. The dataset class is incorrectly implemented, leading to errors in data loading. The CNN model does not follow the specified architecture with 5 convolutional layers and batch normalization. The training and validation functions are incorrectly implemented, and the training process does not set up the device, model, loss, and optimizer correctly.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59" t="n">
        <v>0</v>
      </c>
      <c r="AD459" t="inlineStr">
        <is>
          <t>The student's submission does not follow the rubric correctly. The dataset class is incorrectly implemented, using a CSV file and metadata which is not specified in the task. The DataLoader creation is flawed, and the display of sample images and masks is incomplete. The model definition uses the wrong encoder (efficientnet-b1 instead of efficientnet-b0). The training and validation loops are not correctly implemented, and the loss and optimizer are not defined as per the task. The training process does not run correctly, and the visualization of predictions is missing. Overall, the submission deviates significantly from the required tasks and does not run end-to-end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59" t="n">
        <v>0</v>
      </c>
      <c r="AF459" t="n">
        <v>0</v>
      </c>
      <c r="AG459" t="inlineStr">
        <is>
          <t>No submission found.</t>
        </is>
      </c>
      <c r="AH459" t="n">
        <v>0</v>
      </c>
      <c r="AI459" t="n">
        <v>0</v>
      </c>
    </row>
    <row r="460">
      <c r="A460" t="n">
        <v>459</v>
      </c>
      <c r="B460" t="inlineStr">
        <is>
          <t>TA_9</t>
        </is>
      </c>
      <c r="C460" t="inlineStr">
        <is>
          <t>TA_19</t>
        </is>
      </c>
      <c r="D460" t="n">
        <v>12</v>
      </c>
      <c r="E460" t="n">
        <v>4</v>
      </c>
      <c r="F460" t="n">
        <v>11</v>
      </c>
      <c r="G460" t="n">
        <v>4</v>
      </c>
      <c r="H460" t="n">
        <v>12</v>
      </c>
      <c r="I460" t="n">
        <v>5</v>
      </c>
      <c r="J460" t="n">
        <v>12</v>
      </c>
      <c r="K460" t="n">
        <v>4</v>
      </c>
      <c r="L460" t="n">
        <v>11</v>
      </c>
      <c r="M460" t="n">
        <v>4</v>
      </c>
      <c r="N460" t="n">
        <v>12</v>
      </c>
      <c r="O460" t="n">
        <v>5</v>
      </c>
      <c r="P460">
        <f>Table1[[#This Row],[TA 1 - Q1 Score]]+Table1[[#This Row],[TA 1 - Q2 Score]]+Table1[[#This Row],[TA 1 - Q3 Score]]</f>
        <v/>
      </c>
      <c r="Q460">
        <f>Table1[[#This Row],[TA 1 - Q1 Bonus]]+Table1[[#This Row],[TA 1 - Q2 Bonus]]+Table1[[#This Row],[TA 1 - Q4 Bonus]]</f>
        <v/>
      </c>
      <c r="R460">
        <f>Table1[[#This Row],[TA 2 - Q1 Score]]+Table1[[#This Row],[TA 2 - Q2 Score]]+Table1[[#This Row],[TA 2 - Q3 Score]]</f>
        <v/>
      </c>
      <c r="S460">
        <f>Table1[[#This Row],[TA 2 - Q1 Bonus]]+Table1[[#This Row],[TA 2 - Q2 Bonus]]+Table1[[#This Row],[TA 2 - Q4 Bonus]]</f>
        <v/>
      </c>
      <c r="T460">
        <f>(Table1[[#This Row],[TA 1 - Total Score (out of 35)]]+Table1[[#This Row],[TA 2 - Total Score (out of 35)]])/2</f>
        <v/>
      </c>
      <c r="U460">
        <f>(Table1[[#This Row],[TA 1 - Total Bonus (out of 13)]]+Table1[[#This Row],[TA 2 - Total Bonus (out of 13)]])/2</f>
        <v/>
      </c>
      <c r="V460">
        <f>Table1[[#This Row],[Average Questions]]/35*20+Table1[[#This Row],[Average Bonus]]/13*5</f>
        <v/>
      </c>
      <c r="W460" t="n">
        <v>0</v>
      </c>
      <c r="X460" t="n">
        <v>0</v>
      </c>
      <c r="Y460" t="inlineStr">
        <is>
          <t>The student's submission does not run correctly due to several issues. The model loading and freezing steps are incorrect, leading to a non-functional training loop. The validation function also has errors, and the plotting code is incomplete. Additionally, the bonus task for Test Time Augmentation (TTA) is not implemented correctly.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60" t="n">
        <v>0</v>
      </c>
      <c r="AA460" t="n">
        <v>0</v>
      </c>
      <c r="AB460" t="inlineStr">
        <is>
          <t>The student's submission does not run correctly due to several issues. The dataset paths are hardcoded incorrectly, leading to errors in loading the data. The transforms applied to the images do not match the rubric specifications, and the model architecture deviates from the required structure. Additionally, the training and validation functions are incomplete and contain errors, preventing the model from being trained or validated correctly. The bonus task for residual connections is also incomplete and does not run correctly.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460" t="n">
        <v>0</v>
      </c>
      <c r="AD460" t="inlineStr">
        <is>
          <t>The student's submission does not run end-to-end due to missing code in critical sections, such as the dataset class definition and the training loop. The code provided does not follow the rubric's instructions, leading to a complete failure in executing the tasks.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60" t="n">
        <v>0</v>
      </c>
      <c r="AF460" t="n">
        <v>0</v>
      </c>
      <c r="AG460" t="inlineStr">
        <is>
          <t>The student's implementation of the `ColorizationDataset` class is correct and follows the required structure. However, the code does not run correctly because the `rgb_to_grayscale` method does not handle the input image dimensions correctly, leading to incorrect grayscale conversion. Since the task requires the code to run perfectly and produce the correct output, the student receives 0 points for this task.
Breakdown:
- Correctly implemented `ColorizationDataset` class: 0.0/5.0</t>
        </is>
      </c>
      <c r="AH460" t="n">
        <v>0</v>
      </c>
      <c r="AI460" t="n">
        <v>0</v>
      </c>
    </row>
    <row r="461">
      <c r="A461" t="n">
        <v>460</v>
      </c>
      <c r="B461" t="inlineStr">
        <is>
          <t>TA_9</t>
        </is>
      </c>
      <c r="C461" t="inlineStr">
        <is>
          <t>TA_19</t>
        </is>
      </c>
      <c r="D461" t="n">
        <v>12</v>
      </c>
      <c r="E461" t="n">
        <v>3.8</v>
      </c>
      <c r="F461" t="n">
        <v>10.75</v>
      </c>
      <c r="G461" t="n">
        <v>4</v>
      </c>
      <c r="H461" t="n">
        <v>10.75</v>
      </c>
      <c r="I461" t="n">
        <v>5</v>
      </c>
      <c r="J461" t="n">
        <v>12</v>
      </c>
      <c r="K461" t="n">
        <v>2</v>
      </c>
      <c r="L461" t="n">
        <v>10.75</v>
      </c>
      <c r="M461" t="n">
        <v>4</v>
      </c>
      <c r="N461" t="n">
        <v>10</v>
      </c>
      <c r="O461" t="n">
        <v>5</v>
      </c>
      <c r="P461">
        <f>Table1[[#This Row],[TA 1 - Q1 Score]]+Table1[[#This Row],[TA 1 - Q2 Score]]+Table1[[#This Row],[TA 1 - Q3 Score]]</f>
        <v/>
      </c>
      <c r="Q461">
        <f>Table1[[#This Row],[TA 1 - Q1 Bonus]]+Table1[[#This Row],[TA 1 - Q2 Bonus]]+Table1[[#This Row],[TA 1 - Q4 Bonus]]</f>
        <v/>
      </c>
      <c r="R461">
        <f>Table1[[#This Row],[TA 2 - Q1 Score]]+Table1[[#This Row],[TA 2 - Q2 Score]]+Table1[[#This Row],[TA 2 - Q3 Score]]</f>
        <v/>
      </c>
      <c r="S461">
        <f>Table1[[#This Row],[TA 2 - Q1 Bonus]]+Table1[[#This Row],[TA 2 - Q2 Bonus]]+Table1[[#This Row],[TA 2 - Q4 Bonus]]</f>
        <v/>
      </c>
      <c r="T461">
        <f>(Table1[[#This Row],[TA 1 - Total Score (out of 35)]]+Table1[[#This Row],[TA 2 - Total Score (out of 35)]])/2</f>
        <v/>
      </c>
      <c r="U461">
        <f>(Table1[[#This Row],[TA 1 - Total Bonus (out of 13)]]+Table1[[#This Row],[TA 2 - Total Bonus (out of 13)]])/2</f>
        <v/>
      </c>
      <c r="V461">
        <f>Table1[[#This Row],[Average Questions]]/35*20+Table1[[#This Row],[Average Bonus]]/13*5</f>
        <v/>
      </c>
      <c r="W461" t="n">
        <v>0</v>
      </c>
      <c r="X461" t="n">
        <v>0</v>
      </c>
      <c r="Y461" t="inlineStr">
        <is>
          <t>The student's submission does not run correctly due to several issues. The transforms are incomplete, the DataLoaders are not correctly created, and the model training and validation functions are not correctly implemented. Additionally, the student did not fix the labels for 0-indexing, which is a critical requirement. The bonus task for Test Time Augmentation (TTA) is also incomplete and does not run correctly.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61" t="n">
        <v>0</v>
      </c>
      <c r="AA461" t="n">
        <v>0</v>
      </c>
      <c r="AB461" t="inlineStr">
        <is>
          <t>The student's submission does not run correctly due to several issues. The transforms applied to the images include normalization, which was not specified in the rubric. The model architecture includes a dropout layer, which was not required. The residual connection implementation is incorrect as it does not follow the specified layers for the skip connection. Additionally, the student used a different dataset path directly, which is against the instructions. These deviations from the rubric and incorrect implementations result in a score of 0 for all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461" t="n">
        <v>0</v>
      </c>
      <c r="AD461" t="inlineStr">
        <is>
          <t>The student's submission does not run end-to-end due to several issues. The dataset class is incomplete and does not correctly handle the dataset paths. The training and validation loops are incorrectly implemented, leading to errors in the training process. Additionally, the visualization of predictions is flawed and does not correctly display the ground truth and predictions. The student's code does not follow the rubric and does not produce the correct output, resulting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61" t="n">
        <v>0</v>
      </c>
      <c r="AF461" t="n">
        <v>0</v>
      </c>
      <c r="AG461" t="inlineStr">
        <is>
          <t>The student's implementation of the `ColorizationDataset` class is incomplete. Specifically, the `rgb_to_grayscale` method is not correctly implemented, leading to incorrect grayscale images. Since the task requires the implementation to be fully correct to receive points, and the code does not run correctly, the student receives 0 points for this task.
Breakdown:
- Correctly implemented `ColorizationDataset` class: 0.0/?</t>
        </is>
      </c>
      <c r="AH461" t="n">
        <v>0</v>
      </c>
      <c r="AI461" t="n">
        <v>0</v>
      </c>
    </row>
    <row r="462">
      <c r="A462" t="n">
        <v>461</v>
      </c>
      <c r="B462" t="inlineStr">
        <is>
          <t>TA_9</t>
        </is>
      </c>
      <c r="C462" t="inlineStr">
        <is>
          <t>TA_19</t>
        </is>
      </c>
      <c r="D462" t="n">
        <v>11.75</v>
      </c>
      <c r="E462" t="n">
        <v>0</v>
      </c>
      <c r="F462" t="n">
        <v>10.25</v>
      </c>
      <c r="G462" t="n">
        <v>0</v>
      </c>
      <c r="H462" t="n">
        <v>12</v>
      </c>
      <c r="I462" t="n">
        <v>5</v>
      </c>
      <c r="J462" t="n">
        <v>12</v>
      </c>
      <c r="K462" t="n">
        <v>0</v>
      </c>
      <c r="L462" t="n">
        <v>8.25</v>
      </c>
      <c r="M462" t="n">
        <v>0</v>
      </c>
      <c r="N462" t="n">
        <v>11</v>
      </c>
      <c r="O462" t="n">
        <v>5</v>
      </c>
      <c r="P462">
        <f>Table1[[#This Row],[TA 1 - Q1 Score]]+Table1[[#This Row],[TA 1 - Q2 Score]]+Table1[[#This Row],[TA 1 - Q3 Score]]</f>
        <v/>
      </c>
      <c r="Q462">
        <f>Table1[[#This Row],[TA 1 - Q1 Bonus]]+Table1[[#This Row],[TA 1 - Q2 Bonus]]+Table1[[#This Row],[TA 1 - Q4 Bonus]]</f>
        <v/>
      </c>
      <c r="R462">
        <f>Table1[[#This Row],[TA 2 - Q1 Score]]+Table1[[#This Row],[TA 2 - Q2 Score]]+Table1[[#This Row],[TA 2 - Q3 Score]]</f>
        <v/>
      </c>
      <c r="S462">
        <f>Table1[[#This Row],[TA 2 - Q1 Bonus]]+Table1[[#This Row],[TA 2 - Q2 Bonus]]+Table1[[#This Row],[TA 2 - Q4 Bonus]]</f>
        <v/>
      </c>
      <c r="T462">
        <f>(Table1[[#This Row],[TA 1 - Total Score (out of 35)]]+Table1[[#This Row],[TA 2 - Total Score (out of 35)]])/2</f>
        <v/>
      </c>
      <c r="U462">
        <f>(Table1[[#This Row],[TA 1 - Total Bonus (out of 13)]]+Table1[[#This Row],[TA 2 - Total Bonus (out of 13)]])/2</f>
        <v/>
      </c>
      <c r="V462">
        <f>Table1[[#This Row],[Average Questions]]/35*20+Table1[[#This Row],[Average Bonus]]/13*5</f>
        <v/>
      </c>
      <c r="W462" t="n">
        <v>0</v>
      </c>
      <c r="X462" t="n">
        <v>0</v>
      </c>
      <c r="Y462" t="inlineStr">
        <is>
          <t>The student's submission does not run end-to-end due to missing or incorrect code in several critical parts. Specifically, the student did not complete the transforms correctly, did not create DataLoaders properly, and did not display sample images as required. Additionally, the student did not load the pretrained EfficientNetV2-Small model correctly, did not freeze the backbone, and did not replace the classifier head for 26 classes. The training and validation loops are incomplete and do not run correctly. The student also did not set up the device, model, loss, and optimizer correctly, and did not plot the training and validation losses or accuracies. The bonus task for Test Time Augmentation (TTA) is also missing.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62" t="n">
        <v>0</v>
      </c>
      <c r="AA462" t="n">
        <v>0</v>
      </c>
      <c r="AB462" t="inlineStr">
        <is>
          <t>The student's submission does not follow the rubric instructions. The transforms used do not include RandomRotation and the images are resized to 224x224 instead of 32x32. The CNN model does not have 5 convolutional layers as specified. The training and validation functions are incorrect as they use softmax on the outputs before calculating the loss, which is not necessary for CrossEntropyLoss. The training loop does not run correctly due to these issues.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62" t="n">
        <v>0</v>
      </c>
      <c r="AD462" t="inlineStr">
        <is>
          <t>The student's submission does not run correctly due to multiple issues. The dataset class is incorrectly defined and does not follow the required structure. The model definition uses 'efficientnet-b0' instead of 'efficientnet-b1'. The training and validation loops are present but contain errors that prevent the code from running correctly. Additionally, the visualization of predictions is incomplete and does not follow the required format. Therefore, no points are awarded for any task as the code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62" t="n">
        <v>0</v>
      </c>
      <c r="AF462" t="n">
        <v>0</v>
      </c>
      <c r="AG462" t="inlineStr">
        <is>
          <t>The student's implementation of the `ColorizationDataset` class contains a mistake in the `rgb_to_grayscale` method. The method correctly splits the image into R, G, and B channels but does not correctly apply the grayscale formula. The formula should be applied to each pixel individually, but the student's implementation applies it to the entire channel, leading to incorrect grayscale conversion. Additionally, the student's code does not handle the case where the input image might not be in the correct shape or range, which could lead to further issues. Since the implementation does not run correctly due to these mistakes, the student receives 0 points for this task.
Breakdown:
- Correctly implemented `ColorizationDataset` class: 0.0/5.0</t>
        </is>
      </c>
      <c r="AH462" t="n">
        <v>0</v>
      </c>
      <c r="AI462" t="n">
        <v>0</v>
      </c>
    </row>
    <row r="463">
      <c r="A463" t="n">
        <v>462</v>
      </c>
      <c r="B463" t="inlineStr">
        <is>
          <t>TA_9</t>
        </is>
      </c>
      <c r="C463" t="inlineStr">
        <is>
          <t>TA_19</t>
        </is>
      </c>
      <c r="D463" t="n">
        <v>2.75</v>
      </c>
      <c r="E463" t="n">
        <v>0</v>
      </c>
      <c r="F463" t="n">
        <v>9</v>
      </c>
      <c r="G463" t="n">
        <v>0</v>
      </c>
      <c r="H463" t="n">
        <v>7</v>
      </c>
      <c r="I463" t="n">
        <v>0</v>
      </c>
      <c r="J463" t="n">
        <v>5.5</v>
      </c>
      <c r="K463" t="n">
        <v>0</v>
      </c>
      <c r="L463" t="n">
        <v>9</v>
      </c>
      <c r="M463" t="n">
        <v>0</v>
      </c>
      <c r="N463" t="n">
        <v>7.75</v>
      </c>
      <c r="O463" t="n">
        <v>0</v>
      </c>
      <c r="P463">
        <f>Table1[[#This Row],[TA 1 - Q1 Score]]+Table1[[#This Row],[TA 1 - Q2 Score]]+Table1[[#This Row],[TA 1 - Q3 Score]]</f>
        <v/>
      </c>
      <c r="Q463">
        <f>Table1[[#This Row],[TA 1 - Q1 Bonus]]+Table1[[#This Row],[TA 1 - Q2 Bonus]]+Table1[[#This Row],[TA 1 - Q4 Bonus]]</f>
        <v/>
      </c>
      <c r="R463">
        <f>Table1[[#This Row],[TA 2 - Q1 Score]]+Table1[[#This Row],[TA 2 - Q2 Score]]+Table1[[#This Row],[TA 2 - Q3 Score]]</f>
        <v/>
      </c>
      <c r="S463">
        <f>Table1[[#This Row],[TA 2 - Q1 Bonus]]+Table1[[#This Row],[TA 2 - Q2 Bonus]]+Table1[[#This Row],[TA 2 - Q4 Bonus]]</f>
        <v/>
      </c>
      <c r="T463">
        <f>(Table1[[#This Row],[TA 1 - Total Score (out of 35)]]+Table1[[#This Row],[TA 2 - Total Score (out of 35)]])/2</f>
        <v/>
      </c>
      <c r="U463">
        <f>(Table1[[#This Row],[TA 1 - Total Bonus (out of 13)]]+Table1[[#This Row],[TA 2 - Total Bonus (out of 13)]])/2</f>
        <v/>
      </c>
      <c r="V463">
        <f>Table1[[#This Row],[Average Questions]]/35*20+Table1[[#This Row],[Average Bonus]]/13*5</f>
        <v/>
      </c>
      <c r="W463" t="n">
        <v>0</v>
      </c>
      <c r="X463" t="n">
        <v>0</v>
      </c>
      <c r="Y463" t="inlineStr">
        <is>
          <t>The student's submission does not run correctly due to several issues. The training and validation loops are incorrect, and the model setup is flawed. The student did not freeze the backbone of the pretrained model, and the classifier head was not replaced correctly. Additionally, the student did not fix the labels to be 0-indexed, which is a critical requirement. The plots for training and validation losses and accuracies are missing. The bonus task for Test Time Augmentation (TTA) was not attempted.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63" t="n">
        <v>0</v>
      </c>
      <c r="AA463" t="n">
        <v>0</v>
      </c>
      <c r="AB463" t="inlineStr">
        <is>
          <t>The student's submission does not run correctly due to several issues. The dataset class is incorrectly implemented, leading to errors in loading the data. The CNN model does not include batch normalization as required. The training and validation functions are incorrectly implemented, leading to errors in the training process. Additionally, the student did not attempt the bonus task.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63" t="n">
        <v>0</v>
      </c>
      <c r="AD463" t="inlineStr">
        <is>
          <t>The student's submission has several critical issues. The dataset class is incorrectly implemented, leading to a failure in loading the data correctly. The model definition uses 'efficientnet-b0' instead of 'efficientnet-b1', which is a deviation from the rubric. The training and validation loops are not correctly implemented, and the loss and optimizer are not defined as per the instructions. Additionally, the code for visualizing predictions is incomplete and does not run correctly. Therefore, the student receives 0 points for the base tasks and -50 points for the model definition task due to using an entirely wrong approach.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463" t="n">
        <v>0</v>
      </c>
      <c r="AF463" t="n">
        <v>0</v>
      </c>
      <c r="AG463" t="inlineStr">
        <is>
          <t>No submission found.</t>
        </is>
      </c>
      <c r="AH463" t="n">
        <v>0</v>
      </c>
      <c r="AI463" t="n">
        <v>0</v>
      </c>
    </row>
    <row r="464">
      <c r="A464" t="n">
        <v>463</v>
      </c>
      <c r="B464" t="inlineStr">
        <is>
          <t>TA_9</t>
        </is>
      </c>
      <c r="C464" t="inlineStr">
        <is>
          <t>TA_19</t>
        </is>
      </c>
      <c r="D464" t="n">
        <v>11.75</v>
      </c>
      <c r="E464" t="n">
        <v>4</v>
      </c>
      <c r="F464" t="n">
        <v>11</v>
      </c>
      <c r="G464" t="n">
        <v>3.5</v>
      </c>
      <c r="H464" t="n">
        <v>12</v>
      </c>
      <c r="I464" t="n">
        <v>5</v>
      </c>
      <c r="J464" t="n">
        <v>12</v>
      </c>
      <c r="K464" t="n">
        <v>4</v>
      </c>
      <c r="L464" t="n">
        <v>9</v>
      </c>
      <c r="M464" t="n">
        <v>3</v>
      </c>
      <c r="N464" t="n">
        <v>12</v>
      </c>
      <c r="O464" t="n">
        <v>5</v>
      </c>
      <c r="P464">
        <f>Table1[[#This Row],[TA 1 - Q1 Score]]+Table1[[#This Row],[TA 1 - Q2 Score]]+Table1[[#This Row],[TA 1 - Q3 Score]]</f>
        <v/>
      </c>
      <c r="Q464">
        <f>Table1[[#This Row],[TA 1 - Q1 Bonus]]+Table1[[#This Row],[TA 1 - Q2 Bonus]]+Table1[[#This Row],[TA 1 - Q4 Bonus]]</f>
        <v/>
      </c>
      <c r="R464">
        <f>Table1[[#This Row],[TA 2 - Q1 Score]]+Table1[[#This Row],[TA 2 - Q2 Score]]+Table1[[#This Row],[TA 2 - Q3 Score]]</f>
        <v/>
      </c>
      <c r="S464">
        <f>Table1[[#This Row],[TA 2 - Q1 Bonus]]+Table1[[#This Row],[TA 2 - Q2 Bonus]]+Table1[[#This Row],[TA 2 - Q4 Bonus]]</f>
        <v/>
      </c>
      <c r="T464">
        <f>(Table1[[#This Row],[TA 1 - Total Score (out of 35)]]+Table1[[#This Row],[TA 2 - Total Score (out of 35)]])/2</f>
        <v/>
      </c>
      <c r="U464">
        <f>(Table1[[#This Row],[TA 1 - Total Bonus (out of 13)]]+Table1[[#This Row],[TA 2 - Total Bonus (out of 13)]])/2</f>
        <v/>
      </c>
      <c r="V464">
        <f>Table1[[#This Row],[Average Questions]]/35*20+Table1[[#This Row],[Average Bonus]]/13*5</f>
        <v/>
      </c>
      <c r="W464" t="n">
        <v>10.5</v>
      </c>
      <c r="X464" t="n">
        <v>4</v>
      </c>
      <c r="Y464" t="inlineStr">
        <is>
          <t>The student successfully completed all tasks related to data loading, model preparation, and training. The transforms, DataLoaders, and image display were correctly implemented. The model was loaded, the backbone was frozen, and the classifier head was replaced correctly. The training and validation loops were implemented correctly, including the label fix. The training process and plotting of losses and accuracies were also correctly done. The bonus task for Test Time Augmentation was fully implemented with correct predictions and averaging.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464" t="n">
        <v>0</v>
      </c>
      <c r="AA464" t="n">
        <v>0</v>
      </c>
      <c r="AB464" t="inlineStr">
        <is>
          <t>The student's submission does not run correctly due to several issues. The dataset loading and transformation steps are incorrect, leading to errors in subsequent tasks. The CNN model definition is incomplete and does not follow the specified requirements. The training and validation functions are present but do not run due to the previous errors. The bonus task for residual connections is attempted but also fails to run due to the foundational issues.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64" t="n">
        <v>0</v>
      </c>
      <c r="AD464" t="inlineStr">
        <is>
          <t>The student's submission does not run correctly due to missing or incorrect code in several critical areas. The dataset class and DataLoader creation are incomplete and do not follow the required structure. The model definition uses the wrong encoder ('efficientnet-b0' instead of 'efficientnet-b1'). The training and validation loops are not correctly implemented, and the loss and optimizer are not defined properly. As a result, the model training does not proceed, and the visualization of predictions is not possible. Therefore, the student receives 0 points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64" t="n">
        <v>0</v>
      </c>
      <c r="AF464" t="n">
        <v>0</v>
      </c>
      <c r="AG464" t="inlineStr">
        <is>
          <t>The student's implementation of the `ColorizationDataset` class is incorrect. The `rgb_to_grayscale` method does not correctly handle the input tensor dimensions, leading to a mismatch in the expected output shape. Specifically, the method does not properly unsqueeze the grayscale tensor to the correct shape of (1, H, W). Additionally, the visualization code does not correctly display the grayscale image due to the incorrect shape of the grayscale tensor. Therefore, the implementation does not meet the criteria for correct functionality and visualization.
Breakdown:
- Correctly implemented `ColorizationDataset` class: 0.0/5.0</t>
        </is>
      </c>
      <c r="AH464" t="n">
        <v>10.5</v>
      </c>
      <c r="AI464" t="n">
        <v>4</v>
      </c>
    </row>
    <row r="465">
      <c r="A465" t="n">
        <v>464</v>
      </c>
      <c r="B465" t="inlineStr">
        <is>
          <t>TA_9</t>
        </is>
      </c>
      <c r="C465" t="inlineStr">
        <is>
          <t>TA_19</t>
        </is>
      </c>
      <c r="D465" t="n">
        <v>11.75</v>
      </c>
      <c r="E465" t="n">
        <v>0</v>
      </c>
      <c r="F465" t="n">
        <v>11</v>
      </c>
      <c r="G465" t="n">
        <v>0</v>
      </c>
      <c r="H465" t="n">
        <v>6</v>
      </c>
      <c r="I465" t="n">
        <v>0</v>
      </c>
      <c r="J465" t="n">
        <v>12</v>
      </c>
      <c r="K465" t="n">
        <v>0</v>
      </c>
      <c r="L465" t="n">
        <v>10.5</v>
      </c>
      <c r="M465" t="n">
        <v>0</v>
      </c>
      <c r="N465" t="n">
        <v>4.25</v>
      </c>
      <c r="O465" t="n">
        <v>0</v>
      </c>
      <c r="P465">
        <f>Table1[[#This Row],[TA 1 - Q1 Score]]+Table1[[#This Row],[TA 1 - Q2 Score]]+Table1[[#This Row],[TA 1 - Q3 Score]]</f>
        <v/>
      </c>
      <c r="Q465">
        <f>Table1[[#This Row],[TA 1 - Q1 Bonus]]+Table1[[#This Row],[TA 1 - Q2 Bonus]]+Table1[[#This Row],[TA 1 - Q4 Bonus]]</f>
        <v/>
      </c>
      <c r="R465">
        <f>Table1[[#This Row],[TA 2 - Q1 Score]]+Table1[[#This Row],[TA 2 - Q2 Score]]+Table1[[#This Row],[TA 2 - Q3 Score]]</f>
        <v/>
      </c>
      <c r="S465">
        <f>Table1[[#This Row],[TA 2 - Q1 Bonus]]+Table1[[#This Row],[TA 2 - Q2 Bonus]]+Table1[[#This Row],[TA 2 - Q4 Bonus]]</f>
        <v/>
      </c>
      <c r="T465">
        <f>(Table1[[#This Row],[TA 1 - Total Score (out of 35)]]+Table1[[#This Row],[TA 2 - Total Score (out of 35)]])/2</f>
        <v/>
      </c>
      <c r="U465">
        <f>(Table1[[#This Row],[TA 1 - Total Bonus (out of 13)]]+Table1[[#This Row],[TA 2 - Total Bonus (out of 13)]])/2</f>
        <v/>
      </c>
      <c r="V465">
        <f>Table1[[#This Row],[Average Questions]]/35*20+Table1[[#This Row],[Average Bonus]]/13*5</f>
        <v/>
      </c>
      <c r="W465" t="n">
        <v>0</v>
      </c>
      <c r="X465" t="n">
        <v>0</v>
      </c>
      <c r="Y465" t="inlineStr">
        <is>
          <t>The student's submission does not run correctly due to several issues. The training and validation loops contain errors, such as incorrect label adjustments and improper use of softmax. Additionally, the plotting functions are missing, and the bonus task for Test Time Augmentation is not implemented.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65" t="n">
        <v>0</v>
      </c>
      <c r="AA465" t="n">
        <v>0</v>
      </c>
      <c r="AB465" t="inlineStr">
        <is>
          <t>The student's submission does not run correctly due to several issues. The CNN model definition is incorrect and does not follow the specified architecture with 5 convolutional layers. Additionally, the training and validation functions are not correctly implemented, leading to errors in the training process. The student also did not implement the bonus task for residual connections. Therefore, the minimum defensible score for each task is 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65" t="n">
        <v>0</v>
      </c>
      <c r="AD465" t="inlineStr">
        <is>
          <t>The student's submission does not run end-to-end due to multiple issues. The dataset class is incorrectly implemented, leading to errors in data loading. The model definition uses the wrong number of classes and the incorrect loss function. The training and validation loops are incorrectly implemented, and the loss plotting code is missing. Additionally, the visualization of predictions is not attempted. Therefore, no tasks are awarded any points.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65" t="n">
        <v>0</v>
      </c>
      <c r="AF465" t="n">
        <v>0</v>
      </c>
      <c r="AG465" t="inlineStr">
        <is>
          <t>No submission found.</t>
        </is>
      </c>
      <c r="AH465" t="n">
        <v>0</v>
      </c>
      <c r="AI465" t="n">
        <v>0</v>
      </c>
    </row>
    <row r="466">
      <c r="A466" t="n">
        <v>465</v>
      </c>
      <c r="B466" t="inlineStr">
        <is>
          <t>TA_9</t>
        </is>
      </c>
      <c r="C466" t="inlineStr">
        <is>
          <t>TA_19</t>
        </is>
      </c>
      <c r="D466" t="n">
        <v>11</v>
      </c>
      <c r="E466" t="n">
        <v>0</v>
      </c>
      <c r="F466" t="n">
        <v>11</v>
      </c>
      <c r="G466" t="n">
        <v>0</v>
      </c>
      <c r="H466" t="n">
        <v>12</v>
      </c>
      <c r="I466" t="n">
        <v>0</v>
      </c>
      <c r="J466" t="n">
        <v>11</v>
      </c>
      <c r="K466" t="n">
        <v>0</v>
      </c>
      <c r="L466" t="n">
        <v>10.9</v>
      </c>
      <c r="M466" t="n">
        <v>0</v>
      </c>
      <c r="N466" t="n">
        <v>12</v>
      </c>
      <c r="O466" t="n">
        <v>0</v>
      </c>
      <c r="P466">
        <f>Table1[[#This Row],[TA 1 - Q1 Score]]+Table1[[#This Row],[TA 1 - Q2 Score]]+Table1[[#This Row],[TA 1 - Q3 Score]]</f>
        <v/>
      </c>
      <c r="Q466">
        <f>Table1[[#This Row],[TA 1 - Q1 Bonus]]+Table1[[#This Row],[TA 1 - Q2 Bonus]]+Table1[[#This Row],[TA 1 - Q4 Bonus]]</f>
        <v/>
      </c>
      <c r="R466">
        <f>Table1[[#This Row],[TA 2 - Q1 Score]]+Table1[[#This Row],[TA 2 - Q2 Score]]+Table1[[#This Row],[TA 2 - Q3 Score]]</f>
        <v/>
      </c>
      <c r="S466">
        <f>Table1[[#This Row],[TA 2 - Q1 Bonus]]+Table1[[#This Row],[TA 2 - Q2 Bonus]]+Table1[[#This Row],[TA 2 - Q4 Bonus]]</f>
        <v/>
      </c>
      <c r="T466">
        <f>(Table1[[#This Row],[TA 1 - Total Score (out of 35)]]+Table1[[#This Row],[TA 2 - Total Score (out of 35)]])/2</f>
        <v/>
      </c>
      <c r="U466">
        <f>(Table1[[#This Row],[TA 1 - Total Bonus (out of 13)]]+Table1[[#This Row],[TA 2 - Total Bonus (out of 13)]])/2</f>
        <v/>
      </c>
      <c r="V466">
        <f>Table1[[#This Row],[Average Questions]]/35*20+Table1[[#This Row],[Average Bonus]]/13*5</f>
        <v/>
      </c>
      <c r="W466" t="n">
        <v>0</v>
      </c>
      <c r="X466" t="n">
        <v>0</v>
      </c>
      <c r="Y466" t="inlineStr">
        <is>
          <t>The student's submission does not include code for displaying sample images, which is a critical part of Part 1. Additionally, the training and validation loops contain logical errors, such as using softmax before computing the loss, which is incorrect for CrossEntropyLoss. The student also did not implement the bonus task for Test Time Augmentation. Therefore, the student receives 0 points for the base tasks and 0 points for the bonus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66" t="n">
        <v>0</v>
      </c>
      <c r="AA466" t="n">
        <v>0</v>
      </c>
      <c r="AB466" t="inlineStr">
        <is>
          <t>The student's submission does not run correctly due to several issues. The dataset paths are incorrect, and the transformations applied to the images do not match the rubric requirements. Additionally, the CNN model does not follow the specified architecture, and the training and validation functions are incorrectly implemented. The student also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66" t="n">
        <v>0</v>
      </c>
      <c r="AD466" t="inlineStr">
        <is>
          <t>The student's submission does not run correctly due to several issues. The dataset class is incomplete and does not correctly handle the image and mask paths. The DataLoader creation is flawed, and the image and mask transformations are incorrect. The model definition uses the wrong encoder (efficientnet-b0 instead of efficientnet-b1). The training and validation loops are not correctly implemented, and the loss and optimizer are not defined properly. The visualization of predictions is also incorrect. Therefore, no points are awarded for any task as the code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66" t="n">
        <v>0</v>
      </c>
      <c r="AF466" t="n">
        <v>0</v>
      </c>
      <c r="AG466" t="inlineStr">
        <is>
          <t>No submission found.</t>
        </is>
      </c>
      <c r="AH466" t="n">
        <v>0</v>
      </c>
      <c r="AI466" t="n">
        <v>0</v>
      </c>
    </row>
    <row r="467">
      <c r="A467" t="n">
        <v>466</v>
      </c>
      <c r="B467" t="inlineStr">
        <is>
          <t>TA_9</t>
        </is>
      </c>
      <c r="C467" t="inlineStr">
        <is>
          <t>TA_19</t>
        </is>
      </c>
      <c r="D467" t="n">
        <v>3.75</v>
      </c>
      <c r="E467" t="n">
        <v>0</v>
      </c>
      <c r="F467" t="n">
        <v>8.5</v>
      </c>
      <c r="G467" t="n">
        <v>0</v>
      </c>
      <c r="H467" t="n">
        <v>8.25</v>
      </c>
      <c r="I467" t="n">
        <v>0</v>
      </c>
      <c r="J467" t="n">
        <v>3.75</v>
      </c>
      <c r="K467" t="n">
        <v>0</v>
      </c>
      <c r="L467" t="n">
        <v>7.75</v>
      </c>
      <c r="M467" t="n">
        <v>0</v>
      </c>
      <c r="N467" t="n">
        <v>6.75</v>
      </c>
      <c r="O467" t="n">
        <v>0</v>
      </c>
      <c r="P467">
        <f>Table1[[#This Row],[TA 1 - Q1 Score]]+Table1[[#This Row],[TA 1 - Q2 Score]]+Table1[[#This Row],[TA 1 - Q3 Score]]</f>
        <v/>
      </c>
      <c r="Q467">
        <f>Table1[[#This Row],[TA 1 - Q1 Bonus]]+Table1[[#This Row],[TA 1 - Q2 Bonus]]+Table1[[#This Row],[TA 1 - Q4 Bonus]]</f>
        <v/>
      </c>
      <c r="R467">
        <f>Table1[[#This Row],[TA 2 - Q1 Score]]+Table1[[#This Row],[TA 2 - Q2 Score]]+Table1[[#This Row],[TA 2 - Q3 Score]]</f>
        <v/>
      </c>
      <c r="S467">
        <f>Table1[[#This Row],[TA 2 - Q1 Bonus]]+Table1[[#This Row],[TA 2 - Q2 Bonus]]+Table1[[#This Row],[TA 2 - Q4 Bonus]]</f>
        <v/>
      </c>
      <c r="T467">
        <f>(Table1[[#This Row],[TA 1 - Total Score (out of 35)]]+Table1[[#This Row],[TA 2 - Total Score (out of 35)]])/2</f>
        <v/>
      </c>
      <c r="U467">
        <f>(Table1[[#This Row],[TA 1 - Total Bonus (out of 13)]]+Table1[[#This Row],[TA 2 - Total Bonus (out of 13)]])/2</f>
        <v/>
      </c>
      <c r="V467">
        <f>Table1[[#This Row],[Average Questions]]/35*20+Table1[[#This Row],[Average Bonus]]/13*5</f>
        <v/>
      </c>
      <c r="W467" t="n">
        <v>0</v>
      </c>
      <c r="X467" t="n">
        <v>0</v>
      </c>
      <c r="Y467" t="inlineStr">
        <is>
          <t>The student's submission does not complete any of the required tasks. The code is incomplete and does not run end-to-end. There are missing parts in the data loading, model setup, training, and validation loops. Additionally, the student did not attempt the bonus task. Therefore, the score is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67" t="n">
        <v>0</v>
      </c>
      <c r="AA467" t="n">
        <v>0</v>
      </c>
      <c r="AB467" t="inlineStr">
        <is>
          <t>The student's submission does not run correctly due to several issues. The dataset class is incomplete and not used correctly. The CNN model does not follow the specified architecture with 5 convolutional layers and correct batch normalization. The training and validation functions are incomplete and do not run correctly. The training process is not set up correctly, and the plots for losses and accuracy are missing. Additionally, the bonus task for residual connections is not attempted. Therefore, the minimum defensible score for each task is 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67" t="n">
        <v>0</v>
      </c>
      <c r="AD467" t="inlineStr">
        <is>
          <t>The student's submission does not run end-to-end due to multiple issues. The dataset class is incomplete and the DataLoaders are not correctly created. The model definition uses the wrong encoder and the training and validation loops are incorrectly implemented. Additionally, the loss function and optimizer are not correctly defined, and the training process does not execute properly. The visualization of predictions is also missing. Therefore, no points are awarded for any task as the code does not run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67" t="n">
        <v>0</v>
      </c>
      <c r="AF467" t="n">
        <v>0</v>
      </c>
      <c r="AG467" t="inlineStr">
        <is>
          <t>No submission found.</t>
        </is>
      </c>
      <c r="AH467" t="n">
        <v>0</v>
      </c>
      <c r="AI467" t="n">
        <v>0</v>
      </c>
    </row>
    <row r="468">
      <c r="A468" t="n">
        <v>467</v>
      </c>
      <c r="B468" t="inlineStr">
        <is>
          <t>TA_9</t>
        </is>
      </c>
      <c r="C468" t="inlineStr">
        <is>
          <t>TA_19</t>
        </is>
      </c>
      <c r="D468" t="n">
        <v>5</v>
      </c>
      <c r="E468" t="n">
        <v>0</v>
      </c>
      <c r="F468" t="n">
        <v>11</v>
      </c>
      <c r="G468" t="n">
        <v>0</v>
      </c>
      <c r="H468" t="n">
        <v>7.5</v>
      </c>
      <c r="I468" t="n">
        <v>0</v>
      </c>
      <c r="J468" t="n">
        <v>7</v>
      </c>
      <c r="K468" t="n">
        <v>0</v>
      </c>
      <c r="L468" t="n">
        <v>11</v>
      </c>
      <c r="M468" t="n">
        <v>0</v>
      </c>
      <c r="N468" t="n">
        <v>7</v>
      </c>
      <c r="O468" t="n">
        <v>0</v>
      </c>
      <c r="P468">
        <f>Table1[[#This Row],[TA 1 - Q1 Score]]+Table1[[#This Row],[TA 1 - Q2 Score]]+Table1[[#This Row],[TA 1 - Q3 Score]]</f>
        <v/>
      </c>
      <c r="Q468">
        <f>Table1[[#This Row],[TA 1 - Q1 Bonus]]+Table1[[#This Row],[TA 1 - Q2 Bonus]]+Table1[[#This Row],[TA 1 - Q4 Bonus]]</f>
        <v/>
      </c>
      <c r="R468">
        <f>Table1[[#This Row],[TA 2 - Q1 Score]]+Table1[[#This Row],[TA 2 - Q2 Score]]+Table1[[#This Row],[TA 2 - Q3 Score]]</f>
        <v/>
      </c>
      <c r="S468">
        <f>Table1[[#This Row],[TA 2 - Q1 Bonus]]+Table1[[#This Row],[TA 2 - Q2 Bonus]]+Table1[[#This Row],[TA 2 - Q4 Bonus]]</f>
        <v/>
      </c>
      <c r="T468">
        <f>(Table1[[#This Row],[TA 1 - Total Score (out of 35)]]+Table1[[#This Row],[TA 2 - Total Score (out of 35)]])/2</f>
        <v/>
      </c>
      <c r="U468">
        <f>(Table1[[#This Row],[TA 1 - Total Bonus (out of 13)]]+Table1[[#This Row],[TA 2 - Total Bonus (out of 13)]])/2</f>
        <v/>
      </c>
      <c r="V468">
        <f>Table1[[#This Row],[Average Questions]]/35*20+Table1[[#This Row],[Average Bonus]]/13*5</f>
        <v/>
      </c>
      <c r="W468" t="n">
        <v>0</v>
      </c>
      <c r="X468" t="n">
        <v>0</v>
      </c>
      <c r="Y468" t="inlineStr">
        <is>
          <t>The student's submission does not run end-to-end due to missing code in the final cell. The code for plotting training and validation losses and accuracy is absent, which is a critical part of the task. Additionally, the student did not implement the bonus task for Test Time Augmentation. Therefore, the score for each task is 0.0, and the bonus is also 0.0.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68" t="n">
        <v>0</v>
      </c>
      <c r="AA468" t="n">
        <v>0</v>
      </c>
      <c r="AB468" t="inlineStr">
        <is>
          <t>The student's submission does not meet the requirements specified in the rubric. The student used ImageFolder instead of a custom Dataset class, did not explicitly create the datasets, applied incorrect transformations, did not display sample images with labels, and did not correctly implement the CNN model, training and validation loops, or the residual connection. Therefore, the student's submission is awarded 0 points for all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1: Defined residual connection correctly: 0.0/?
- Bonus Task 2: Retrain + Plot losses and accuracy: 0.0/?</t>
        </is>
      </c>
      <c r="AC468" t="n">
        <v>0</v>
      </c>
      <c r="AD468" t="inlineStr">
        <is>
          <t>The student's submission does not run end-to-end due to multiple issues. The dataset class is incomplete and does not correctly load images and masks. The DataLoader creation is flawed, and the model definition uses the wrong encoder. The training and validation loops are incorrectly implemented, and the loss and optimizer are not correctly defined. Additionally, the code for plotting the loss curve and visualizing predictions is missing. Therefore, no points are awarded for any task as the code does not run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68" t="n">
        <v>0</v>
      </c>
      <c r="AF468" t="n">
        <v>0</v>
      </c>
      <c r="AG468" t="inlineStr">
        <is>
          <t>No submission found.</t>
        </is>
      </c>
      <c r="AH468" t="n">
        <v>0</v>
      </c>
      <c r="AI468" t="n">
        <v>0</v>
      </c>
    </row>
    <row r="469">
      <c r="A469" t="n">
        <v>468</v>
      </c>
      <c r="B469" t="inlineStr">
        <is>
          <t>TA_9</t>
        </is>
      </c>
      <c r="C469" t="inlineStr">
        <is>
          <t>TA_19</t>
        </is>
      </c>
      <c r="D469" t="n">
        <v>4</v>
      </c>
      <c r="E469" t="n">
        <v>0</v>
      </c>
      <c r="F469" t="n">
        <v>6.5</v>
      </c>
      <c r="G469" t="n">
        <v>0</v>
      </c>
      <c r="H469" t="n">
        <v>5</v>
      </c>
      <c r="I469" t="n">
        <v>0</v>
      </c>
      <c r="J469" t="n">
        <v>3.75</v>
      </c>
      <c r="K469" t="n">
        <v>0</v>
      </c>
      <c r="L469" t="n">
        <v>6.65</v>
      </c>
      <c r="M469" t="n">
        <v>0</v>
      </c>
      <c r="N469" t="n">
        <v>3.25</v>
      </c>
      <c r="O469" t="n">
        <v>0</v>
      </c>
      <c r="P469">
        <f>Table1[[#This Row],[TA 1 - Q1 Score]]+Table1[[#This Row],[TA 1 - Q2 Score]]+Table1[[#This Row],[TA 1 - Q3 Score]]</f>
        <v/>
      </c>
      <c r="Q469">
        <f>Table1[[#This Row],[TA 1 - Q1 Bonus]]+Table1[[#This Row],[TA 1 - Q2 Bonus]]+Table1[[#This Row],[TA 1 - Q4 Bonus]]</f>
        <v/>
      </c>
      <c r="R469">
        <f>Table1[[#This Row],[TA 2 - Q1 Score]]+Table1[[#This Row],[TA 2 - Q2 Score]]+Table1[[#This Row],[TA 2 - Q3 Score]]</f>
        <v/>
      </c>
      <c r="S469">
        <f>Table1[[#This Row],[TA 2 - Q1 Bonus]]+Table1[[#This Row],[TA 2 - Q2 Bonus]]+Table1[[#This Row],[TA 2 - Q4 Bonus]]</f>
        <v/>
      </c>
      <c r="T469">
        <f>(Table1[[#This Row],[TA 1 - Total Score (out of 35)]]+Table1[[#This Row],[TA 2 - Total Score (out of 35)]])/2</f>
        <v/>
      </c>
      <c r="U469">
        <f>(Table1[[#This Row],[TA 1 - Total Bonus (out of 13)]]+Table1[[#This Row],[TA 2 - Total Bonus (out of 13)]])/2</f>
        <v/>
      </c>
      <c r="V469">
        <f>Table1[[#This Row],[Average Questions]]/35*20+Table1[[#This Row],[Average Bonus]]/13*5</f>
        <v/>
      </c>
      <c r="W469" t="n">
        <v>0</v>
      </c>
      <c r="X469" t="n">
        <v>0</v>
      </c>
      <c r="Y469" t="inlineStr">
        <is>
          <t>The student's submission does not complete any of the required tasks correctly. The code for data loading and preprocessing is incomplete and incorrect. The model loading and adaptation steps are missing or incorrect. The training and validation loops are not correctly implemented, and the label fixing is not done. Additionally, the training and plotting steps are not correctly implemented. The bonus task for Test Time Augmentation is also not attempted. Therefore, the student receives 0 points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69" t="n">
        <v>0</v>
      </c>
      <c r="AA469" t="n">
        <v>0</v>
      </c>
      <c r="AB469" t="inlineStr">
        <is>
          <t>The student's submission does not run correctly due to several issues. The transforms are incorrect as they resize to 32x32 instead of 128x128. The CNN model does not include Batch Normalization layers, and the fully connected layers are incorrectly defined. The training and validation functions have logical errors, such as using softmax in the training loop, which is not necessary for CrossEntropyLoss. The training process does not plot the losses and accuracies. Additionally, the bonus task is not attempted.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69" t="n">
        <v>0</v>
      </c>
      <c r="AD469" t="inlineStr">
        <is>
          <t>The student's submission is incomplete and does not run end-to-end. The dataset class is incorrectly defined, missing critical components such as loading image and mask paths and handling transformations. The training and validation loops are defined but not integrated with the dataset or model. The model definition is missing, and there is no code for visualizing predictions. The submission does not follow the rubric and does not produce the correct output.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69" t="n">
        <v>0</v>
      </c>
      <c r="AF469" t="n">
        <v>0</v>
      </c>
      <c r="AG469" t="inlineStr">
        <is>
          <t>The student did not implement any of the required methods in the `ColorizationDataset` class. The `__init__`, `__len__`, `rgb_to_grayscale`, and `__getitem__` methods are all left as 'TO DO' placeholders, indicating that no code was written for these tasks. Additionally, the visualization code will not run correctly because the dataset methods are not implemented. Therefore, the student receives 0 points for this task.
Breakdown:
- Correctly implemented `ColorizationDataset` class: 0.0/5.0</t>
        </is>
      </c>
      <c r="AH469" t="n">
        <v>0</v>
      </c>
      <c r="AI469" t="n">
        <v>0</v>
      </c>
    </row>
    <row r="470">
      <c r="A470" t="n">
        <v>469</v>
      </c>
      <c r="B470" t="inlineStr">
        <is>
          <t>TA_9</t>
        </is>
      </c>
      <c r="C470" t="inlineStr">
        <is>
          <t>TA_19</t>
        </is>
      </c>
      <c r="D470" t="n">
        <v>12</v>
      </c>
      <c r="E470" t="n">
        <v>0</v>
      </c>
      <c r="F470" t="n">
        <v>7</v>
      </c>
      <c r="G470" t="n">
        <v>0</v>
      </c>
      <c r="H470" t="n">
        <v>8.5</v>
      </c>
      <c r="I470" t="n">
        <v>0</v>
      </c>
      <c r="J470" t="n">
        <v>11.5</v>
      </c>
      <c r="K470" t="n">
        <v>0</v>
      </c>
      <c r="L470" t="n">
        <v>5.5</v>
      </c>
      <c r="M470" t="n">
        <v>0</v>
      </c>
      <c r="N470" t="n">
        <v>6.4</v>
      </c>
      <c r="O470" t="n">
        <v>0</v>
      </c>
      <c r="P470">
        <f>Table1[[#This Row],[TA 1 - Q1 Score]]+Table1[[#This Row],[TA 1 - Q2 Score]]+Table1[[#This Row],[TA 1 - Q3 Score]]</f>
        <v/>
      </c>
      <c r="Q470">
        <f>Table1[[#This Row],[TA 1 - Q1 Bonus]]+Table1[[#This Row],[TA 1 - Q2 Bonus]]+Table1[[#This Row],[TA 1 - Q4 Bonus]]</f>
        <v/>
      </c>
      <c r="R470">
        <f>Table1[[#This Row],[TA 2 - Q1 Score]]+Table1[[#This Row],[TA 2 - Q2 Score]]+Table1[[#This Row],[TA 2 - Q3 Score]]</f>
        <v/>
      </c>
      <c r="S470">
        <f>Table1[[#This Row],[TA 2 - Q1 Bonus]]+Table1[[#This Row],[TA 2 - Q2 Bonus]]+Table1[[#This Row],[TA 2 - Q4 Bonus]]</f>
        <v/>
      </c>
      <c r="T470">
        <f>(Table1[[#This Row],[TA 1 - Total Score (out of 35)]]+Table1[[#This Row],[TA 2 - Total Score (out of 35)]])/2</f>
        <v/>
      </c>
      <c r="U470">
        <f>(Table1[[#This Row],[TA 1 - Total Bonus (out of 13)]]+Table1[[#This Row],[TA 2 - Total Bonus (out of 13)]])/2</f>
        <v/>
      </c>
      <c r="V470">
        <f>Table1[[#This Row],[Average Questions]]/35*20+Table1[[#This Row],[Average Bonus]]/13*5</f>
        <v/>
      </c>
      <c r="W470" t="n">
        <v>0</v>
      </c>
      <c r="X470" t="n">
        <v>0</v>
      </c>
      <c r="Y470" t="inlineStr">
        <is>
          <t>The student's submission does not run end-to-end due to several issues. The transforms are incomplete, the DataLoaders are not correctly created, and the model training and validation loops are incorrect. Additionally, the student did not fix the labels to be 0-indexed, which is a critical requirement. The bonus task for Test Time Augmentation is also missing.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70" t="n">
        <v>0</v>
      </c>
      <c r="AA470" t="n">
        <v>0</v>
      </c>
      <c r="AB470" t="inlineStr">
        <is>
          <t>The student's submission does not run correctly due to several issues. The dataset class is incorrectly implemented, leading to errors in loading the data. The CNN model class is incomplete and contains syntax errors, particularly with the Batch Normalization layers. The training and validation functions are not correctly defined, and there is no code for setting up the device, model, loss, optimizer, or training the model. Additionally, there is no code for plotting losses and accuracy. The bonus tasks are also not attempted.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70" t="n">
        <v>0</v>
      </c>
      <c r="AD470" t="inlineStr">
        <is>
          <t>The student's submission has several critical issues. The dataset class is incorrectly implemented, leading to incorrect data loading. The model definition uses 'efficientnet-b0' instead of 'efficientnet-b1', which is a deviation from the rubric. The training and validation loops are incorrectly implemented, and the loss function and optimizer are not correctly defined for multi-class segmentation. Additionally, the visualization of predictions is missing. The code does not run end-to-end correctly, and the approach deviates from the required tasks, leading to a score of 0.0 for the base tasks and -50.0 for the model definition task.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470" t="n">
        <v>0</v>
      </c>
      <c r="AF470" t="n">
        <v>0</v>
      </c>
      <c r="AG470" t="inlineStr">
        <is>
          <t>The student's implementation of the `ColorizationDataset` class is incomplete. The `rgb_to_grayscale` method is not fully implemented, and the `rgb_to_grayscale` method does not return the correct grayscale image. Additionally, the `__getitem__` method does not correctly return the grayscale and color image tuple. Since the implementation does not run correctly and deviates from the rubric, the minimum defensible score of 0.0 is awarded.
Breakdown:
- Correctly implemented `ColorizationDataset` class: 0.0/5.0</t>
        </is>
      </c>
      <c r="AH470" t="n">
        <v>0</v>
      </c>
      <c r="AI470" t="n">
        <v>0</v>
      </c>
    </row>
    <row r="471">
      <c r="A471" t="n">
        <v>470</v>
      </c>
      <c r="B471" t="inlineStr">
        <is>
          <t>TA_9</t>
        </is>
      </c>
      <c r="C471" t="inlineStr">
        <is>
          <t>TA_19</t>
        </is>
      </c>
      <c r="D471" t="n">
        <v>12</v>
      </c>
      <c r="E471" t="n">
        <v>4</v>
      </c>
      <c r="F471" t="n">
        <v>11</v>
      </c>
      <c r="G471" t="n">
        <v>0</v>
      </c>
      <c r="H471" t="n">
        <v>9</v>
      </c>
      <c r="I471" t="n">
        <v>0</v>
      </c>
      <c r="J471" t="n">
        <v>10.25</v>
      </c>
      <c r="K471" t="n">
        <v>4</v>
      </c>
      <c r="L471" t="n">
        <v>10.9</v>
      </c>
      <c r="M471" t="n">
        <v>0</v>
      </c>
      <c r="N471" t="n">
        <v>8.5</v>
      </c>
      <c r="O471" t="n">
        <v>0</v>
      </c>
      <c r="P471">
        <f>Table1[[#This Row],[TA 1 - Q1 Score]]+Table1[[#This Row],[TA 1 - Q2 Score]]+Table1[[#This Row],[TA 1 - Q3 Score]]</f>
        <v/>
      </c>
      <c r="Q471">
        <f>Table1[[#This Row],[TA 1 - Q1 Bonus]]+Table1[[#This Row],[TA 1 - Q2 Bonus]]+Table1[[#This Row],[TA 1 - Q4 Bonus]]</f>
        <v/>
      </c>
      <c r="R471">
        <f>Table1[[#This Row],[TA 2 - Q1 Score]]+Table1[[#This Row],[TA 2 - Q2 Score]]+Table1[[#This Row],[TA 2 - Q3 Score]]</f>
        <v/>
      </c>
      <c r="S471">
        <f>Table1[[#This Row],[TA 2 - Q1 Bonus]]+Table1[[#This Row],[TA 2 - Q2 Bonus]]+Table1[[#This Row],[TA 2 - Q4 Bonus]]</f>
        <v/>
      </c>
      <c r="T471">
        <f>(Table1[[#This Row],[TA 1 - Total Score (out of 35)]]+Table1[[#This Row],[TA 2 - Total Score (out of 35)]])/2</f>
        <v/>
      </c>
      <c r="U471">
        <f>(Table1[[#This Row],[TA 1 - Total Bonus (out of 13)]]+Table1[[#This Row],[TA 2 - Total Bonus (out of 13)]])/2</f>
        <v/>
      </c>
      <c r="V471">
        <f>Table1[[#This Row],[Average Questions]]/35*20+Table1[[#This Row],[Average Bonus]]/13*5</f>
        <v/>
      </c>
      <c r="W471" t="n">
        <v>0</v>
      </c>
      <c r="X471" t="n">
        <v>0</v>
      </c>
      <c r="Y471" t="inlineStr">
        <is>
          <t>The student's submission does not run correctly due to multiple issues. The transforms are not correctly applied, the DataLoaders are not created properly, and the model is not correctly set up for training. Additionally, the training and validation loops contain errors, and the bonus task for Test Time Augmentation (TTA) is not implemented correctly. Therefore, no points are awarded for any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71" t="n">
        <v>0</v>
      </c>
      <c r="AA471" t="n">
        <v>0</v>
      </c>
      <c r="AB471" t="inlineStr">
        <is>
          <t>The student's submission does not run correctly due to several issues. The dataset class is incorrectly implemented, leading to errors in loading the data. The transforms applied to the images do not match the required specifications, and the model architecture deviates from the rubric. Additionally, the training and validation functions are not correctly implemented, resulting in errors during the training process. The bonus task is also incomplete and does not run correctly.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71" t="n">
        <v>0</v>
      </c>
      <c r="AD471" t="inlineStr">
        <is>
          <t>The student's submission does not run end-to-end due to multiple issues. The dataset class is incomplete and incorrect, the model definition uses the wrong encoder, the loss function is incorrect, and the training loop does not follow the correct approach. Additionally, the visualization of predictions is flawed. Therefore, no points are awarded for any task as the code does not run correctly and deviates significantly from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71" t="n">
        <v>0</v>
      </c>
      <c r="AF471" t="n">
        <v>0</v>
      </c>
      <c r="AG471" t="inlineStr">
        <is>
          <t>No submission found.</t>
        </is>
      </c>
      <c r="AH471" t="n">
        <v>0</v>
      </c>
      <c r="AI471" t="n">
        <v>0</v>
      </c>
    </row>
    <row r="472">
      <c r="A472" t="n">
        <v>471</v>
      </c>
      <c r="B472" t="inlineStr">
        <is>
          <t>TA_9</t>
        </is>
      </c>
      <c r="C472" t="inlineStr">
        <is>
          <t>TA_19</t>
        </is>
      </c>
      <c r="D472" t="n">
        <v>12</v>
      </c>
      <c r="E472" t="n">
        <v>4</v>
      </c>
      <c r="F472" t="n">
        <v>11</v>
      </c>
      <c r="G472" t="n">
        <v>4</v>
      </c>
      <c r="H472" t="n">
        <v>12</v>
      </c>
      <c r="I472" t="n">
        <v>5</v>
      </c>
      <c r="J472" t="n">
        <v>12</v>
      </c>
      <c r="K472" t="n">
        <v>4</v>
      </c>
      <c r="L472" t="n">
        <v>11</v>
      </c>
      <c r="M472" t="n">
        <v>4</v>
      </c>
      <c r="N472" t="n">
        <v>10.75</v>
      </c>
      <c r="O472" t="n">
        <v>5</v>
      </c>
      <c r="P472">
        <f>Table1[[#This Row],[TA 1 - Q1 Score]]+Table1[[#This Row],[TA 1 - Q2 Score]]+Table1[[#This Row],[TA 1 - Q3 Score]]</f>
        <v/>
      </c>
      <c r="Q472">
        <f>Table1[[#This Row],[TA 1 - Q1 Bonus]]+Table1[[#This Row],[TA 1 - Q2 Bonus]]+Table1[[#This Row],[TA 1 - Q4 Bonus]]</f>
        <v/>
      </c>
      <c r="R472">
        <f>Table1[[#This Row],[TA 2 - Q1 Score]]+Table1[[#This Row],[TA 2 - Q2 Score]]+Table1[[#This Row],[TA 2 - Q3 Score]]</f>
        <v/>
      </c>
      <c r="S472">
        <f>Table1[[#This Row],[TA 2 - Q1 Bonus]]+Table1[[#This Row],[TA 2 - Q2 Bonus]]+Table1[[#This Row],[TA 2 - Q4 Bonus]]</f>
        <v/>
      </c>
      <c r="T472">
        <f>(Table1[[#This Row],[TA 1 - Total Score (out of 35)]]+Table1[[#This Row],[TA 2 - Total Score (out of 35)]])/2</f>
        <v/>
      </c>
      <c r="U472">
        <f>(Table1[[#This Row],[TA 1 - Total Bonus (out of 13)]]+Table1[[#This Row],[TA 2 - Total Bonus (out of 13)]])/2</f>
        <v/>
      </c>
      <c r="V472">
        <f>Table1[[#This Row],[Average Questions]]/35*20+Table1[[#This Row],[Average Bonus]]/13*5</f>
        <v/>
      </c>
      <c r="W472" t="n">
        <v>10.5</v>
      </c>
      <c r="X472" t="n">
        <v>4</v>
      </c>
      <c r="Y472" t="inlineStr">
        <is>
          <t>The student successfully completed all tasks related to data preparation, model adaptation, and training. The code for data loading, model setup, and training loops is correct and runs as expected. The student also correctly implemented the bonus task for Test Time Augmentation (TTA), defining the three predictions and averaging them correctly. The only minor issue is the use of `num_workers` and `pin_memory` in DataLoader creation, which is not explicitly required but does not affect the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472" t="n">
        <v>10</v>
      </c>
      <c r="AA472" t="n">
        <v>4</v>
      </c>
      <c r="AB472" t="inlineStr">
        <is>
          <t>The student successfully completed all tasks with correct implementations and logical flow. The dataset loading, transformations, and model building were done correctly. The training and validation functions were implemented properly, and the model was trained and evaluated as required. The bonus task of adding a residual connection was also correctly implemented and retrained, with the results plotted accurately.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1.0/?</t>
        </is>
      </c>
      <c r="AC472" t="n">
        <v>0</v>
      </c>
      <c r="AD472" t="inlineStr">
        <is>
          <t>The student's submission does not run correctly due to missing or incomplete code in several critical areas. Specifically, the dataset class is incomplete, the training and validation loops are not fully implemented, and the model training process is not correctly set up. As a result, the code does not produce the correct output and deviates from the rubric, warranting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72" t="n">
        <v>0</v>
      </c>
      <c r="AF472" t="n">
        <v>0</v>
      </c>
      <c r="AG472" t="inlineStr">
        <is>
          <t>The student's implementation of the `ColorizationDataset` class contains errors in the `rgb_to_grayscale` method. The method does not correctly handle the tensor slicing, leading to incorrect grayscale conversion. Additionally, the `self.cifar_dataset` attribute is not correctly initialized in the `__init__` method, which would cause issues when accessing the dataset. These errors prevent the code from running correctly, resulting in a score of 0.0 for the task.
Breakdown:
- Correctly implemented `ColorizationDataset` class: 0.0/5.0</t>
        </is>
      </c>
      <c r="AH472" t="n">
        <v>20.5</v>
      </c>
      <c r="AI472" t="n">
        <v>8</v>
      </c>
    </row>
    <row r="473">
      <c r="A473" t="n">
        <v>472</v>
      </c>
      <c r="B473" t="inlineStr">
        <is>
          <t>TA_9</t>
        </is>
      </c>
      <c r="C473" t="inlineStr">
        <is>
          <t>TA_19</t>
        </is>
      </c>
      <c r="D473" t="n">
        <v>12</v>
      </c>
      <c r="E473" t="n">
        <v>4</v>
      </c>
      <c r="F473" t="n">
        <v>11</v>
      </c>
      <c r="G473" t="n">
        <v>4</v>
      </c>
      <c r="H473" t="n">
        <v>12</v>
      </c>
      <c r="I473" t="n">
        <v>5</v>
      </c>
      <c r="J473" t="n">
        <v>12</v>
      </c>
      <c r="K473" t="n">
        <v>4</v>
      </c>
      <c r="L473" t="n">
        <v>11</v>
      </c>
      <c r="M473" t="n">
        <v>4</v>
      </c>
      <c r="N473" t="n">
        <v>11</v>
      </c>
      <c r="O473" t="n">
        <v>5</v>
      </c>
      <c r="P473">
        <f>Table1[[#This Row],[TA 1 - Q1 Score]]+Table1[[#This Row],[TA 1 - Q2 Score]]+Table1[[#This Row],[TA 1 - Q3 Score]]</f>
        <v/>
      </c>
      <c r="Q473">
        <f>Table1[[#This Row],[TA 1 - Q1 Bonus]]+Table1[[#This Row],[TA 1 - Q2 Bonus]]+Table1[[#This Row],[TA 1 - Q4 Bonus]]</f>
        <v/>
      </c>
      <c r="R473">
        <f>Table1[[#This Row],[TA 2 - Q1 Score]]+Table1[[#This Row],[TA 2 - Q2 Score]]+Table1[[#This Row],[TA 2 - Q3 Score]]</f>
        <v/>
      </c>
      <c r="S473">
        <f>Table1[[#This Row],[TA 2 - Q1 Bonus]]+Table1[[#This Row],[TA 2 - Q2 Bonus]]+Table1[[#This Row],[TA 2 - Q4 Bonus]]</f>
        <v/>
      </c>
      <c r="T473">
        <f>(Table1[[#This Row],[TA 1 - Total Score (out of 35)]]+Table1[[#This Row],[TA 2 - Total Score (out of 35)]])/2</f>
        <v/>
      </c>
      <c r="U473">
        <f>(Table1[[#This Row],[TA 1 - Total Bonus (out of 13)]]+Table1[[#This Row],[TA 2 - Total Bonus (out of 13)]])/2</f>
        <v/>
      </c>
      <c r="V473">
        <f>Table1[[#This Row],[Average Questions]]/35*20+Table1[[#This Row],[Average Bonus]]/13*5</f>
        <v/>
      </c>
      <c r="W473" t="n">
        <v>10.5</v>
      </c>
      <c r="X473" t="n">
        <v>4</v>
      </c>
      <c r="Y473" t="inlineStr">
        <is>
          <t>The student successfully completed the data loading and preparation tasks, including transforms, DataLoader creation, and displaying sample images. The model loading and adaptation tasks were mostly correct, except for freezing the backbone, which was not done correctly. The training and validation functions were implemented correctly, including the label fix. The training setup and plotting tasks were also correctly implemented. The bonus task for Test Time Augmentation (TTA) was fully completed with correct implementation of the three predictions and averaging them.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73" t="n">
        <v>0</v>
      </c>
      <c r="AA473" t="n">
        <v>0</v>
      </c>
      <c r="AB473" t="inlineStr">
        <is>
          <t>The student's submission does not run correctly due to several issues. The dataset loading and transformation steps are incorrect, leading to mismatched dimensions in the model. The model architecture is flawed, and the training and validation functions do not work as intended. The residual connection implementation is also incorrect, and the plotting functions do not produce the expected outputs.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73" t="n">
        <v>0</v>
      </c>
      <c r="AD473" t="inlineStr">
        <is>
          <t>The student's submission does not run end-to-end due to multiple issues. The dataset class is incorrectly implemented, leading to errors in data loading. The model definition uses the wrong encoder (efficientnet-b1 instead of efficientnet-b0), and the training and validation loops are not correctly implemented. Additionally, the visualization of predictions is flawed. These issues prevent the code from running correctly, resulting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73" t="n">
        <v>0</v>
      </c>
      <c r="AF473" t="n">
        <v>0</v>
      </c>
      <c r="AG473" t="inlineStr">
        <is>
          <t>The student's implementation of the `ColorizationDataset` class is correct and follows the required structure. The `__init__` method correctly stores the dataset, the `__len__` method returns the correct length, the `rgb_to_grayscale` method uses the correct formula and dimensions, and the `__getitem__` method returns the correct (grayscale, color) tuple. The visualization code is also correct. However, the task is all-or-nothing, and since the student did not provide a visualization, the score is 0.0.
Breakdown:
- Correctly implemented `ColorizationDataset` class: 0.0/5.0</t>
        </is>
      </c>
      <c r="AH473" t="n">
        <v>10.5</v>
      </c>
      <c r="AI473" t="n">
        <v>4</v>
      </c>
    </row>
    <row r="474">
      <c r="A474" t="n">
        <v>473</v>
      </c>
      <c r="B474" t="inlineStr">
        <is>
          <t>TA_9</t>
        </is>
      </c>
      <c r="C474" t="inlineStr">
        <is>
          <t>TA_19</t>
        </is>
      </c>
      <c r="D474" t="n">
        <v>12</v>
      </c>
      <c r="E474" t="n">
        <v>4</v>
      </c>
      <c r="F474" t="n">
        <v>10.75</v>
      </c>
      <c r="G474" t="n">
        <v>3</v>
      </c>
      <c r="H474" t="n">
        <v>12</v>
      </c>
      <c r="I474" t="n">
        <v>5</v>
      </c>
      <c r="J474" t="n">
        <v>12</v>
      </c>
      <c r="K474" t="n">
        <v>4</v>
      </c>
      <c r="L474" t="n">
        <v>10.25</v>
      </c>
      <c r="M474" t="n">
        <v>0</v>
      </c>
      <c r="N474" t="n">
        <v>11.5</v>
      </c>
      <c r="O474" t="n">
        <v>5</v>
      </c>
      <c r="P474">
        <f>Table1[[#This Row],[TA 1 - Q1 Score]]+Table1[[#This Row],[TA 1 - Q2 Score]]+Table1[[#This Row],[TA 1 - Q3 Score]]</f>
        <v/>
      </c>
      <c r="Q474">
        <f>Table1[[#This Row],[TA 1 - Q1 Bonus]]+Table1[[#This Row],[TA 1 - Q2 Bonus]]+Table1[[#This Row],[TA 1 - Q4 Bonus]]</f>
        <v/>
      </c>
      <c r="R474">
        <f>Table1[[#This Row],[TA 2 - Q1 Score]]+Table1[[#This Row],[TA 2 - Q2 Score]]+Table1[[#This Row],[TA 2 - Q3 Score]]</f>
        <v/>
      </c>
      <c r="S474">
        <f>Table1[[#This Row],[TA 2 - Q1 Bonus]]+Table1[[#This Row],[TA 2 - Q2 Bonus]]+Table1[[#This Row],[TA 2 - Q4 Bonus]]</f>
        <v/>
      </c>
      <c r="T474">
        <f>(Table1[[#This Row],[TA 1 - Total Score (out of 35)]]+Table1[[#This Row],[TA 2 - Total Score (out of 35)]])/2</f>
        <v/>
      </c>
      <c r="U474">
        <f>(Table1[[#This Row],[TA 1 - Total Bonus (out of 13)]]+Table1[[#This Row],[TA 2 - Total Bonus (out of 13)]])/2</f>
        <v/>
      </c>
      <c r="V474">
        <f>Table1[[#This Row],[Average Questions]]/35*20+Table1[[#This Row],[Average Bonus]]/13*5</f>
        <v/>
      </c>
      <c r="W474" t="n">
        <v>0</v>
      </c>
      <c r="X474" t="n">
        <v>0</v>
      </c>
      <c r="Y474" t="inlineStr">
        <is>
          <t>The student's submission does not run correctly due to multiple issues. The transforms are incomplete, the DataLoaders are not created correctly, and the model training and validation loops contain errors. Additionally, the bonus task for Test Time Augmentation (TTA) is incorrectly implemented, leading to a complete failure in running the code.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74" t="n">
        <v>0</v>
      </c>
      <c r="AA474" t="n">
        <v>0</v>
      </c>
      <c r="AB474" t="inlineStr">
        <is>
          <t>The student's submission does not run correctly due to multiple issues. The dataset class or ImageFolder is not correctly implemented, the transforms are incorrect, and the CNN model class does not follow the specified structure. The training and validation functions are incomplete and contain errors. The residual connection implementation is incorrect and does not follow the specified instructions.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74" t="n">
        <v>0</v>
      </c>
      <c r="AD474" t="inlineStr">
        <is>
          <t>The student's submission contains multiple issues that prevent the code from running correctly. The dataset class is incorrectly defined, leading to errors in data loading. The model definition uses the wrong encoder, and the training and validation loops are not correctly implemented. Additionally, the visualization of predictions is incomplete and incorrect. Due to these critical errors, the code does not run end-to-end, and thus, no partial credit can be awarded.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74" t="n">
        <v>0</v>
      </c>
      <c r="AF474" t="n">
        <v>0</v>
      </c>
      <c r="AG474" t="inlineStr">
        <is>
          <t>The student's implementation of the `ColorizationDataset` class contains several issues. The `rgb_to_grayscale` method is correctly implemented, but the `__getitem__` method has a comment that suggests an incorrect approach (using `Image.open(img_path)` which is not needed and incorrect). Additionally, the student did not remove the 'TO DO' comments, which indicates incomplete implementation. The code does not run correctly due to these issues, resulting in a score of 0.0 for the task.
Breakdown:
- Correctly implemented `ColorizationDataset` class: 0.0/5.0</t>
        </is>
      </c>
      <c r="AH474" t="n">
        <v>0</v>
      </c>
      <c r="AI474" t="n">
        <v>0</v>
      </c>
    </row>
    <row r="475">
      <c r="A475" t="n">
        <v>474</v>
      </c>
      <c r="B475" t="inlineStr">
        <is>
          <t>TA_9</t>
        </is>
      </c>
      <c r="C475" t="inlineStr">
        <is>
          <t>TA_19</t>
        </is>
      </c>
      <c r="D475" t="n">
        <v>5.75</v>
      </c>
      <c r="E475" t="n">
        <v>0</v>
      </c>
      <c r="F475" t="n">
        <v>9</v>
      </c>
      <c r="G475" t="n">
        <v>0</v>
      </c>
      <c r="H475" t="n">
        <v>12</v>
      </c>
      <c r="I475" t="n">
        <v>0</v>
      </c>
      <c r="J475" t="n">
        <v>10</v>
      </c>
      <c r="K475" t="n">
        <v>0</v>
      </c>
      <c r="L475" t="n">
        <v>8.9</v>
      </c>
      <c r="M475" t="n">
        <v>0</v>
      </c>
      <c r="N475" t="n">
        <v>11.75</v>
      </c>
      <c r="O475" t="n">
        <v>0</v>
      </c>
      <c r="P475">
        <f>Table1[[#This Row],[TA 1 - Q1 Score]]+Table1[[#This Row],[TA 1 - Q2 Score]]+Table1[[#This Row],[TA 1 - Q3 Score]]</f>
        <v/>
      </c>
      <c r="Q475">
        <f>Table1[[#This Row],[TA 1 - Q1 Bonus]]+Table1[[#This Row],[TA 1 - Q2 Bonus]]+Table1[[#This Row],[TA 1 - Q4 Bonus]]</f>
        <v/>
      </c>
      <c r="R475">
        <f>Table1[[#This Row],[TA 2 - Q1 Score]]+Table1[[#This Row],[TA 2 - Q2 Score]]+Table1[[#This Row],[TA 2 - Q3 Score]]</f>
        <v/>
      </c>
      <c r="S475">
        <f>Table1[[#This Row],[TA 2 - Q1 Bonus]]+Table1[[#This Row],[TA 2 - Q2 Bonus]]+Table1[[#This Row],[TA 2 - Q4 Bonus]]</f>
        <v/>
      </c>
      <c r="T475">
        <f>(Table1[[#This Row],[TA 1 - Total Score (out of 35)]]+Table1[[#This Row],[TA 2 - Total Score (out of 35)]])/2</f>
        <v/>
      </c>
      <c r="U475">
        <f>(Table1[[#This Row],[TA 1 - Total Bonus (out of 13)]]+Table1[[#This Row],[TA 2 - Total Bonus (out of 13)]])/2</f>
        <v/>
      </c>
      <c r="V475">
        <f>Table1[[#This Row],[Average Questions]]/35*20+Table1[[#This Row],[Average Bonus]]/13*5</f>
        <v/>
      </c>
      <c r="W475" t="n">
        <v>0</v>
      </c>
      <c r="X475" t="n">
        <v>0</v>
      </c>
      <c r="Y475" t="inlineStr">
        <is>
          <t>The student's submission does not run correctly due to several issues. The transforms are incomplete, the DataLoaders are not correctly created, and the model training and validation loops are incorrect. Additionally, the student did not fix the labels to be 0-indexed, which is a critical requirement. The bonus task for Test Time Augmentation is also missing.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75" t="n">
        <v>0</v>
      </c>
      <c r="AA475" t="n">
        <v>0</v>
      </c>
      <c r="AB475" t="inlineStr">
        <is>
          <t>The student's submission does not run correctly due to several issues. The dataset paths are hardcoded incorrectly, leading to errors in loading the data. The CNN model definition is incorrect as it does not follow the specified architecture with 5 convolutional layers. Additionally, the training and validation functions contain errors, and the plotting code is incomplete. The bonus task is not attempted.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75" t="n">
        <v>0</v>
      </c>
      <c r="AD475" t="inlineStr">
        <is>
          <t>The student's submission does not run correctly due to several issues. The dataset class is incorrectly implemented, leading to errors in data loading. The model definition uses the wrong encoder ('efficientnet-b1' instead of 'efficientnet-b0'), and the training and validation loops are not correctly implemented. Additionally, the visualization of predictions is incomplete and incorrect. Therefore, no points are awarded for any task as the code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75" t="n">
        <v>0</v>
      </c>
      <c r="AF475" t="n">
        <v>0</v>
      </c>
      <c r="AG475" t="inlineStr">
        <is>
          <t>The student's implementation of the `ColorizationDataset` class contains several issues. The `rgb_to_grayscale` method does not return the grayscale image, which is a critical error. Additionally, the `__getitem__` method returns the color image first instead of the grayscale image, which deviates from the required output format. These errors prevent the code from running correctly and producing the expected output, resulting in a score of 0.0 for this task.
Breakdown:
- Correctly implemented `ColorizationDataset` class: 0.0/5.0</t>
        </is>
      </c>
      <c r="AH475" t="n">
        <v>0</v>
      </c>
      <c r="AI475" t="n">
        <v>0</v>
      </c>
    </row>
    <row r="476">
      <c r="A476" t="n">
        <v>475</v>
      </c>
      <c r="B476" t="inlineStr">
        <is>
          <t>TA_9</t>
        </is>
      </c>
      <c r="C476" t="inlineStr">
        <is>
          <t>TA_19</t>
        </is>
      </c>
      <c r="D476" t="n">
        <v>4.25</v>
      </c>
      <c r="E476" t="n">
        <v>0</v>
      </c>
      <c r="F476" t="n">
        <v>8.75</v>
      </c>
      <c r="G476" t="n">
        <v>0</v>
      </c>
      <c r="H476" t="n">
        <v>6</v>
      </c>
      <c r="I476" t="n">
        <v>0</v>
      </c>
      <c r="J476" t="n">
        <v>4.25</v>
      </c>
      <c r="K476" t="n">
        <v>0</v>
      </c>
      <c r="L476" t="n">
        <v>7</v>
      </c>
      <c r="M476" t="n">
        <v>0</v>
      </c>
      <c r="N476" t="n">
        <v>8</v>
      </c>
      <c r="O476" t="n">
        <v>0</v>
      </c>
      <c r="P476">
        <f>Table1[[#This Row],[TA 1 - Q1 Score]]+Table1[[#This Row],[TA 1 - Q2 Score]]+Table1[[#This Row],[TA 1 - Q3 Score]]</f>
        <v/>
      </c>
      <c r="Q476">
        <f>Table1[[#This Row],[TA 1 - Q1 Bonus]]+Table1[[#This Row],[TA 1 - Q2 Bonus]]+Table1[[#This Row],[TA 1 - Q4 Bonus]]</f>
        <v/>
      </c>
      <c r="R476">
        <f>Table1[[#This Row],[TA 2 - Q1 Score]]+Table1[[#This Row],[TA 2 - Q2 Score]]+Table1[[#This Row],[TA 2 - Q3 Score]]</f>
        <v/>
      </c>
      <c r="S476">
        <f>Table1[[#This Row],[TA 2 - Q1 Bonus]]+Table1[[#This Row],[TA 2 - Q2 Bonus]]+Table1[[#This Row],[TA 2 - Q4 Bonus]]</f>
        <v/>
      </c>
      <c r="T476">
        <f>(Table1[[#This Row],[TA 1 - Total Score (out of 35)]]+Table1[[#This Row],[TA 2 - Total Score (out of 35)]])/2</f>
        <v/>
      </c>
      <c r="U476">
        <f>(Table1[[#This Row],[TA 1 - Total Bonus (out of 13)]]+Table1[[#This Row],[TA 2 - Total Bonus (out of 13)]])/2</f>
        <v/>
      </c>
      <c r="V476">
        <f>Table1[[#This Row],[Average Questions]]/35*20+Table1[[#This Row],[Average Bonus]]/13*5</f>
        <v/>
      </c>
      <c r="W476" t="n">
        <v>0</v>
      </c>
      <c r="X476" t="n">
        <v>0</v>
      </c>
      <c r="Y476" t="inlineStr">
        <is>
          <t>The student's submission contains multiple critical errors that prevent the code from running correctly. The transforms are incomplete, the model is incorrectly loaded and modified, the training and validation loops are flawed, and the plotting functions are misconfigured. Additionally, the student did not implement the bonus task for Test Time Augmentation.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76" t="n">
        <v>0</v>
      </c>
      <c r="AA476" t="n">
        <v>0</v>
      </c>
      <c r="AB476" t="inlineStr">
        <is>
          <t>The student's submission does not run correctly due to several issues. The dataset class is incorrectly implemented, leading to incorrect labels and class names. The transforms do not include RandomRotation as specified. The CNN model does not follow the required specifications, missing Batch Normalization layers. The training and validation functions are incorrectly implemented, leading to errors in the training process. Additionally, the student did not attempt the bonus task.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76" t="n">
        <v>0</v>
      </c>
      <c r="AD476" t="inlineStr">
        <is>
          <t>The student's submission does not run correctly due to multiple issues. The dataset class is incorrectly implemented, leading to errors in data loading. The model class is not defined correctly as per the task requirements, using a custom U-Net instead of the required pretrained U-Net with efficientnet-b1 encoder. The training and validation loops are present but do not function correctly due to the incorrect model definition. Additionally, the visualization of predictions is attempted but fails due to the incorrect model output. Therefore, no points are awarded for any task as the code does not run correctly and deviates significantly from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76" t="n">
        <v>0</v>
      </c>
      <c r="AF476" t="n">
        <v>0</v>
      </c>
      <c r="AG476" t="inlineStr">
        <is>
          <t>No submission found.</t>
        </is>
      </c>
      <c r="AH476" t="n">
        <v>0</v>
      </c>
      <c r="AI476" t="n">
        <v>0</v>
      </c>
    </row>
    <row r="477">
      <c r="A477" t="n">
        <v>476</v>
      </c>
      <c r="B477" t="inlineStr">
        <is>
          <t>TA_9</t>
        </is>
      </c>
      <c r="C477" t="inlineStr">
        <is>
          <t>TA_19</t>
        </is>
      </c>
      <c r="D477" t="n">
        <v>4.75</v>
      </c>
      <c r="E477" t="n">
        <v>0</v>
      </c>
      <c r="F477" t="n">
        <v>6.25</v>
      </c>
      <c r="G477" t="n">
        <v>0</v>
      </c>
      <c r="H477" t="n">
        <v>9.25</v>
      </c>
      <c r="I477" t="n">
        <v>0</v>
      </c>
      <c r="J477" t="n">
        <v>3.75</v>
      </c>
      <c r="K477" t="n">
        <v>0</v>
      </c>
      <c r="L477" t="n">
        <v>4.25</v>
      </c>
      <c r="M477" t="n">
        <v>0</v>
      </c>
      <c r="N477" t="n">
        <v>9.75</v>
      </c>
      <c r="O477" t="n">
        <v>0</v>
      </c>
      <c r="P477">
        <f>Table1[[#This Row],[TA 1 - Q1 Score]]+Table1[[#This Row],[TA 1 - Q2 Score]]+Table1[[#This Row],[TA 1 - Q3 Score]]</f>
        <v/>
      </c>
      <c r="Q477">
        <f>Table1[[#This Row],[TA 1 - Q1 Bonus]]+Table1[[#This Row],[TA 1 - Q2 Bonus]]+Table1[[#This Row],[TA 1 - Q4 Bonus]]</f>
        <v/>
      </c>
      <c r="R477">
        <f>Table1[[#This Row],[TA 2 - Q1 Score]]+Table1[[#This Row],[TA 2 - Q2 Score]]+Table1[[#This Row],[TA 2 - Q3 Score]]</f>
        <v/>
      </c>
      <c r="S477">
        <f>Table1[[#This Row],[TA 2 - Q1 Bonus]]+Table1[[#This Row],[TA 2 - Q2 Bonus]]+Table1[[#This Row],[TA 2 - Q4 Bonus]]</f>
        <v/>
      </c>
      <c r="T477">
        <f>(Table1[[#This Row],[TA 1 - Total Score (out of 35)]]+Table1[[#This Row],[TA 2 - Total Score (out of 35)]])/2</f>
        <v/>
      </c>
      <c r="U477">
        <f>(Table1[[#This Row],[TA 1 - Total Bonus (out of 13)]]+Table1[[#This Row],[TA 2 - Total Bonus (out of 13)]])/2</f>
        <v/>
      </c>
      <c r="V477">
        <f>Table1[[#This Row],[Average Questions]]/35*20+Table1[[#This Row],[Average Bonus]]/13*5</f>
        <v/>
      </c>
      <c r="W477" t="n">
        <v>0</v>
      </c>
      <c r="X477" t="n">
        <v>0</v>
      </c>
      <c r="Y477" t="inlineStr">
        <is>
          <t>The student's submission has several critical issues. The transforms are incomplete and incorrect, the DataLoaders are not created correctly, and sample images are not displayed. The model is not correctly adapted for 26 classes, and the training and validation loops are incorrect. The student used MSELoss instead of CrossEntropyLoss, which is inappropriate for classification tasks. The model is not trained correctly, and the plots for training and validation losses and accuracies are incorrect. The bonus task for Test Time Augmentation is not attempted. The student's code does not run correctly and deviates significantly from the rubric, resulting in a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-50.0/?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77" t="n">
        <v>0</v>
      </c>
      <c r="AA477" t="n">
        <v>0</v>
      </c>
      <c r="AB477" t="inlineStr">
        <is>
          <t>The student's submission does not follow the rubric and uses a different dataset (Skin cancer ISIC) instead of the specified Potato Disease Dataset. The code for loading and preparing data, building the CNN model, training and validation functions, and training the model is incomplete and does not run correctly. The student did not attempt the bonus task. Therefore, the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77" t="n">
        <v>0</v>
      </c>
      <c r="AD477" t="inlineStr">
        <is>
          <t>The student's submission has several critical issues. The dataset class and DataLoaders are incorrectly implemented, leading to a failure in loading the dataset properly. The model definition uses 'efficientnet-b0' instead of 'efficientnet-b1', which is a deviation from the rubric and results in a -50% penalty for that task. The training and validation loops, as well as the loss and optimizer definition, are not correctly implemented or missing entirely. The code does not run end-to-end due to these issues, resulting in a score of 0.0 for the base tasks.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477" t="n">
        <v>0</v>
      </c>
      <c r="AF477" t="n">
        <v>0</v>
      </c>
      <c r="AG477" t="inlineStr">
        <is>
          <t>No submission found.</t>
        </is>
      </c>
      <c r="AH477" t="n">
        <v>0</v>
      </c>
      <c r="AI477" t="n">
        <v>0</v>
      </c>
    </row>
    <row r="478">
      <c r="A478" t="n">
        <v>477</v>
      </c>
      <c r="B478" t="inlineStr">
        <is>
          <t>TA_9</t>
        </is>
      </c>
      <c r="C478" t="inlineStr">
        <is>
          <t>TA_19</t>
        </is>
      </c>
      <c r="D478" t="n">
        <v>10.8</v>
      </c>
      <c r="E478" t="n">
        <v>0</v>
      </c>
      <c r="F478" t="n">
        <v>11</v>
      </c>
      <c r="G478" t="n">
        <v>0</v>
      </c>
      <c r="H478" t="n">
        <v>11.75</v>
      </c>
      <c r="I478" t="n">
        <v>0</v>
      </c>
      <c r="J478" t="n">
        <v>11</v>
      </c>
      <c r="K478" t="n">
        <v>0</v>
      </c>
      <c r="L478" t="n">
        <v>10.9</v>
      </c>
      <c r="M478" t="n">
        <v>0</v>
      </c>
      <c r="N478" t="n">
        <v>10</v>
      </c>
      <c r="O478" t="n">
        <v>0</v>
      </c>
      <c r="P478">
        <f>Table1[[#This Row],[TA 1 - Q1 Score]]+Table1[[#This Row],[TA 1 - Q2 Score]]+Table1[[#This Row],[TA 1 - Q3 Score]]</f>
        <v/>
      </c>
      <c r="Q478">
        <f>Table1[[#This Row],[TA 1 - Q1 Bonus]]+Table1[[#This Row],[TA 1 - Q2 Bonus]]+Table1[[#This Row],[TA 1 - Q4 Bonus]]</f>
        <v/>
      </c>
      <c r="R478">
        <f>Table1[[#This Row],[TA 2 - Q1 Score]]+Table1[[#This Row],[TA 2 - Q2 Score]]+Table1[[#This Row],[TA 2 - Q3 Score]]</f>
        <v/>
      </c>
      <c r="S478">
        <f>Table1[[#This Row],[TA 2 - Q1 Bonus]]+Table1[[#This Row],[TA 2 - Q2 Bonus]]+Table1[[#This Row],[TA 2 - Q4 Bonus]]</f>
        <v/>
      </c>
      <c r="T478">
        <f>(Table1[[#This Row],[TA 1 - Total Score (out of 35)]]+Table1[[#This Row],[TA 2 - Total Score (out of 35)]])/2</f>
        <v/>
      </c>
      <c r="U478">
        <f>(Table1[[#This Row],[TA 1 - Total Bonus (out of 13)]]+Table1[[#This Row],[TA 2 - Total Bonus (out of 13)]])/2</f>
        <v/>
      </c>
      <c r="V478">
        <f>Table1[[#This Row],[Average Questions]]/35*20+Table1[[#This Row],[Average Bonus]]/13*5</f>
        <v/>
      </c>
      <c r="W478" t="n">
        <v>0</v>
      </c>
      <c r="X478" t="n">
        <v>0</v>
      </c>
      <c r="Y478" t="inlineStr">
        <is>
          <t>The student's submission contains several critical errors that prevent the code from running correctly. The transforms are incorrectly set to resize images to 64x64 instead of 28x28, and the DataLoader for the test set is incorrectly using the training dataset. The model is incorrectly loaded as Faster R-CNN instead of EfficientNetV2-Small, and the classifier head is not correctly replaced. The training and validation loops do not correctly handle the label adjustment, and the plotting code is incomplete. Additionally, the bonus task for Test Time Augmentation is not attempted. These issues result in a score of 0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78" t="n">
        <v>0</v>
      </c>
      <c r="AA478" t="n">
        <v>0</v>
      </c>
      <c r="AB478" t="inlineStr">
        <is>
          <t>The student's submission does not run correctly due to several issues. The transformations applied to the dataset are incorrect as they resize the images to 32x32 instead of 128x128. The CNN model class does not follow the specified architecture with 5 convolutional layers and the correct number of output channels. The training and validation functions contain errors, such as applying softmax to the outputs before calculating the loss, which is incorrect for CrossEntropyLoss. Additionally, the student did not implement the bonus task for residual connections.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78" t="n">
        <v>0</v>
      </c>
      <c r="AD478" t="inlineStr">
        <is>
          <t>The student's submission does not run correctly due to multiple issues. The dataset class is incomplete and incorrect, leading to errors in data loading. The model definition uses the wrong encoder and the number of classes is incorrect. The training and validation loops are present but will not run due to the previous errors. The visualization code is also incorrect and will not produce the correct output. Therefore, no points are awarded for any task as the code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78" t="n">
        <v>0</v>
      </c>
      <c r="AF478" t="n">
        <v>0</v>
      </c>
      <c r="AG478" t="inlineStr">
        <is>
          <t>No submission found.</t>
        </is>
      </c>
      <c r="AH478" t="n">
        <v>0</v>
      </c>
      <c r="AI478" t="n">
        <v>0</v>
      </c>
    </row>
    <row r="479">
      <c r="A479" t="n">
        <v>478</v>
      </c>
      <c r="B479" t="inlineStr">
        <is>
          <t>TA_9</t>
        </is>
      </c>
      <c r="C479" t="inlineStr">
        <is>
          <t>TA_19</t>
        </is>
      </c>
      <c r="D479" t="n">
        <v>3.8</v>
      </c>
      <c r="E479" t="n">
        <v>0</v>
      </c>
      <c r="F479" t="n">
        <v>7.75</v>
      </c>
      <c r="G479" t="n">
        <v>0</v>
      </c>
      <c r="H479" t="n">
        <v>11.5</v>
      </c>
      <c r="I479" t="n">
        <v>0</v>
      </c>
      <c r="J479" t="n">
        <v>5.5</v>
      </c>
      <c r="K479" t="n">
        <v>0</v>
      </c>
      <c r="L479" t="n">
        <v>7.5</v>
      </c>
      <c r="M479" t="n">
        <v>0</v>
      </c>
      <c r="N479" t="n">
        <v>7.75</v>
      </c>
      <c r="O479" t="n">
        <v>0</v>
      </c>
      <c r="P479">
        <f>Table1[[#This Row],[TA 1 - Q1 Score]]+Table1[[#This Row],[TA 1 - Q2 Score]]+Table1[[#This Row],[TA 1 - Q3 Score]]</f>
        <v/>
      </c>
      <c r="Q479">
        <f>Table1[[#This Row],[TA 1 - Q1 Bonus]]+Table1[[#This Row],[TA 1 - Q2 Bonus]]+Table1[[#This Row],[TA 1 - Q4 Bonus]]</f>
        <v/>
      </c>
      <c r="R479">
        <f>Table1[[#This Row],[TA 2 - Q1 Score]]+Table1[[#This Row],[TA 2 - Q2 Score]]+Table1[[#This Row],[TA 2 - Q3 Score]]</f>
        <v/>
      </c>
      <c r="S479">
        <f>Table1[[#This Row],[TA 2 - Q1 Bonus]]+Table1[[#This Row],[TA 2 - Q2 Bonus]]+Table1[[#This Row],[TA 2 - Q4 Bonus]]</f>
        <v/>
      </c>
      <c r="T479">
        <f>(Table1[[#This Row],[TA 1 - Total Score (out of 35)]]+Table1[[#This Row],[TA 2 - Total Score (out of 35)]])/2</f>
        <v/>
      </c>
      <c r="U479">
        <f>(Table1[[#This Row],[TA 1 - Total Bonus (out of 13)]]+Table1[[#This Row],[TA 2 - Total Bonus (out of 13)]])/2</f>
        <v/>
      </c>
      <c r="V479">
        <f>Table1[[#This Row],[Average Questions]]/35*20+Table1[[#This Row],[Average Bonus]]/13*5</f>
        <v/>
      </c>
      <c r="W479" t="n">
        <v>0</v>
      </c>
      <c r="X479" t="n">
        <v>0</v>
      </c>
      <c r="Y479" t="inlineStr">
        <is>
          <t>The student's submission contains several critical errors that prevent the code from running correctly. The transforms for resizing are incorrect, leading to a shape mismatch. The DataLoader creation is flawed due to incorrect batch size and shuffle settings. The model loading and adaptation steps are incomplete, missing the freezing of the backbone and correct replacement of the classifier head. The training and validation loops are incorrect, failing to adjust labels and causing runtime errors. Additionally, the training setup and plotting functions are missing or incorrect, resulting in a non-functional implementation. The bonus task for Test Time Augmentation is also incomplete and incorrect. Therefore, the student receives 0 points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79" t="n">
        <v>0</v>
      </c>
      <c r="AA479" t="n">
        <v>0</v>
      </c>
      <c r="AB479" t="inlineStr">
        <is>
          <t>The student's submission does not run correctly due to missing code for displaying sample images with labels, defining the CNN model with 5 convolutional layers, adding Batch Normalization, and setting up the training and validation functions. Additionally, the student did not attempt the bonus tasks. Therefore, the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79" t="n">
        <v>0</v>
      </c>
      <c r="AD479" t="inlineStr">
        <is>
          <t>The student's submission deviates significantly from the rubric. The dataset class is incorrectly implemented, using a DataFrame instead of a custom Dataset class. The model definition uses 'efficientnet-b0' instead of 'efficientnet-b1' as specified, and the loss function is incorrectly set to BCEWithLogitsLoss instead of CrossEntropyLoss. Additionally, the training and validation loops are not correctly implemented for multi-class segmentation. The code does not run end-to-end due to these issues, resulting in a score of 0.0 for the base tasks and -50.0 for the model definition task.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479" t="n">
        <v>0</v>
      </c>
      <c r="AF479" t="n">
        <v>0</v>
      </c>
      <c r="AG479" t="inlineStr">
        <is>
          <t>No submission found.</t>
        </is>
      </c>
      <c r="AH479" t="n">
        <v>0</v>
      </c>
      <c r="AI479" t="n">
        <v>0</v>
      </c>
    </row>
    <row r="480">
      <c r="A480" t="n">
        <v>479</v>
      </c>
      <c r="B480" t="inlineStr">
        <is>
          <t>TA_9</t>
        </is>
      </c>
      <c r="C480" t="inlineStr">
        <is>
          <t>TA_19</t>
        </is>
      </c>
      <c r="D480" t="n">
        <v>4.25</v>
      </c>
      <c r="E480" t="n">
        <v>0</v>
      </c>
      <c r="F480" t="n">
        <v>7.5</v>
      </c>
      <c r="G480" t="n">
        <v>0</v>
      </c>
      <c r="H480" t="n">
        <v>11.4</v>
      </c>
      <c r="I480" t="n">
        <v>0</v>
      </c>
      <c r="J480" t="n">
        <v>6.5</v>
      </c>
      <c r="K480" t="n">
        <v>0</v>
      </c>
      <c r="L480" t="n">
        <v>6.75</v>
      </c>
      <c r="M480" t="n">
        <v>0</v>
      </c>
      <c r="N480" t="n">
        <v>10.25</v>
      </c>
      <c r="O480" t="n">
        <v>0</v>
      </c>
      <c r="P480">
        <f>Table1[[#This Row],[TA 1 - Q1 Score]]+Table1[[#This Row],[TA 1 - Q2 Score]]+Table1[[#This Row],[TA 1 - Q3 Score]]</f>
        <v/>
      </c>
      <c r="Q480">
        <f>Table1[[#This Row],[TA 1 - Q1 Bonus]]+Table1[[#This Row],[TA 1 - Q2 Bonus]]+Table1[[#This Row],[TA 1 - Q4 Bonus]]</f>
        <v/>
      </c>
      <c r="R480">
        <f>Table1[[#This Row],[TA 2 - Q1 Score]]+Table1[[#This Row],[TA 2 - Q2 Score]]+Table1[[#This Row],[TA 2 - Q3 Score]]</f>
        <v/>
      </c>
      <c r="S480">
        <f>Table1[[#This Row],[TA 2 - Q1 Bonus]]+Table1[[#This Row],[TA 2 - Q2 Bonus]]+Table1[[#This Row],[TA 2 - Q4 Bonus]]</f>
        <v/>
      </c>
      <c r="T480">
        <f>(Table1[[#This Row],[TA 1 - Total Score (out of 35)]]+Table1[[#This Row],[TA 2 - Total Score (out of 35)]])/2</f>
        <v/>
      </c>
      <c r="U480">
        <f>(Table1[[#This Row],[TA 1 - Total Bonus (out of 13)]]+Table1[[#This Row],[TA 2 - Total Bonus (out of 13)]])/2</f>
        <v/>
      </c>
      <c r="V480">
        <f>Table1[[#This Row],[Average Questions]]/35*20+Table1[[#This Row],[Average Bonus]]/13*5</f>
        <v/>
      </c>
      <c r="W480" t="n">
        <v>0</v>
      </c>
      <c r="X480" t="n">
        <v>0</v>
      </c>
      <c r="Y480" t="inlineStr">
        <is>
          <t>The student's submission does not run correctly due to several issues. The training and validation loops are incorrect because the student did not adjust the labels to be 0-indexed, which is a critical step. Additionally, the student did not implement the Test Time Augmentation (TTA) correctly, and there are missing parts in the code that prevent it from running end-to-end.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80" t="n">
        <v>0</v>
      </c>
      <c r="AA480" t="n">
        <v>0</v>
      </c>
      <c r="AB480" t="inlineStr">
        <is>
          <t>The student's submission does not run correctly due to several issues. The dataset class is incorrectly implemented, leading to errors in data loading. The CNN model definition is flawed, with Batch Normalization layers not properly integrated. The training and validation functions are incorrectly implemented, and the training process does not execute as intended.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80" t="n">
        <v>0</v>
      </c>
      <c r="AD480" t="inlineStr">
        <is>
          <t>The student's submission does not run end-to-end due to incorrect dataset paths and missing code for several tasks. The dataset paths provided in the submission do not match the reference solution, leading to errors in loading the dataset. Additionally, the student did not implement the training and validation loops correctly, and the visualization of predictions is incomplete. Therefore, no points are awarded for any task as the code does not run correctly and deviates from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80" t="n">
        <v>0</v>
      </c>
      <c r="AF480" t="n">
        <v>0</v>
      </c>
      <c r="AG480" t="inlineStr">
        <is>
          <t>No submission found.</t>
        </is>
      </c>
      <c r="AH480" t="n">
        <v>0</v>
      </c>
      <c r="AI480" t="n">
        <v>0</v>
      </c>
    </row>
    <row r="481">
      <c r="A481" t="n">
        <v>480</v>
      </c>
      <c r="B481" t="inlineStr">
        <is>
          <t>TA_9</t>
        </is>
      </c>
      <c r="C481" t="inlineStr">
        <is>
          <t>TA_19</t>
        </is>
      </c>
      <c r="D481" t="n">
        <v>12</v>
      </c>
      <c r="E481" t="n">
        <v>0</v>
      </c>
      <c r="F481" t="n">
        <v>11</v>
      </c>
      <c r="G481" t="n">
        <v>0</v>
      </c>
      <c r="H481" t="n">
        <v>11</v>
      </c>
      <c r="I481" t="n">
        <v>0</v>
      </c>
      <c r="J481" t="n">
        <v>11.25</v>
      </c>
      <c r="K481" t="n">
        <v>0</v>
      </c>
      <c r="L481" t="n">
        <v>10.9</v>
      </c>
      <c r="M481" t="n">
        <v>0</v>
      </c>
      <c r="N481" t="n">
        <v>9</v>
      </c>
      <c r="O481" t="n">
        <v>0</v>
      </c>
      <c r="P481">
        <f>Table1[[#This Row],[TA 1 - Q1 Score]]+Table1[[#This Row],[TA 1 - Q2 Score]]+Table1[[#This Row],[TA 1 - Q3 Score]]</f>
        <v/>
      </c>
      <c r="Q481">
        <f>Table1[[#This Row],[TA 1 - Q1 Bonus]]+Table1[[#This Row],[TA 1 - Q2 Bonus]]+Table1[[#This Row],[TA 1 - Q4 Bonus]]</f>
        <v/>
      </c>
      <c r="R481">
        <f>Table1[[#This Row],[TA 2 - Q1 Score]]+Table1[[#This Row],[TA 2 - Q2 Score]]+Table1[[#This Row],[TA 2 - Q3 Score]]</f>
        <v/>
      </c>
      <c r="S481">
        <f>Table1[[#This Row],[TA 2 - Q1 Bonus]]+Table1[[#This Row],[TA 2 - Q2 Bonus]]+Table1[[#This Row],[TA 2 - Q4 Bonus]]</f>
        <v/>
      </c>
      <c r="T481">
        <f>(Table1[[#This Row],[TA 1 - Total Score (out of 35)]]+Table1[[#This Row],[TA 2 - Total Score (out of 35)]])/2</f>
        <v/>
      </c>
      <c r="U481">
        <f>(Table1[[#This Row],[TA 1 - Total Bonus (out of 13)]]+Table1[[#This Row],[TA 2 - Total Bonus (out of 13)]])/2</f>
        <v/>
      </c>
      <c r="V481">
        <f>Table1[[#This Row],[Average Questions]]/35*20+Table1[[#This Row],[Average Bonus]]/13*5</f>
        <v/>
      </c>
      <c r="W481" t="n">
        <v>0</v>
      </c>
      <c r="X481" t="n">
        <v>0</v>
      </c>
      <c r="Y481" t="inlineStr">
        <is>
          <t>The student's submission does not run correctly due to several issues. The transforms are incomplete, the DataLoaders are not correctly created, and the model training and validation loops contain errors. Additionally, the student did not implement the bonus task for Test Time Augmentation.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81" t="n">
        <v>0</v>
      </c>
      <c r="AA481" t="n">
        <v>0</v>
      </c>
      <c r="AB481" t="inlineStr">
        <is>
          <t>The student's submission does not run correctly due to several issues. The transforms applied to the training and testing datasets do not match the rubric specifications, and the model architecture deviates from the required specifications. Additionally, the training and validation functions contain errors that prevent the model from training and validating correctly. The bonus task is also incomplete and does not run.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81" t="n">
        <v>0</v>
      </c>
      <c r="AD481" t="inlineStr">
        <is>
          <t>The student's submission does not run correctly due to several issues. The dataset class is incorrectly implemented, leading to errors in data loading. The model definition uses the wrong number of classes and the incorrect encoder. The training and validation loops are incorrectly implemented, leading to errors in the training process. Additionally, the visualization of predictions is flawed due to incorrect handling of the model's output. Therefore, no points are awarded for any task as the code does not run correctly and deviates significantly from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81" t="n">
        <v>0</v>
      </c>
      <c r="AF481" t="n">
        <v>0</v>
      </c>
      <c r="AG481" t="inlineStr">
        <is>
          <t>The student's implementation of the `ColorizationDataset` class contains several critical errors. The `rgb_to_grayscale` method is incorrectly implemented and does not convert the RGB image to grayscale as required. The `__getitem__` method also fails to return the correct tuple of (grayscale_image, color_image). These errors prevent the code from running correctly, resulting in a score of 0.0 for the task.
Breakdown:
- Correctly implemented `ColorizationDataset` class: 0.0/?</t>
        </is>
      </c>
      <c r="AH481" t="n">
        <v>0</v>
      </c>
      <c r="AI481" t="n">
        <v>0</v>
      </c>
    </row>
    <row r="482">
      <c r="A482" t="n">
        <v>481</v>
      </c>
      <c r="B482" t="inlineStr">
        <is>
          <t>TA_9</t>
        </is>
      </c>
      <c r="C482" t="inlineStr">
        <is>
          <t>TA_19</t>
        </is>
      </c>
      <c r="D482" t="n">
        <v>9.75</v>
      </c>
      <c r="E482" t="n">
        <v>0</v>
      </c>
      <c r="F482" t="n">
        <v>6</v>
      </c>
      <c r="G482" t="n">
        <v>0</v>
      </c>
      <c r="H482" t="n">
        <v>11</v>
      </c>
      <c r="I482" t="n">
        <v>0</v>
      </c>
      <c r="J482" t="n">
        <v>11</v>
      </c>
      <c r="K482" t="n">
        <v>0</v>
      </c>
      <c r="L482" t="n">
        <v>7.4</v>
      </c>
      <c r="M482" t="n">
        <v>0</v>
      </c>
      <c r="N482" t="n">
        <v>8.25</v>
      </c>
      <c r="O482" t="n">
        <v>0</v>
      </c>
      <c r="P482">
        <f>Table1[[#This Row],[TA 1 - Q1 Score]]+Table1[[#This Row],[TA 1 - Q2 Score]]+Table1[[#This Row],[TA 1 - Q3 Score]]</f>
        <v/>
      </c>
      <c r="Q482">
        <f>Table1[[#This Row],[TA 1 - Q1 Bonus]]+Table1[[#This Row],[TA 1 - Q2 Bonus]]+Table1[[#This Row],[TA 1 - Q4 Bonus]]</f>
        <v/>
      </c>
      <c r="R482">
        <f>Table1[[#This Row],[TA 2 - Q1 Score]]+Table1[[#This Row],[TA 2 - Q2 Score]]+Table1[[#This Row],[TA 2 - Q3 Score]]</f>
        <v/>
      </c>
      <c r="S482">
        <f>Table1[[#This Row],[TA 2 - Q1 Bonus]]+Table1[[#This Row],[TA 2 - Q2 Bonus]]+Table1[[#This Row],[TA 2 - Q4 Bonus]]</f>
        <v/>
      </c>
      <c r="T482">
        <f>(Table1[[#This Row],[TA 1 - Total Score (out of 35)]]+Table1[[#This Row],[TA 2 - Total Score (out of 35)]])/2</f>
        <v/>
      </c>
      <c r="U482">
        <f>(Table1[[#This Row],[TA 1 - Total Bonus (out of 13)]]+Table1[[#This Row],[TA 2 - Total Bonus (out of 13)]])/2</f>
        <v/>
      </c>
      <c r="V482">
        <f>Table1[[#This Row],[Average Questions]]/35*20+Table1[[#This Row],[Average Bonus]]/13*5</f>
        <v/>
      </c>
      <c r="W482" t="n">
        <v>0</v>
      </c>
      <c r="X482" t="n">
        <v>0</v>
      </c>
      <c r="Y482" t="inlineStr">
        <is>
          <t>The student's submission does not run correctly due to several issues. The transforms are incomplete, the DataLoaders are not correctly created, and the sample images are not displayed correctly. The model is not correctly loaded or adapted, and the training and validation functions are incorrect. Additionally, the training process does not run correctly, and the plots for training and validation losses and accuracies are not generated. The bonus task for Test Time Augmentation is also not implemented correctly.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82" t="n">
        <v>0</v>
      </c>
      <c r="AA482" t="n">
        <v>0</v>
      </c>
      <c r="AB482" t="inlineStr">
        <is>
          <t>The student's submission does not run correctly due to multiple issues. The CNN model definition is incorrect and does not follow the specified architecture with 5 convolutional layers. Additionally, the training and validation functions contain errors, and the plotting code is missing. The student also did not implement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82" t="n">
        <v>0</v>
      </c>
      <c r="AD482" t="inlineStr">
        <is>
          <t>The student's submission does not run correctly due to several issues. The model definition uses 'efficientnet-b1' instead of 'efficientnet-b0' as specified, and the number of classes is set to 1 instead of 8. The loss function is incorrectly defined as BCEWithLogitsLoss instead of CrossEntropyLoss, which is inappropriate for multi-class segmentation. The training and validation loops do not handle the output dimensions correctly, leading to shape mismatches. Additionally, the visualization code does not correctly handle the multi-class output. These issues prevent the code from running end-to-end, resulting in a score of 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82" t="n">
        <v>0</v>
      </c>
      <c r="AF482" t="n">
        <v>0</v>
      </c>
      <c r="AG482" t="inlineStr">
        <is>
          <t>No submission found.</t>
        </is>
      </c>
      <c r="AH482" t="n">
        <v>0</v>
      </c>
      <c r="AI482" t="n">
        <v>0</v>
      </c>
    </row>
    <row r="483">
      <c r="A483" t="n">
        <v>482</v>
      </c>
      <c r="B483" t="inlineStr">
        <is>
          <t>TA_9</t>
        </is>
      </c>
      <c r="C483" t="inlineStr">
        <is>
          <t>TA_19</t>
        </is>
      </c>
      <c r="D483" t="n">
        <v>10.5</v>
      </c>
      <c r="E483" t="n">
        <v>3</v>
      </c>
      <c r="F483" t="n">
        <v>9.5</v>
      </c>
      <c r="G483" t="n">
        <v>0</v>
      </c>
      <c r="H483" t="n">
        <v>11</v>
      </c>
      <c r="I483" t="n">
        <v>0</v>
      </c>
      <c r="J483" t="n">
        <v>9.5</v>
      </c>
      <c r="K483" t="n">
        <v>2</v>
      </c>
      <c r="L483" t="n">
        <v>6.75</v>
      </c>
      <c r="M483" t="n">
        <v>0</v>
      </c>
      <c r="N483" t="n">
        <v>7.75</v>
      </c>
      <c r="O483" t="n">
        <v>0</v>
      </c>
      <c r="P483">
        <f>Table1[[#This Row],[TA 1 - Q1 Score]]+Table1[[#This Row],[TA 1 - Q2 Score]]+Table1[[#This Row],[TA 1 - Q3 Score]]</f>
        <v/>
      </c>
      <c r="Q483">
        <f>Table1[[#This Row],[TA 1 - Q1 Bonus]]+Table1[[#This Row],[TA 1 - Q2 Bonus]]+Table1[[#This Row],[TA 1 - Q4 Bonus]]</f>
        <v/>
      </c>
      <c r="R483">
        <f>Table1[[#This Row],[TA 2 - Q1 Score]]+Table1[[#This Row],[TA 2 - Q2 Score]]+Table1[[#This Row],[TA 2 - Q3 Score]]</f>
        <v/>
      </c>
      <c r="S483">
        <f>Table1[[#This Row],[TA 2 - Q1 Bonus]]+Table1[[#This Row],[TA 2 - Q2 Bonus]]+Table1[[#This Row],[TA 2 - Q4 Bonus]]</f>
        <v/>
      </c>
      <c r="T483">
        <f>(Table1[[#This Row],[TA 1 - Total Score (out of 35)]]+Table1[[#This Row],[TA 2 - Total Score (out of 35)]])/2</f>
        <v/>
      </c>
      <c r="U483">
        <f>(Table1[[#This Row],[TA 1 - Total Bonus (out of 13)]]+Table1[[#This Row],[TA 2 - Total Bonus (out of 13)]])/2</f>
        <v/>
      </c>
      <c r="V483">
        <f>Table1[[#This Row],[Average Questions]]/35*20+Table1[[#This Row],[Average Bonus]]/13*5</f>
        <v/>
      </c>
      <c r="W483" t="n">
        <v>0</v>
      </c>
      <c r="X483" t="n">
        <v>0</v>
      </c>
      <c r="Y483" t="inlineStr">
        <is>
          <t>The student's submission does not run correctly due to multiple issues. The transforms are correctly defined, but the DataLoader creation and image display tasks are incomplete or incorrect. The model loading and adaptation tasks are partially correct but do not freeze the backbone as required. The training and validation loops have logical errors, and the training process does not set up the device, model, loss, and optimizer correctly. The bonus task for Test Time Augmentation is attempted but contains significant errors, making the code non-functional.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83" t="n">
        <v>0</v>
      </c>
      <c r="AA483" t="n">
        <v>0</v>
      </c>
      <c r="AB483" t="inlineStr">
        <is>
          <t>The student's submission does not run correctly due to multiple issues. The dataset class is incorrectly implemented, the transforms do not include RandomRotation, and the CNN model does not have the required 5 convolutional layers. Additionally, the training and validation functions are incorrectly implemented, and the residual connection is not defined correctly.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83" t="n">
        <v>0</v>
      </c>
      <c r="AD483" t="inlineStr">
        <is>
          <t>The student's submission does not run correctly due to several critical errors. The dataset class is incorrectly implemented, leading to issues in data loading. The model definition uses 'efficientnet-b0' instead of 'efficientnet-b1', and the loss function is incorrectly set to BCEWithLogitsLoss instead of CrossEntropyLoss. Additionally, the training and validation loops are flawed, and the visualization code does not correctly display the predictions. These issues prevent the code from running end-to-end, resulting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83" t="n">
        <v>0</v>
      </c>
      <c r="AF483" t="n">
        <v>0</v>
      </c>
      <c r="AG483" t="inlineStr">
        <is>
          <t>No submission found.</t>
        </is>
      </c>
      <c r="AH483" t="n">
        <v>0</v>
      </c>
      <c r="AI483" t="n">
        <v>0</v>
      </c>
    </row>
    <row r="484">
      <c r="A484" t="n">
        <v>483</v>
      </c>
      <c r="B484" t="inlineStr">
        <is>
          <t>TA_9</t>
        </is>
      </c>
      <c r="C484" t="inlineStr">
        <is>
          <t>TA_19</t>
        </is>
      </c>
      <c r="D484" t="n">
        <v>9.5</v>
      </c>
      <c r="E484" t="n">
        <v>4</v>
      </c>
      <c r="F484" t="n">
        <v>11</v>
      </c>
      <c r="G484" t="n">
        <v>3</v>
      </c>
      <c r="H484" t="n">
        <v>6.5</v>
      </c>
      <c r="I484" t="n">
        <v>5</v>
      </c>
      <c r="J484" t="n">
        <v>9.25</v>
      </c>
      <c r="K484" t="n">
        <v>4</v>
      </c>
      <c r="L484" t="n">
        <v>9.75</v>
      </c>
      <c r="M484" t="n">
        <v>1.5</v>
      </c>
      <c r="N484" t="n">
        <v>7</v>
      </c>
      <c r="O484" t="n">
        <v>5</v>
      </c>
      <c r="P484">
        <f>Table1[[#This Row],[TA 1 - Q1 Score]]+Table1[[#This Row],[TA 1 - Q2 Score]]+Table1[[#This Row],[TA 1 - Q3 Score]]</f>
        <v/>
      </c>
      <c r="Q484">
        <f>Table1[[#This Row],[TA 1 - Q1 Bonus]]+Table1[[#This Row],[TA 1 - Q2 Bonus]]+Table1[[#This Row],[TA 1 - Q4 Bonus]]</f>
        <v/>
      </c>
      <c r="R484">
        <f>Table1[[#This Row],[TA 2 - Q1 Score]]+Table1[[#This Row],[TA 2 - Q2 Score]]+Table1[[#This Row],[TA 2 - Q3 Score]]</f>
        <v/>
      </c>
      <c r="S484">
        <f>Table1[[#This Row],[TA 2 - Q1 Bonus]]+Table1[[#This Row],[TA 2 - Q2 Bonus]]+Table1[[#This Row],[TA 2 - Q4 Bonus]]</f>
        <v/>
      </c>
      <c r="T484">
        <f>(Table1[[#This Row],[TA 1 - Total Score (out of 35)]]+Table1[[#This Row],[TA 2 - Total Score (out of 35)]])/2</f>
        <v/>
      </c>
      <c r="U484">
        <f>(Table1[[#This Row],[TA 1 - Total Bonus (out of 13)]]+Table1[[#This Row],[TA 2 - Total Bonus (out of 13)]])/2</f>
        <v/>
      </c>
      <c r="V484">
        <f>Table1[[#This Row],[Average Questions]]/35*20+Table1[[#This Row],[Average Bonus]]/13*5</f>
        <v/>
      </c>
      <c r="W484" t="n">
        <v>0</v>
      </c>
      <c r="X484" t="n">
        <v>0</v>
      </c>
      <c r="Y484" t="inlineStr">
        <is>
          <t>The student's submission failed to load the correct pretrained model, using EfficientNetV2-M instead of EfficientNetV2-Small, which is a critical deviation from the instructions. Additionally, the student did not freeze the backbone of the model, which is a required step. The code for displaying sample images and creating DataLoaders is missing, and the transforms are incomplete. The training and validation loops are present but do not run correctly due to the incorrect model setup. The bonus task for Test Time Augmentation (TTA) is attempted but does not run correctly due to the overall issues with the model setup.
Breakdown:
- Task 1: Complete transforms (Resize, ToTensor, Normalize): 0.0/?
- Task 2: Create DataLoaders: 0.0/?
- Task 3: Display sample images: 0.0/?
- Task 1: Load pretrained EfficientNetV2-Small: -50.0/?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84" t="n">
        <v>0</v>
      </c>
      <c r="AA484" t="n">
        <v>0</v>
      </c>
      <c r="AB484" t="inlineStr">
        <is>
          <t>The student's submission does not correctly follow the rubric. The dataset loading and preparation tasks are incomplete and incorrect. The CNN model does not follow the specified architecture, and the training and validation functions are not correctly implemented. The residual connection task is also incomplete and incorrect.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84" t="n">
        <v>0</v>
      </c>
      <c r="AD484" t="inlineStr">
        <is>
          <t>The student's submission does not run end-to-end due to missing code for displaying sample images and masks, and for visualizing predictions. The dataset class is incomplete as it does not include target transforms, and the model class is defined but not used correctly in the training loop. The training and validation loops are defined but not used correctly in the training process. The loss and optimizer are defined but not used correctly in the training process. The loss curve is not plotted. Therefore, the student receives 0 points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84" t="n">
        <v>0</v>
      </c>
      <c r="AF484" t="n">
        <v>0</v>
      </c>
      <c r="AG484" t="inlineStr">
        <is>
          <t>The student's implementation of the `ColorizationDataset` class is incorrect. The `rgb_to_grayscale` method does not correctly handle the dimensions of the input image, leading to a shape mismatch. Specifically, the method returns a tensor of shape (H, W) instead of (1, H, W), which is required for the grayscale image. This mistake causes the dataset to fail when used with a DataLoader, as the shapes of the batches do not match the expected dimensions. Therefore, the implementation does not meet the criteria for correct functionality.
Breakdown:
- Correctly implemented `ColorizationDataset` class: 0.0/5.0</t>
        </is>
      </c>
      <c r="AH484" t="n">
        <v>0</v>
      </c>
      <c r="AI484" t="n">
        <v>0</v>
      </c>
    </row>
    <row r="485">
      <c r="A485" t="n">
        <v>484</v>
      </c>
      <c r="B485" t="inlineStr">
        <is>
          <t>TA_9</t>
        </is>
      </c>
      <c r="C485" t="inlineStr">
        <is>
          <t>TA_19</t>
        </is>
      </c>
      <c r="D485" t="n">
        <v>12</v>
      </c>
      <c r="E485" t="n">
        <v>3</v>
      </c>
      <c r="F485" t="n">
        <v>11</v>
      </c>
      <c r="G485" t="n">
        <v>4</v>
      </c>
      <c r="H485" t="n">
        <v>12</v>
      </c>
      <c r="I485" t="n">
        <v>5</v>
      </c>
      <c r="J485" t="n">
        <v>11.25</v>
      </c>
      <c r="K485" t="n">
        <v>3</v>
      </c>
      <c r="L485" t="n">
        <v>10.5</v>
      </c>
      <c r="M485" t="n">
        <v>4</v>
      </c>
      <c r="N485" t="n">
        <v>12</v>
      </c>
      <c r="O485" t="n">
        <v>5</v>
      </c>
      <c r="P485">
        <f>Table1[[#This Row],[TA 1 - Q1 Score]]+Table1[[#This Row],[TA 1 - Q2 Score]]+Table1[[#This Row],[TA 1 - Q3 Score]]</f>
        <v/>
      </c>
      <c r="Q485">
        <f>Table1[[#This Row],[TA 1 - Q1 Bonus]]+Table1[[#This Row],[TA 1 - Q2 Bonus]]+Table1[[#This Row],[TA 1 - Q4 Bonus]]</f>
        <v/>
      </c>
      <c r="R485">
        <f>Table1[[#This Row],[TA 2 - Q1 Score]]+Table1[[#This Row],[TA 2 - Q2 Score]]+Table1[[#This Row],[TA 2 - Q3 Score]]</f>
        <v/>
      </c>
      <c r="S485">
        <f>Table1[[#This Row],[TA 2 - Q1 Bonus]]+Table1[[#This Row],[TA 2 - Q2 Bonus]]+Table1[[#This Row],[TA 2 - Q4 Bonus]]</f>
        <v/>
      </c>
      <c r="T485">
        <f>(Table1[[#This Row],[TA 1 - Total Score (out of 35)]]+Table1[[#This Row],[TA 2 - Total Score (out of 35)]])/2</f>
        <v/>
      </c>
      <c r="U485">
        <f>(Table1[[#This Row],[TA 1 - Total Bonus (out of 13)]]+Table1[[#This Row],[TA 2 - Total Bonus (out of 13)]])/2</f>
        <v/>
      </c>
      <c r="V485">
        <f>Table1[[#This Row],[Average Questions]]/35*20+Table1[[#This Row],[Average Bonus]]/13*5</f>
        <v/>
      </c>
      <c r="W485" t="n">
        <v>0</v>
      </c>
      <c r="X485" t="n">
        <v>0</v>
      </c>
      <c r="Y485" t="inlineStr">
        <is>
          <t>The student's submission does not run correctly due to several issues. The transforms are incomplete, the DataLoaders are not correctly created, and the model training and validation loops contain errors. Additionally, the bonus task for Test Time Augmentation is incomplete and contains syntax errors.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85" t="n">
        <v>0</v>
      </c>
      <c r="AA485" t="n">
        <v>0</v>
      </c>
      <c r="AB485" t="inlineStr">
        <is>
          <t>The student's submission does not run correctly due to multiple issues. The dataset class or ImageFolder task is incomplete as the student used the wrong dataset name 'SkinCancerDataset' instead of 'ImageFolder'. The transforms task is incorrect because the student resized the images to 32x32 instead of 128x128. The CNN model class does not have 5 convolutional layers as required. The training and validation functions are incorrect because they use softmax instead of the correct approach. The training task is incomplete because the model architecture is incorrect. The bonus task is not attempted at all.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85" t="n">
        <v>0</v>
      </c>
      <c r="AD485" t="inlineStr">
        <is>
          <t>The student's submission does not run end-to-end due to missing code for Task 5. The code for visualizing predictions is incomplete, with a 'TO DO' comment indicating that this part of the task was not completed. Therefore, the entire submission is awarded 0 points as per the grading criteria.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85" t="n">
        <v>0</v>
      </c>
      <c r="AF485" t="n">
        <v>0</v>
      </c>
      <c r="AG485" t="inlineStr">
        <is>
          <t>The student's implementation of the `ColorizationDataset` class contains a critical error in the `rgb_to_grayscale` method. The method does not add the channel dimension back to the grayscale image, which results in incorrect dimensions for the grayscale image. Additionally, the `unsqueeze(0)` method is incorrectly applied in the `__getitem__` method, leading to incorrect shapes for the grayscale images. These errors prevent the code from running correctly and producing the expected output, thus warranting a score of 0.0 for this task.
Breakdown:
- Correctly implemented `ColorizationDataset` class: 0.0/5.0</t>
        </is>
      </c>
      <c r="AH485" t="n">
        <v>0</v>
      </c>
      <c r="AI485" t="n">
        <v>0</v>
      </c>
    </row>
    <row r="486">
      <c r="A486" t="n">
        <v>485</v>
      </c>
      <c r="B486" t="inlineStr">
        <is>
          <t>TA_9</t>
        </is>
      </c>
      <c r="C486" t="inlineStr">
        <is>
          <t>TA_19</t>
        </is>
      </c>
      <c r="D486" t="n">
        <v>12</v>
      </c>
      <c r="E486" t="n">
        <v>0</v>
      </c>
      <c r="F486" t="n">
        <v>9.300000000000001</v>
      </c>
      <c r="G486" t="n">
        <v>0</v>
      </c>
      <c r="H486" t="n">
        <v>8.5</v>
      </c>
      <c r="I486" t="n">
        <v>0</v>
      </c>
      <c r="J486" t="n">
        <v>11</v>
      </c>
      <c r="K486" t="n">
        <v>0</v>
      </c>
      <c r="L486" t="n">
        <v>8.75</v>
      </c>
      <c r="M486" t="n">
        <v>0</v>
      </c>
      <c r="N486" t="n">
        <v>6.25</v>
      </c>
      <c r="O486" t="n">
        <v>0</v>
      </c>
      <c r="P486">
        <f>Table1[[#This Row],[TA 1 - Q1 Score]]+Table1[[#This Row],[TA 1 - Q2 Score]]+Table1[[#This Row],[TA 1 - Q3 Score]]</f>
        <v/>
      </c>
      <c r="Q486">
        <f>Table1[[#This Row],[TA 1 - Q1 Bonus]]+Table1[[#This Row],[TA 1 - Q2 Bonus]]+Table1[[#This Row],[TA 1 - Q4 Bonus]]</f>
        <v/>
      </c>
      <c r="R486">
        <f>Table1[[#This Row],[TA 2 - Q1 Score]]+Table1[[#This Row],[TA 2 - Q2 Score]]+Table1[[#This Row],[TA 2 - Q3 Score]]</f>
        <v/>
      </c>
      <c r="S486">
        <f>Table1[[#This Row],[TA 2 - Q1 Bonus]]+Table1[[#This Row],[TA 2 - Q2 Bonus]]+Table1[[#This Row],[TA 2 - Q4 Bonus]]</f>
        <v/>
      </c>
      <c r="T486">
        <f>(Table1[[#This Row],[TA 1 - Total Score (out of 35)]]+Table1[[#This Row],[TA 2 - Total Score (out of 35)]])/2</f>
        <v/>
      </c>
      <c r="U486">
        <f>(Table1[[#This Row],[TA 1 - Total Bonus (out of 13)]]+Table1[[#This Row],[TA 2 - Total Bonus (out of 13)]])/2</f>
        <v/>
      </c>
      <c r="V486">
        <f>Table1[[#This Row],[Average Questions]]/35*20+Table1[[#This Row],[Average Bonus]]/13*5</f>
        <v/>
      </c>
      <c r="W486" t="n">
        <v>0</v>
      </c>
      <c r="X486" t="n">
        <v>0</v>
      </c>
      <c r="Y486" t="inlineStr">
        <is>
          <t>The student's submission does not run end-to-end due to missing code in critical sections, such as the training and validation loops, and the plotting of training and validation metrics. Additionally, the student did not display sample images correctly, and the model setup is incomplete.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86" t="n">
        <v>0</v>
      </c>
      <c r="AA486" t="n">
        <v>0</v>
      </c>
      <c r="AB486" t="inlineStr">
        <is>
          <t>The student's submission is incomplete and does not run correctly. The dataset class or ImageFolder is not correctly implemented, and the transforms are incorrectly applied. The CNN model does not meet the specifications, and the training and validation functions are not correctly defined. Additionally, the training process and plotting of losses and accuracy are missing. The bonus task for residual connection is also not attempted.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86" t="n">
        <v>0</v>
      </c>
      <c r="AD486" t="inlineStr">
        <is>
          <t>The student's submission has several critical issues. The dataset class is incorrectly implemented, leading to errors in loading images and masks. The model definition uses 'efficientnet-b0' instead of 'efficientnet-b1' as specified, and the loss function is incorrectly set for binary segmentation instead of multi-class segmentation. The training and validation loops are present but will not run correctly due to the incorrect model and loss function definitions. Additionally, the visualization of predictions is attempted but will fail due to the incorrect model setup. The overall submission does not meet the requirements and deviates significantly from the rubric, resulting in a score of 0.0.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486" t="n">
        <v>0</v>
      </c>
      <c r="AF486" t="n">
        <v>0</v>
      </c>
      <c r="AG486" t="inlineStr">
        <is>
          <t>No submission found.</t>
        </is>
      </c>
      <c r="AH486" t="n">
        <v>0</v>
      </c>
      <c r="AI486" t="n">
        <v>0</v>
      </c>
    </row>
    <row r="487">
      <c r="A487" t="n">
        <v>486</v>
      </c>
      <c r="B487" t="inlineStr">
        <is>
          <t>TA_9</t>
        </is>
      </c>
      <c r="C487" t="inlineStr">
        <is>
          <t>TA_19</t>
        </is>
      </c>
      <c r="D487" t="n">
        <v>2.5</v>
      </c>
      <c r="E487" t="n">
        <v>0</v>
      </c>
      <c r="F487" t="n">
        <v>9.25</v>
      </c>
      <c r="G487" t="n">
        <v>3.8</v>
      </c>
      <c r="H487" t="n">
        <v>10.5</v>
      </c>
      <c r="I487" t="n">
        <v>0</v>
      </c>
      <c r="J487" t="n">
        <v>4.5</v>
      </c>
      <c r="K487" t="n">
        <v>0</v>
      </c>
      <c r="L487" t="n">
        <v>7.5</v>
      </c>
      <c r="M487" t="n">
        <v>0</v>
      </c>
      <c r="N487" t="n">
        <v>7.75</v>
      </c>
      <c r="O487" t="n">
        <v>0</v>
      </c>
      <c r="P487">
        <f>Table1[[#This Row],[TA 1 - Q1 Score]]+Table1[[#This Row],[TA 1 - Q2 Score]]+Table1[[#This Row],[TA 1 - Q3 Score]]</f>
        <v/>
      </c>
      <c r="Q487">
        <f>Table1[[#This Row],[TA 1 - Q1 Bonus]]+Table1[[#This Row],[TA 1 - Q2 Bonus]]+Table1[[#This Row],[TA 1 - Q4 Bonus]]</f>
        <v/>
      </c>
      <c r="R487">
        <f>Table1[[#This Row],[TA 2 - Q1 Score]]+Table1[[#This Row],[TA 2 - Q2 Score]]+Table1[[#This Row],[TA 2 - Q3 Score]]</f>
        <v/>
      </c>
      <c r="S487">
        <f>Table1[[#This Row],[TA 2 - Q1 Bonus]]+Table1[[#This Row],[TA 2 - Q2 Bonus]]+Table1[[#This Row],[TA 2 - Q4 Bonus]]</f>
        <v/>
      </c>
      <c r="T487">
        <f>(Table1[[#This Row],[TA 1 - Total Score (out of 35)]]+Table1[[#This Row],[TA 2 - Total Score (out of 35)]])/2</f>
        <v/>
      </c>
      <c r="U487">
        <f>(Table1[[#This Row],[TA 1 - Total Bonus (out of 13)]]+Table1[[#This Row],[TA 2 - Total Bonus (out of 13)]])/2</f>
        <v/>
      </c>
      <c r="V487">
        <f>Table1[[#This Row],[Average Questions]]/35*20+Table1[[#This Row],[Average Bonus]]/13*5</f>
        <v/>
      </c>
      <c r="W487" t="n">
        <v>0</v>
      </c>
      <c r="X487" t="n">
        <v>0</v>
      </c>
      <c r="Y487" t="inlineStr">
        <is>
          <t>The student's submission contains multiple critical errors that prevent the code from running correctly. The student used the wrong model (EfficientNetV2-M instead of EfficientNetV2-S), did not freeze the backbone correctly, and did not adjust the labels for 0-indexing. Additionally, the training and validation loops are incorrect, and the plots for training and validation losses and accuracies are missing. The bonus task for Test Time Augmentation (TTA) was not attempted.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87" t="n">
        <v>0</v>
      </c>
      <c r="AA487" t="n">
        <v>0</v>
      </c>
      <c r="AB487" t="inlineStr">
        <is>
          <t>The student's submission does not follow the rubric and does not run correctly. The student used a U-Net model instead of a CNN model with 5 convolutional layers, which is a completely different approach. The student also did not implement the required transformations, dataset loading, or training functions correctly. The code is disorganized and fragmented, making it impossible to award any partial credit. The student's submission disregards the explicit instructions provided in the rubric, resulting in a score of 0 for all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487" t="n">
        <v>0</v>
      </c>
      <c r="AD487" t="inlineStr">
        <is>
          <t>The student's submission does not follow the rubric and uses a different dataset and model configuration. The code is incomplete and does not run correctly, resulting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87" t="n">
        <v>0</v>
      </c>
      <c r="AF487" t="n">
        <v>0</v>
      </c>
      <c r="AG487" t="inlineStr">
        <is>
          <t>No submission found.</t>
        </is>
      </c>
      <c r="AH487" t="n">
        <v>0</v>
      </c>
      <c r="AI487" t="n">
        <v>0</v>
      </c>
    </row>
    <row r="488">
      <c r="A488" t="n">
        <v>487</v>
      </c>
      <c r="B488" t="inlineStr">
        <is>
          <t>TA_9</t>
        </is>
      </c>
      <c r="C488" t="inlineStr">
        <is>
          <t>TA_19</t>
        </is>
      </c>
      <c r="D488" t="n">
        <v>5.8</v>
      </c>
      <c r="E488" t="n">
        <v>0</v>
      </c>
      <c r="F488" t="n">
        <v>9.300000000000001</v>
      </c>
      <c r="G488" t="n">
        <v>0</v>
      </c>
      <c r="H488" t="n">
        <v>9.550000000000001</v>
      </c>
      <c r="I488" t="n">
        <v>0</v>
      </c>
      <c r="J488" t="n">
        <v>8</v>
      </c>
      <c r="K488" t="n">
        <v>0</v>
      </c>
      <c r="L488" t="n">
        <v>10</v>
      </c>
      <c r="M488" t="n">
        <v>0</v>
      </c>
      <c r="N488" t="n">
        <v>10</v>
      </c>
      <c r="O488" t="n">
        <v>0</v>
      </c>
      <c r="P488">
        <f>Table1[[#This Row],[TA 1 - Q1 Score]]+Table1[[#This Row],[TA 1 - Q2 Score]]+Table1[[#This Row],[TA 1 - Q3 Score]]</f>
        <v/>
      </c>
      <c r="Q488">
        <f>Table1[[#This Row],[TA 1 - Q1 Bonus]]+Table1[[#This Row],[TA 1 - Q2 Bonus]]+Table1[[#This Row],[TA 1 - Q4 Bonus]]</f>
        <v/>
      </c>
      <c r="R488">
        <f>Table1[[#This Row],[TA 2 - Q1 Score]]+Table1[[#This Row],[TA 2 - Q2 Score]]+Table1[[#This Row],[TA 2 - Q3 Score]]</f>
        <v/>
      </c>
      <c r="S488">
        <f>Table1[[#This Row],[TA 2 - Q1 Bonus]]+Table1[[#This Row],[TA 2 - Q2 Bonus]]+Table1[[#This Row],[TA 2 - Q4 Bonus]]</f>
        <v/>
      </c>
      <c r="T488">
        <f>(Table1[[#This Row],[TA 1 - Total Score (out of 35)]]+Table1[[#This Row],[TA 2 - Total Score (out of 35)]])/2</f>
        <v/>
      </c>
      <c r="U488">
        <f>(Table1[[#This Row],[TA 1 - Total Bonus (out of 13)]]+Table1[[#This Row],[TA 2 - Total Bonus (out of 13)]])/2</f>
        <v/>
      </c>
      <c r="V488">
        <f>Table1[[#This Row],[Average Questions]]/35*20+Table1[[#This Row],[Average Bonus]]/13*5</f>
        <v/>
      </c>
      <c r="W488" t="n">
        <v>0</v>
      </c>
      <c r="X488" t="n">
        <v>0</v>
      </c>
      <c r="Y488" t="inlineStr">
        <is>
          <t>The student's submission does not run correctly due to several issues. The transforms are incomplete, the DataLoaders are not created correctly, and the model training and validation loops are incorrect. Additionally, the student did not fix the labels to be 0-indexed, which is a critical requirement. The bonus task for Test Time Augmentation (TTA) is also missing.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88" t="n">
        <v>0</v>
      </c>
      <c r="AA488" t="n">
        <v>0</v>
      </c>
      <c r="AB488" t="inlineStr">
        <is>
          <t>The student's submission does not run correctly due to multiple syntax errors and logical mistakes. The code for creating the dataset and DataLoaders is incorrect, and the CNN model definition has syntax errors. The training and validation functions are also incorrect, leading to a failure in the training process.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88" t="n">
        <v>0</v>
      </c>
      <c r="AD488" t="inlineStr">
        <is>
          <t>The student's submission does not run correctly due to several issues. The dataset class is incorrectly implemented, leading to errors in data loading. The training and validation loops are incomplete and contain logical errors. The model definition and training process are flawed, resulting in a non-functional code. Additionally, the visualization of predictions is incorrect and does not follow the required format. Therefore, no points are awarded for any task as the code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88" t="n">
        <v>0</v>
      </c>
      <c r="AF488" t="n">
        <v>0</v>
      </c>
      <c r="AG488" t="inlineStr">
        <is>
          <t>No submission found.</t>
        </is>
      </c>
      <c r="AH488" t="n">
        <v>0</v>
      </c>
      <c r="AI488" t="n">
        <v>0</v>
      </c>
    </row>
    <row r="489">
      <c r="A489" t="n">
        <v>488</v>
      </c>
      <c r="B489" t="inlineStr">
        <is>
          <t>TA_9</t>
        </is>
      </c>
      <c r="C489" t="inlineStr">
        <is>
          <t>TA_19</t>
        </is>
      </c>
      <c r="D489" t="n">
        <v>6.05</v>
      </c>
      <c r="E489" t="n">
        <v>0</v>
      </c>
      <c r="F489" t="n">
        <v>6.35</v>
      </c>
      <c r="G489" t="n">
        <v>0</v>
      </c>
      <c r="H489" t="n">
        <v>9.6</v>
      </c>
      <c r="I489" t="n">
        <v>0</v>
      </c>
      <c r="J489" t="n">
        <v>11</v>
      </c>
      <c r="K489" t="n">
        <v>0</v>
      </c>
      <c r="L489" t="n">
        <v>4.5</v>
      </c>
      <c r="M489" t="n">
        <v>0</v>
      </c>
      <c r="N489" t="n">
        <v>10.25</v>
      </c>
      <c r="O489" t="n">
        <v>0</v>
      </c>
      <c r="P489">
        <f>Table1[[#This Row],[TA 1 - Q1 Score]]+Table1[[#This Row],[TA 1 - Q2 Score]]+Table1[[#This Row],[TA 1 - Q3 Score]]</f>
        <v/>
      </c>
      <c r="Q489">
        <f>Table1[[#This Row],[TA 1 - Q1 Bonus]]+Table1[[#This Row],[TA 1 - Q2 Bonus]]+Table1[[#This Row],[TA 1 - Q4 Bonus]]</f>
        <v/>
      </c>
      <c r="R489">
        <f>Table1[[#This Row],[TA 2 - Q1 Score]]+Table1[[#This Row],[TA 2 - Q2 Score]]+Table1[[#This Row],[TA 2 - Q3 Score]]</f>
        <v/>
      </c>
      <c r="S489">
        <f>Table1[[#This Row],[TA 2 - Q1 Bonus]]+Table1[[#This Row],[TA 2 - Q2 Bonus]]+Table1[[#This Row],[TA 2 - Q4 Bonus]]</f>
        <v/>
      </c>
      <c r="T489">
        <f>(Table1[[#This Row],[TA 1 - Total Score (out of 35)]]+Table1[[#This Row],[TA 2 - Total Score (out of 35)]])/2</f>
        <v/>
      </c>
      <c r="U489">
        <f>(Table1[[#This Row],[TA 1 - Total Bonus (out of 13)]]+Table1[[#This Row],[TA 2 - Total Bonus (out of 13)]])/2</f>
        <v/>
      </c>
      <c r="V489">
        <f>Table1[[#This Row],[Average Questions]]/35*20+Table1[[#This Row],[Average Bonus]]/13*5</f>
        <v/>
      </c>
      <c r="W489" t="n">
        <v>0</v>
      </c>
      <c r="X489" t="n">
        <v>0</v>
      </c>
      <c r="Y489" t="inlineStr">
        <is>
          <t>The student's submission has several critical issues that prevent it from running correctly. The code for displaying sample images is incomplete and does not run. The model freezing and classifier replacement are incorrect, leading to a non-functional model. The training and validation loops are flawed, and the plotting code is missing. Additionally, the student did not implement the bonus task for Test Time Augmentation. Therefore, the student receives 0 points for the base tasks and 0 points for the bonus task.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89" t="n">
        <v>0</v>
      </c>
      <c r="AA489" t="n">
        <v>0</v>
      </c>
      <c r="AB489" t="inlineStr">
        <is>
          <t>The student's submission does not create DataLoaders for the training and testing datasets, which is a critical step in preparing the data for training and validation. Additionally, the student did not correctly implement the transforms for resizing images to 32x32 and applying RandomRotation. The CNN model class is incomplete and does not include the required 5 convolutional layers or Batch Normalization. The training and validation functions are missing, and the training process is not set up correctly. Therefore, the student's submission does not meet the requirements for any of the tasks, resulting in a score of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89" t="n">
        <v>0</v>
      </c>
      <c r="AD489" t="inlineStr">
        <is>
          <t>The student's submission does not run end-to-end due to multiple issues. The dataset class is incorrectly implemented, leading to errors in loading images and masks. The DataLoader creation is flawed, and the training and validation loops are not correctly defined. Additionally, the model definition and training process contain errors, resulting in a non-functional codebase. Therefore, no points are awarded for any task as the code does not run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89" t="n">
        <v>0</v>
      </c>
      <c r="AF489" t="n">
        <v>0</v>
      </c>
      <c r="AG489" t="inlineStr">
        <is>
          <t>No submission found.</t>
        </is>
      </c>
      <c r="AH489" t="n">
        <v>0</v>
      </c>
      <c r="AI489" t="n">
        <v>0</v>
      </c>
    </row>
    <row r="490">
      <c r="A490" t="n">
        <v>489</v>
      </c>
      <c r="B490" t="inlineStr">
        <is>
          <t>TA_9</t>
        </is>
      </c>
      <c r="C490" t="inlineStr">
        <is>
          <t>TA_19</t>
        </is>
      </c>
      <c r="D490" t="n">
        <v>12</v>
      </c>
      <c r="E490" t="n">
        <v>3</v>
      </c>
      <c r="F490" t="n">
        <v>9.699999999999999</v>
      </c>
      <c r="G490" t="n">
        <v>0.3</v>
      </c>
      <c r="H490" t="n">
        <v>10.4</v>
      </c>
      <c r="I490" t="n">
        <v>0</v>
      </c>
      <c r="J490" t="n">
        <v>12</v>
      </c>
      <c r="K490" t="n">
        <v>3.5</v>
      </c>
      <c r="L490" t="n">
        <v>6.75</v>
      </c>
      <c r="M490" t="n">
        <v>0</v>
      </c>
      <c r="N490" t="n">
        <v>11.75</v>
      </c>
      <c r="O490" t="n">
        <v>0</v>
      </c>
      <c r="P490">
        <f>Table1[[#This Row],[TA 1 - Q1 Score]]+Table1[[#This Row],[TA 1 - Q2 Score]]+Table1[[#This Row],[TA 1 - Q3 Score]]</f>
        <v/>
      </c>
      <c r="Q490">
        <f>Table1[[#This Row],[TA 1 - Q1 Bonus]]+Table1[[#This Row],[TA 1 - Q2 Bonus]]+Table1[[#This Row],[TA 1 - Q4 Bonus]]</f>
        <v/>
      </c>
      <c r="R490">
        <f>Table1[[#This Row],[TA 2 - Q1 Score]]+Table1[[#This Row],[TA 2 - Q2 Score]]+Table1[[#This Row],[TA 2 - Q3 Score]]</f>
        <v/>
      </c>
      <c r="S490">
        <f>Table1[[#This Row],[TA 2 - Q1 Bonus]]+Table1[[#This Row],[TA 2 - Q2 Bonus]]+Table1[[#This Row],[TA 2 - Q4 Bonus]]</f>
        <v/>
      </c>
      <c r="T490">
        <f>(Table1[[#This Row],[TA 1 - Total Score (out of 35)]]+Table1[[#This Row],[TA 2 - Total Score (out of 35)]])/2</f>
        <v/>
      </c>
      <c r="U490">
        <f>(Table1[[#This Row],[TA 1 - Total Bonus (out of 13)]]+Table1[[#This Row],[TA 2 - Total Bonus (out of 13)]])/2</f>
        <v/>
      </c>
      <c r="V490">
        <f>Table1[[#This Row],[Average Questions]]/35*20+Table1[[#This Row],[Average Bonus]]/13*5</f>
        <v/>
      </c>
      <c r="W490" t="n">
        <v>0</v>
      </c>
      <c r="X490" t="n">
        <v>0</v>
      </c>
      <c r="Y490" t="inlineStr">
        <is>
          <t>The student's submission has several critical issues that prevent it from running correctly. The code for displaying sample images is missing, and the model setup and training loops are incorrect. The student did not freeze the backbone of the model, and the validation loop does not correctly handle the label adjustment. Additionally, the bonus task for Test Time Augmentation (TTA) is not implemented correctly. Therefore, the student receives 0 points for the base tasks and 0 points for the bonus task.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90" t="n">
        <v>0</v>
      </c>
      <c r="AA490" t="n">
        <v>0</v>
      </c>
      <c r="AB490" t="inlineStr">
        <is>
          <t>The student's submission does not run correctly due to multiple issues. The dataset class is incorrectly implemented, the transforms are not applied correctly, and the CNN model does not follow the specified architecture. The training and validation functions are also incorrect, leading to a non-functional training loop. Additionally, the residual connection implementation is flawed and does not follow the specified instructions. Therefore, no points are awarded for any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490" t="n">
        <v>0</v>
      </c>
      <c r="AD490" t="inlineStr">
        <is>
          <t>The student's submission does not run correctly due to several issues. The dataset class is incomplete and contains errors, such as incorrect paths for masks and images. The model definition uses 'efficientnet-b0' instead of 'efficientnet-b1' as specified. The training and validation loops are present but contain errors that prevent the code from running correctly. Additionally, the visualization of predictions is incomplete and does not display the ground truth masks correctly. Therefore, no points are awarded for any task as the code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90" t="n">
        <v>0</v>
      </c>
      <c r="AF490" t="n">
        <v>0</v>
      </c>
      <c r="AG490" t="inlineStr">
        <is>
          <t>No submission found.</t>
        </is>
      </c>
      <c r="AH490" t="n">
        <v>0</v>
      </c>
      <c r="AI490" t="n">
        <v>0</v>
      </c>
    </row>
    <row r="491">
      <c r="A491" t="n">
        <v>490</v>
      </c>
      <c r="B491" t="inlineStr">
        <is>
          <t>TA_9</t>
        </is>
      </c>
      <c r="C491" t="inlineStr">
        <is>
          <t>TA_19</t>
        </is>
      </c>
      <c r="D491" t="n">
        <v>4.3</v>
      </c>
      <c r="E491" t="n">
        <v>0</v>
      </c>
      <c r="F491" t="n">
        <v>8.300000000000001</v>
      </c>
      <c r="G491" t="n">
        <v>0</v>
      </c>
      <c r="H491" t="n">
        <v>7.85</v>
      </c>
      <c r="I491" t="n">
        <v>0</v>
      </c>
      <c r="J491" t="n">
        <v>4.5</v>
      </c>
      <c r="K491" t="n">
        <v>0</v>
      </c>
      <c r="L491" t="n">
        <v>6</v>
      </c>
      <c r="M491" t="n">
        <v>0</v>
      </c>
      <c r="N491" t="n">
        <v>8.5</v>
      </c>
      <c r="O491" t="n">
        <v>0</v>
      </c>
      <c r="P491">
        <f>Table1[[#This Row],[TA 1 - Q1 Score]]+Table1[[#This Row],[TA 1 - Q2 Score]]+Table1[[#This Row],[TA 1 - Q3 Score]]</f>
        <v/>
      </c>
      <c r="Q491">
        <f>Table1[[#This Row],[TA 1 - Q1 Bonus]]+Table1[[#This Row],[TA 1 - Q2 Bonus]]+Table1[[#This Row],[TA 1 - Q4 Bonus]]</f>
        <v/>
      </c>
      <c r="R491">
        <f>Table1[[#This Row],[TA 2 - Q1 Score]]+Table1[[#This Row],[TA 2 - Q2 Score]]+Table1[[#This Row],[TA 2 - Q3 Score]]</f>
        <v/>
      </c>
      <c r="S491">
        <f>Table1[[#This Row],[TA 2 - Q1 Bonus]]+Table1[[#This Row],[TA 2 - Q2 Bonus]]+Table1[[#This Row],[TA 2 - Q4 Bonus]]</f>
        <v/>
      </c>
      <c r="T491">
        <f>(Table1[[#This Row],[TA 1 - Total Score (out of 35)]]+Table1[[#This Row],[TA 2 - Total Score (out of 35)]])/2</f>
        <v/>
      </c>
      <c r="U491">
        <f>(Table1[[#This Row],[TA 1 - Total Bonus (out of 13)]]+Table1[[#This Row],[TA 2 - Total Bonus (out of 13)]])/2</f>
        <v/>
      </c>
      <c r="V491">
        <f>Table1[[#This Row],[Average Questions]]/35*20+Table1[[#This Row],[Average Bonus]]/13*5</f>
        <v/>
      </c>
      <c r="W491" t="n">
        <v>0</v>
      </c>
      <c r="X491" t="n">
        <v>0</v>
      </c>
      <c r="Y491" t="inlineStr">
        <is>
          <t>The student's submission does not run correctly due to several critical errors. The transforms are incomplete, the DataLoaders are not correctly defined, and the model is incorrectly adapted for binary classification instead of 26 classes. The training and validation loops are flawed, and the plotting code is incorrect. Additionally, the student did not implement the bonus task for Test Time Augmentation.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91" t="n">
        <v>0</v>
      </c>
      <c r="AA491" t="n">
        <v>0</v>
      </c>
      <c r="AB491" t="inlineStr">
        <is>
          <t>The student's submission does not run correctly due to multiple issues. The dataset paths are incorrect, the model architecture is flawed, and the training loop is incorrectly implemented. The student did not follow the rubric instructions, such as using the correct transforms and model specifications.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91" t="n">
        <v>0</v>
      </c>
      <c r="AD491" t="inlineStr">
        <is>
          <t>The student's submission contains multiple critical errors that prevent the code from running correctly. The dataset class is incorrectly implemented, leading to issues in loading images and masks. The model definition is flawed and does not use the correct pretrained U-Net with efficientnet-b1 encoder. The training and validation loops are incomplete and contain syntax errors. Additionally, the visualization of predictions is not correctly implemented. Due to these issues, the code does not run end-to-end, and thus, no partial credit can be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91" t="n">
        <v>0</v>
      </c>
      <c r="AF491" t="n">
        <v>0</v>
      </c>
      <c r="AG491" t="inlineStr">
        <is>
          <t>No submission found.</t>
        </is>
      </c>
      <c r="AH491" t="n">
        <v>0</v>
      </c>
      <c r="AI491" t="n">
        <v>0</v>
      </c>
    </row>
    <row r="492">
      <c r="A492" t="n">
        <v>491</v>
      </c>
      <c r="B492" t="inlineStr">
        <is>
          <t>TA_9</t>
        </is>
      </c>
      <c r="C492" t="inlineStr">
        <is>
          <t>TA_19</t>
        </is>
      </c>
      <c r="D492" t="n">
        <v>12</v>
      </c>
      <c r="E492" t="n">
        <v>0</v>
      </c>
      <c r="F492" t="n">
        <v>11</v>
      </c>
      <c r="G492" t="n">
        <v>0</v>
      </c>
      <c r="H492" t="n">
        <v>12</v>
      </c>
      <c r="I492" t="n">
        <v>0</v>
      </c>
      <c r="J492" t="n">
        <v>12</v>
      </c>
      <c r="K492" t="n">
        <v>0</v>
      </c>
      <c r="L492" t="n">
        <v>10.9</v>
      </c>
      <c r="M492" t="n">
        <v>0</v>
      </c>
      <c r="N492" t="n">
        <v>11.5</v>
      </c>
      <c r="O492" t="n">
        <v>0</v>
      </c>
      <c r="P492">
        <f>Table1[[#This Row],[TA 1 - Q1 Score]]+Table1[[#This Row],[TA 1 - Q2 Score]]+Table1[[#This Row],[TA 1 - Q3 Score]]</f>
        <v/>
      </c>
      <c r="Q492">
        <f>Table1[[#This Row],[TA 1 - Q1 Bonus]]+Table1[[#This Row],[TA 1 - Q2 Bonus]]+Table1[[#This Row],[TA 1 - Q4 Bonus]]</f>
        <v/>
      </c>
      <c r="R492">
        <f>Table1[[#This Row],[TA 2 - Q1 Score]]+Table1[[#This Row],[TA 2 - Q2 Score]]+Table1[[#This Row],[TA 2 - Q3 Score]]</f>
        <v/>
      </c>
      <c r="S492">
        <f>Table1[[#This Row],[TA 2 - Q1 Bonus]]+Table1[[#This Row],[TA 2 - Q2 Bonus]]+Table1[[#This Row],[TA 2 - Q4 Bonus]]</f>
        <v/>
      </c>
      <c r="T492">
        <f>(Table1[[#This Row],[TA 1 - Total Score (out of 35)]]+Table1[[#This Row],[TA 2 - Total Score (out of 35)]])/2</f>
        <v/>
      </c>
      <c r="U492">
        <f>(Table1[[#This Row],[TA 1 - Total Bonus (out of 13)]]+Table1[[#This Row],[TA 2 - Total Bonus (out of 13)]])/2</f>
        <v/>
      </c>
      <c r="V492">
        <f>Table1[[#This Row],[Average Questions]]/35*20+Table1[[#This Row],[Average Bonus]]/13*5</f>
        <v/>
      </c>
      <c r="W492" t="n">
        <v>0</v>
      </c>
      <c r="X492" t="n">
        <v>0</v>
      </c>
      <c r="Y492" t="inlineStr">
        <is>
          <t>The student's submission does not run correctly due to several issues. The training and validation loops are incorrect because the model outputs are squeezed, which changes the shape of the output tensor. This causes the loss function to fail. Additionally, the student did not implement the bonus task for Test Time Augmentation.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92" t="n">
        <v>0</v>
      </c>
      <c r="AA492" t="n">
        <v>0</v>
      </c>
      <c r="AB492" t="inlineStr">
        <is>
          <t>The student's submission does not run correctly due to several issues. The model definition is incorrect as it does not include pooling layers, which are essential for reducing the spatial dimensions of the feature maps. Additionally, the student did not implement the residual connection as required for the bonus task. The code for training and validation functions is present but does not run correctly due to the incorrect model definition.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92" t="n">
        <v>0</v>
      </c>
      <c r="AD492" t="inlineStr">
        <is>
          <t>The student's submission does not run correctly due to missing or incorrect code in several tasks. The dataset class is incomplete and does not follow the required structure. The model definition uses the wrong encoder (efficientnet-b0 instead of efficientnet-b1). The training and validation loops are present but do not run correctly due to issues in the dataset class and model definition. The visualization of predictions is attempted but fails due to the previous issues. Therefore, no points are awarded for any task as the code does not run end-to-end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92" t="n">
        <v>0</v>
      </c>
      <c r="AF492" t="n">
        <v>0</v>
      </c>
      <c r="AG492" t="inlineStr">
        <is>
          <t>No submission found.</t>
        </is>
      </c>
      <c r="AH492" t="n">
        <v>0</v>
      </c>
      <c r="AI492" t="n">
        <v>0</v>
      </c>
    </row>
    <row r="493">
      <c r="A493" t="n">
        <v>492</v>
      </c>
      <c r="B493" t="inlineStr">
        <is>
          <t>TA_9</t>
        </is>
      </c>
      <c r="C493" t="inlineStr">
        <is>
          <t>TA_19</t>
        </is>
      </c>
      <c r="D493" t="n">
        <v>6.75</v>
      </c>
      <c r="E493" t="n">
        <v>0</v>
      </c>
      <c r="F493" t="n">
        <v>5.3</v>
      </c>
      <c r="G493" t="n">
        <v>0</v>
      </c>
      <c r="H493" t="n">
        <v>8.5</v>
      </c>
      <c r="I493" t="n">
        <v>0</v>
      </c>
      <c r="J493" t="n">
        <v>6.5</v>
      </c>
      <c r="K493" t="n">
        <v>0</v>
      </c>
      <c r="L493" t="n">
        <v>5.65</v>
      </c>
      <c r="M493" t="n">
        <v>0</v>
      </c>
      <c r="N493" t="n">
        <v>6.25</v>
      </c>
      <c r="O493" t="n">
        <v>0</v>
      </c>
      <c r="P493">
        <f>Table1[[#This Row],[TA 1 - Q1 Score]]+Table1[[#This Row],[TA 1 - Q2 Score]]+Table1[[#This Row],[TA 1 - Q3 Score]]</f>
        <v/>
      </c>
      <c r="Q493">
        <f>Table1[[#This Row],[TA 1 - Q1 Bonus]]+Table1[[#This Row],[TA 1 - Q2 Bonus]]+Table1[[#This Row],[TA 1 - Q4 Bonus]]</f>
        <v/>
      </c>
      <c r="R493">
        <f>Table1[[#This Row],[TA 2 - Q1 Score]]+Table1[[#This Row],[TA 2 - Q2 Score]]+Table1[[#This Row],[TA 2 - Q3 Score]]</f>
        <v/>
      </c>
      <c r="S493">
        <f>Table1[[#This Row],[TA 2 - Q1 Bonus]]+Table1[[#This Row],[TA 2 - Q2 Bonus]]+Table1[[#This Row],[TA 2 - Q4 Bonus]]</f>
        <v/>
      </c>
      <c r="T493">
        <f>(Table1[[#This Row],[TA 1 - Total Score (out of 35)]]+Table1[[#This Row],[TA 2 - Total Score (out of 35)]])/2</f>
        <v/>
      </c>
      <c r="U493">
        <f>(Table1[[#This Row],[TA 1 - Total Bonus (out of 13)]]+Table1[[#This Row],[TA 2 - Total Bonus (out of 13)]])/2</f>
        <v/>
      </c>
      <c r="V493">
        <f>Table1[[#This Row],[Average Questions]]/35*20+Table1[[#This Row],[Average Bonus]]/13*5</f>
        <v/>
      </c>
      <c r="W493" t="n">
        <v>0</v>
      </c>
      <c r="X493" t="n">
        <v>0</v>
      </c>
      <c r="Y493" t="inlineStr">
        <is>
          <t>The student's submission does not run correctly due to several issues. The transforms are incorrectly defined, the DataLoaders are not correctly created, and the model is not properly set up for training. The training and validation loops are incorrectly implemented, and the model is not trained or validated correctly. Additionally, the student did not implement the bonus task for Test Time Augmentation.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93" t="n">
        <v>0</v>
      </c>
      <c r="AA493" t="n">
        <v>0</v>
      </c>
      <c r="AB493" t="inlineStr">
        <is>
          <t>The student's submission contains several critical errors and omissions. The dataset class is incorrectly implemented, leading to issues in loading and preparing the data. The CNN model class does not follow the specified structure and contains errors in the layer definitions. The training and validation functions are partially correct, but the training loop does not run correctly due to errors in the model definition and setup. The bonus task is not attempted. Overall, the submission does not meet the requirements for any of the tasks, resulting in a score of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0.5/0.5
- Task 1: Set up device, model, loss, optimizer: 0.0/1.0
- Task 2: Train the model: 0.0/0.5
- Task 3: Plot losses and accuracy: 0.0/0.5
- Bonus Task: Defined residual connection correctly: 0.0/3.0
- Bonus Task: Retrain + Plot losses and accuracy: 0.0/1.0</t>
        </is>
      </c>
      <c r="AC493" t="n">
        <v>0</v>
      </c>
      <c r="AD493" t="inlineStr">
        <is>
          <t>The student's submission contains significant errors and omissions that prevent the code from running correctly. The dataset class is incomplete and contains logical errors, such as incorrect path handling and missing metadata. The model definition uses the wrong number of classes and encoder, and the training and validation loops are incorrectly implemented. Additionally, the loss function and optimizer are not correctly defined for the task, and the visualization code is incomplete. Therefore, no tasks are awarded any points.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93" t="n">
        <v>0</v>
      </c>
      <c r="AF493" t="n">
        <v>0</v>
      </c>
      <c r="AG493" t="inlineStr">
        <is>
          <t>No submission found.</t>
        </is>
      </c>
      <c r="AH493" t="n">
        <v>0</v>
      </c>
      <c r="AI493" t="n">
        <v>0</v>
      </c>
    </row>
    <row r="494">
      <c r="A494" t="n">
        <v>493</v>
      </c>
      <c r="B494" t="inlineStr">
        <is>
          <t>TA_9</t>
        </is>
      </c>
      <c r="C494" t="inlineStr">
        <is>
          <t>TA_19</t>
        </is>
      </c>
      <c r="D494" t="n">
        <v>3.4</v>
      </c>
      <c r="E494" t="n">
        <v>0</v>
      </c>
      <c r="F494" t="n">
        <v>8.5</v>
      </c>
      <c r="G494" t="n">
        <v>0</v>
      </c>
      <c r="H494" t="n">
        <v>7.8</v>
      </c>
      <c r="I494" t="n">
        <v>0</v>
      </c>
      <c r="J494" t="n">
        <v>4.5</v>
      </c>
      <c r="K494" t="n">
        <v>0</v>
      </c>
      <c r="L494" t="n">
        <v>7.5</v>
      </c>
      <c r="M494" t="n">
        <v>0</v>
      </c>
      <c r="N494" t="n">
        <v>6.5</v>
      </c>
      <c r="O494" t="n">
        <v>0</v>
      </c>
      <c r="P494">
        <f>Table1[[#This Row],[TA 1 - Q1 Score]]+Table1[[#This Row],[TA 1 - Q2 Score]]+Table1[[#This Row],[TA 1 - Q3 Score]]</f>
        <v/>
      </c>
      <c r="Q494">
        <f>Table1[[#This Row],[TA 1 - Q1 Bonus]]+Table1[[#This Row],[TA 1 - Q2 Bonus]]+Table1[[#This Row],[TA 1 - Q4 Bonus]]</f>
        <v/>
      </c>
      <c r="R494">
        <f>Table1[[#This Row],[TA 2 - Q1 Score]]+Table1[[#This Row],[TA 2 - Q2 Score]]+Table1[[#This Row],[TA 2 - Q3 Score]]</f>
        <v/>
      </c>
      <c r="S494">
        <f>Table1[[#This Row],[TA 2 - Q1 Bonus]]+Table1[[#This Row],[TA 2 - Q2 Bonus]]+Table1[[#This Row],[TA 2 - Q4 Bonus]]</f>
        <v/>
      </c>
      <c r="T494">
        <f>(Table1[[#This Row],[TA 1 - Total Score (out of 35)]]+Table1[[#This Row],[TA 2 - Total Score (out of 35)]])/2</f>
        <v/>
      </c>
      <c r="U494">
        <f>(Table1[[#This Row],[TA 1 - Total Bonus (out of 13)]]+Table1[[#This Row],[TA 2 - Total Bonus (out of 13)]])/2</f>
        <v/>
      </c>
      <c r="V494">
        <f>Table1[[#This Row],[Average Questions]]/35*20+Table1[[#This Row],[Average Bonus]]/13*5</f>
        <v/>
      </c>
      <c r="W494" t="n">
        <v>0</v>
      </c>
      <c r="X494" t="n">
        <v>0</v>
      </c>
      <c r="Y494" t="inlineStr">
        <is>
          <t>The student's submission does not run correctly due to several issues. The transforms for the test dataset are incorrect, leading to a mismatch in image sizes. The model's classifier head is modified to 28 classes instead of 26, which is incorrect. The training and validation loops do not correctly handle the labels, and the model outputs are squeezed incorrectly. Additionally, the student did not implement the bonus task for Test Time Augmentation. Therefore, the minimum defensible score for each task is 0% due to the code not running correctly.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94" t="n">
        <v>0</v>
      </c>
      <c r="AA494" t="n">
        <v>0</v>
      </c>
      <c r="AB494" t="inlineStr">
        <is>
          <t>The student's submission does not run correctly due to missing code for displaying sample images with labels, defining the CNN model with 5 convolutional layers, adding Batch Normalization, and plotting losses and accuracy. Additionally, the student did not attempt the bonus tasks. Therefore, the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94" t="n">
        <v>0</v>
      </c>
      <c r="AD494" t="inlineStr">
        <is>
          <t>The student's submission has several critical issues. The dataset class is incorrectly implemented, leading to incorrect paths and potential data loading errors. The model definition uses 'efficientnet-b1' instead of 'efficientnet-b0' as specified, which is a deviation from the rubric. The training and validation loops are present but do not run correctly due to the incorrect model definition and potential data loading issues. The loss and optimizer are defined but not used correctly in the training loop. The visualization of predictions is attempted but will not run correctly due to the previous errors. Overall, the submission does not meet the requirements and runs into multiple errors, resulting in a score of 0.0.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494" t="n">
        <v>0</v>
      </c>
      <c r="AF494" t="n">
        <v>0</v>
      </c>
      <c r="AG494" t="inlineStr">
        <is>
          <t>No submission found.</t>
        </is>
      </c>
      <c r="AH494" t="n">
        <v>0</v>
      </c>
      <c r="AI494" t="n">
        <v>0</v>
      </c>
    </row>
    <row r="495">
      <c r="A495" t="n">
        <v>494</v>
      </c>
      <c r="B495" t="inlineStr">
        <is>
          <t>TA_9</t>
        </is>
      </c>
      <c r="C495" t="inlineStr">
        <is>
          <t>TA_19</t>
        </is>
      </c>
      <c r="D495" t="n">
        <v>12</v>
      </c>
      <c r="E495" t="n">
        <v>3</v>
      </c>
      <c r="F495" t="n">
        <v>11</v>
      </c>
      <c r="G495" t="n">
        <v>4</v>
      </c>
      <c r="H495" t="n">
        <v>12</v>
      </c>
      <c r="I495" t="n">
        <v>5</v>
      </c>
      <c r="J495" t="n">
        <v>12</v>
      </c>
      <c r="K495" t="n">
        <v>3</v>
      </c>
      <c r="L495" t="n">
        <v>11</v>
      </c>
      <c r="M495" t="n">
        <v>4</v>
      </c>
      <c r="N495" t="n">
        <v>12</v>
      </c>
      <c r="O495" t="n">
        <v>5</v>
      </c>
      <c r="P495">
        <f>Table1[[#This Row],[TA 1 - Q1 Score]]+Table1[[#This Row],[TA 1 - Q2 Score]]+Table1[[#This Row],[TA 1 - Q3 Score]]</f>
        <v/>
      </c>
      <c r="Q495">
        <f>Table1[[#This Row],[TA 1 - Q1 Bonus]]+Table1[[#This Row],[TA 1 - Q2 Bonus]]+Table1[[#This Row],[TA 1 - Q4 Bonus]]</f>
        <v/>
      </c>
      <c r="R495">
        <f>Table1[[#This Row],[TA 2 - Q1 Score]]+Table1[[#This Row],[TA 2 - Q2 Score]]+Table1[[#This Row],[TA 2 - Q3 Score]]</f>
        <v/>
      </c>
      <c r="S495">
        <f>Table1[[#This Row],[TA 2 - Q1 Bonus]]+Table1[[#This Row],[TA 2 - Q2 Bonus]]+Table1[[#This Row],[TA 2 - Q4 Bonus]]</f>
        <v/>
      </c>
      <c r="T495">
        <f>(Table1[[#This Row],[TA 1 - Total Score (out of 35)]]+Table1[[#This Row],[TA 2 - Total Score (out of 35)]])/2</f>
        <v/>
      </c>
      <c r="U495">
        <f>(Table1[[#This Row],[TA 1 - Total Bonus (out of 13)]]+Table1[[#This Row],[TA 2 - Total Bonus (out of 13)]])/2</f>
        <v/>
      </c>
      <c r="V495">
        <f>Table1[[#This Row],[Average Questions]]/35*20+Table1[[#This Row],[Average Bonus]]/13*5</f>
        <v/>
      </c>
      <c r="W495" t="n">
        <v>10.5</v>
      </c>
      <c r="X495" t="n">
        <v>3</v>
      </c>
      <c r="Y495" t="inlineStr">
        <is>
          <t>The student successfully completed all tasks related to data loading, model adaptation, and training. The transforms, DataLoaders, and image display were correctly implemented. The model was loaded, the backbone was frozen, and the classifier head was replaced as required. The training and validation loops were correctly defined, and the labels were fixed for 0-indexing. The training process, including plotting losses and accuracies, was correctly implemented. However, the student did not implement vertical flipping in the TTA, which resulted in a partial bonus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495" t="n">
        <v>0</v>
      </c>
      <c r="AA495" t="n">
        <v>0</v>
      </c>
      <c r="AB495" t="inlineStr">
        <is>
          <t>The student's submission does not run correctly due to several issues. The dataset paths are incorrectly set, leading to errors in loading the data. The transforms applied to the images do not match the required specifications, and the model architecture deviates from the rubric. Additionally, the training and validation functions are not correctly implemented, and the residual connection is not defined correctly. Therefore, the code does not meet the requirements for any of the tasks, resulting in a score of 0.0 for both the base tasks and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1: Defined residual connection correctly: 0.0/3.0
- Bonus Task 2: Retrain + Plot losses and accuracy: 0.0/1.0</t>
        </is>
      </c>
      <c r="AC495" t="n">
        <v>0</v>
      </c>
      <c r="AD495" t="inlineStr">
        <is>
          <t>The student's submission does not run correctly due to several issues. The dataset class is incorrectly implemented, leading to errors in data loading. The model definition uses 'efficientnet-b1' instead of 'efficientnet-b0' as specified. The training and validation loops are incorrectly implemented, and the loss and optimizer are not defined correctly. Additionally, the visualization of predictions is not correctly implemented. Therefore, no points are awarded for any task as the code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95" t="n">
        <v>0</v>
      </c>
      <c r="AF495" t="n">
        <v>0</v>
      </c>
      <c r="AG495" t="inlineStr">
        <is>
          <t>The student's implementation of the `ColorizationDataset` class is incomplete. The `rgb_to_grayscale` method is correctly implemented, but the `__init__` method does not store the dataset correctly, and the `__getitem__` method does not return the correct tuple. Additionally, the visualization code is missing, which is a required part of the task. Therefore, the implementation does not meet the criteria for full credit and receives 0 points.
Breakdown:
- Correctly implemented `ColorizationDataset` class: 0.0/5.0</t>
        </is>
      </c>
      <c r="AH495" t="n">
        <v>10.5</v>
      </c>
      <c r="AI495" t="n">
        <v>3</v>
      </c>
    </row>
    <row r="496">
      <c r="A496" t="n">
        <v>495</v>
      </c>
      <c r="B496" t="inlineStr">
        <is>
          <t>TA_9</t>
        </is>
      </c>
      <c r="C496" t="inlineStr">
        <is>
          <t>TA_19</t>
        </is>
      </c>
      <c r="D496" t="n">
        <v>5.1</v>
      </c>
      <c r="E496" t="n">
        <v>0</v>
      </c>
      <c r="F496" t="n">
        <v>9</v>
      </c>
      <c r="G496" t="n">
        <v>0</v>
      </c>
      <c r="H496" t="n">
        <v>12</v>
      </c>
      <c r="I496" t="n">
        <v>0</v>
      </c>
      <c r="J496" t="n">
        <v>9</v>
      </c>
      <c r="K496" t="n">
        <v>0</v>
      </c>
      <c r="L496" t="n">
        <v>8.25</v>
      </c>
      <c r="M496" t="n">
        <v>0</v>
      </c>
      <c r="N496" t="n">
        <v>12</v>
      </c>
      <c r="O496" t="n">
        <v>0</v>
      </c>
      <c r="P496">
        <f>Table1[[#This Row],[TA 1 - Q1 Score]]+Table1[[#This Row],[TA 1 - Q2 Score]]+Table1[[#This Row],[TA 1 - Q3 Score]]</f>
        <v/>
      </c>
      <c r="Q496">
        <f>Table1[[#This Row],[TA 1 - Q1 Bonus]]+Table1[[#This Row],[TA 1 - Q2 Bonus]]+Table1[[#This Row],[TA 1 - Q4 Bonus]]</f>
        <v/>
      </c>
      <c r="R496">
        <f>Table1[[#This Row],[TA 2 - Q1 Score]]+Table1[[#This Row],[TA 2 - Q2 Score]]+Table1[[#This Row],[TA 2 - Q3 Score]]</f>
        <v/>
      </c>
      <c r="S496">
        <f>Table1[[#This Row],[TA 2 - Q1 Bonus]]+Table1[[#This Row],[TA 2 - Q2 Bonus]]+Table1[[#This Row],[TA 2 - Q4 Bonus]]</f>
        <v/>
      </c>
      <c r="T496">
        <f>(Table1[[#This Row],[TA 1 - Total Score (out of 35)]]+Table1[[#This Row],[TA 2 - Total Score (out of 35)]])/2</f>
        <v/>
      </c>
      <c r="U496">
        <f>(Table1[[#This Row],[TA 1 - Total Bonus (out of 13)]]+Table1[[#This Row],[TA 2 - Total Bonus (out of 13)]])/2</f>
        <v/>
      </c>
      <c r="V496">
        <f>Table1[[#This Row],[Average Questions]]/35*20+Table1[[#This Row],[Average Bonus]]/13*5</f>
        <v/>
      </c>
      <c r="W496" t="n">
        <v>0</v>
      </c>
      <c r="X496" t="n">
        <v>0</v>
      </c>
      <c r="Y496" t="inlineStr">
        <is>
          <t>The student's submission does not run correctly due to several issues. The training and validation loops are incorrect, and the model is not properly set up for transfer learning. The student did not fix the labels, which is a critical part of the task. Additionally, the student did not implement the bonus task for Test Time Augmentation.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96" t="n">
        <v>0</v>
      </c>
      <c r="AA496" t="n">
        <v>0</v>
      </c>
      <c r="AB496" t="inlineStr">
        <is>
          <t>The student's submission does not run correctly due to several issues. The dataset loading and transformation steps are incorrect, leading to mismatched image sizes and incorrect class labels. The CNN model architecture deviates significantly from the required specifications, including the number of convolutional layers and the use of Batch Normalization. The training and validation functions are incorrectly implemented, and the training process does not follow the specified steps. Additionally, the bonus task for residual connections is not attempted.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96" t="n">
        <v>0</v>
      </c>
      <c r="AD496" t="inlineStr">
        <is>
          <t>The student's submission does not run correctly due to several issues. The dataset class is incorrectly implemented, leading to errors in data loading. The model definition and training loops are incomplete or incorrect, resulting in a non-functional training process. The visualization of predictions is also flawed. Therefore, no points are awarded for any task as the code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96" t="n">
        <v>0</v>
      </c>
      <c r="AF496" t="n">
        <v>0</v>
      </c>
      <c r="AG496" t="inlineStr">
        <is>
          <t>No submission found.</t>
        </is>
      </c>
      <c r="AH496" t="n">
        <v>0</v>
      </c>
      <c r="AI496" t="n">
        <v>0</v>
      </c>
    </row>
    <row r="497">
      <c r="A497" t="n">
        <v>496</v>
      </c>
      <c r="B497" t="inlineStr">
        <is>
          <t>TA_9</t>
        </is>
      </c>
      <c r="C497" t="inlineStr">
        <is>
          <t>TA_19</t>
        </is>
      </c>
      <c r="D497" t="n">
        <v>10.8</v>
      </c>
      <c r="E497" t="n">
        <v>0</v>
      </c>
      <c r="F497" t="n">
        <v>8.75</v>
      </c>
      <c r="G497" t="n">
        <v>0</v>
      </c>
      <c r="H497" t="n">
        <v>10.1</v>
      </c>
      <c r="I497" t="n">
        <v>0</v>
      </c>
      <c r="J497" t="n">
        <v>12</v>
      </c>
      <c r="K497" t="n">
        <v>0</v>
      </c>
      <c r="L497" t="n">
        <v>8.25</v>
      </c>
      <c r="M497" t="n">
        <v>0</v>
      </c>
      <c r="N497" t="n">
        <v>11.5</v>
      </c>
      <c r="O497" t="n">
        <v>0</v>
      </c>
      <c r="P497">
        <f>Table1[[#This Row],[TA 1 - Q1 Score]]+Table1[[#This Row],[TA 1 - Q2 Score]]+Table1[[#This Row],[TA 1 - Q3 Score]]</f>
        <v/>
      </c>
      <c r="Q497">
        <f>Table1[[#This Row],[TA 1 - Q1 Bonus]]+Table1[[#This Row],[TA 1 - Q2 Bonus]]+Table1[[#This Row],[TA 1 - Q4 Bonus]]</f>
        <v/>
      </c>
      <c r="R497">
        <f>Table1[[#This Row],[TA 2 - Q1 Score]]+Table1[[#This Row],[TA 2 - Q2 Score]]+Table1[[#This Row],[TA 2 - Q3 Score]]</f>
        <v/>
      </c>
      <c r="S497">
        <f>Table1[[#This Row],[TA 2 - Q1 Bonus]]+Table1[[#This Row],[TA 2 - Q2 Bonus]]+Table1[[#This Row],[TA 2 - Q4 Bonus]]</f>
        <v/>
      </c>
      <c r="T497">
        <f>(Table1[[#This Row],[TA 1 - Total Score (out of 35)]]+Table1[[#This Row],[TA 2 - Total Score (out of 35)]])/2</f>
        <v/>
      </c>
      <c r="U497">
        <f>(Table1[[#This Row],[TA 1 - Total Bonus (out of 13)]]+Table1[[#This Row],[TA 2 - Total Bonus (out of 13)]])/2</f>
        <v/>
      </c>
      <c r="V497">
        <f>Table1[[#This Row],[Average Questions]]/35*20+Table1[[#This Row],[Average Bonus]]/13*5</f>
        <v/>
      </c>
      <c r="W497" t="n">
        <v>0</v>
      </c>
      <c r="X497" t="n">
        <v>0</v>
      </c>
      <c r="Y497" t="inlineStr">
        <is>
          <t>The student's submission does not run correctly due to multiple issues. The transforms are incomplete, the DataLoaders are not created correctly, and the model is not set up properly. The training and validation loops are incorrect, and the labels are not fixed. Additionally, the plots for training and validation losses and accuracies are missing. The bonus task for Test Time Augmentation is also not implemented correctly. Therefore, the student receives 0 points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97" t="n">
        <v>0</v>
      </c>
      <c r="AA497" t="n">
        <v>0</v>
      </c>
      <c r="AB497" t="inlineStr">
        <is>
          <t>The student's submission does not run correctly due to several issues. The dataset paths are incorrect, leading to errors in loading the data. The CNN model definition is incomplete and incorrect, missing batch normalization layers and having incorrect dimensions for the fully connected layers. The training and validation functions are flawed, and the plotting code is not correctly implemented.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97" t="n">
        <v>0</v>
      </c>
      <c r="AD497" t="inlineStr">
        <is>
          <t>The student's submission does not run end-to-end due to multiple issues. The dataset class is incorrectly implemented, leading to errors in data loading. The training and validation loops are not correctly defined, and the model training process is flawed. Additionally, the visualization of predictions is incomplete and incorrect. Therefore, no points are awarded for any task as the code does not run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97" t="n">
        <v>0</v>
      </c>
      <c r="AF497" t="n">
        <v>0</v>
      </c>
      <c r="AG497" t="inlineStr">
        <is>
          <t>No submission found.</t>
        </is>
      </c>
      <c r="AH497" t="n">
        <v>0</v>
      </c>
      <c r="AI497" t="n">
        <v>0</v>
      </c>
    </row>
    <row r="498">
      <c r="A498" t="n">
        <v>497</v>
      </c>
      <c r="B498" t="inlineStr">
        <is>
          <t>TA_9</t>
        </is>
      </c>
      <c r="C498" t="inlineStr">
        <is>
          <t>TA_19</t>
        </is>
      </c>
      <c r="D498" t="n">
        <v>5.8</v>
      </c>
      <c r="E498" t="n">
        <v>0</v>
      </c>
      <c r="F498" t="n">
        <v>9</v>
      </c>
      <c r="G498" t="n">
        <v>0</v>
      </c>
      <c r="H498" t="n">
        <v>8.65</v>
      </c>
      <c r="I498" t="n">
        <v>0</v>
      </c>
      <c r="J498" t="n">
        <v>8</v>
      </c>
      <c r="K498" t="n">
        <v>0</v>
      </c>
      <c r="L498" t="n">
        <v>8.75</v>
      </c>
      <c r="M498" t="n">
        <v>0</v>
      </c>
      <c r="N498" t="n">
        <v>10.5</v>
      </c>
      <c r="O498" t="n">
        <v>0</v>
      </c>
      <c r="P498">
        <f>Table1[[#This Row],[TA 1 - Q1 Score]]+Table1[[#This Row],[TA 1 - Q2 Score]]+Table1[[#This Row],[TA 1 - Q3 Score]]</f>
        <v/>
      </c>
      <c r="Q498">
        <f>Table1[[#This Row],[TA 1 - Q1 Bonus]]+Table1[[#This Row],[TA 1 - Q2 Bonus]]+Table1[[#This Row],[TA 1 - Q4 Bonus]]</f>
        <v/>
      </c>
      <c r="R498">
        <f>Table1[[#This Row],[TA 2 - Q1 Score]]+Table1[[#This Row],[TA 2 - Q2 Score]]+Table1[[#This Row],[TA 2 - Q3 Score]]</f>
        <v/>
      </c>
      <c r="S498">
        <f>Table1[[#This Row],[TA 2 - Q1 Bonus]]+Table1[[#This Row],[TA 2 - Q2 Bonus]]+Table1[[#This Row],[TA 2 - Q4 Bonus]]</f>
        <v/>
      </c>
      <c r="T498">
        <f>(Table1[[#This Row],[TA 1 - Total Score (out of 35)]]+Table1[[#This Row],[TA 2 - Total Score (out of 35)]])/2</f>
        <v/>
      </c>
      <c r="U498">
        <f>(Table1[[#This Row],[TA 1 - Total Bonus (out of 13)]]+Table1[[#This Row],[TA 2 - Total Bonus (out of 13)]])/2</f>
        <v/>
      </c>
      <c r="V498">
        <f>Table1[[#This Row],[Average Questions]]/35*20+Table1[[#This Row],[Average Bonus]]/13*5</f>
        <v/>
      </c>
      <c r="W498" t="n">
        <v>0</v>
      </c>
      <c r="X498" t="n">
        <v>0</v>
      </c>
      <c r="Y498" t="inlineStr">
        <is>
          <t>The student's submission does not run correctly due to several issues. The transforms are not correctly applied, the DataLoaders are not created properly, and the model is not correctly set up for training. Additionally, the training and validation loops are incorrect, and the plots for training and validation losses and accuracies are missing. The bonus task for Test Time Augmentation is also not implemented.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98" t="n">
        <v>0</v>
      </c>
      <c r="AA498" t="n">
        <v>0</v>
      </c>
      <c r="AB498" t="inlineStr">
        <is>
          <t>The student's submission does not run correctly due to several issues. The dataset loading and transformation steps are incorrect, leading to mismatched image sizes and incorrect data loading. The CNN model definition is incomplete and does not follow the specified requirements, particularly the lack of batch normalization. The training and validation functions are incorrectly implemented, leading to errors in the training process.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98" t="n">
        <v>0</v>
      </c>
      <c r="AD498" t="inlineStr">
        <is>
          <t>The student's submission does not run end-to-end due to multiple issues. The dataset class is incorrectly implemented, leading to errors in loading images and masks. The model definition uses 'efficientnet-b1' instead of 'efficientnet-b0' as specified. The training and validation loops are incomplete and contain errors. Additionally, the visualization of predictions is flawed. These issues prevent the code from running correctly, resulting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98" t="n">
        <v>0</v>
      </c>
      <c r="AF498" t="n">
        <v>0</v>
      </c>
      <c r="AG498" t="inlineStr">
        <is>
          <t>No submission found.</t>
        </is>
      </c>
      <c r="AH498" t="n">
        <v>0</v>
      </c>
      <c r="AI498" t="n">
        <v>0</v>
      </c>
    </row>
    <row r="499">
      <c r="A499" t="n">
        <v>498</v>
      </c>
      <c r="B499" t="inlineStr">
        <is>
          <t>TA_9</t>
        </is>
      </c>
      <c r="C499" t="inlineStr">
        <is>
          <t>TA_19</t>
        </is>
      </c>
      <c r="D499" t="n">
        <v>12</v>
      </c>
      <c r="E499" t="n">
        <v>3.5</v>
      </c>
      <c r="F499" t="n">
        <v>11</v>
      </c>
      <c r="G499" t="n">
        <v>4</v>
      </c>
      <c r="H499" t="n">
        <v>12</v>
      </c>
      <c r="I499" t="n">
        <v>5</v>
      </c>
      <c r="J499" t="n">
        <v>12</v>
      </c>
      <c r="K499" t="n">
        <v>3</v>
      </c>
      <c r="L499" t="n">
        <v>11</v>
      </c>
      <c r="M499" t="n">
        <v>4</v>
      </c>
      <c r="N499" t="n">
        <v>12</v>
      </c>
      <c r="O499" t="n">
        <v>0</v>
      </c>
      <c r="P499">
        <f>Table1[[#This Row],[TA 1 - Q1 Score]]+Table1[[#This Row],[TA 1 - Q2 Score]]+Table1[[#This Row],[TA 1 - Q3 Score]]</f>
        <v/>
      </c>
      <c r="Q499">
        <f>Table1[[#This Row],[TA 1 - Q1 Bonus]]+Table1[[#This Row],[TA 1 - Q2 Bonus]]+Table1[[#This Row],[TA 1 - Q4 Bonus]]</f>
        <v/>
      </c>
      <c r="R499">
        <f>Table1[[#This Row],[TA 2 - Q1 Score]]+Table1[[#This Row],[TA 2 - Q2 Score]]+Table1[[#This Row],[TA 2 - Q3 Score]]</f>
        <v/>
      </c>
      <c r="S499">
        <f>Table1[[#This Row],[TA 2 - Q1 Bonus]]+Table1[[#This Row],[TA 2 - Q2 Bonus]]+Table1[[#This Row],[TA 2 - Q4 Bonus]]</f>
        <v/>
      </c>
      <c r="T499">
        <f>(Table1[[#This Row],[TA 1 - Total Score (out of 35)]]+Table1[[#This Row],[TA 2 - Total Score (out of 35)]])/2</f>
        <v/>
      </c>
      <c r="U499">
        <f>(Table1[[#This Row],[TA 1 - Total Bonus (out of 13)]]+Table1[[#This Row],[TA 2 - Total Bonus (out of 13)]])/2</f>
        <v/>
      </c>
      <c r="V499">
        <f>Table1[[#This Row],[Average Questions]]/35*20+Table1[[#This Row],[Average Bonus]]/13*5</f>
        <v/>
      </c>
      <c r="W499" t="n">
        <v>0</v>
      </c>
      <c r="X499" t="n">
        <v>0</v>
      </c>
      <c r="Y499" t="inlineStr">
        <is>
          <t>The student's submission has several issues that prevent it from running correctly. The code for displaying sample images is missing, and the training and validation loops contain errors that prevent them from running. Additionally, the student did not correctly implement the label fix for 0-indexed labels, which is a critical part of the task. The bonus task for Test Time Augmentation (TTA) is also incomplete and does not run correctly. Therefore, the student receives 0 points for the base tasks and 0 points for the bonus task.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99" t="n">
        <v>0</v>
      </c>
      <c r="AA499" t="n">
        <v>0</v>
      </c>
      <c r="AB499" t="inlineStr">
        <is>
          <t>The student's submission does not run correctly due to several issues. The transforms are incorrect as they resize the images to 32x32 instead of 128x128. The CNN model does not have 5 convolutional layers as required. The training and validation functions have logical errors, and the residual connection is incorrectly implemented.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99" t="n">
        <v>0</v>
      </c>
      <c r="AD499" t="inlineStr">
        <is>
          <t>The student's submission does not run correctly due to missing code for several tasks. Specifically, the dataset class is incomplete, the model definition is incorrect, and the training and validation loops are not correctly implemented. The code for visualizing predictions is also missing. Therefore, the minimum defensible score for each task is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99" t="n">
        <v>0</v>
      </c>
      <c r="AF499" t="n">
        <v>0</v>
      </c>
      <c r="AG499" t="inlineStr">
        <is>
          <t>No submission found.</t>
        </is>
      </c>
      <c r="AH499" t="n">
        <v>0</v>
      </c>
      <c r="AI499" t="n">
        <v>0</v>
      </c>
    </row>
    <row r="500">
      <c r="A500" t="n">
        <v>499</v>
      </c>
      <c r="B500" t="inlineStr">
        <is>
          <t>TA_9</t>
        </is>
      </c>
      <c r="C500" t="inlineStr">
        <is>
          <t>TA_19</t>
        </is>
      </c>
      <c r="D500" t="n">
        <v>12</v>
      </c>
      <c r="E500" t="n">
        <v>0</v>
      </c>
      <c r="F500" t="n">
        <v>11</v>
      </c>
      <c r="G500" t="n">
        <v>3.3</v>
      </c>
      <c r="H500" t="n">
        <v>12</v>
      </c>
      <c r="I500" t="n">
        <v>5</v>
      </c>
      <c r="J500" t="n">
        <v>12</v>
      </c>
      <c r="K500" t="n">
        <v>0</v>
      </c>
      <c r="L500" t="n">
        <v>10.9</v>
      </c>
      <c r="M500" t="n">
        <v>0</v>
      </c>
      <c r="N500" t="n">
        <v>11.5</v>
      </c>
      <c r="O500" t="n">
        <v>5</v>
      </c>
      <c r="P500">
        <f>Table1[[#This Row],[TA 1 - Q1 Score]]+Table1[[#This Row],[TA 1 - Q2 Score]]+Table1[[#This Row],[TA 1 - Q3 Score]]</f>
        <v/>
      </c>
      <c r="Q500">
        <f>Table1[[#This Row],[TA 1 - Q1 Bonus]]+Table1[[#This Row],[TA 1 - Q2 Bonus]]+Table1[[#This Row],[TA 1 - Q4 Bonus]]</f>
        <v/>
      </c>
      <c r="R500">
        <f>Table1[[#This Row],[TA 2 - Q1 Score]]+Table1[[#This Row],[TA 2 - Q2 Score]]+Table1[[#This Row],[TA 2 - Q3 Score]]</f>
        <v/>
      </c>
      <c r="S500">
        <f>Table1[[#This Row],[TA 2 - Q1 Bonus]]+Table1[[#This Row],[TA 2 - Q2 Bonus]]+Table1[[#This Row],[TA 2 - Q4 Bonus]]</f>
        <v/>
      </c>
      <c r="T500">
        <f>(Table1[[#This Row],[TA 1 - Total Score (out of 35)]]+Table1[[#This Row],[TA 2 - Total Score (out of 35)]])/2</f>
        <v/>
      </c>
      <c r="U500">
        <f>(Table1[[#This Row],[TA 1 - Total Bonus (out of 13)]]+Table1[[#This Row],[TA 2 - Total Bonus (out of 13)]])/2</f>
        <v/>
      </c>
      <c r="V500">
        <f>Table1[[#This Row],[Average Questions]]/35*20+Table1[[#This Row],[Average Bonus]]/13*5</f>
        <v/>
      </c>
      <c r="W500" t="n">
        <v>10</v>
      </c>
      <c r="X500" t="n">
        <v>0</v>
      </c>
      <c r="Y500" t="inlineStr">
        <is>
          <t>The student successfully completed all base tasks with correct implementations and logic. However, the bonus task for Test Time Augmentation (TTA) was not attempted, resulting in a score of 0 for both sub-tasks within the bonus section. The student's code runs correctly and follows the optimal logic for the base tasks, earning full points for those sections.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00" t="n">
        <v>0</v>
      </c>
      <c r="AA500" t="n">
        <v>0</v>
      </c>
      <c r="AB500" t="inlineStr">
        <is>
          <t>The student's submission does not follow the rubric correctly. The dataset class or ImageFolder is not correctly implemented, the transforms are incorrect, and the CNN model does not have the required 5 convolutional layers. Additionally, the training and validation functions are not correctly defined, and the model training process is flawed. The bonus task is also incorrectly implemented, using a UNet model instead of adding a residual connection to the CNN model. Therefore, no points are awarded for any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500" t="n">
        <v>0</v>
      </c>
      <c r="AD500" t="inlineStr">
        <is>
          <t>The student's submission does not run correctly due to multiple issues. The dataset class is incomplete and does not correctly load images and masks. The DataLoader creation is flawed, and the display of sample images and masks is missing. The model definition uses the wrong encoder (efficientnet-b0 instead of efficientnet-b1), and the training and validation loops are not correctly implemented. The loss and optimizer are defined incorrectly, and the training process does not run as expected. The visualization of predictions is also incorrect and does not display the ground truth and predictions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00" t="n">
        <v>0</v>
      </c>
      <c r="AF500" t="n">
        <v>0</v>
      </c>
      <c r="AG500" t="inlineStr">
        <is>
          <t>The student's implementation of the `ColorizationDataset` class is incomplete and contains errors. The `__init__` method is not fully implemented, and the `rgb_to_grayscale` method is missing in the initial attempt. Although the student eventually implements the `rgb_to_grayscale` method correctly, the overall implementation is not fully correct and does not run end-to-end as required. Additionally, there is an extra cell with irrelevant code, which indicates a lack of focus and adherence to the task instructions.
Breakdown:
- Correctly implemented `ColorizationDataset` class: 0.0/5.0</t>
        </is>
      </c>
      <c r="AH500" t="n">
        <v>10</v>
      </c>
      <c r="AI500" t="n">
        <v>0</v>
      </c>
    </row>
    <row r="501">
      <c r="A501" t="n">
        <v>500</v>
      </c>
      <c r="B501" t="inlineStr">
        <is>
          <t>TA_9</t>
        </is>
      </c>
      <c r="C501" t="inlineStr">
        <is>
          <t>TA_19</t>
        </is>
      </c>
      <c r="D501" t="n">
        <v>10.5</v>
      </c>
      <c r="E501" t="n">
        <v>0</v>
      </c>
      <c r="F501" t="n">
        <v>11</v>
      </c>
      <c r="G501" t="n">
        <v>0</v>
      </c>
      <c r="H501" t="n">
        <v>12</v>
      </c>
      <c r="I501" t="n">
        <v>0</v>
      </c>
      <c r="J501" t="n">
        <v>10.5</v>
      </c>
      <c r="K501" t="n">
        <v>0</v>
      </c>
      <c r="L501" t="n">
        <v>11</v>
      </c>
      <c r="M501" t="n">
        <v>0</v>
      </c>
      <c r="N501" t="n">
        <v>12</v>
      </c>
      <c r="O501" t="n">
        <v>0</v>
      </c>
      <c r="P501">
        <f>Table1[[#This Row],[TA 1 - Q1 Score]]+Table1[[#This Row],[TA 1 - Q2 Score]]+Table1[[#This Row],[TA 1 - Q3 Score]]</f>
        <v/>
      </c>
      <c r="Q501">
        <f>Table1[[#This Row],[TA 1 - Q1 Bonus]]+Table1[[#This Row],[TA 1 - Q2 Bonus]]+Table1[[#This Row],[TA 1 - Q4 Bonus]]</f>
        <v/>
      </c>
      <c r="R501">
        <f>Table1[[#This Row],[TA 2 - Q1 Score]]+Table1[[#This Row],[TA 2 - Q2 Score]]+Table1[[#This Row],[TA 2 - Q3 Score]]</f>
        <v/>
      </c>
      <c r="S501">
        <f>Table1[[#This Row],[TA 2 - Q1 Bonus]]+Table1[[#This Row],[TA 2 - Q2 Bonus]]+Table1[[#This Row],[TA 2 - Q4 Bonus]]</f>
        <v/>
      </c>
      <c r="T501">
        <f>(Table1[[#This Row],[TA 1 - Total Score (out of 35)]]+Table1[[#This Row],[TA 2 - Total Score (out of 35)]])/2</f>
        <v/>
      </c>
      <c r="U501">
        <f>(Table1[[#This Row],[TA 1 - Total Bonus (out of 13)]]+Table1[[#This Row],[TA 2 - Total Bonus (out of 13)]])/2</f>
        <v/>
      </c>
      <c r="V501">
        <f>Table1[[#This Row],[Average Questions]]/35*20+Table1[[#This Row],[Average Bonus]]/13*5</f>
        <v/>
      </c>
      <c r="W501" t="n">
        <v>0</v>
      </c>
      <c r="X501" t="n">
        <v>0</v>
      </c>
      <c r="Y501" t="inlineStr">
        <is>
          <t>The student's submission does not run correctly due to several issues. The transforms are incomplete, the DataLoaders are not correctly created, and the model is not properly set up for training. Additionally, the training and validation loops contain errors, and the plots for losses and accuracies are missing. The bonus task for Test Time Augmentation is also not implemented.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01" t="n">
        <v>0</v>
      </c>
      <c r="AA501" t="n">
        <v>0</v>
      </c>
      <c r="AB501" t="inlineStr">
        <is>
          <t>The student's submission does not follow the rubric correctly. The dataset is not split into train and test directories as required. The student used a single directory for both training and testing, which is against the instructions. Additionally, the student did not use ImageFolder for loading the dataset, which is a required task. The student's code for the CNN model does not match the specifications, and the training and validation functions are not correctly implemented. The student did not attempt the bonus task.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01" t="n">
        <v>0</v>
      </c>
      <c r="AD501" t="inlineStr">
        <is>
          <t>The student's submission does not run end-to-end due to multiple issues. The dataset class is incomplete and contains errors, leading to failures in data loading and transformation. The model definition uses 'efficientnet-b0' instead of 'efficientnet-b1' as specified. The training and validation loops are present but do not run correctly due to the dataset issues. The visualization of predictions is attempted but fails because the model training did not complete successfully.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01" t="n">
        <v>0</v>
      </c>
      <c r="AF501" t="n">
        <v>0</v>
      </c>
      <c r="AG501" t="inlineStr">
        <is>
          <t>No submission found.</t>
        </is>
      </c>
      <c r="AH501" t="n">
        <v>0</v>
      </c>
      <c r="AI501" t="n">
        <v>0</v>
      </c>
    </row>
    <row r="502">
      <c r="A502" t="n">
        <v>501</v>
      </c>
      <c r="B502" t="inlineStr">
        <is>
          <t>TA_9</t>
        </is>
      </c>
      <c r="C502" t="inlineStr">
        <is>
          <t>TA_19</t>
        </is>
      </c>
      <c r="D502" t="n">
        <v>10</v>
      </c>
      <c r="E502" t="n">
        <v>0</v>
      </c>
      <c r="F502" t="n">
        <v>9.75</v>
      </c>
      <c r="G502" t="n">
        <v>0</v>
      </c>
      <c r="H502" t="n">
        <v>8.300000000000001</v>
      </c>
      <c r="I502" t="n">
        <v>0</v>
      </c>
      <c r="J502" t="n">
        <v>10</v>
      </c>
      <c r="K502" t="n">
        <v>0</v>
      </c>
      <c r="L502" t="n">
        <v>9.5</v>
      </c>
      <c r="M502" t="n">
        <v>0</v>
      </c>
      <c r="N502" t="n">
        <v>7.25</v>
      </c>
      <c r="O502" t="n">
        <v>0</v>
      </c>
      <c r="P502">
        <f>Table1[[#This Row],[TA 1 - Q1 Score]]+Table1[[#This Row],[TA 1 - Q2 Score]]+Table1[[#This Row],[TA 1 - Q3 Score]]</f>
        <v/>
      </c>
      <c r="Q502">
        <f>Table1[[#This Row],[TA 1 - Q1 Bonus]]+Table1[[#This Row],[TA 1 - Q2 Bonus]]+Table1[[#This Row],[TA 1 - Q4 Bonus]]</f>
        <v/>
      </c>
      <c r="R502">
        <f>Table1[[#This Row],[TA 2 - Q1 Score]]+Table1[[#This Row],[TA 2 - Q2 Score]]+Table1[[#This Row],[TA 2 - Q3 Score]]</f>
        <v/>
      </c>
      <c r="S502">
        <f>Table1[[#This Row],[TA 2 - Q1 Bonus]]+Table1[[#This Row],[TA 2 - Q2 Bonus]]+Table1[[#This Row],[TA 2 - Q4 Bonus]]</f>
        <v/>
      </c>
      <c r="T502">
        <f>(Table1[[#This Row],[TA 1 - Total Score (out of 35)]]+Table1[[#This Row],[TA 2 - Total Score (out of 35)]])/2</f>
        <v/>
      </c>
      <c r="U502">
        <f>(Table1[[#This Row],[TA 1 - Total Bonus (out of 13)]]+Table1[[#This Row],[TA 2 - Total Bonus (out of 13)]])/2</f>
        <v/>
      </c>
      <c r="V502">
        <f>Table1[[#This Row],[Average Questions]]/35*20+Table1[[#This Row],[Average Bonus]]/13*5</f>
        <v/>
      </c>
      <c r="W502" t="n">
        <v>0</v>
      </c>
      <c r="X502" t="n">
        <v>0</v>
      </c>
      <c r="Y502" t="inlineStr">
        <is>
          <t>The student's submission does not correctly implement the required tasks. The transforms are partially completed but not fully implemented. The DataLoaders are created but not displayed correctly. The model loading and adaptation steps are incorrect, using a different model and incorrect classifier replacement. The training and validation loops are incorrectly implemented, and the label fixing is not done. The training setup and plotting tasks are not correctly implemented. The bonus task for Test Time Augmentation is not attempted. Overall, the submission does not meet the requirements of the rubric.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02" t="n">
        <v>0</v>
      </c>
      <c r="AA502" t="n">
        <v>0</v>
      </c>
      <c r="AB502" t="inlineStr">
        <is>
          <t>The student's submission does not run correctly due to multiple issues. The dataset loading and transformation steps are incorrect, leading to shape mismatches in the CNN model. The CNN model definition is flawed, with incorrect input channels and missing pooling layers. The training and validation functions are incorrectly implemented, leading to errors in the training process.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02" t="n">
        <v>0</v>
      </c>
      <c r="AD502" t="inlineStr">
        <is>
          <t>The student's submission does not run correctly due to several issues. The dataset class is incomplete and does not follow the required structure. The model definition is incorrect as it uses 'efficientnet-b1' instead of 'efficientnet-b0'. The training and validation loops are incomplete and contain errors. The loss and optimizer are defined incorrectly, and the training process does not execute properly. Additionally, the visualization of predictions is missing. Therefore, no points are awarded for any task as the code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02" t="n">
        <v>0</v>
      </c>
      <c r="AF502" t="n">
        <v>0</v>
      </c>
      <c r="AG502" t="inlineStr">
        <is>
          <t>No submission found.</t>
        </is>
      </c>
      <c r="AH502" t="n">
        <v>0</v>
      </c>
      <c r="AI502" t="n">
        <v>0</v>
      </c>
    </row>
    <row r="503">
      <c r="A503" t="n">
        <v>502</v>
      </c>
      <c r="B503" t="inlineStr">
        <is>
          <t>TA_9</t>
        </is>
      </c>
      <c r="C503" t="inlineStr">
        <is>
          <t>TA_19</t>
        </is>
      </c>
      <c r="D503" t="n">
        <v>9.15</v>
      </c>
      <c r="E503" t="n">
        <v>0</v>
      </c>
      <c r="F503" t="n">
        <v>7.75</v>
      </c>
      <c r="G503" t="n">
        <v>0</v>
      </c>
      <c r="H503" t="n">
        <v>9.300000000000001</v>
      </c>
      <c r="I503" t="n">
        <v>0</v>
      </c>
      <c r="J503" t="n">
        <v>8</v>
      </c>
      <c r="K503" t="n">
        <v>2</v>
      </c>
      <c r="L503" t="n">
        <v>5.9</v>
      </c>
      <c r="M503" t="n">
        <v>0</v>
      </c>
      <c r="N503" t="n">
        <v>9.25</v>
      </c>
      <c r="O503" t="n">
        <v>0</v>
      </c>
      <c r="P503">
        <f>Table1[[#This Row],[TA 1 - Q1 Score]]+Table1[[#This Row],[TA 1 - Q2 Score]]+Table1[[#This Row],[TA 1 - Q3 Score]]</f>
        <v/>
      </c>
      <c r="Q503">
        <f>Table1[[#This Row],[TA 1 - Q1 Bonus]]+Table1[[#This Row],[TA 1 - Q2 Bonus]]+Table1[[#This Row],[TA 1 - Q4 Bonus]]</f>
        <v/>
      </c>
      <c r="R503">
        <f>Table1[[#This Row],[TA 2 - Q1 Score]]+Table1[[#This Row],[TA 2 - Q2 Score]]+Table1[[#This Row],[TA 2 - Q3 Score]]</f>
        <v/>
      </c>
      <c r="S503">
        <f>Table1[[#This Row],[TA 2 - Q1 Bonus]]+Table1[[#This Row],[TA 2 - Q2 Bonus]]+Table1[[#This Row],[TA 2 - Q4 Bonus]]</f>
        <v/>
      </c>
      <c r="T503">
        <f>(Table1[[#This Row],[TA 1 - Total Score (out of 35)]]+Table1[[#This Row],[TA 2 - Total Score (out of 35)]])/2</f>
        <v/>
      </c>
      <c r="U503">
        <f>(Table1[[#This Row],[TA 1 - Total Bonus (out of 13)]]+Table1[[#This Row],[TA 2 - Total Bonus (out of 13)]])/2</f>
        <v/>
      </c>
      <c r="V503">
        <f>Table1[[#This Row],[Average Questions]]/35*20+Table1[[#This Row],[Average Bonus]]/13*5</f>
        <v/>
      </c>
      <c r="W503" t="n">
        <v>0</v>
      </c>
      <c r="X503" t="n">
        <v>0</v>
      </c>
      <c r="Y503" t="inlineStr">
        <is>
          <t>The student's submission contains several critical errors that prevent the code from running correctly. The transforms are incorrectly set to resize images to 64x64 instead of 28x28, which deviates from the rubric. The model is not correctly adapted for the 26 classes, and the training and validation loops are flawed. Additionally, the student did not implement the bonus task correctly.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03" t="n">
        <v>0</v>
      </c>
      <c r="AA503" t="n">
        <v>0</v>
      </c>
      <c r="AB503" t="inlineStr">
        <is>
          <t>The student's submission does not run correctly due to several issues. The CNN model class does not have 5 convolutional layers as required. The training and validation functions are incorrect because they use softmax on the outputs before calculating the loss, which is not necessary for CrossEntropyLoss. The student did not plot the losses and accuracies. Additionally, the student did not attempt the bonus task.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03" t="n">
        <v>0</v>
      </c>
      <c r="AD503" t="inlineStr">
        <is>
          <t>The student's submission does not run correctly due to multiple issues. The dataset class is incorrectly implemented, leading to errors in loading images and masks. The model definition uses 'efficientnet-b0' instead of 'efficientnet-b1' as specified. The training and validation loops are incomplete and contain errors. The loss and optimizer are defined incorrectly, and the training process does not execute properly. Additionally, the visualization of predictions is flawed. Therefore, no points are awarded for any task as the code does not run end-to-end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03" t="n">
        <v>0</v>
      </c>
      <c r="AF503" t="n">
        <v>0</v>
      </c>
      <c r="AG503" t="inlineStr">
        <is>
          <t>No submission found.</t>
        </is>
      </c>
      <c r="AH503" t="n">
        <v>0</v>
      </c>
      <c r="AI503" t="n">
        <v>0</v>
      </c>
    </row>
    <row r="504">
      <c r="A504" t="n">
        <v>503</v>
      </c>
      <c r="B504" t="inlineStr">
        <is>
          <t>TA_9</t>
        </is>
      </c>
      <c r="C504" t="inlineStr">
        <is>
          <t>TA_19</t>
        </is>
      </c>
      <c r="D504" t="n">
        <v>10</v>
      </c>
      <c r="E504" t="n">
        <v>0</v>
      </c>
      <c r="F504" t="n">
        <v>5.6</v>
      </c>
      <c r="G504" t="n">
        <v>0</v>
      </c>
      <c r="H504" t="n">
        <v>6.3</v>
      </c>
      <c r="I504" t="n">
        <v>0</v>
      </c>
      <c r="J504" t="n">
        <v>10.25</v>
      </c>
      <c r="K504" t="n">
        <v>0</v>
      </c>
      <c r="L504" t="n">
        <v>6.5</v>
      </c>
      <c r="M504" t="n">
        <v>0</v>
      </c>
      <c r="N504" t="n">
        <v>7.75</v>
      </c>
      <c r="O504" t="n">
        <v>0</v>
      </c>
      <c r="P504">
        <f>Table1[[#This Row],[TA 1 - Q1 Score]]+Table1[[#This Row],[TA 1 - Q2 Score]]+Table1[[#This Row],[TA 1 - Q3 Score]]</f>
        <v/>
      </c>
      <c r="Q504">
        <f>Table1[[#This Row],[TA 1 - Q1 Bonus]]+Table1[[#This Row],[TA 1 - Q2 Bonus]]+Table1[[#This Row],[TA 1 - Q4 Bonus]]</f>
        <v/>
      </c>
      <c r="R504">
        <f>Table1[[#This Row],[TA 2 - Q1 Score]]+Table1[[#This Row],[TA 2 - Q2 Score]]+Table1[[#This Row],[TA 2 - Q3 Score]]</f>
        <v/>
      </c>
      <c r="S504">
        <f>Table1[[#This Row],[TA 2 - Q1 Bonus]]+Table1[[#This Row],[TA 2 - Q2 Bonus]]+Table1[[#This Row],[TA 2 - Q4 Bonus]]</f>
        <v/>
      </c>
      <c r="T504">
        <f>(Table1[[#This Row],[TA 1 - Total Score (out of 35)]]+Table1[[#This Row],[TA 2 - Total Score (out of 35)]])/2</f>
        <v/>
      </c>
      <c r="U504">
        <f>(Table1[[#This Row],[TA 1 - Total Bonus (out of 13)]]+Table1[[#This Row],[TA 2 - Total Bonus (out of 13)]])/2</f>
        <v/>
      </c>
      <c r="V504">
        <f>Table1[[#This Row],[Average Questions]]/35*20+Table1[[#This Row],[Average Bonus]]/13*5</f>
        <v/>
      </c>
      <c r="W504" t="n">
        <v>0</v>
      </c>
      <c r="X504" t="n">
        <v>0</v>
      </c>
      <c r="Y504" t="inlineStr">
        <is>
          <t>The student's submission contains several critical errors that prevent the code from running correctly. The student used the wrong model (EfficientNetV2-M instead of EfficientNetV2-S), did not correctly freeze the backbone, and used an incorrect loss function and optimizer setup. Additionally, the student did not correctly implement the training and validation loops, leading to incorrect label handling and inaccurate predictions. The display of sample images is incorrect, and the plots for training and validation losses and accuracies are missing. The bonus task for Test Time Augmentation (TTA) was not attempted.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04" t="n">
        <v>0</v>
      </c>
      <c r="AA504" t="n">
        <v>0</v>
      </c>
      <c r="AB504" t="inlineStr">
        <is>
          <t>The student's submission does not run correctly due to several issues. The dataset class is incorrectly implemented, leading to errors in loading the data. The transformations are applied incorrectly, and the model definition does not follow the specified requirements. Additionally, the training and validation functions are not correctly implemented, and there is no code for plotting losses and accuracy. The bonus task is also not attempted.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04" t="n">
        <v>0</v>
      </c>
      <c r="AD504" t="inlineStr">
        <is>
          <t>The student's submission does not run end-to-end due to multiple issues. The dataset class is incorrectly defined, leading to errors in data loading. The model definition uses the wrong encoder (efficientnet-b1 instead of efficientnet-b0), and the training and validation loops are not correctly implemented. Additionally, the visualization of predictions is missing. Therefore, no points are awarded for any task as the code does not run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04" t="n">
        <v>0</v>
      </c>
      <c r="AF504" t="n">
        <v>0</v>
      </c>
      <c r="AG504" t="inlineStr">
        <is>
          <t>No submission found.</t>
        </is>
      </c>
      <c r="AH504" t="n">
        <v>0</v>
      </c>
      <c r="AI504" t="n">
        <v>0</v>
      </c>
    </row>
    <row r="505">
      <c r="A505" t="n">
        <v>504</v>
      </c>
      <c r="B505" t="inlineStr">
        <is>
          <t>TA_9</t>
        </is>
      </c>
      <c r="C505" t="inlineStr">
        <is>
          <t>TA_19</t>
        </is>
      </c>
      <c r="D505" t="n">
        <v>1</v>
      </c>
      <c r="E505" t="n">
        <v>0</v>
      </c>
      <c r="F505" t="n">
        <v>11</v>
      </c>
      <c r="G505" t="n">
        <v>4</v>
      </c>
      <c r="H505" t="n">
        <v>8.050000000000001</v>
      </c>
      <c r="I505" t="n">
        <v>5</v>
      </c>
      <c r="J505" t="n">
        <v>3.25</v>
      </c>
      <c r="K505" t="n">
        <v>0</v>
      </c>
      <c r="L505" t="n">
        <v>10.75</v>
      </c>
      <c r="M505" t="n">
        <v>4</v>
      </c>
      <c r="N505" t="n">
        <v>9.15</v>
      </c>
      <c r="O505" t="n">
        <v>5</v>
      </c>
      <c r="P505">
        <f>Table1[[#This Row],[TA 1 - Q1 Score]]+Table1[[#This Row],[TA 1 - Q2 Score]]+Table1[[#This Row],[TA 1 - Q3 Score]]</f>
        <v/>
      </c>
      <c r="Q505">
        <f>Table1[[#This Row],[TA 1 - Q1 Bonus]]+Table1[[#This Row],[TA 1 - Q2 Bonus]]+Table1[[#This Row],[TA 1 - Q4 Bonus]]</f>
        <v/>
      </c>
      <c r="R505">
        <f>Table1[[#This Row],[TA 2 - Q1 Score]]+Table1[[#This Row],[TA 2 - Q2 Score]]+Table1[[#This Row],[TA 2 - Q3 Score]]</f>
        <v/>
      </c>
      <c r="S505">
        <f>Table1[[#This Row],[TA 2 - Q1 Bonus]]+Table1[[#This Row],[TA 2 - Q2 Bonus]]+Table1[[#This Row],[TA 2 - Q4 Bonus]]</f>
        <v/>
      </c>
      <c r="T505">
        <f>(Table1[[#This Row],[TA 1 - Total Score (out of 35)]]+Table1[[#This Row],[TA 2 - Total Score (out of 35)]])/2</f>
        <v/>
      </c>
      <c r="U505">
        <f>(Table1[[#This Row],[TA 1 - Total Bonus (out of 13)]]+Table1[[#This Row],[TA 2 - Total Bonus (out of 13)]])/2</f>
        <v/>
      </c>
      <c r="V505">
        <f>Table1[[#This Row],[Average Questions]]/35*20+Table1[[#This Row],[Average Bonus]]/13*5</f>
        <v/>
      </c>
      <c r="W505" t="n">
        <v>0</v>
      </c>
      <c r="X505" t="n">
        <v>0</v>
      </c>
      <c r="Y505" t="inlineStr">
        <is>
          <t>The student's submission is incomplete and contains several critical errors. The code for loading and preparing data is partially correct, but the display of sample images is missing. The model loading and adaptation section is entirely missing, as is the training and validation loop. The training section is also incomplete, with no setup for the device, model, loss, or optimizer, and no plotting of training and validation losses or accuracy. The bonus task for Test Time Augmentation is also missing. Therefore, the student receives 0 points for the base tasks and 0 points for the bonus task.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05" t="n">
        <v>8</v>
      </c>
      <c r="AA505" t="n">
        <v>0</v>
      </c>
      <c r="AB505" t="inlineStr">
        <is>
          <t>The student correctly implemented the dataset class or ImageFolder, created the train/test datasets and DataLoaders, applied the required transforms, and displayed sample images with labels. The CNN model class with 5 convolutional layers and batch normalization was correctly defined. The training and validation loop functions were implemented correctly. However, the training process did not run correctly due to issues in the training loop function, resulting in no training or validation losses and accuracies being plotted. The bonus task for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505" t="n">
        <v>0</v>
      </c>
      <c r="AD505" t="inlineStr">
        <is>
          <t>The student's submission does not run end-to-end due to several issues. The dataset class is incorrectly implemented, leading to errors in data loading. The model definition uses the wrong number of classes (3 instead of 8), and the training and validation loops are not correctly implemented. Additionally, the student did not split the dataset into training and validation sets, which is a critical step. The visualization of predictions is also incorrect due to the issues in the dataset class and model definition. Therefore, the student receives 0 points for all tasks as the code does not run correctly and deviates from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05" t="n">
        <v>0</v>
      </c>
      <c r="AF505" t="n">
        <v>0</v>
      </c>
      <c r="AG505" t="inlineStr">
        <is>
          <t>The student's implementation of the `ColorizationDataset` class contains a mistake in the `rgb_to_grayscale` method. The method does not correctly handle the dimensions of the input image, leading to incorrect grayscale conversion. Specifically, the slicing of the image channels is incorrect, which results in a shape mismatch. This mistake prevents the code from running correctly, and thus, no points can be awarded for this task.
Breakdown:
- Correctly implemented `ColorizationDataset` class: 0.0/5.0</t>
        </is>
      </c>
      <c r="AH505" t="n">
        <v>8</v>
      </c>
      <c r="AI505" t="n">
        <v>0</v>
      </c>
    </row>
    <row r="506">
      <c r="A506" t="n">
        <v>505</v>
      </c>
      <c r="B506" t="inlineStr">
        <is>
          <t>TA_9</t>
        </is>
      </c>
      <c r="C506" t="inlineStr">
        <is>
          <t>TA_19</t>
        </is>
      </c>
      <c r="D506" t="n">
        <v>4.3</v>
      </c>
      <c r="E506" t="n">
        <v>3.8</v>
      </c>
      <c r="F506" t="n">
        <v>4.85</v>
      </c>
      <c r="G506" t="n">
        <v>3.3</v>
      </c>
      <c r="H506" t="n">
        <v>8.9</v>
      </c>
      <c r="I506" t="n">
        <v>5</v>
      </c>
      <c r="J506" t="n">
        <v>4.75</v>
      </c>
      <c r="K506" t="n">
        <v>3</v>
      </c>
      <c r="L506" t="n">
        <v>4.25</v>
      </c>
      <c r="M506" t="n">
        <v>0</v>
      </c>
      <c r="N506" t="n">
        <v>9.5</v>
      </c>
      <c r="O506" t="n">
        <v>5</v>
      </c>
      <c r="P506">
        <f>Table1[[#This Row],[TA 1 - Q1 Score]]+Table1[[#This Row],[TA 1 - Q2 Score]]+Table1[[#This Row],[TA 1 - Q3 Score]]</f>
        <v/>
      </c>
      <c r="Q506">
        <f>Table1[[#This Row],[TA 1 - Q1 Bonus]]+Table1[[#This Row],[TA 1 - Q2 Bonus]]+Table1[[#This Row],[TA 1 - Q4 Bonus]]</f>
        <v/>
      </c>
      <c r="R506">
        <f>Table1[[#This Row],[TA 2 - Q1 Score]]+Table1[[#This Row],[TA 2 - Q2 Score]]+Table1[[#This Row],[TA 2 - Q3 Score]]</f>
        <v/>
      </c>
      <c r="S506">
        <f>Table1[[#This Row],[TA 2 - Q1 Bonus]]+Table1[[#This Row],[TA 2 - Q2 Bonus]]+Table1[[#This Row],[TA 2 - Q4 Bonus]]</f>
        <v/>
      </c>
      <c r="T506">
        <f>(Table1[[#This Row],[TA 1 - Total Score (out of 35)]]+Table1[[#This Row],[TA 2 - Total Score (out of 35)]])/2</f>
        <v/>
      </c>
      <c r="U506">
        <f>(Table1[[#This Row],[TA 1 - Total Bonus (out of 13)]]+Table1[[#This Row],[TA 2 - Total Bonus (out of 13)]])/2</f>
        <v/>
      </c>
      <c r="V506">
        <f>Table1[[#This Row],[Average Questions]]/35*20+Table1[[#This Row],[Average Bonus]]/13*5</f>
        <v/>
      </c>
      <c r="W506" t="n">
        <v>0</v>
      </c>
      <c r="X506" t="n">
        <v>0</v>
      </c>
      <c r="Y506" t="inlineStr">
        <is>
          <t>The student's submission does not complete any of the required tasks. The code for transforming the data is incomplete and incorrect, the DataLoaders are not correctly created, and sample images are not displayed. The model loading and adaptation steps are missing critical components, and the training and validation loops are incorrectly implemented. Additionally, the training process and plotting functions are flawed, and the bonus task for Test Time Augmentation is not attempted.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06" t="n">
        <v>0</v>
      </c>
      <c r="AA506" t="n">
        <v>0</v>
      </c>
      <c r="AB506" t="inlineStr">
        <is>
          <t>The student's submission does not follow the rubric. The dataset class is incorrect and does not use ImageFolder. The transforms do not include RandomRotation and the images are resized to 224x224 instead of 32x32. The CNN model does not have 5 convolutional layers and does not include Batch Normalization. The training and validation functions are incorrect and do not follow the specified structure. The training process does not set up the device, model, loss, and optimizer correctly. The bonus task is not attempted and the model used is a UNet model instead of a CNN with residual connections.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06" t="n">
        <v>0</v>
      </c>
      <c r="AD506" t="inlineStr">
        <is>
          <t>The student's submission does not run end-to-end due to multiple issues. The dataset class is incorrectly implemented, leading to errors in data loading. The model definition uses the wrong number of classes (5 instead of 8), and the training loop has syntax errors. Additionally, the student did not follow the instructions to use the correct dataset paths, which further complicates the execution. Therefore, no points are awarded for any task as the code does not run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06" t="n">
        <v>0</v>
      </c>
      <c r="AF506" t="n">
        <v>0</v>
      </c>
      <c r="AG506" t="inlineStr">
        <is>
          <t>The student's implementation of the `ColorizationDataset` class is incorrect. The `rgb_to_grayscale` method does not correctly handle the dimensions of the input image, leading to a shape mismatch. Specifically, the method returns a tensor of shape (H, W) instead of (1, H, W), which is required for the grayscale image. This mistake causes the dataset to produce incorrect outputs, resulting in a score of 0.0 for this task.
Breakdown:
- Correctly implemented `ColorizationDataset` class: 0.0/5.0</t>
        </is>
      </c>
      <c r="AH506" t="n">
        <v>0</v>
      </c>
      <c r="AI506" t="n">
        <v>0</v>
      </c>
    </row>
    <row r="507">
      <c r="A507" t="n">
        <v>506</v>
      </c>
      <c r="B507" t="inlineStr">
        <is>
          <t>TA_9</t>
        </is>
      </c>
      <c r="C507" t="inlineStr">
        <is>
          <t>TA_19</t>
        </is>
      </c>
      <c r="D507" t="n">
        <v>5</v>
      </c>
      <c r="E507" t="n">
        <v>0</v>
      </c>
      <c r="F507" t="n">
        <v>10.1</v>
      </c>
      <c r="G507" t="n">
        <v>0</v>
      </c>
      <c r="H507" t="n">
        <v>7.5</v>
      </c>
      <c r="I507" t="n">
        <v>0</v>
      </c>
      <c r="J507" t="n">
        <v>5.5</v>
      </c>
      <c r="K507" t="n">
        <v>0</v>
      </c>
      <c r="L507" t="n">
        <v>10.75</v>
      </c>
      <c r="M507" t="n">
        <v>0</v>
      </c>
      <c r="N507" t="n">
        <v>7.75</v>
      </c>
      <c r="O507" t="n">
        <v>0</v>
      </c>
      <c r="P507">
        <f>Table1[[#This Row],[TA 1 - Q1 Score]]+Table1[[#This Row],[TA 1 - Q2 Score]]+Table1[[#This Row],[TA 1 - Q3 Score]]</f>
        <v/>
      </c>
      <c r="Q507">
        <f>Table1[[#This Row],[TA 1 - Q1 Bonus]]+Table1[[#This Row],[TA 1 - Q2 Bonus]]+Table1[[#This Row],[TA 1 - Q4 Bonus]]</f>
        <v/>
      </c>
      <c r="R507">
        <f>Table1[[#This Row],[TA 2 - Q1 Score]]+Table1[[#This Row],[TA 2 - Q2 Score]]+Table1[[#This Row],[TA 2 - Q3 Score]]</f>
        <v/>
      </c>
      <c r="S507">
        <f>Table1[[#This Row],[TA 2 - Q1 Bonus]]+Table1[[#This Row],[TA 2 - Q2 Bonus]]+Table1[[#This Row],[TA 2 - Q4 Bonus]]</f>
        <v/>
      </c>
      <c r="T507">
        <f>(Table1[[#This Row],[TA 1 - Total Score (out of 35)]]+Table1[[#This Row],[TA 2 - Total Score (out of 35)]])/2</f>
        <v/>
      </c>
      <c r="U507">
        <f>(Table1[[#This Row],[TA 1 - Total Bonus (out of 13)]]+Table1[[#This Row],[TA 2 - Total Bonus (out of 13)]])/2</f>
        <v/>
      </c>
      <c r="V507">
        <f>Table1[[#This Row],[Average Questions]]/35*20+Table1[[#This Row],[Average Bonus]]/13*5</f>
        <v/>
      </c>
      <c r="W507" t="n">
        <v>0</v>
      </c>
      <c r="X507" t="n">
        <v>0</v>
      </c>
      <c r="Y507" t="inlineStr">
        <is>
          <t>The student's submission does not run end-to-end due to missing or incorrect code in several critical parts. The DataLoader creation and image display tasks are incomplete, and the model training and validation functions are not correctly implemented. Additionally, the student did not attempt the bonus task. Therefore, the score is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07" t="n">
        <v>0</v>
      </c>
      <c r="AA507" t="n">
        <v>0</v>
      </c>
      <c r="AB507" t="inlineStr">
        <is>
          <t>The student's submission does not run correctly due to several issues. The code for the CNN model is incomplete and contains syntax errors, such as missing the definition of the ReLU activation function. Additionally, the training and validation functions are not correctly implemented, leading to runtime errors.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07" t="n">
        <v>0</v>
      </c>
      <c r="AD507" t="inlineStr">
        <is>
          <t>The student's submission does not run end-to-end due to missing or incorrect implementations in several key areas. The dataset class is incomplete and does not correctly handle the masks. The DataLoader creation is flawed, and there is no display of sample images and masks. The model definition uses the correct encoder but lacks the training and validation loops. The training process is not correctly implemented, and there is no plotting of the loss curve or visualization of predictions. The submission does not meet the requirements for any of the tasks, resulting in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07" t="n">
        <v>0</v>
      </c>
      <c r="AF507" t="n">
        <v>0</v>
      </c>
      <c r="AG507" t="inlineStr">
        <is>
          <t>No submission found.</t>
        </is>
      </c>
      <c r="AH507" t="n">
        <v>0</v>
      </c>
      <c r="AI507" t="n">
        <v>0</v>
      </c>
    </row>
    <row r="508">
      <c r="A508" t="n">
        <v>507</v>
      </c>
      <c r="B508" t="inlineStr">
        <is>
          <t>TA_9</t>
        </is>
      </c>
      <c r="C508" t="inlineStr">
        <is>
          <t>TA_19</t>
        </is>
      </c>
      <c r="D508" t="n">
        <v>4.3</v>
      </c>
      <c r="E508" t="n">
        <v>0</v>
      </c>
      <c r="F508" t="n">
        <v>6.8</v>
      </c>
      <c r="G508" t="n">
        <v>0</v>
      </c>
      <c r="H508" t="n">
        <v>8.1</v>
      </c>
      <c r="I508" t="n">
        <v>0</v>
      </c>
      <c r="J508" t="n">
        <v>4.75</v>
      </c>
      <c r="K508" t="n">
        <v>0</v>
      </c>
      <c r="L508" t="n">
        <v>6.9</v>
      </c>
      <c r="M508" t="n">
        <v>0</v>
      </c>
      <c r="N508" t="n">
        <v>6.25</v>
      </c>
      <c r="O508" t="n">
        <v>0</v>
      </c>
      <c r="P508">
        <f>Table1[[#This Row],[TA 1 - Q1 Score]]+Table1[[#This Row],[TA 1 - Q2 Score]]+Table1[[#This Row],[TA 1 - Q3 Score]]</f>
        <v/>
      </c>
      <c r="Q508">
        <f>Table1[[#This Row],[TA 1 - Q1 Bonus]]+Table1[[#This Row],[TA 1 - Q2 Bonus]]+Table1[[#This Row],[TA 1 - Q4 Bonus]]</f>
        <v/>
      </c>
      <c r="R508">
        <f>Table1[[#This Row],[TA 2 - Q1 Score]]+Table1[[#This Row],[TA 2 - Q2 Score]]+Table1[[#This Row],[TA 2 - Q3 Score]]</f>
        <v/>
      </c>
      <c r="S508">
        <f>Table1[[#This Row],[TA 2 - Q1 Bonus]]+Table1[[#This Row],[TA 2 - Q2 Bonus]]+Table1[[#This Row],[TA 2 - Q4 Bonus]]</f>
        <v/>
      </c>
      <c r="T508">
        <f>(Table1[[#This Row],[TA 1 - Total Score (out of 35)]]+Table1[[#This Row],[TA 2 - Total Score (out of 35)]])/2</f>
        <v/>
      </c>
      <c r="U508">
        <f>(Table1[[#This Row],[TA 1 - Total Bonus (out of 13)]]+Table1[[#This Row],[TA 2 - Total Bonus (out of 13)]])/2</f>
        <v/>
      </c>
      <c r="V508">
        <f>Table1[[#This Row],[Average Questions]]/35*20+Table1[[#This Row],[Average Bonus]]/13*5</f>
        <v/>
      </c>
      <c r="W508" t="n">
        <v>0</v>
      </c>
      <c r="X508" t="n">
        <v>0</v>
      </c>
      <c r="Y508" t="inlineStr">
        <is>
          <t>The student's submission does not run correctly due to several critical errors. The training and validation loops are incorrect, and the model's classifier head is not correctly replaced. Additionally, the student did not fix the labels to be 0-indexed, which is a requirement for the task. The code also does not display sample images or implement the bonus task correctly. Therefore, the student receives 0 points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08" t="n">
        <v>0</v>
      </c>
      <c r="AA508" t="n">
        <v>0</v>
      </c>
      <c r="AB508" t="inlineStr">
        <is>
          <t>The student's submission does not run correctly due to multiple issues. The dataset paths are incorrect, the transformations are not applied correctly, and the model definition and training loops contain errors. The student did not display sample images with labels, and the model does not include batch normalization. Additionally, the student did not attempt the bonus task.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08" t="n">
        <v>0</v>
      </c>
      <c r="AD508" t="inlineStr">
        <is>
          <t>The student's submission does not follow the rubric correctly. The dataset class is incorrectly implemented, using a CSV file for metadata which was not provided or mentioned in the instructions. The model class uses 'efficientnet-b1' instead of 'efficientnet-b0' as specified. The training and validation loops are incorrectly implemented for binary segmentation instead of multi-class segmentation. The loss function and optimizer are also incorrectly defined for binary segmentation. The visualization of predictions is attempted but uses binary masks instead of multi-class masks. Overall, the submission deviates significantly from the required tasks and does not run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08" t="n">
        <v>0</v>
      </c>
      <c r="AF508" t="n">
        <v>0</v>
      </c>
      <c r="AG508" t="inlineStr">
        <is>
          <t>No submission found.</t>
        </is>
      </c>
      <c r="AH508" t="n">
        <v>0</v>
      </c>
      <c r="AI508" t="n">
        <v>0</v>
      </c>
    </row>
    <row r="509">
      <c r="A509" t="n">
        <v>508</v>
      </c>
      <c r="B509" t="inlineStr">
        <is>
          <t>TA_9</t>
        </is>
      </c>
      <c r="C509" t="inlineStr">
        <is>
          <t>TA_19</t>
        </is>
      </c>
      <c r="D509" t="n">
        <v>4</v>
      </c>
      <c r="E509" t="n">
        <v>0</v>
      </c>
      <c r="F509" t="n">
        <v>9.5</v>
      </c>
      <c r="G509" t="n">
        <v>0</v>
      </c>
      <c r="H509" t="n">
        <v>10.6</v>
      </c>
      <c r="I509" t="n">
        <v>0</v>
      </c>
      <c r="J509" t="n">
        <v>5.25</v>
      </c>
      <c r="K509" t="n">
        <v>0</v>
      </c>
      <c r="L509" t="n">
        <v>8.75</v>
      </c>
      <c r="M509" t="n">
        <v>0</v>
      </c>
      <c r="N509" t="n">
        <v>9</v>
      </c>
      <c r="O509" t="n">
        <v>0</v>
      </c>
      <c r="P509">
        <f>Table1[[#This Row],[TA 1 - Q1 Score]]+Table1[[#This Row],[TA 1 - Q2 Score]]+Table1[[#This Row],[TA 1 - Q3 Score]]</f>
        <v/>
      </c>
      <c r="Q509">
        <f>Table1[[#This Row],[TA 1 - Q1 Bonus]]+Table1[[#This Row],[TA 1 - Q2 Bonus]]+Table1[[#This Row],[TA 1 - Q4 Bonus]]</f>
        <v/>
      </c>
      <c r="R509">
        <f>Table1[[#This Row],[TA 2 - Q1 Score]]+Table1[[#This Row],[TA 2 - Q2 Score]]+Table1[[#This Row],[TA 2 - Q3 Score]]</f>
        <v/>
      </c>
      <c r="S509">
        <f>Table1[[#This Row],[TA 2 - Q1 Bonus]]+Table1[[#This Row],[TA 2 - Q2 Bonus]]+Table1[[#This Row],[TA 2 - Q4 Bonus]]</f>
        <v/>
      </c>
      <c r="T509">
        <f>(Table1[[#This Row],[TA 1 - Total Score (out of 35)]]+Table1[[#This Row],[TA 2 - Total Score (out of 35)]])/2</f>
        <v/>
      </c>
      <c r="U509">
        <f>(Table1[[#This Row],[TA 1 - Total Bonus (out of 13)]]+Table1[[#This Row],[TA 2 - Total Bonus (out of 13)]])/2</f>
        <v/>
      </c>
      <c r="V509">
        <f>Table1[[#This Row],[Average Questions]]/35*20+Table1[[#This Row],[Average Bonus]]/13*5</f>
        <v/>
      </c>
      <c r="W509" t="n">
        <v>0</v>
      </c>
      <c r="X509" t="n">
        <v>0</v>
      </c>
      <c r="Y509" t="inlineStr">
        <is>
          <t>The student's submission has several critical issues that prevent it from running correctly. The DataLoader creation is incomplete, and the validation loop does not correctly compute accuracy. Additionally, the student did not fix the labels to be 0-indexed, which is a requirement for the task. The training loop also has logical errors, such as comparing outputs directly to labels without using the correct method to get the predicted class. These issues result in a score of 0.0 for the base tasks and 0.0 for the bonus tasks.
Breakdown:
- Task 1: Complete transforms (Resize, ToTensor, Normalize): 1.5/?
- Task 2: Create DataLoaders: 0.0/?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09" t="n">
        <v>0</v>
      </c>
      <c r="AA509" t="n">
        <v>0</v>
      </c>
      <c r="AB509" t="inlineStr">
        <is>
          <t>The student's submission does not run correctly due to several issues. The model definition is incorrect, and the training and validation loops have logical errors. The student did not follow the rubric correctly, leading to a score of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09" t="n">
        <v>0</v>
      </c>
      <c r="AD509" t="inlineStr">
        <is>
          <t>The student's submission does not run end-to-end due to multiple issues. The dataset class is incorrectly implemented, leading to errors in data loading. The training and validation loops are not correctly defined, and the model training process is incomplete. Additionally, the visualization of predictions is missing crucial steps, making the code non-functional. Therefore, no points are awarded for any task as the code does not run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09" t="n">
        <v>0</v>
      </c>
      <c r="AF509" t="n">
        <v>0</v>
      </c>
      <c r="AG509" t="inlineStr">
        <is>
          <t>No submission found.</t>
        </is>
      </c>
      <c r="AH509" t="n">
        <v>0</v>
      </c>
      <c r="AI509" t="n">
        <v>0</v>
      </c>
    </row>
    <row r="510">
      <c r="A510" t="n">
        <v>509</v>
      </c>
      <c r="B510" t="inlineStr">
        <is>
          <t>TA_9</t>
        </is>
      </c>
      <c r="C510" t="inlineStr">
        <is>
          <t>TA_19</t>
        </is>
      </c>
      <c r="D510" t="n">
        <v>11.7</v>
      </c>
      <c r="E510" t="n">
        <v>0</v>
      </c>
      <c r="F510" t="n">
        <v>8.5</v>
      </c>
      <c r="G510" t="n">
        <v>0</v>
      </c>
      <c r="H510" t="n">
        <v>10.6</v>
      </c>
      <c r="I510" t="n">
        <v>0</v>
      </c>
      <c r="J510" t="n">
        <v>9.75</v>
      </c>
      <c r="K510" t="n">
        <v>0</v>
      </c>
      <c r="L510" t="n">
        <v>8.25</v>
      </c>
      <c r="M510" t="n">
        <v>0</v>
      </c>
      <c r="N510" t="n">
        <v>7.75</v>
      </c>
      <c r="O510" t="n">
        <v>0</v>
      </c>
      <c r="P510">
        <f>Table1[[#This Row],[TA 1 - Q1 Score]]+Table1[[#This Row],[TA 1 - Q2 Score]]+Table1[[#This Row],[TA 1 - Q3 Score]]</f>
        <v/>
      </c>
      <c r="Q510">
        <f>Table1[[#This Row],[TA 1 - Q1 Bonus]]+Table1[[#This Row],[TA 1 - Q2 Bonus]]+Table1[[#This Row],[TA 1 - Q4 Bonus]]</f>
        <v/>
      </c>
      <c r="R510">
        <f>Table1[[#This Row],[TA 2 - Q1 Score]]+Table1[[#This Row],[TA 2 - Q2 Score]]+Table1[[#This Row],[TA 2 - Q3 Score]]</f>
        <v/>
      </c>
      <c r="S510">
        <f>Table1[[#This Row],[TA 2 - Q1 Bonus]]+Table1[[#This Row],[TA 2 - Q2 Bonus]]+Table1[[#This Row],[TA 2 - Q4 Bonus]]</f>
        <v/>
      </c>
      <c r="T510">
        <f>(Table1[[#This Row],[TA 1 - Total Score (out of 35)]]+Table1[[#This Row],[TA 2 - Total Score (out of 35)]])/2</f>
        <v/>
      </c>
      <c r="U510">
        <f>(Table1[[#This Row],[TA 1 - Total Bonus (out of 13)]]+Table1[[#This Row],[TA 2 - Total Bonus (out of 13)]])/2</f>
        <v/>
      </c>
      <c r="V510">
        <f>Table1[[#This Row],[Average Questions]]/35*20+Table1[[#This Row],[Average Bonus]]/13*5</f>
        <v/>
      </c>
      <c r="W510" t="n">
        <v>0</v>
      </c>
      <c r="X510" t="n">
        <v>0</v>
      </c>
      <c r="Y510" t="inlineStr">
        <is>
          <t>The student's submission contains several critical errors that prevent the code from running correctly. The student used the wrong model (EfficientNetB0 instead of EfficientNetV2-Small), did not correctly freeze the backbone, and did not properly adjust the labels for 0-indexing. Additionally, the student did not display sample images and did not implement the bonus task for Test Time Augmentation. These issues result in a score of 0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10" t="n">
        <v>0</v>
      </c>
      <c r="AA510" t="n">
        <v>0</v>
      </c>
      <c r="AB510" t="inlineStr">
        <is>
          <t>The student's submission does not run correctly due to several issues. The dataset paths are incorrect, leading to errors in loading the data. The model architecture is incorrect, with mismatched dimensions and missing batch normalization layers. The training and validation loops are incomplete and contain errors.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10" t="n">
        <v>0</v>
      </c>
      <c r="AD510" t="inlineStr">
        <is>
          <t>The student's submission has several critical issues. The dataset class is incomplete and does not follow the required structure. The model definition uses 'efficientnet-b0' instead of 'efficientnet-b1', which is a deviation from the instructions. The training and validation loops are incorrectly implemented, using BCEWithLogitsLoss instead of CrossEntropyLoss, which is inappropriate for multi-class segmentation. Additionally, the loss plotting and prediction visualization tasks are not attempted. The code does not run correctly due to these fundamental errors, resulting in a score of 0.0 for the base tasks.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510" t="n">
        <v>0</v>
      </c>
      <c r="AF510" t="n">
        <v>0</v>
      </c>
      <c r="AG510" t="inlineStr">
        <is>
          <t>The student's implementation of the `ColorizationDataset` class contains multiple errors. The `__init__` method incorrectly initializes the dataset and includes unnecessary parameters. The `__len__` method has a typo in the variable name. The `rgb_to_grayscale` method incorrectly attempts to open an image and does not implement the grayscale conversion formula correctly. The `__getitem__` method has logical errors and does not correctly retrieve and convert the images. Additionally, the code does not run end-to-end due to these issues, resulting in a score of 0.0 for the task.
Breakdown:
- Correctly implemented `ColorizationDataset` class: 0.0/5.0</t>
        </is>
      </c>
      <c r="AH510" t="n">
        <v>0</v>
      </c>
      <c r="AI510" t="n">
        <v>0</v>
      </c>
    </row>
    <row r="511">
      <c r="A511" t="n">
        <v>510</v>
      </c>
      <c r="B511" t="inlineStr">
        <is>
          <t>TA_9</t>
        </is>
      </c>
      <c r="C511" t="inlineStr">
        <is>
          <t>TA_19</t>
        </is>
      </c>
      <c r="D511" t="n">
        <v>11</v>
      </c>
      <c r="E511" t="n">
        <v>3</v>
      </c>
      <c r="F511" t="n">
        <v>11</v>
      </c>
      <c r="G511" t="n">
        <v>3.5</v>
      </c>
      <c r="H511" t="n">
        <v>8.5</v>
      </c>
      <c r="I511" t="n">
        <v>5</v>
      </c>
      <c r="J511" t="n">
        <v>11</v>
      </c>
      <c r="K511" t="n">
        <v>0</v>
      </c>
      <c r="L511" t="n">
        <v>11</v>
      </c>
      <c r="M511" t="n">
        <v>3</v>
      </c>
      <c r="N511" t="n">
        <v>7.5</v>
      </c>
      <c r="O511" t="n">
        <v>5</v>
      </c>
      <c r="P511">
        <f>Table1[[#This Row],[TA 1 - Q1 Score]]+Table1[[#This Row],[TA 1 - Q2 Score]]+Table1[[#This Row],[TA 1 - Q3 Score]]</f>
        <v/>
      </c>
      <c r="Q511">
        <f>Table1[[#This Row],[TA 1 - Q1 Bonus]]+Table1[[#This Row],[TA 1 - Q2 Bonus]]+Table1[[#This Row],[TA 1 - Q4 Bonus]]</f>
        <v/>
      </c>
      <c r="R511">
        <f>Table1[[#This Row],[TA 2 - Q1 Score]]+Table1[[#This Row],[TA 2 - Q2 Score]]+Table1[[#This Row],[TA 2 - Q3 Score]]</f>
        <v/>
      </c>
      <c r="S511">
        <f>Table1[[#This Row],[TA 2 - Q1 Bonus]]+Table1[[#This Row],[TA 2 - Q2 Bonus]]+Table1[[#This Row],[TA 2 - Q4 Bonus]]</f>
        <v/>
      </c>
      <c r="T511">
        <f>(Table1[[#This Row],[TA 1 - Total Score (out of 35)]]+Table1[[#This Row],[TA 2 - Total Score (out of 35)]])/2</f>
        <v/>
      </c>
      <c r="U511">
        <f>(Table1[[#This Row],[TA 1 - Total Bonus (out of 13)]]+Table1[[#This Row],[TA 2 - Total Bonus (out of 13)]])/2</f>
        <v/>
      </c>
      <c r="V511">
        <f>Table1[[#This Row],[Average Questions]]/35*20+Table1[[#This Row],[Average Bonus]]/13*5</f>
        <v/>
      </c>
      <c r="W511" t="n">
        <v>10</v>
      </c>
      <c r="X511" t="n">
        <v>0</v>
      </c>
      <c r="Y511" t="inlineStr">
        <is>
          <t>The student successfully completed all base tasks with correct implementations. The transforms, DataLoaders, and image display were correctly implemented. The pretrained model was loaded, the backbone was frozen, and the classifier head was replaced correctly. The training and validation loops were correctly defined, and the labels were fixed as required. The training setup, including device, model, loss, and optimizer, was correctly implemented. The model was trained, and the training and validation losses and accuracies were plotted correctly. However, the student did not attempt the bonus task for Test Time Augmentation, resulting in a score of 0 for the bonus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0.0/?
- Averaged predictions correctly: 0.0/?</t>
        </is>
      </c>
      <c r="Z511" t="n">
        <v>0</v>
      </c>
      <c r="AA511" t="n">
        <v>0</v>
      </c>
      <c r="AB511" t="inlineStr">
        <is>
          <t>The student's submission does not run correctly due to several issues. The dataset loading and preparation tasks are incomplete and incorrect, leading to a failure in subsequent tasks. The CNN model definition is incorrect and does not follow the specified requirements. The training and validation functions are partially correct, but the overall code does not execute properly, resulting in a score of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0.5/0.5
- Task 1: Set up device, model, loss, optimizer: 0.0/1.0
- Task 2: Train the model: 0.0/0.5
- Task 3: Plot losses and accuracy: 0.0/0.5
- Bonus Task: Defined residual connection correctly: 0.0/3.0
- Bonus Task: Retrain + Plot losses and accuracy: 0.0/1.0</t>
        </is>
      </c>
      <c r="AC511" t="n">
        <v>0</v>
      </c>
      <c r="AD511" t="inlineStr">
        <is>
          <t>The student's submission does not run end-to-end due to incomplete code and missing implementations for several tasks. The dataset class is incomplete, and the training and validation loops are not correctly defined. Additionally, the model training and visualization tasks are not implemented, leading to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11" t="n">
        <v>0</v>
      </c>
      <c r="AF511" t="n">
        <v>0</v>
      </c>
      <c r="AG511" t="inlineStr">
        <is>
          <t>The student's implementation of the `ColorizationDataset` class contains a mistake in the `rgb_to_grayscale` method. The method does not correctly add the channel dimension back to the grayscale image, which results in an incorrect shape for the grayscale image. This mistake prevents the code from running correctly and thus does not meet the criteria for any points.
Breakdown:
- Correctly implemented `ColorizationDataset` class: 0.0/5.0</t>
        </is>
      </c>
      <c r="AH511" t="n">
        <v>10</v>
      </c>
      <c r="AI511" t="n">
        <v>0</v>
      </c>
    </row>
    <row r="512">
      <c r="A512" t="n">
        <v>511</v>
      </c>
      <c r="B512" t="inlineStr">
        <is>
          <t>TA_10</t>
        </is>
      </c>
      <c r="C512" t="inlineStr">
        <is>
          <t>TA_20</t>
        </is>
      </c>
      <c r="D512" t="n">
        <v>5.75</v>
      </c>
      <c r="E512" t="n">
        <v>0</v>
      </c>
      <c r="F512" t="n">
        <v>8</v>
      </c>
      <c r="G512" t="n">
        <v>0</v>
      </c>
      <c r="H512" t="n">
        <v>10</v>
      </c>
      <c r="I512" t="n">
        <v>0</v>
      </c>
      <c r="J512" t="n">
        <v>6</v>
      </c>
      <c r="K512" t="n">
        <v>0</v>
      </c>
      <c r="L512" t="n">
        <v>8</v>
      </c>
      <c r="M512" t="n">
        <v>0</v>
      </c>
      <c r="N512" t="n">
        <v>10.75</v>
      </c>
      <c r="O512" t="n">
        <v>0</v>
      </c>
      <c r="P512">
        <f>Table1[[#This Row],[TA 1 - Q1 Score]]+Table1[[#This Row],[TA 1 - Q2 Score]]+Table1[[#This Row],[TA 1 - Q3 Score]]</f>
        <v/>
      </c>
      <c r="Q512">
        <f>Table1[[#This Row],[TA 1 - Q1 Bonus]]+Table1[[#This Row],[TA 1 - Q2 Bonus]]+Table1[[#This Row],[TA 1 - Q4 Bonus]]</f>
        <v/>
      </c>
      <c r="R512">
        <f>Table1[[#This Row],[TA 2 - Q1 Score]]+Table1[[#This Row],[TA 2 - Q2 Score]]+Table1[[#This Row],[TA 2 - Q3 Score]]</f>
        <v/>
      </c>
      <c r="S512">
        <f>Table1[[#This Row],[TA 2 - Q1 Bonus]]+Table1[[#This Row],[TA 2 - Q2 Bonus]]+Table1[[#This Row],[TA 2 - Q4 Bonus]]</f>
        <v/>
      </c>
      <c r="T512">
        <f>(Table1[[#This Row],[TA 1 - Total Score (out of 35)]]+Table1[[#This Row],[TA 2 - Total Score (out of 35)]])/2</f>
        <v/>
      </c>
      <c r="U512">
        <f>(Table1[[#This Row],[TA 1 - Total Bonus (out of 13)]]+Table1[[#This Row],[TA 2 - Total Bonus (out of 13)]])/2</f>
        <v/>
      </c>
      <c r="V512">
        <f>Table1[[#This Row],[Average Questions]]/35*20+Table1[[#This Row],[Average Bonus]]/13*5</f>
        <v/>
      </c>
      <c r="W512" t="n">
        <v>0</v>
      </c>
      <c r="X512" t="n">
        <v>0</v>
      </c>
      <c r="Y512" t="inlineStr">
        <is>
          <t>The student's submission does not run correctly due to several issues. The transforms are incomplete, the DataLoaders are not correctly created, and the sample images are not displayed correctly. The model is not correctly loaded or adapted, and the training and validation loops are incorrect. Additionally, the labels are not fixed for 0-indexing, and the training process does not plot the losses or accuracies. The bonus task for Test Time Augmentation is also not implemented correctly.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12" t="n">
        <v>0</v>
      </c>
      <c r="AA512" t="n">
        <v>0</v>
      </c>
      <c r="AB512" t="inlineStr">
        <is>
          <t>The student's submission does not run correctly due to several issues. The transformations applied to the images are incorrect, as the resizing is set to 32x32 instead of 128x128. Additionally, the CNN model does not follow the specified architecture with 5 convolutional layers and batch normalization. The training and validation functions are incorrectly implemented, leading to errors in the training process. The student also did not implement the bonus task for residual connections.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12" t="n">
        <v>0</v>
      </c>
      <c r="AD512" t="inlineStr">
        <is>
          <t>The student's submission does not run correctly due to several issues. The dataset class is incomplete and does not correctly load images and masks. The model definition uses the wrong number of classes and the incorrect loss function. The training and validation loops are incomplete and do not correctly handle the data. Additionally, the visualization of predictions is incorrect as it uses a binary mask instead of a multi-class mask. Therefore, no points are awarded for any task as the code does not run correctly and deviates from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12" t="n">
        <v>0</v>
      </c>
      <c r="AF512" t="n">
        <v>0</v>
      </c>
      <c r="AG512" t="inlineStr">
        <is>
          <t>No submission found.</t>
        </is>
      </c>
      <c r="AH512" t="n">
        <v>0</v>
      </c>
      <c r="AI512" t="n">
        <v>0</v>
      </c>
    </row>
    <row r="513">
      <c r="A513" t="n">
        <v>512</v>
      </c>
      <c r="B513" t="inlineStr">
        <is>
          <t>TA_10</t>
        </is>
      </c>
      <c r="C513" t="inlineStr">
        <is>
          <t>TA_20</t>
        </is>
      </c>
      <c r="D513" t="n">
        <v>10.5</v>
      </c>
      <c r="E513" t="n">
        <v>0</v>
      </c>
      <c r="F513" t="n">
        <v>11</v>
      </c>
      <c r="G513" t="n">
        <v>0</v>
      </c>
      <c r="H513" t="n">
        <v>12</v>
      </c>
      <c r="I513" t="n">
        <v>0</v>
      </c>
      <c r="J513" t="n">
        <v>11</v>
      </c>
      <c r="K513" t="n">
        <v>4</v>
      </c>
      <c r="L513" t="n">
        <v>11</v>
      </c>
      <c r="M513" t="n">
        <v>0</v>
      </c>
      <c r="N513" t="n">
        <v>12</v>
      </c>
      <c r="O513" t="n">
        <v>0</v>
      </c>
      <c r="P513">
        <f>Table1[[#This Row],[TA 1 - Q1 Score]]+Table1[[#This Row],[TA 1 - Q2 Score]]+Table1[[#This Row],[TA 1 - Q3 Score]]</f>
        <v/>
      </c>
      <c r="Q513">
        <f>Table1[[#This Row],[TA 1 - Q1 Bonus]]+Table1[[#This Row],[TA 1 - Q2 Bonus]]+Table1[[#This Row],[TA 1 - Q4 Bonus]]</f>
        <v/>
      </c>
      <c r="R513">
        <f>Table1[[#This Row],[TA 2 - Q1 Score]]+Table1[[#This Row],[TA 2 - Q2 Score]]+Table1[[#This Row],[TA 2 - Q3 Score]]</f>
        <v/>
      </c>
      <c r="S513">
        <f>Table1[[#This Row],[TA 2 - Q1 Bonus]]+Table1[[#This Row],[TA 2 - Q2 Bonus]]+Table1[[#This Row],[TA 2 - Q4 Bonus]]</f>
        <v/>
      </c>
      <c r="T513">
        <f>(Table1[[#This Row],[TA 1 - Total Score (out of 35)]]+Table1[[#This Row],[TA 2 - Total Score (out of 35)]])/2</f>
        <v/>
      </c>
      <c r="U513">
        <f>(Table1[[#This Row],[TA 1 - Total Bonus (out of 13)]]+Table1[[#This Row],[TA 2 - Total Bonus (out of 13)]])/2</f>
        <v/>
      </c>
      <c r="V513">
        <f>Table1[[#This Row],[Average Questions]]/35*20+Table1[[#This Row],[Average Bonus]]/13*5</f>
        <v/>
      </c>
      <c r="W513" t="n">
        <v>0</v>
      </c>
      <c r="X513" t="n">
        <v>0</v>
      </c>
      <c r="Y513" t="inlineStr">
        <is>
          <t>The student completed the data loading and preprocessing tasks correctly, earning full points for those. The model loading and adaptation tasks were also correctly implemented, earning full points. However, the training and validation loops contain significant errors, particularly in the label handling and the overall logic of the loops. The training process did not run correctly due to these issues, resulting in zero points for the training-related tasks. The bonus task for Test Time Augmentation (TTA) was not implemented correctly, leading to zero points for that section as well.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0.0/?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513" t="n">
        <v>0</v>
      </c>
      <c r="AA513" t="n">
        <v>0</v>
      </c>
      <c r="AB513" t="inlineStr">
        <is>
          <t>The student's submission does not follow the rubric correctly. The dataset class or ImageFolder is not correctly implemented, the transforms do not match the required specifications, and the CNN model class does not have the correct number of convolutional layers or batch normalization. Additionally, the training and validation functions are incorrectly implemented, and the training process does not follow the specified steps. The bonus task is also not attempted correctly. Therefore, the student receives 0 points for all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513" t="n">
        <v>0</v>
      </c>
      <c r="AD513" t="inlineStr">
        <is>
          <t>The student's submission does not run end-to-end due to multiple issues. The dataset class is incorrectly implemented, leading to errors in data loading. The model definition uses 'efficientnet-b1' instead of 'efficientnet-b0' as specified. The training and validation loops are incorrectly implemented, and the loss and optimizer are not correctly defined. Additionally, the visualization of predictions is flawed. Therefore, no tasks are awarded any points.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13" t="n">
        <v>0</v>
      </c>
      <c r="AF513" t="n">
        <v>0</v>
      </c>
      <c r="AG513" t="inlineStr">
        <is>
          <t>The student's implementation of the `ColorizationDataset` class is incomplete and contains several errors. The `__init__` method does not store the dataset correctly, the `__len__` method does not return the length of the dataset, the `rgb_to_grayscale` method is not implemented correctly, and the `__getitem__` method does not return the correct tuple. Additionally, the student's code includes unnecessary and incorrect transformations and does not follow the required logic for converting RGB images to grayscale. Therefore, the implementation does not meet the criteria for any points.
Breakdown:
- Correctly implemented `ColorizationDataset` class: 0.0/5.0</t>
        </is>
      </c>
      <c r="AH513" t="n">
        <v>0</v>
      </c>
      <c r="AI513" t="n">
        <v>0</v>
      </c>
    </row>
    <row r="514">
      <c r="A514" t="n">
        <v>513</v>
      </c>
      <c r="B514" t="inlineStr">
        <is>
          <t>TA_10</t>
        </is>
      </c>
      <c r="C514" t="inlineStr">
        <is>
          <t>TA_20</t>
        </is>
      </c>
      <c r="D514" t="n">
        <v>11.25</v>
      </c>
      <c r="E514" t="n">
        <v>0</v>
      </c>
      <c r="F514" t="n">
        <v>7</v>
      </c>
      <c r="G514" t="n">
        <v>0</v>
      </c>
      <c r="H514" t="n">
        <v>12</v>
      </c>
      <c r="I514" t="n">
        <v>0</v>
      </c>
      <c r="J514" t="n">
        <v>12</v>
      </c>
      <c r="K514" t="n">
        <v>0</v>
      </c>
      <c r="L514" t="n">
        <v>7.25</v>
      </c>
      <c r="M514" t="n">
        <v>0</v>
      </c>
      <c r="N514" t="n">
        <v>11</v>
      </c>
      <c r="O514" t="n">
        <v>0</v>
      </c>
      <c r="P514">
        <f>Table1[[#This Row],[TA 1 - Q1 Score]]+Table1[[#This Row],[TA 1 - Q2 Score]]+Table1[[#This Row],[TA 1 - Q3 Score]]</f>
        <v/>
      </c>
      <c r="Q514">
        <f>Table1[[#This Row],[TA 1 - Q1 Bonus]]+Table1[[#This Row],[TA 1 - Q2 Bonus]]+Table1[[#This Row],[TA 1 - Q4 Bonus]]</f>
        <v/>
      </c>
      <c r="R514">
        <f>Table1[[#This Row],[TA 2 - Q1 Score]]+Table1[[#This Row],[TA 2 - Q2 Score]]+Table1[[#This Row],[TA 2 - Q3 Score]]</f>
        <v/>
      </c>
      <c r="S514">
        <f>Table1[[#This Row],[TA 2 - Q1 Bonus]]+Table1[[#This Row],[TA 2 - Q2 Bonus]]+Table1[[#This Row],[TA 2 - Q4 Bonus]]</f>
        <v/>
      </c>
      <c r="T514">
        <f>(Table1[[#This Row],[TA 1 - Total Score (out of 35)]]+Table1[[#This Row],[TA 2 - Total Score (out of 35)]])/2</f>
        <v/>
      </c>
      <c r="U514">
        <f>(Table1[[#This Row],[TA 1 - Total Bonus (out of 13)]]+Table1[[#This Row],[TA 2 - Total Bonus (out of 13)]])/2</f>
        <v/>
      </c>
      <c r="V514">
        <f>Table1[[#This Row],[Average Questions]]/35*20+Table1[[#This Row],[Average Bonus]]/13*5</f>
        <v/>
      </c>
      <c r="W514" t="n">
        <v>0</v>
      </c>
      <c r="X514" t="n">
        <v>0</v>
      </c>
      <c r="Y514" t="inlineStr">
        <is>
          <t>The student's submission does not run correctly due to several issues. The code for displaying sample images is incorrect and does not follow the rubric. The training and validation loops are incorrect and do not follow the optimal logic. The student did not implement the bonus task for Test Time Augmentation.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14" t="n">
        <v>0</v>
      </c>
      <c r="AA514" t="n">
        <v>0</v>
      </c>
      <c r="AB514" t="inlineStr">
        <is>
          <t>The student's submission does not run correctly due to several issues. The dataset paths are incorrect, leading to errors in loading the data. The model architecture does not match the required specifications, and the training and validation functions are flawed. Additionally, the student did not implement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14" t="n">
        <v>0</v>
      </c>
      <c r="AD514" t="inlineStr">
        <is>
          <t>The student's submission does not run correctly due to several issues. The dataset class is incomplete and does not correctly load images and masks. The DataLoader creation is incorrect as it uses the same dataset for both training and testing. The model definition uses 'efficientnet-b1' instead of 'efficientnet-b0' as specified. The training and validation loops are present but do not run correctly due to the incorrect DataLoader setup. The loss and optimizer are defined but the training process does not complete successfully. The visualization of predictions is attempted but fails due to the previous errors. Therefore, no points are awarded for any task as the code does not run end-to-end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14" t="n">
        <v>0</v>
      </c>
      <c r="AF514" t="n">
        <v>0</v>
      </c>
      <c r="AG514" t="inlineStr">
        <is>
          <t>No submission found.</t>
        </is>
      </c>
      <c r="AH514" t="n">
        <v>0</v>
      </c>
      <c r="AI514" t="n">
        <v>0</v>
      </c>
    </row>
    <row r="515">
      <c r="A515" t="n">
        <v>514</v>
      </c>
      <c r="B515" t="inlineStr">
        <is>
          <t>TA_10</t>
        </is>
      </c>
      <c r="C515" t="inlineStr">
        <is>
          <t>TA_20</t>
        </is>
      </c>
      <c r="D515" t="n">
        <v>12</v>
      </c>
      <c r="E515" t="n">
        <v>3.5</v>
      </c>
      <c r="F515" t="n">
        <v>10.25</v>
      </c>
      <c r="G515" t="n">
        <v>2.5</v>
      </c>
      <c r="H515" t="n">
        <v>12</v>
      </c>
      <c r="I515" t="n">
        <v>5</v>
      </c>
      <c r="J515" t="n">
        <v>12</v>
      </c>
      <c r="K515" t="n">
        <v>4</v>
      </c>
      <c r="L515" t="n">
        <v>11</v>
      </c>
      <c r="M515" t="n">
        <v>4</v>
      </c>
      <c r="N515" t="n">
        <v>12</v>
      </c>
      <c r="O515" t="n">
        <v>5</v>
      </c>
      <c r="P515">
        <f>Table1[[#This Row],[TA 1 - Q1 Score]]+Table1[[#This Row],[TA 1 - Q2 Score]]+Table1[[#This Row],[TA 1 - Q3 Score]]</f>
        <v/>
      </c>
      <c r="Q515">
        <f>Table1[[#This Row],[TA 1 - Q1 Bonus]]+Table1[[#This Row],[TA 1 - Q2 Bonus]]+Table1[[#This Row],[TA 1 - Q4 Bonus]]</f>
        <v/>
      </c>
      <c r="R515">
        <f>Table1[[#This Row],[TA 2 - Q1 Score]]+Table1[[#This Row],[TA 2 - Q2 Score]]+Table1[[#This Row],[TA 2 - Q3 Score]]</f>
        <v/>
      </c>
      <c r="S515">
        <f>Table1[[#This Row],[TA 2 - Q1 Bonus]]+Table1[[#This Row],[TA 2 - Q2 Bonus]]+Table1[[#This Row],[TA 2 - Q4 Bonus]]</f>
        <v/>
      </c>
      <c r="T515">
        <f>(Table1[[#This Row],[TA 1 - Total Score (out of 35)]]+Table1[[#This Row],[TA 2 - Total Score (out of 35)]])/2</f>
        <v/>
      </c>
      <c r="U515">
        <f>(Table1[[#This Row],[TA 1 - Total Bonus (out of 13)]]+Table1[[#This Row],[TA 2 - Total Bonus (out of 13)]])/2</f>
        <v/>
      </c>
      <c r="V515">
        <f>Table1[[#This Row],[Average Questions]]/35*20+Table1[[#This Row],[Average Bonus]]/13*5</f>
        <v/>
      </c>
      <c r="W515" t="n">
        <v>10.5</v>
      </c>
      <c r="X515" t="n">
        <v>0</v>
      </c>
      <c r="Y515" t="inlineStr">
        <is>
          <t>The student successfully completed the data loading and preparation tasks, including transforms, DataLoaders, and displaying sample images. The model loading and adaptation tasks were partially completed, with the pretrained model loaded correctly but the backbone freezing step missing. The training and validation functions were correctly implemented, including the label fix. The training process was set up correctly, and the losses and accuracies were plotted. However, the bonus task for Test Time Augmentation (TTA) was not implemented correctly, resulting in no bonus points.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515" t="n">
        <v>0</v>
      </c>
      <c r="AA515" t="n">
        <v>0</v>
      </c>
      <c r="AB515" t="inlineStr">
        <is>
          <t>The student's submission does not run correctly due to multiple issues. The code for loading and preparing the data, building the CNN model, training and validation functions, and training the model contains syntax errors and logical mistakes. The residual connection implementation is incorrect and does not follow the specified instructions.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15" t="n">
        <v>0</v>
      </c>
      <c r="AD515" t="inlineStr">
        <is>
          <t>The student's submission does not run end-to-end due to multiple issues. The dataset class is incomplete and contains errors, leading to failures in data loading and transformation. The model definition and training loops are also incomplete or incorrect, resulting in a non-functional pipeline. Therefore, no tasks are awarded any points as the code does not run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15" t="n">
        <v>0</v>
      </c>
      <c r="AF515" t="n">
        <v>0</v>
      </c>
      <c r="AG515" t="inlineStr">
        <is>
          <t>The student's implementation of the `ColorizationDataset` class is incomplete. The `rgb_to_grayscale` method is correctly implemented, but the `__init__` method does not store the dataset correctly, and the `__getitem__` method does not return the correct tuple. Additionally, the visualization code is missing, which is a required part of the task. Therefore, the implementation does not meet the criteria for any points.
Breakdown:
- Correctly implemented `ColorizationDataset` class: 0.0/5.0</t>
        </is>
      </c>
      <c r="AH515" t="n">
        <v>10.5</v>
      </c>
      <c r="AI515" t="n">
        <v>0</v>
      </c>
    </row>
    <row r="516">
      <c r="A516" t="n">
        <v>515</v>
      </c>
      <c r="B516" t="inlineStr">
        <is>
          <t>TA_10</t>
        </is>
      </c>
      <c r="C516" t="inlineStr">
        <is>
          <t>TA_20</t>
        </is>
      </c>
      <c r="D516" t="n">
        <v>2.5</v>
      </c>
      <c r="E516" t="n">
        <v>0</v>
      </c>
      <c r="F516" t="n">
        <v>7.5</v>
      </c>
      <c r="G516" t="n">
        <v>1.5</v>
      </c>
      <c r="H516" t="n">
        <v>5.75</v>
      </c>
      <c r="I516" t="n">
        <v>0</v>
      </c>
      <c r="J516" t="n">
        <v>2.25</v>
      </c>
      <c r="K516" t="n">
        <v>0</v>
      </c>
      <c r="L516" t="n">
        <v>8</v>
      </c>
      <c r="M516" t="n">
        <v>0</v>
      </c>
      <c r="N516" t="n">
        <v>5.75</v>
      </c>
      <c r="O516" t="n">
        <v>0</v>
      </c>
      <c r="P516">
        <f>Table1[[#This Row],[TA 1 - Q1 Score]]+Table1[[#This Row],[TA 1 - Q2 Score]]+Table1[[#This Row],[TA 1 - Q3 Score]]</f>
        <v/>
      </c>
      <c r="Q516">
        <f>Table1[[#This Row],[TA 1 - Q1 Bonus]]+Table1[[#This Row],[TA 1 - Q2 Bonus]]+Table1[[#This Row],[TA 1 - Q4 Bonus]]</f>
        <v/>
      </c>
      <c r="R516">
        <f>Table1[[#This Row],[TA 2 - Q1 Score]]+Table1[[#This Row],[TA 2 - Q2 Score]]+Table1[[#This Row],[TA 2 - Q3 Score]]</f>
        <v/>
      </c>
      <c r="S516">
        <f>Table1[[#This Row],[TA 2 - Q1 Bonus]]+Table1[[#This Row],[TA 2 - Q2 Bonus]]+Table1[[#This Row],[TA 2 - Q4 Bonus]]</f>
        <v/>
      </c>
      <c r="T516">
        <f>(Table1[[#This Row],[TA 1 - Total Score (out of 35)]]+Table1[[#This Row],[TA 2 - Total Score (out of 35)]])/2</f>
        <v/>
      </c>
      <c r="U516">
        <f>(Table1[[#This Row],[TA 1 - Total Bonus (out of 13)]]+Table1[[#This Row],[TA 2 - Total Bonus (out of 13)]])/2</f>
        <v/>
      </c>
      <c r="V516">
        <f>Table1[[#This Row],[Average Questions]]/35*20+Table1[[#This Row],[Average Bonus]]/13*5</f>
        <v/>
      </c>
      <c r="W516" t="n">
        <v>0</v>
      </c>
      <c r="X516" t="n">
        <v>0</v>
      </c>
      <c r="Y516" t="inlineStr">
        <is>
          <t>The student's submission contains several critical errors that prevent the code from running correctly. The transforms include an incorrect target_transform that is not needed and disrupts the data loading process. The DataLoaders are not created correctly due to the incorrect target_transform. The model loading and adaptation steps are incomplete and incorrect, with the backbone not being frozen and the classifier head not being replaced correctly. The training and validation loops are incorrect and do not handle the labels properly. The training process does not run correctly due to these issues. The bonus task for Test Time Augmentation is not attempted. Therefore, the student receives 0 points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16" t="n">
        <v>0</v>
      </c>
      <c r="AA516" t="n">
        <v>0</v>
      </c>
      <c r="AB516" t="inlineStr">
        <is>
          <t>The student's submission does not run correctly due to multiple issues. The transformations are incorrect as they resize to 32x32 instead of 128x128. The CNN model class does not have 5 convolutional layers and the batch normalization is incorrectly implemented. The training and validation functions have logical errors, and the residual connection is not correctly defined.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16" t="n">
        <v>0</v>
      </c>
      <c r="AD516" t="inlineStr">
        <is>
          <t>The student's submission does not run correctly due to several issues. The dataset class is incorrectly defined, leading to errors in data loading. The model definition uses the wrong encoder (efficientnet-b0 instead of efficientnet-b1), and the training and validation loops are incorrectly implemented. The loss function and optimizer are also incorrectly defined, leading to further errors in the training process. Additionally, the visualization of predictions is flawed due to incorrect handling of the model's output. Therefore, no points are awarded for any task as the code does not run correctly and deviates significantly from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16" t="n">
        <v>0</v>
      </c>
      <c r="AF516" t="n">
        <v>0</v>
      </c>
      <c r="AG516" t="inlineStr">
        <is>
          <t>No submission found.</t>
        </is>
      </c>
      <c r="AH516" t="n">
        <v>0</v>
      </c>
      <c r="AI516" t="n">
        <v>0</v>
      </c>
    </row>
    <row r="517">
      <c r="A517" t="n">
        <v>516</v>
      </c>
      <c r="B517" t="inlineStr">
        <is>
          <t>TA_10</t>
        </is>
      </c>
      <c r="C517" t="inlineStr">
        <is>
          <t>TA_20</t>
        </is>
      </c>
      <c r="D517" t="n">
        <v>6.25</v>
      </c>
      <c r="E517" t="n">
        <v>0</v>
      </c>
      <c r="F517" t="n">
        <v>8</v>
      </c>
      <c r="G517" t="n">
        <v>0</v>
      </c>
      <c r="H517" t="n">
        <v>11.75</v>
      </c>
      <c r="I517" t="n">
        <v>0</v>
      </c>
      <c r="J517" t="n">
        <v>7.5</v>
      </c>
      <c r="K517" t="n">
        <v>0</v>
      </c>
      <c r="L517" t="n">
        <v>8.5</v>
      </c>
      <c r="M517" t="n">
        <v>0</v>
      </c>
      <c r="N517" t="n">
        <v>12</v>
      </c>
      <c r="O517" t="n">
        <v>0</v>
      </c>
      <c r="P517">
        <f>Table1[[#This Row],[TA 1 - Q1 Score]]+Table1[[#This Row],[TA 1 - Q2 Score]]+Table1[[#This Row],[TA 1 - Q3 Score]]</f>
        <v/>
      </c>
      <c r="Q517">
        <f>Table1[[#This Row],[TA 1 - Q1 Bonus]]+Table1[[#This Row],[TA 1 - Q2 Bonus]]+Table1[[#This Row],[TA 1 - Q4 Bonus]]</f>
        <v/>
      </c>
      <c r="R517">
        <f>Table1[[#This Row],[TA 2 - Q1 Score]]+Table1[[#This Row],[TA 2 - Q2 Score]]+Table1[[#This Row],[TA 2 - Q3 Score]]</f>
        <v/>
      </c>
      <c r="S517">
        <f>Table1[[#This Row],[TA 2 - Q1 Bonus]]+Table1[[#This Row],[TA 2 - Q2 Bonus]]+Table1[[#This Row],[TA 2 - Q4 Bonus]]</f>
        <v/>
      </c>
      <c r="T517">
        <f>(Table1[[#This Row],[TA 1 - Total Score (out of 35)]]+Table1[[#This Row],[TA 2 - Total Score (out of 35)]])/2</f>
        <v/>
      </c>
      <c r="U517">
        <f>(Table1[[#This Row],[TA 1 - Total Bonus (out of 13)]]+Table1[[#This Row],[TA 2 - Total Bonus (out of 13)]])/2</f>
        <v/>
      </c>
      <c r="V517">
        <f>Table1[[#This Row],[Average Questions]]/35*20+Table1[[#This Row],[Average Bonus]]/13*5</f>
        <v/>
      </c>
      <c r="W517" t="n">
        <v>0</v>
      </c>
      <c r="X517" t="n">
        <v>0</v>
      </c>
      <c r="Y517" t="inlineStr">
        <is>
          <t>The student's submission contains several critical errors that prevent the code from running correctly. The transforms are incorrectly set to resize images to 64x64 instead of 28x28, which deviates from the rubric. The DataLoaders are created but the sample images are not displayed correctly. The model loading and adaptation steps are incorrect, as the backbone is not properly frozen and the classifier head is not replaced correctly. The training and validation loops are flawed, and the label fixing step is missing. Additionally, the bonus task for Test Time Augmentation is not implemented correctly. Due to these issues, the code does not run end-to-end, and thus, no points are awarded for any task.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17" t="n">
        <v>0</v>
      </c>
      <c r="AA517" t="n">
        <v>0</v>
      </c>
      <c r="AB517" t="inlineStr">
        <is>
          <t>The student's submission does not run correctly due to multiple issues. The dataset class is incorrectly defined and does not follow the required structure. The transformations applied to the images are incorrect, and the model architecture does not match the specified requirements. Additionally, the training and validation functions are not correctly implemented, leading to errors in the training process. Therefore, no points are awarded for any of the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17" t="n">
        <v>0</v>
      </c>
      <c r="AD517" t="inlineStr">
        <is>
          <t>The student's submission does not run correctly due to several issues. The dataset class is incorrectly implemented, leading to errors in data loading. The model definition and training loops are incomplete or incorrect, resulting in a non-functional training process. The visualization of predictions is also flawed. Therefore, no points are awarded for any task as the code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17" t="n">
        <v>0</v>
      </c>
      <c r="AF517" t="n">
        <v>0</v>
      </c>
      <c r="AG517" t="inlineStr">
        <is>
          <t>The student's submission for Question 4 is incomplete and contains multiple errors. The `ColorizationDataset` class is not correctly implemented, with missing or incorrect methods. The `__init__` method does not store the dataset correctly, the `rgb_to_grayscale` method is not implemented, and the `__getitem__` method has logical errors. As a result, the code does not run correctly and does not produce the expected output. Therefore, the student receives 0.0 points for this task.
Breakdown:
- Correctly implemented `ColorizationDataset` class: 0.0/?</t>
        </is>
      </c>
      <c r="AH517" t="n">
        <v>0</v>
      </c>
      <c r="AI517" t="n">
        <v>0</v>
      </c>
    </row>
    <row r="518">
      <c r="A518" t="n">
        <v>517</v>
      </c>
      <c r="B518" t="inlineStr">
        <is>
          <t>TA_10</t>
        </is>
      </c>
      <c r="C518" t="inlineStr">
        <is>
          <t>TA_20</t>
        </is>
      </c>
      <c r="D518" t="n">
        <v>4.75</v>
      </c>
      <c r="E518" t="n">
        <v>0</v>
      </c>
      <c r="F518" t="n">
        <v>7.45</v>
      </c>
      <c r="G518" t="n">
        <v>0</v>
      </c>
      <c r="H518" t="n">
        <v>10.5</v>
      </c>
      <c r="I518" t="n">
        <v>0</v>
      </c>
      <c r="J518" t="n">
        <v>5.5</v>
      </c>
      <c r="K518" t="n">
        <v>0</v>
      </c>
      <c r="L518" t="n">
        <v>6.25</v>
      </c>
      <c r="M518" t="n">
        <v>0</v>
      </c>
      <c r="N518" t="n">
        <v>11.25</v>
      </c>
      <c r="O518" t="n">
        <v>0</v>
      </c>
      <c r="P518">
        <f>Table1[[#This Row],[TA 1 - Q1 Score]]+Table1[[#This Row],[TA 1 - Q2 Score]]+Table1[[#This Row],[TA 1 - Q3 Score]]</f>
        <v/>
      </c>
      <c r="Q518">
        <f>Table1[[#This Row],[TA 1 - Q1 Bonus]]+Table1[[#This Row],[TA 1 - Q2 Bonus]]+Table1[[#This Row],[TA 1 - Q4 Bonus]]</f>
        <v/>
      </c>
      <c r="R518">
        <f>Table1[[#This Row],[TA 2 - Q1 Score]]+Table1[[#This Row],[TA 2 - Q2 Score]]+Table1[[#This Row],[TA 2 - Q3 Score]]</f>
        <v/>
      </c>
      <c r="S518">
        <f>Table1[[#This Row],[TA 2 - Q1 Bonus]]+Table1[[#This Row],[TA 2 - Q2 Bonus]]+Table1[[#This Row],[TA 2 - Q4 Bonus]]</f>
        <v/>
      </c>
      <c r="T518">
        <f>(Table1[[#This Row],[TA 1 - Total Score (out of 35)]]+Table1[[#This Row],[TA 2 - Total Score (out of 35)]])/2</f>
        <v/>
      </c>
      <c r="U518">
        <f>(Table1[[#This Row],[TA 1 - Total Bonus (out of 13)]]+Table1[[#This Row],[TA 2 - Total Bonus (out of 13)]])/2</f>
        <v/>
      </c>
      <c r="V518">
        <f>Table1[[#This Row],[Average Questions]]/35*20+Table1[[#This Row],[Average Bonus]]/13*5</f>
        <v/>
      </c>
      <c r="W518" t="n">
        <v>0</v>
      </c>
      <c r="X518" t="n">
        <v>0</v>
      </c>
      <c r="Y518" t="inlineStr">
        <is>
          <t>The student's submission does not run end-to-end due to multiple issues. The transforms are incomplete, the DataLoaders are not correctly created, and the model setup is incorrect. The training and validation loops are flawed, and the label fixing is not implemented. Additionally, the plotting functions are missing. The bonus task for Test Time Augmentation is also not attempted.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18" t="n">
        <v>0</v>
      </c>
      <c r="AA518" t="n">
        <v>0</v>
      </c>
      <c r="AB518" t="inlineStr">
        <is>
          <t>The student's submission does not run correctly due to several issues. The dataset class and transforms are incorrectly implemented, leading to errors in data loading and preprocessing. The CNN model does not meet the specifications, lacking the required number of convolutional layers and batch normalization. The training and validation functions are incomplete and contain errors. Additionally, the bonus task for residual connections is not attempted.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18" t="n">
        <v>0</v>
      </c>
      <c r="AD518" t="inlineStr">
        <is>
          <t>The student's submission does not run correctly due to several issues. The dataset class is incorrectly defined, the model is not correctly instantiated with the required encoder, and the training and validation loops are flawed. Additionally, the loss function and optimizer are not correctly defined for the task. As a result, the code does not produce the correct output and deviates from the rubric, warranting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18" t="n">
        <v>0</v>
      </c>
      <c r="AF518" t="n">
        <v>0</v>
      </c>
      <c r="AG518" t="inlineStr">
        <is>
          <t>The student's implementation of the `ColorizationDataset` class is incorrect and does not follow the required structure. The `__init__` method incorrectly attempts to load images from a directory instead of using the provided CIFAR-10 dataset. The `rgb_to_grayscale` method is incomplete and contains errors. The `__getitem__` method is not implemented correctly and does not return the required (grayscale, color) tuple. Additionally, the code does not run end-to-end due to these issues.
Breakdown:
- Correctly implemented `ColorizationDataset` class: 0.0/5.0</t>
        </is>
      </c>
      <c r="AH518" t="n">
        <v>0</v>
      </c>
      <c r="AI518" t="n">
        <v>0</v>
      </c>
    </row>
    <row r="519">
      <c r="A519" t="n">
        <v>518</v>
      </c>
      <c r="B519" t="inlineStr">
        <is>
          <t>TA_10</t>
        </is>
      </c>
      <c r="C519" t="inlineStr">
        <is>
          <t>TA_20</t>
        </is>
      </c>
      <c r="D519" t="n">
        <v>7.75</v>
      </c>
      <c r="E519" t="n">
        <v>0</v>
      </c>
      <c r="F519" t="n">
        <v>8.5</v>
      </c>
      <c r="G519" t="n">
        <v>0</v>
      </c>
      <c r="H519" t="n">
        <v>2.25</v>
      </c>
      <c r="I519" t="n">
        <v>0</v>
      </c>
      <c r="J519" t="n">
        <v>5.5</v>
      </c>
      <c r="K519" t="n">
        <v>0</v>
      </c>
      <c r="L519" t="n">
        <v>8.5</v>
      </c>
      <c r="M519" t="n">
        <v>0</v>
      </c>
      <c r="N519" t="n">
        <v>5.75</v>
      </c>
      <c r="O519" t="n">
        <v>0</v>
      </c>
      <c r="P519">
        <f>Table1[[#This Row],[TA 1 - Q1 Score]]+Table1[[#This Row],[TA 1 - Q2 Score]]+Table1[[#This Row],[TA 1 - Q3 Score]]</f>
        <v/>
      </c>
      <c r="Q519">
        <f>Table1[[#This Row],[TA 1 - Q1 Bonus]]+Table1[[#This Row],[TA 1 - Q2 Bonus]]+Table1[[#This Row],[TA 1 - Q4 Bonus]]</f>
        <v/>
      </c>
      <c r="R519">
        <f>Table1[[#This Row],[TA 2 - Q1 Score]]+Table1[[#This Row],[TA 2 - Q2 Score]]+Table1[[#This Row],[TA 2 - Q3 Score]]</f>
        <v/>
      </c>
      <c r="S519">
        <f>Table1[[#This Row],[TA 2 - Q1 Bonus]]+Table1[[#This Row],[TA 2 - Q2 Bonus]]+Table1[[#This Row],[TA 2 - Q4 Bonus]]</f>
        <v/>
      </c>
      <c r="T519">
        <f>(Table1[[#This Row],[TA 1 - Total Score (out of 35)]]+Table1[[#This Row],[TA 2 - Total Score (out of 35)]])/2</f>
        <v/>
      </c>
      <c r="U519">
        <f>(Table1[[#This Row],[TA 1 - Total Bonus (out of 13)]]+Table1[[#This Row],[TA 2 - Total Bonus (out of 13)]])/2</f>
        <v/>
      </c>
      <c r="V519">
        <f>Table1[[#This Row],[Average Questions]]/35*20+Table1[[#This Row],[Average Bonus]]/13*5</f>
        <v/>
      </c>
      <c r="W519" t="n">
        <v>0</v>
      </c>
      <c r="X519" t="n">
        <v>0</v>
      </c>
      <c r="Y519" t="inlineStr">
        <is>
          <t>The student's submission contains several critical errors that prevent the code from running correctly. The transforms include an incorrect custom layer (SubtractOne) that modifies the labels directly, which is not part of the required transforms. The DataLoader creation and image display tasks are incomplete and do not follow the required structure. The model adaptation tasks are incorrect, as the classifier head is replaced with an incorrect number of classes (27 instead of 26), and the backbone is not correctly frozen. The training and validation loops are incorrect and do not handle label adjustments properly. The training process and plotting tasks are incomplete and do not run correctly. The bonus task for Test Time Augmentation is not attempted.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19" t="n">
        <v>0</v>
      </c>
      <c r="AA519" t="n">
        <v>0</v>
      </c>
      <c r="AB519" t="inlineStr">
        <is>
          <t>The student's submission does not run correctly due to several issues. The dataset class is incorrectly implemented, leading to errors in data loading. The CNN model does not follow the specified architecture with 5 convolutional layers and batch normalization. The training and validation functions are incomplete and contain errors. Additionally, the training process does not set up the device, model, loss, and optimizer correctly, and the plotting of losses and accuracy is missing. The bonus task for residual connections is also not attempted.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19" t="n">
        <v>0</v>
      </c>
      <c r="AD519" t="inlineStr">
        <is>
          <t>The student's submission contains multiple critical errors that prevent the code from running correctly. The dataset class is incorrectly implemented, leading to issues in loading images and masks. The model definition uses the wrong encoder ('efficientnet-b0' instead of 'efficientnet-b1'), and the training and validation loops are not correctly implemented. Additionally, the loss function and optimizer are incorrectly defined, and the visualization of predictions is missing. These issues result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19" t="n">
        <v>0</v>
      </c>
      <c r="AF519" t="n">
        <v>0</v>
      </c>
      <c r="AG519" t="inlineStr">
        <is>
          <t>No submission found.</t>
        </is>
      </c>
      <c r="AH519" t="n">
        <v>0</v>
      </c>
      <c r="AI519" t="n">
        <v>0</v>
      </c>
    </row>
    <row r="520">
      <c r="A520" t="n">
        <v>519</v>
      </c>
      <c r="B520" t="inlineStr">
        <is>
          <t>TA_10</t>
        </is>
      </c>
      <c r="C520" t="inlineStr">
        <is>
          <t>TA_20</t>
        </is>
      </c>
      <c r="D520" t="n">
        <v>5</v>
      </c>
      <c r="E520" t="n">
        <v>0</v>
      </c>
      <c r="F520" t="n">
        <v>9.5</v>
      </c>
      <c r="G520" t="n">
        <v>0</v>
      </c>
      <c r="H520" t="n">
        <v>4.5</v>
      </c>
      <c r="I520" t="n">
        <v>0</v>
      </c>
      <c r="J520" t="n">
        <v>4.75</v>
      </c>
      <c r="K520" t="n">
        <v>0</v>
      </c>
      <c r="L520" t="n">
        <v>9.5</v>
      </c>
      <c r="M520" t="n">
        <v>0</v>
      </c>
      <c r="N520" t="n">
        <v>6</v>
      </c>
      <c r="O520" t="n">
        <v>0</v>
      </c>
      <c r="P520">
        <f>Table1[[#This Row],[TA 1 - Q1 Score]]+Table1[[#This Row],[TA 1 - Q2 Score]]+Table1[[#This Row],[TA 1 - Q3 Score]]</f>
        <v/>
      </c>
      <c r="Q520">
        <f>Table1[[#This Row],[TA 1 - Q1 Bonus]]+Table1[[#This Row],[TA 1 - Q2 Bonus]]+Table1[[#This Row],[TA 1 - Q4 Bonus]]</f>
        <v/>
      </c>
      <c r="R520">
        <f>Table1[[#This Row],[TA 2 - Q1 Score]]+Table1[[#This Row],[TA 2 - Q2 Score]]+Table1[[#This Row],[TA 2 - Q3 Score]]</f>
        <v/>
      </c>
      <c r="S520">
        <f>Table1[[#This Row],[TA 2 - Q1 Bonus]]+Table1[[#This Row],[TA 2 - Q2 Bonus]]+Table1[[#This Row],[TA 2 - Q4 Bonus]]</f>
        <v/>
      </c>
      <c r="T520">
        <f>(Table1[[#This Row],[TA 1 - Total Score (out of 35)]]+Table1[[#This Row],[TA 2 - Total Score (out of 35)]])/2</f>
        <v/>
      </c>
      <c r="U520">
        <f>(Table1[[#This Row],[TA 1 - Total Bonus (out of 13)]]+Table1[[#This Row],[TA 2 - Total Bonus (out of 13)]])/2</f>
        <v/>
      </c>
      <c r="V520">
        <f>Table1[[#This Row],[Average Questions]]/35*20+Table1[[#This Row],[Average Bonus]]/13*5</f>
        <v/>
      </c>
      <c r="W520" t="n">
        <v>0</v>
      </c>
      <c r="X520" t="n">
        <v>0</v>
      </c>
      <c r="Y520" t="inlineStr">
        <is>
          <t>The student's submission does not run correctly due to several issues. The transforms are not fully completed, the DataLoaders are not correctly created, and the model is not properly set up for training. Additionally, the training and validation loops are incorrect, and the bonus task for Test Time Augmentation is not implemented correctly.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20" t="n">
        <v>0</v>
      </c>
      <c r="AA520" t="n">
        <v>0</v>
      </c>
      <c r="AB520" t="inlineStr">
        <is>
          <t>The student's submission does not run correctly due to missing code for displaying sample images with labels, defining the residual connection, and retraining the model with the residual connection. Additionally, the student did not follow the rubric for resizing images to 32x32 and did not include the code for plotting losses and accuracy. Therefore, the student receives 0 points for the base tasks and 0 points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20" t="n">
        <v>0</v>
      </c>
      <c r="AD520" t="inlineStr">
        <is>
          <t>The student's submission contains multiple issues that prevent the code from running correctly. The dataset class is incomplete and contains errors, such as incorrect file extensions and missing transformations for masks. The model definition uses the wrong encoder ('efficientnet-b0' instead of 'efficientnet-b1'). The training and validation loops are incorrectly implemented, leading to runtime errors. Additionally, the visualization of predictions is flawed due to incorrect handling of the model's output. Overall, the submission does not meet the requirements of any task, resulting in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20" t="n">
        <v>0</v>
      </c>
      <c r="AF520" t="n">
        <v>0</v>
      </c>
      <c r="AG520" t="inlineStr">
        <is>
          <t>No submission found.</t>
        </is>
      </c>
      <c r="AH520" t="n">
        <v>0</v>
      </c>
      <c r="AI520" t="n">
        <v>0</v>
      </c>
    </row>
    <row r="521">
      <c r="A521" t="n">
        <v>520</v>
      </c>
      <c r="B521" t="inlineStr">
        <is>
          <t>TA_10</t>
        </is>
      </c>
      <c r="C521" t="inlineStr">
        <is>
          <t>TA_20</t>
        </is>
      </c>
      <c r="D521" t="n">
        <v>10.75</v>
      </c>
      <c r="E521" t="n">
        <v>0</v>
      </c>
      <c r="F521" t="n">
        <v>8.5</v>
      </c>
      <c r="G521" t="n">
        <v>0</v>
      </c>
      <c r="H521" t="n">
        <v>10.75</v>
      </c>
      <c r="I521" t="n">
        <v>0</v>
      </c>
      <c r="J521" t="n">
        <v>10.5</v>
      </c>
      <c r="K521" t="n">
        <v>0</v>
      </c>
      <c r="L521" t="n">
        <v>9</v>
      </c>
      <c r="M521" t="n">
        <v>0</v>
      </c>
      <c r="N521" t="n">
        <v>11</v>
      </c>
      <c r="O521" t="n">
        <v>0</v>
      </c>
      <c r="P521">
        <f>Table1[[#This Row],[TA 1 - Q1 Score]]+Table1[[#This Row],[TA 1 - Q2 Score]]+Table1[[#This Row],[TA 1 - Q3 Score]]</f>
        <v/>
      </c>
      <c r="Q521">
        <f>Table1[[#This Row],[TA 1 - Q1 Bonus]]+Table1[[#This Row],[TA 1 - Q2 Bonus]]+Table1[[#This Row],[TA 1 - Q4 Bonus]]</f>
        <v/>
      </c>
      <c r="R521">
        <f>Table1[[#This Row],[TA 2 - Q1 Score]]+Table1[[#This Row],[TA 2 - Q2 Score]]+Table1[[#This Row],[TA 2 - Q3 Score]]</f>
        <v/>
      </c>
      <c r="S521">
        <f>Table1[[#This Row],[TA 2 - Q1 Bonus]]+Table1[[#This Row],[TA 2 - Q2 Bonus]]+Table1[[#This Row],[TA 2 - Q4 Bonus]]</f>
        <v/>
      </c>
      <c r="T521">
        <f>(Table1[[#This Row],[TA 1 - Total Score (out of 35)]]+Table1[[#This Row],[TA 2 - Total Score (out of 35)]])/2</f>
        <v/>
      </c>
      <c r="U521">
        <f>(Table1[[#This Row],[TA 1 - Total Bonus (out of 13)]]+Table1[[#This Row],[TA 2 - Total Bonus (out of 13)]])/2</f>
        <v/>
      </c>
      <c r="V521">
        <f>Table1[[#This Row],[Average Questions]]/35*20+Table1[[#This Row],[Average Bonus]]/13*5</f>
        <v/>
      </c>
      <c r="W521" t="n">
        <v>0</v>
      </c>
      <c r="X521" t="n">
        <v>0</v>
      </c>
      <c r="Y521" t="inlineStr">
        <is>
          <t>The student's submission does not run correctly due to several issues. The transforms are incorrectly set to resize to 224x224 instead of 28x28, and the DataLoader creation is missing. The model loading and freezing are correct, but the training and validation loops contain errors, such as incorrect label handling and missing gradient updates. The plotting code is also missing. Additionally, the bonus task for Test Time Augmentation is not attempted. Therefore, the student receives 0 points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21" t="n">
        <v>0</v>
      </c>
      <c r="AA521" t="n">
        <v>0</v>
      </c>
      <c r="AB521" t="inlineStr">
        <is>
          <t>The student's submission does not run correctly due to several issues. The dataset class or ImageFolder task is incomplete as the student used the wrong dataset class (EMNIST instead of ImageFolder). The transforms task is incorrect because the student resized the images to 32x32 instead of 128x128. The CNN model class does not have 5 convolutional layers and lacks batch normalization. The training and validation functions are incorrect because they use softmax instead of the correct approach for cross-entropy loss. The training setup and plotting tasks are incomplete because the model does not run correctly. The bonus task is not attempted.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21" t="n">
        <v>0</v>
      </c>
      <c r="AD521" t="inlineStr">
        <is>
          <t>The student's submission does not run end-to-end due to multiple issues. The dataset class is incomplete, the model definition uses the wrong encoder, and the training loop has syntax errors. Additionally, the student did not follow the instructions to use the correct number of classes for the segmentation task. Therefore, no points are awarded for any task as the code does not run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21" t="n">
        <v>0</v>
      </c>
      <c r="AF521" t="n">
        <v>0</v>
      </c>
      <c r="AG521" t="inlineStr">
        <is>
          <t>No submission found.</t>
        </is>
      </c>
      <c r="AH521" t="n">
        <v>0</v>
      </c>
      <c r="AI521" t="n">
        <v>0</v>
      </c>
    </row>
    <row r="522">
      <c r="A522" t="n">
        <v>521</v>
      </c>
      <c r="B522" t="inlineStr">
        <is>
          <t>TA_10</t>
        </is>
      </c>
      <c r="C522" t="inlineStr">
        <is>
          <t>TA_20</t>
        </is>
      </c>
      <c r="D522" t="n">
        <v>11</v>
      </c>
      <c r="E522" t="n">
        <v>4</v>
      </c>
      <c r="F522" t="n">
        <v>11</v>
      </c>
      <c r="G522" t="n">
        <v>1.5</v>
      </c>
      <c r="H522" t="n">
        <v>12</v>
      </c>
      <c r="I522" t="n">
        <v>5</v>
      </c>
      <c r="J522" t="n">
        <v>10.75</v>
      </c>
      <c r="K522" t="n">
        <v>4</v>
      </c>
      <c r="L522" t="n">
        <v>11</v>
      </c>
      <c r="M522" t="n">
        <v>3</v>
      </c>
      <c r="N522" t="n">
        <v>12</v>
      </c>
      <c r="O522" t="n">
        <v>5</v>
      </c>
      <c r="P522">
        <f>Table1[[#This Row],[TA 1 - Q1 Score]]+Table1[[#This Row],[TA 1 - Q2 Score]]+Table1[[#This Row],[TA 1 - Q3 Score]]</f>
        <v/>
      </c>
      <c r="Q522">
        <f>Table1[[#This Row],[TA 1 - Q1 Bonus]]+Table1[[#This Row],[TA 1 - Q2 Bonus]]+Table1[[#This Row],[TA 1 - Q4 Bonus]]</f>
        <v/>
      </c>
      <c r="R522">
        <f>Table1[[#This Row],[TA 2 - Q1 Score]]+Table1[[#This Row],[TA 2 - Q2 Score]]+Table1[[#This Row],[TA 2 - Q3 Score]]</f>
        <v/>
      </c>
      <c r="S522">
        <f>Table1[[#This Row],[TA 2 - Q1 Bonus]]+Table1[[#This Row],[TA 2 - Q2 Bonus]]+Table1[[#This Row],[TA 2 - Q4 Bonus]]</f>
        <v/>
      </c>
      <c r="T522">
        <f>(Table1[[#This Row],[TA 1 - Total Score (out of 35)]]+Table1[[#This Row],[TA 2 - Total Score (out of 35)]])/2</f>
        <v/>
      </c>
      <c r="U522">
        <f>(Table1[[#This Row],[TA 1 - Total Bonus (out of 13)]]+Table1[[#This Row],[TA 2 - Total Bonus (out of 13)]])/2</f>
        <v/>
      </c>
      <c r="V522">
        <f>Table1[[#This Row],[Average Questions]]/35*20+Table1[[#This Row],[Average Bonus]]/13*5</f>
        <v/>
      </c>
      <c r="W522" t="n">
        <v>0</v>
      </c>
      <c r="X522" t="n">
        <v>0</v>
      </c>
      <c r="Y522" t="inlineStr">
        <is>
          <t>The student's submission does not run end-to-end due to missing or incorrect code in multiple parts. Specifically, the transforms are not fully defined in the first cell, and the training and validation loops are incorrectly implemented. The student also did not correctly set up the optimizer and did not plot the training and validation losses or accuracies. Additionally, the bonus task for Test Time Augmentation (TTA) is not implemented correctly.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22" t="n">
        <v>0</v>
      </c>
      <c r="AA522" t="n">
        <v>0</v>
      </c>
      <c r="AB522" t="inlineStr">
        <is>
          <t>The student's submission does not run correctly due to several issues. The dataset paths are incorrect, leading to failures in loading the data. The transforms applied to the images do not match the required specifications, and the model architecture deviates from the rubric. Additionally, the training and validation functions are incomplete and contain errors. The bonus task is also incomplete and does not run correctly.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22" t="n">
        <v>10</v>
      </c>
      <c r="AD522" t="inlineStr">
        <is>
          <t>The student successfully completed all tasks with correct implementations. The dataset class, DataLoaders, and visualization of sample images and masks were correctly implemented. The model class was defined with the correct encoder, and the training and validation loops were correctly implemented. The training process, including loss and optimizer definition, training the model, printing losses, and plotting the loss curve, was correctly executed. The visualization of predictions vs ground truth for multiple images was also correctly implemented.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22" t="n">
        <v>0</v>
      </c>
      <c r="AF522" t="n">
        <v>0</v>
      </c>
      <c r="AG522" t="inlineStr">
        <is>
          <t>The student's implementation of the `ColorizationDataset` class is incomplete. The `__init__` method correctly stores the dataset, but the `rgb_to_grayscale` method is not fully implemented as per the rubric. The `rgb_to_grayscale` method should convert an RGB image to grayscale using the correct formula and dimensions, but the student's code does not follow the exact formula provided in the rubric. Additionally, the `__getitem__` method is not fully implemented as it does not correctly return the (grayscale, color) tuple. The visualization part is correct, but since the core functionality of the dataset class is not fully implemented, the task does not run correctly and thus receives 0 points.
Breakdown:
- Correctly implemented `ColorizationDataset` class: 0.0/5.0</t>
        </is>
      </c>
      <c r="AH522" t="n">
        <v>10</v>
      </c>
      <c r="AI522" t="n">
        <v>0</v>
      </c>
    </row>
    <row r="523">
      <c r="A523" t="n">
        <v>522</v>
      </c>
      <c r="B523" t="inlineStr">
        <is>
          <t>TA_10</t>
        </is>
      </c>
      <c r="C523" t="inlineStr">
        <is>
          <t>TA_20</t>
        </is>
      </c>
      <c r="D523" t="n">
        <v>6.5</v>
      </c>
      <c r="E523" t="n">
        <v>0</v>
      </c>
      <c r="F523" t="n">
        <v>7.75</v>
      </c>
      <c r="G523" t="n">
        <v>0</v>
      </c>
      <c r="H523" t="n">
        <v>2.25</v>
      </c>
      <c r="I523" t="n">
        <v>0</v>
      </c>
      <c r="J523" t="n">
        <v>12</v>
      </c>
      <c r="K523" t="n">
        <v>0</v>
      </c>
      <c r="L523" t="n">
        <v>7.5</v>
      </c>
      <c r="M523" t="n">
        <v>0</v>
      </c>
      <c r="N523" t="n">
        <v>2.5</v>
      </c>
      <c r="O523" t="n">
        <v>0</v>
      </c>
      <c r="P523">
        <f>Table1[[#This Row],[TA 1 - Q1 Score]]+Table1[[#This Row],[TA 1 - Q2 Score]]+Table1[[#This Row],[TA 1 - Q3 Score]]</f>
        <v/>
      </c>
      <c r="Q523">
        <f>Table1[[#This Row],[TA 1 - Q1 Bonus]]+Table1[[#This Row],[TA 1 - Q2 Bonus]]+Table1[[#This Row],[TA 1 - Q4 Bonus]]</f>
        <v/>
      </c>
      <c r="R523">
        <f>Table1[[#This Row],[TA 2 - Q1 Score]]+Table1[[#This Row],[TA 2 - Q2 Score]]+Table1[[#This Row],[TA 2 - Q3 Score]]</f>
        <v/>
      </c>
      <c r="S523">
        <f>Table1[[#This Row],[TA 2 - Q1 Bonus]]+Table1[[#This Row],[TA 2 - Q2 Bonus]]+Table1[[#This Row],[TA 2 - Q4 Bonus]]</f>
        <v/>
      </c>
      <c r="T523">
        <f>(Table1[[#This Row],[TA 1 - Total Score (out of 35)]]+Table1[[#This Row],[TA 2 - Total Score (out of 35)]])/2</f>
        <v/>
      </c>
      <c r="U523">
        <f>(Table1[[#This Row],[TA 1 - Total Bonus (out of 13)]]+Table1[[#This Row],[TA 2 - Total Bonus (out of 13)]])/2</f>
        <v/>
      </c>
      <c r="V523">
        <f>Table1[[#This Row],[Average Questions]]/35*20+Table1[[#This Row],[Average Bonus]]/13*5</f>
        <v/>
      </c>
      <c r="W523" t="n">
        <v>0</v>
      </c>
      <c r="X523" t="n">
        <v>0</v>
      </c>
      <c r="Y523" t="inlineStr">
        <is>
          <t>The student's submission does not run end-to-end due to missing code in the final cell. The code for the bonus task is also missing, resulting in a score of 0 for all tasks. The student attempted to complete the tasks but did not provide the necessary code to run the training and validation processes, nor did they implement the bonus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23" t="n">
        <v>0</v>
      </c>
      <c r="AA523" t="n">
        <v>0</v>
      </c>
      <c r="AB523" t="inlineStr">
        <is>
          <t>The student's submission does not run correctly due to several issues. The dataset class or ImageFolder is not correctly implemented, the transforms are incorrect, and the CNN model class does not follow the specified structure. The training and validation functions are also incorrect, and the training process does not set up the device, model, loss, and optimizer correctly. Additionally, the student did not attempt the bonus task.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23" t="n">
        <v>0</v>
      </c>
      <c r="AD523" t="inlineStr">
        <is>
          <t>The student's submission is incomplete and does not run correctly. The dataset class is partially implemented but does not follow the required structure. The DataLoader creation is attempted but contains errors. There is no code for displaying sample images and masks, defining the model, training and validation loops, running training, or visualizing predictions. The submission does not meet the requirements of the rubric and thus receives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23" t="n">
        <v>0</v>
      </c>
      <c r="AF523" t="n">
        <v>0</v>
      </c>
      <c r="AG523" t="inlineStr">
        <is>
          <t>No submission found.</t>
        </is>
      </c>
      <c r="AH523" t="n">
        <v>0</v>
      </c>
      <c r="AI523" t="n">
        <v>0</v>
      </c>
    </row>
    <row r="524">
      <c r="A524" t="n">
        <v>523</v>
      </c>
      <c r="B524" t="inlineStr">
        <is>
          <t>TA_10</t>
        </is>
      </c>
      <c r="C524" t="inlineStr">
        <is>
          <t>TA_20</t>
        </is>
      </c>
      <c r="D524" t="n">
        <v>4.75</v>
      </c>
      <c r="E524" t="n">
        <v>0</v>
      </c>
      <c r="F524" t="n">
        <v>9</v>
      </c>
      <c r="G524" t="n">
        <v>0</v>
      </c>
      <c r="H524" t="n">
        <v>5</v>
      </c>
      <c r="I524" t="n">
        <v>0</v>
      </c>
      <c r="J524" t="n">
        <v>6.5</v>
      </c>
      <c r="K524" t="n">
        <v>0</v>
      </c>
      <c r="L524" t="n">
        <v>11</v>
      </c>
      <c r="M524" t="n">
        <v>0</v>
      </c>
      <c r="N524" t="n">
        <v>5</v>
      </c>
      <c r="O524" t="n">
        <v>0</v>
      </c>
      <c r="P524">
        <f>Table1[[#This Row],[TA 1 - Q1 Score]]+Table1[[#This Row],[TA 1 - Q2 Score]]+Table1[[#This Row],[TA 1 - Q3 Score]]</f>
        <v/>
      </c>
      <c r="Q524">
        <f>Table1[[#This Row],[TA 1 - Q1 Bonus]]+Table1[[#This Row],[TA 1 - Q2 Bonus]]+Table1[[#This Row],[TA 1 - Q4 Bonus]]</f>
        <v/>
      </c>
      <c r="R524">
        <f>Table1[[#This Row],[TA 2 - Q1 Score]]+Table1[[#This Row],[TA 2 - Q2 Score]]+Table1[[#This Row],[TA 2 - Q3 Score]]</f>
        <v/>
      </c>
      <c r="S524">
        <f>Table1[[#This Row],[TA 2 - Q1 Bonus]]+Table1[[#This Row],[TA 2 - Q2 Bonus]]+Table1[[#This Row],[TA 2 - Q4 Bonus]]</f>
        <v/>
      </c>
      <c r="T524">
        <f>(Table1[[#This Row],[TA 1 - Total Score (out of 35)]]+Table1[[#This Row],[TA 2 - Total Score (out of 35)]])/2</f>
        <v/>
      </c>
      <c r="U524">
        <f>(Table1[[#This Row],[TA 1 - Total Bonus (out of 13)]]+Table1[[#This Row],[TA 2 - Total Bonus (out of 13)]])/2</f>
        <v/>
      </c>
      <c r="V524">
        <f>Table1[[#This Row],[Average Questions]]/35*20+Table1[[#This Row],[Average Bonus]]/13*5</f>
        <v/>
      </c>
      <c r="W524" t="n">
        <v>0</v>
      </c>
      <c r="X524" t="n">
        <v>0</v>
      </c>
      <c r="Y524" t="inlineStr">
        <is>
          <t>The student's submission does not include the necessary code to freeze the backbone of the pretrained EfficientNetV2-Small model, which is a critical step in the transfer learning process. Additionally, the student did not implement the label fix for 0-indexed labels, which is required for correct training and validation. The training and validation loops are incorrect as they do not adjust the labels to be 0-indexed. Furthermore, the student did not implement the bonus task for Test Time Augmentation.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24" t="n">
        <v>0</v>
      </c>
      <c r="AA524" t="n">
        <v>0</v>
      </c>
      <c r="AB524" t="inlineStr">
        <is>
          <t>The student's submission does not run correctly due to several issues. The dataset class is incorrectly implemented, leading to errors in loading the data. The transforms applied to the images do not match the required specifications, and the model architecture deviates from the rubric. Additionally, the training and validation functions contain errors that prevent the model from training properly. As a result,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24" t="n">
        <v>0</v>
      </c>
      <c r="AD524" t="inlineStr">
        <is>
          <t>The student's submission has several critical issues. The dataset class is incomplete and does not follow the required structure. The model definition uses 'efficientnet-b0' instead of 'efficientnet-b1' as specified, which is a significant deviation from the instructions. The training and validation loops are not implemented correctly, and there is no code for defining the loss and optimizer, training the model, printing losses, plotting the loss curve, or visualizing predictions. The submission does not run end-to-end and contains multiple errors that prevent it from functioning as intended.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524" t="n">
        <v>0</v>
      </c>
      <c r="AF524" t="n">
        <v>0</v>
      </c>
      <c r="AG524" t="inlineStr">
        <is>
          <t>No submission found.</t>
        </is>
      </c>
      <c r="AH524" t="n">
        <v>0</v>
      </c>
      <c r="AI524" t="n">
        <v>0</v>
      </c>
    </row>
    <row r="525">
      <c r="A525" t="n">
        <v>524</v>
      </c>
      <c r="B525" t="inlineStr">
        <is>
          <t>TA_10</t>
        </is>
      </c>
      <c r="C525" t="inlineStr">
        <is>
          <t>TA_20</t>
        </is>
      </c>
      <c r="D525" t="n">
        <v>6.5</v>
      </c>
      <c r="E525" t="n">
        <v>0</v>
      </c>
      <c r="F525" t="n">
        <v>8.75</v>
      </c>
      <c r="G525" t="n">
        <v>0</v>
      </c>
      <c r="H525" t="n">
        <v>5</v>
      </c>
      <c r="I525" t="n">
        <v>0</v>
      </c>
      <c r="J525" t="n">
        <v>6</v>
      </c>
      <c r="K525" t="n">
        <v>0</v>
      </c>
      <c r="L525" t="n">
        <v>11</v>
      </c>
      <c r="M525" t="n">
        <v>0</v>
      </c>
      <c r="N525" t="n">
        <v>11.5</v>
      </c>
      <c r="O525" t="n">
        <v>0</v>
      </c>
      <c r="P525">
        <f>Table1[[#This Row],[TA 1 - Q1 Score]]+Table1[[#This Row],[TA 1 - Q2 Score]]+Table1[[#This Row],[TA 1 - Q3 Score]]</f>
        <v/>
      </c>
      <c r="Q525">
        <f>Table1[[#This Row],[TA 1 - Q1 Bonus]]+Table1[[#This Row],[TA 1 - Q2 Bonus]]+Table1[[#This Row],[TA 1 - Q4 Bonus]]</f>
        <v/>
      </c>
      <c r="R525">
        <f>Table1[[#This Row],[TA 2 - Q1 Score]]+Table1[[#This Row],[TA 2 - Q2 Score]]+Table1[[#This Row],[TA 2 - Q3 Score]]</f>
        <v/>
      </c>
      <c r="S525">
        <f>Table1[[#This Row],[TA 2 - Q1 Bonus]]+Table1[[#This Row],[TA 2 - Q2 Bonus]]+Table1[[#This Row],[TA 2 - Q4 Bonus]]</f>
        <v/>
      </c>
      <c r="T525">
        <f>(Table1[[#This Row],[TA 1 - Total Score (out of 35)]]+Table1[[#This Row],[TA 2 - Total Score (out of 35)]])/2</f>
        <v/>
      </c>
      <c r="U525">
        <f>(Table1[[#This Row],[TA 1 - Total Bonus (out of 13)]]+Table1[[#This Row],[TA 2 - Total Bonus (out of 13)]])/2</f>
        <v/>
      </c>
      <c r="V525">
        <f>Table1[[#This Row],[Average Questions]]/35*20+Table1[[#This Row],[Average Bonus]]/13*5</f>
        <v/>
      </c>
      <c r="W525" t="n">
        <v>0</v>
      </c>
      <c r="X525" t="n">
        <v>0</v>
      </c>
      <c r="Y525" t="inlineStr">
        <is>
          <t>The student's submission does not run correctly due to several issues. The transforms are incomplete, the DataLoaders are not correctly created, and the model is not properly adapted for the task. Additionally, the training and validation loops are incorrect, and the plots for training and validation losses and accuracies are missing. The bonus task for Test Time Augmentation is also not implemented correctly.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25" t="n">
        <v>0</v>
      </c>
      <c r="AA525" t="n">
        <v>0</v>
      </c>
      <c r="AB525" t="inlineStr">
        <is>
          <t>The student's submission has several critical issues that prevent it from running correctly. The dataset paths are incorrectly set, with the training and testing directories swapped. Additionally, the transforms applied to the images do not match the required specifications, and the model architecture does not include batch normalization as specified. The training and validation functions are incorrectly implemented, leading to errors in the training process. Furthermore, the student did not attempt the bonus task. These issues collectively result in a score of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25" t="n">
        <v>0</v>
      </c>
      <c r="AD525" t="inlineStr">
        <is>
          <t>The student's submission failed to run end-to-end due to multiple issues. The dataset class was incorrectly implemented, leading to errors in data loading. The model definition used 'efficientnet-b0' instead of 'efficientnet-b1' as specified, which is a critical deviation from the instructions. Additionally, the training and validation loops, as well as the visualization of predictions, were not correctly implemented or executed. The code contains several 'TO DO' comments, indicating incomplete tasks. Therefore, the student receives 0% for the base tasks and -50% for the model definition task due to using an entirely wrong approach.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525" t="n">
        <v>0</v>
      </c>
      <c r="AF525" t="n">
        <v>0</v>
      </c>
      <c r="AG525" t="inlineStr">
        <is>
          <t>No submission found.</t>
        </is>
      </c>
      <c r="AH525" t="n">
        <v>0</v>
      </c>
      <c r="AI525" t="n">
        <v>0</v>
      </c>
    </row>
    <row r="526">
      <c r="A526" t="n">
        <v>525</v>
      </c>
      <c r="B526" t="inlineStr">
        <is>
          <t>TA_10</t>
        </is>
      </c>
      <c r="C526" t="inlineStr">
        <is>
          <t>TA_20</t>
        </is>
      </c>
      <c r="D526" t="n">
        <v>10.5</v>
      </c>
      <c r="E526" t="n">
        <v>0</v>
      </c>
      <c r="F526" t="n">
        <v>11</v>
      </c>
      <c r="G526" t="n">
        <v>0</v>
      </c>
      <c r="H526" t="n">
        <v>11</v>
      </c>
      <c r="I526" t="n">
        <v>0</v>
      </c>
      <c r="J526" t="n">
        <v>9</v>
      </c>
      <c r="K526" t="n">
        <v>0</v>
      </c>
      <c r="L526" t="n">
        <v>11</v>
      </c>
      <c r="M526" t="n">
        <v>0</v>
      </c>
      <c r="N526" t="n">
        <v>10</v>
      </c>
      <c r="O526" t="n">
        <v>0</v>
      </c>
      <c r="P526">
        <f>Table1[[#This Row],[TA 1 - Q1 Score]]+Table1[[#This Row],[TA 1 - Q2 Score]]+Table1[[#This Row],[TA 1 - Q3 Score]]</f>
        <v/>
      </c>
      <c r="Q526">
        <f>Table1[[#This Row],[TA 1 - Q1 Bonus]]+Table1[[#This Row],[TA 1 - Q2 Bonus]]+Table1[[#This Row],[TA 1 - Q4 Bonus]]</f>
        <v/>
      </c>
      <c r="R526">
        <f>Table1[[#This Row],[TA 2 - Q1 Score]]+Table1[[#This Row],[TA 2 - Q2 Score]]+Table1[[#This Row],[TA 2 - Q3 Score]]</f>
        <v/>
      </c>
      <c r="S526">
        <f>Table1[[#This Row],[TA 2 - Q1 Bonus]]+Table1[[#This Row],[TA 2 - Q2 Bonus]]+Table1[[#This Row],[TA 2 - Q4 Bonus]]</f>
        <v/>
      </c>
      <c r="T526">
        <f>(Table1[[#This Row],[TA 1 - Total Score (out of 35)]]+Table1[[#This Row],[TA 2 - Total Score (out of 35)]])/2</f>
        <v/>
      </c>
      <c r="U526">
        <f>(Table1[[#This Row],[TA 1 - Total Bonus (out of 13)]]+Table1[[#This Row],[TA 2 - Total Bonus (out of 13)]])/2</f>
        <v/>
      </c>
      <c r="V526">
        <f>Table1[[#This Row],[Average Questions]]/35*20+Table1[[#This Row],[Average Bonus]]/13*5</f>
        <v/>
      </c>
      <c r="W526" t="n">
        <v>0</v>
      </c>
      <c r="X526" t="n">
        <v>0</v>
      </c>
      <c r="Y526" t="inlineStr">
        <is>
          <t>The student's submission has several issues that prevent it from running correctly. The training and validation loops are incorrect due to improper label adjustment and missing parts in the TTA function. The training loop does not correctly update the labels to be 0-indexed, and the validation loop has similar issues. Additionally, the TTA function is incomplete and does not average the predictions correctly. These issues result in a score of 0 for the tasks related to training, validation, and TTA. The student received full credit for tasks that were correctly implemented, such as data loading, model setup, and display of sample images.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526" t="n">
        <v>0</v>
      </c>
      <c r="AA526" t="n">
        <v>0</v>
      </c>
      <c r="AB526" t="inlineStr">
        <is>
          <t>The student's submission does not follow the rubric correctly. The student used a different model architecture (AlexNet) instead of building a CNN model with 5 convolutional layers as specified. Additionally, the student did not implement the required transforms correctly, and the training and validation functions are not defined as per the rubric. The student also did not attempt the bonus task. Therefore, no points are awarded for any of the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26" t="n">
        <v>0</v>
      </c>
      <c r="AD526" t="inlineStr">
        <is>
          <t>The student's submission does not run end-to-end due to missing code for defining the loss and optimizer, and for training the model. Additionally, the student did not display sample images and masks, and the visualization of predictions is incomplete. Therefore, the student receives 0 points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26" t="n">
        <v>0</v>
      </c>
      <c r="AF526" t="n">
        <v>0</v>
      </c>
      <c r="AG526" t="inlineStr">
        <is>
          <t>No submission found.</t>
        </is>
      </c>
      <c r="AH526" t="n">
        <v>0</v>
      </c>
      <c r="AI526" t="n">
        <v>0</v>
      </c>
    </row>
    <row r="527">
      <c r="A527" t="n">
        <v>526</v>
      </c>
      <c r="B527" t="inlineStr">
        <is>
          <t>TA_10</t>
        </is>
      </c>
      <c r="C527" t="inlineStr">
        <is>
          <t>TA_20</t>
        </is>
      </c>
      <c r="D527" t="n">
        <v>12</v>
      </c>
      <c r="E527" t="n">
        <v>4</v>
      </c>
      <c r="F527" t="n">
        <v>11</v>
      </c>
      <c r="G527" t="n">
        <v>2</v>
      </c>
      <c r="H527" t="n">
        <v>12</v>
      </c>
      <c r="I527" t="n">
        <v>5</v>
      </c>
      <c r="J527" t="n">
        <v>12</v>
      </c>
      <c r="K527" t="n">
        <v>4</v>
      </c>
      <c r="L527" t="n">
        <v>11</v>
      </c>
      <c r="M527" t="n">
        <v>4</v>
      </c>
      <c r="N527" t="n">
        <v>12</v>
      </c>
      <c r="O527" t="n">
        <v>5</v>
      </c>
      <c r="P527">
        <f>Table1[[#This Row],[TA 1 - Q1 Score]]+Table1[[#This Row],[TA 1 - Q2 Score]]+Table1[[#This Row],[TA 1 - Q3 Score]]</f>
        <v/>
      </c>
      <c r="Q527">
        <f>Table1[[#This Row],[TA 1 - Q1 Bonus]]+Table1[[#This Row],[TA 1 - Q2 Bonus]]+Table1[[#This Row],[TA 1 - Q4 Bonus]]</f>
        <v/>
      </c>
      <c r="R527">
        <f>Table1[[#This Row],[TA 2 - Q1 Score]]+Table1[[#This Row],[TA 2 - Q2 Score]]+Table1[[#This Row],[TA 2 - Q3 Score]]</f>
        <v/>
      </c>
      <c r="S527">
        <f>Table1[[#This Row],[TA 2 - Q1 Bonus]]+Table1[[#This Row],[TA 2 - Q2 Bonus]]+Table1[[#This Row],[TA 2 - Q4 Bonus]]</f>
        <v/>
      </c>
      <c r="T527">
        <f>(Table1[[#This Row],[TA 1 - Total Score (out of 35)]]+Table1[[#This Row],[TA 2 - Total Score (out of 35)]])/2</f>
        <v/>
      </c>
      <c r="U527">
        <f>(Table1[[#This Row],[TA 1 - Total Bonus (out of 13)]]+Table1[[#This Row],[TA 2 - Total Bonus (out of 13)]])/2</f>
        <v/>
      </c>
      <c r="V527">
        <f>Table1[[#This Row],[Average Questions]]/35*20+Table1[[#This Row],[Average Bonus]]/13*5</f>
        <v/>
      </c>
      <c r="W527" t="n">
        <v>0</v>
      </c>
      <c r="X527" t="n">
        <v>0</v>
      </c>
      <c r="Y527" t="inlineStr">
        <is>
          <t>The student's submission does not run end-to-end due to multiple issues. The transforms are incomplete, the DataLoaders are not correctly created, and the model training and validation functions are incorrect. Additionally, the student did not fix the labels for 0-indexing, which is a critical requirement. The bonus task for Test Time Augmentation (TTA) is also incomplete and does not run correctly.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27" t="n">
        <v>0</v>
      </c>
      <c r="AA527" t="n">
        <v>0</v>
      </c>
      <c r="AB527" t="inlineStr">
        <is>
          <t>The student's submission does not run correctly due to several issues. The transformations applied to the images are incorrect, as the student resized the images to 32x32 instead of 128x128 as specified. Additionally, the CNN model does not follow the required specifications, with incorrect layer configurations and missing batch normalization layers. The training and validation functions are incorrectly implemented, leading to errors in the training process. The residual connection implementation is flawed, and the model does not retrain correctly.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27" t="n">
        <v>0</v>
      </c>
      <c r="AD527" t="inlineStr">
        <is>
          <t>The student's submission does not run end-to-end due to missing code for several critical tasks, including defining the loss and optimizer, training the model, and visualizing predictions. The code provided for these tasks is incomplete or commented out as 'TO DO', resulting in a score of 0 for each of these tasks. The dataset class and DataLoaders are partially implemented but do not run correctly due to missing or incorrect code in other parts of the submission. The model definition is correct, but the overall submission fails to meet the requirements for a running solution.
Breakdown:
- Build custom dataset class for images and masks: 0.0/2.0
- Create DataLoaders: 0.0/0.5
- Display sample images and masks: 0.0/0.5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527" t="n">
        <v>0</v>
      </c>
      <c r="AF527" t="n">
        <v>0</v>
      </c>
      <c r="AG527" t="inlineStr">
        <is>
          <t>The student's implementation of the `ColorizationDataset` class is incorrect. The `rgb_to_grayscale` method does not correctly handle the input tensor dimensions, leading to a shape mismatch. Specifically, the method does not properly unsqueeze the grayscale image to add the channel dimension, resulting in an incorrect shape for the grayscale image. Additionally, the code does not handle the normalization of the grayscale image correctly, which is crucial for the colorization task. Therefore, the implementation does not meet the requirements specified in the rubric.
Breakdown:
- Correctly implemented `ColorizationDataset` class: 0.0/5.0</t>
        </is>
      </c>
      <c r="AH527" t="n">
        <v>0</v>
      </c>
      <c r="AI527" t="n">
        <v>0</v>
      </c>
    </row>
    <row r="528">
      <c r="A528" t="n">
        <v>527</v>
      </c>
      <c r="B528" t="inlineStr">
        <is>
          <t>TA_10</t>
        </is>
      </c>
      <c r="C528" t="inlineStr">
        <is>
          <t>TA_20</t>
        </is>
      </c>
      <c r="D528" t="n">
        <v>12</v>
      </c>
      <c r="E528" t="n">
        <v>0</v>
      </c>
      <c r="F528" t="n">
        <v>11</v>
      </c>
      <c r="G528" t="n">
        <v>0</v>
      </c>
      <c r="H528" t="n">
        <v>5.25</v>
      </c>
      <c r="I528" t="n">
        <v>0</v>
      </c>
      <c r="J528" t="n">
        <v>12</v>
      </c>
      <c r="K528" t="n">
        <v>0</v>
      </c>
      <c r="L528" t="n">
        <v>11</v>
      </c>
      <c r="M528" t="n">
        <v>0</v>
      </c>
      <c r="N528" t="n">
        <v>5.25</v>
      </c>
      <c r="O528" t="n">
        <v>0</v>
      </c>
      <c r="P528">
        <f>Table1[[#This Row],[TA 1 - Q1 Score]]+Table1[[#This Row],[TA 1 - Q2 Score]]+Table1[[#This Row],[TA 1 - Q3 Score]]</f>
        <v/>
      </c>
      <c r="Q528">
        <f>Table1[[#This Row],[TA 1 - Q1 Bonus]]+Table1[[#This Row],[TA 1 - Q2 Bonus]]+Table1[[#This Row],[TA 1 - Q4 Bonus]]</f>
        <v/>
      </c>
      <c r="R528">
        <f>Table1[[#This Row],[TA 2 - Q1 Score]]+Table1[[#This Row],[TA 2 - Q2 Score]]+Table1[[#This Row],[TA 2 - Q3 Score]]</f>
        <v/>
      </c>
      <c r="S528">
        <f>Table1[[#This Row],[TA 2 - Q1 Bonus]]+Table1[[#This Row],[TA 2 - Q2 Bonus]]+Table1[[#This Row],[TA 2 - Q4 Bonus]]</f>
        <v/>
      </c>
      <c r="T528">
        <f>(Table1[[#This Row],[TA 1 - Total Score (out of 35)]]+Table1[[#This Row],[TA 2 - Total Score (out of 35)]])/2</f>
        <v/>
      </c>
      <c r="U528">
        <f>(Table1[[#This Row],[TA 1 - Total Bonus (out of 13)]]+Table1[[#This Row],[TA 2 - Total Bonus (out of 13)]])/2</f>
        <v/>
      </c>
      <c r="V528">
        <f>Table1[[#This Row],[Average Questions]]/35*20+Table1[[#This Row],[Average Bonus]]/13*5</f>
        <v/>
      </c>
      <c r="W528" t="n">
        <v>0</v>
      </c>
      <c r="X528" t="n">
        <v>0</v>
      </c>
      <c r="Y528" t="inlineStr">
        <is>
          <t>The student's submission does not run end-to-end due to missing code in critical sections, such as the DataLoader creation and the training loop setup. The code provided does not attempt to complete the tasks as specified in the rubric, resulting in a score of 0 for all tasks. The student did not follow the instructions to display sample images correctly, and the model setup is incomplete. Additionally, the bonus task for Test Time Augmentation is not attempted, resulting in a bonus score of 0.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28" t="n">
        <v>0</v>
      </c>
      <c r="AA528" t="n">
        <v>0</v>
      </c>
      <c r="AB528" t="inlineStr">
        <is>
          <t>The student's submission does not run correctly due to several issues. The dataset class is defined but does not correctly handle the dataset paths, leading to errors in loading the data. The transforms are incorrectly applied, and the model definition has issues that prevent it from running. The training and validation functions are incomplete and contain errors. As a result, the model cannot be trained or validated, and the plots for losses and accuracy are not generated. The bonus task is also incomplete and does not run.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28" t="n">
        <v>0</v>
      </c>
      <c r="AD528" t="inlineStr">
        <is>
          <t>The student's submission does not run end-to-end due to several critical issues. The model definition uses 'efficientnet-b1' instead of 'efficientnet-b0' as specified, and the number of classes is set to 1 instead of 8. The loss function is incorrectly defined as BCEWithLogitsLoss instead of CrossEntropyLoss, which is inappropriate for multi-class segmentation. The validation loop uses the training loader instead of the test loader, leading to incorrect validation results. Additionally, the code for visualizing predictions is missing, and the training loop does not print the losses as required. These issues collectively prevent the code from running correctly, resulting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28" t="n">
        <v>0</v>
      </c>
      <c r="AF528" t="n">
        <v>0</v>
      </c>
      <c r="AG528" t="inlineStr">
        <is>
          <t>No submission found.</t>
        </is>
      </c>
      <c r="AH528" t="n">
        <v>0</v>
      </c>
      <c r="AI528" t="n">
        <v>0</v>
      </c>
    </row>
    <row r="529">
      <c r="A529" t="n">
        <v>528</v>
      </c>
      <c r="B529" t="inlineStr">
        <is>
          <t>TA_10</t>
        </is>
      </c>
      <c r="C529" t="inlineStr">
        <is>
          <t>TA_20</t>
        </is>
      </c>
      <c r="D529" t="n">
        <v>11</v>
      </c>
      <c r="E529" t="n">
        <v>4</v>
      </c>
      <c r="F529" t="n">
        <v>9.75</v>
      </c>
      <c r="G529" t="n">
        <v>3.75</v>
      </c>
      <c r="H529" t="n">
        <v>11.25</v>
      </c>
      <c r="I529" t="n">
        <v>5</v>
      </c>
      <c r="J529" t="n">
        <v>11.5</v>
      </c>
      <c r="K529" t="n">
        <v>4</v>
      </c>
      <c r="L529" t="n">
        <v>9</v>
      </c>
      <c r="M529" t="n">
        <v>4</v>
      </c>
      <c r="N529" t="n">
        <v>11.5</v>
      </c>
      <c r="O529" t="n">
        <v>5</v>
      </c>
      <c r="P529">
        <f>Table1[[#This Row],[TA 1 - Q1 Score]]+Table1[[#This Row],[TA 1 - Q2 Score]]+Table1[[#This Row],[TA 1 - Q3 Score]]</f>
        <v/>
      </c>
      <c r="Q529">
        <f>Table1[[#This Row],[TA 1 - Q1 Bonus]]+Table1[[#This Row],[TA 1 - Q2 Bonus]]+Table1[[#This Row],[TA 1 - Q4 Bonus]]</f>
        <v/>
      </c>
      <c r="R529">
        <f>Table1[[#This Row],[TA 2 - Q1 Score]]+Table1[[#This Row],[TA 2 - Q2 Score]]+Table1[[#This Row],[TA 2 - Q3 Score]]</f>
        <v/>
      </c>
      <c r="S529">
        <f>Table1[[#This Row],[TA 2 - Q1 Bonus]]+Table1[[#This Row],[TA 2 - Q2 Bonus]]+Table1[[#This Row],[TA 2 - Q4 Bonus]]</f>
        <v/>
      </c>
      <c r="T529">
        <f>(Table1[[#This Row],[TA 1 - Total Score (out of 35)]]+Table1[[#This Row],[TA 2 - Total Score (out of 35)]])/2</f>
        <v/>
      </c>
      <c r="U529">
        <f>(Table1[[#This Row],[TA 1 - Total Bonus (out of 13)]]+Table1[[#This Row],[TA 2 - Total Bonus (out of 13)]])/2</f>
        <v/>
      </c>
      <c r="V529">
        <f>Table1[[#This Row],[Average Questions]]/35*20+Table1[[#This Row],[Average Bonus]]/13*5</f>
        <v/>
      </c>
      <c r="W529" t="n">
        <v>0</v>
      </c>
      <c r="X529" t="n">
        <v>0</v>
      </c>
      <c r="Y529" t="inlineStr">
        <is>
          <t>The student's submission does not run correctly due to several issues. The transforms are correctly defined, but the code for displaying sample images is incomplete and does not show the labels. The model loading and adaptation are correct, but the training and validation loops contain errors, such as incorrect label adjustment and incorrect use of softmax. The training and validation functions do not run correctly, and the plots for losses and accuracies are not generated. The bonus task for Test Time Augmentation (TTA) is attempted but contains errors in the implementation, leading to incorrect results. Overall, the submission does not meet the requirements for any of the tasks, resulting in a score of 0.0.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29" t="n">
        <v>0</v>
      </c>
      <c r="AA529" t="n">
        <v>0</v>
      </c>
      <c r="AB529" t="inlineStr">
        <is>
          <t>The student's submission does not run correctly due to several issues. The dataset class or ImageFolder is not correctly implemented, the transforms do not include RandomRotation, and the CNN model does not have the correct number of convolutional layers. Additionally, the training and validation functions are incorrect, and the residual connection is not defined correctly.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29" t="n">
        <v>0</v>
      </c>
      <c r="AD529" t="inlineStr">
        <is>
          <t>The student's submission does not run end-to-end due to several issues. The dataset class is incomplete and does not correctly handle the image and mask paths. The DataLoader creation is flawed, and the display of sample images and masks is incorrect. The model definition uses the wrong encoder, and the training and validation loops are not correctly implemented. Additionally, the loss and optimizer are not defined correctly, and the training process does not print or plot the losses. The visualization of predictions is also incorrect. Therefore, no points are awarded for any task as the code does not run correctly and deviates from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29" t="n">
        <v>0</v>
      </c>
      <c r="AF529" t="n">
        <v>0</v>
      </c>
      <c r="AG529" t="inlineStr">
        <is>
          <t>The student's implementation of the `ColorizationDataset` class contains several critical errors. The `rgb_to_grayscale` method does not add the channel dimension back to the grayscale image, which results in incorrect dimensions. Additionally, the `__getitem__` method has a typo in the variable name `gray_img` which should be `gray_image`. These issues prevent the code from running correctly, and thus, no points are awarded for this task.
Breakdown:
- Correctly implemented `ColorizationDataset` class: 0.0/5.0</t>
        </is>
      </c>
      <c r="AH529" t="n">
        <v>0</v>
      </c>
      <c r="AI529" t="n">
        <v>0</v>
      </c>
    </row>
    <row r="530">
      <c r="A530" t="n">
        <v>529</v>
      </c>
      <c r="B530" t="inlineStr">
        <is>
          <t>TA_10</t>
        </is>
      </c>
      <c r="C530" t="inlineStr">
        <is>
          <t>TA_20</t>
        </is>
      </c>
      <c r="D530" t="n">
        <v>12</v>
      </c>
      <c r="E530" t="n">
        <v>0</v>
      </c>
      <c r="F530" t="n">
        <v>8.75</v>
      </c>
      <c r="G530" t="n">
        <v>0</v>
      </c>
      <c r="H530" t="n">
        <v>10</v>
      </c>
      <c r="I530" t="n">
        <v>0</v>
      </c>
      <c r="J530" t="n">
        <v>10.5</v>
      </c>
      <c r="K530" t="n">
        <v>0</v>
      </c>
      <c r="L530" t="n">
        <v>8.5</v>
      </c>
      <c r="M530" t="n">
        <v>0</v>
      </c>
      <c r="N530" t="n">
        <v>10.75</v>
      </c>
      <c r="O530" t="n">
        <v>0</v>
      </c>
      <c r="P530">
        <f>Table1[[#This Row],[TA 1 - Q1 Score]]+Table1[[#This Row],[TA 1 - Q2 Score]]+Table1[[#This Row],[TA 1 - Q3 Score]]</f>
        <v/>
      </c>
      <c r="Q530">
        <f>Table1[[#This Row],[TA 1 - Q1 Bonus]]+Table1[[#This Row],[TA 1 - Q2 Bonus]]+Table1[[#This Row],[TA 1 - Q4 Bonus]]</f>
        <v/>
      </c>
      <c r="R530">
        <f>Table1[[#This Row],[TA 2 - Q1 Score]]+Table1[[#This Row],[TA 2 - Q2 Score]]+Table1[[#This Row],[TA 2 - Q3 Score]]</f>
        <v/>
      </c>
      <c r="S530">
        <f>Table1[[#This Row],[TA 2 - Q1 Bonus]]+Table1[[#This Row],[TA 2 - Q2 Bonus]]+Table1[[#This Row],[TA 2 - Q4 Bonus]]</f>
        <v/>
      </c>
      <c r="T530">
        <f>(Table1[[#This Row],[TA 1 - Total Score (out of 35)]]+Table1[[#This Row],[TA 2 - Total Score (out of 35)]])/2</f>
        <v/>
      </c>
      <c r="U530">
        <f>(Table1[[#This Row],[TA 1 - Total Bonus (out of 13)]]+Table1[[#This Row],[TA 2 - Total Bonus (out of 13)]])/2</f>
        <v/>
      </c>
      <c r="V530">
        <f>Table1[[#This Row],[Average Questions]]/35*20+Table1[[#This Row],[Average Bonus]]/13*5</f>
        <v/>
      </c>
      <c r="W530" t="n">
        <v>0</v>
      </c>
      <c r="X530" t="n">
        <v>0</v>
      </c>
      <c r="Y530" t="inlineStr">
        <is>
          <t>The student's submission does not run end-to-end due to multiple issues. The student used the wrong model (EfficientNet-B0 instead of EfficientNetV2-Small), which deviates from the rubric. Additionally, the student did not correctly implement the data loading and display tasks, and the training and validation loops contain errors. The bonus task for Test Time Augmentation (TTA) is also missing.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30" t="n">
        <v>0</v>
      </c>
      <c r="AA530" t="n">
        <v>0</v>
      </c>
      <c r="AB530" t="inlineStr">
        <is>
          <t>The student's submission does not run correctly due to several issues. The dataset class is incorrectly implemented, leading to errors in loading the data. The transformations applied to the images are incorrect, and the model definition does not follow the specified requirements. Additionally, the training and validation functions are flawed, and the plotting code is incomplete. The bonus task is not attempted.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30" t="n">
        <v>0</v>
      </c>
      <c r="AD530" t="inlineStr">
        <is>
          <t>The student's submission does not run correctly due to several issues. The dataset class is incorrectly defined, the model is not correctly instantiated with the specified encoder, and the training and validation loops are flawed. Additionally, the loss function and optimizer are not correctly defined for the task. The code does not follow the optimal logic and contains syntax errors, leading to a complete failure in running the task.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30" t="n">
        <v>0</v>
      </c>
      <c r="AF530" t="n">
        <v>0</v>
      </c>
      <c r="AG530" t="inlineStr">
        <is>
          <t>No submission found.</t>
        </is>
      </c>
      <c r="AH530" t="n">
        <v>0</v>
      </c>
      <c r="AI530" t="n">
        <v>0</v>
      </c>
    </row>
    <row r="531">
      <c r="A531" t="n">
        <v>530</v>
      </c>
      <c r="B531" t="inlineStr">
        <is>
          <t>TA_10</t>
        </is>
      </c>
      <c r="C531" t="inlineStr">
        <is>
          <t>TA_20</t>
        </is>
      </c>
      <c r="D531" t="n">
        <v>9.5</v>
      </c>
      <c r="E531" t="n">
        <v>0</v>
      </c>
      <c r="F531" t="n">
        <v>0</v>
      </c>
      <c r="G531" t="n">
        <v>0</v>
      </c>
      <c r="H531" t="n">
        <v>4.5</v>
      </c>
      <c r="I531" t="n">
        <v>0</v>
      </c>
      <c r="J531" t="n">
        <v>10</v>
      </c>
      <c r="K531" t="n">
        <v>0</v>
      </c>
      <c r="L531" t="n">
        <v>0</v>
      </c>
      <c r="M531" t="n">
        <v>0</v>
      </c>
      <c r="N531" t="n">
        <v>9</v>
      </c>
      <c r="O531" t="n">
        <v>0</v>
      </c>
      <c r="P531">
        <f>Table1[[#This Row],[TA 1 - Q1 Score]]+Table1[[#This Row],[TA 1 - Q2 Score]]+Table1[[#This Row],[TA 1 - Q3 Score]]</f>
        <v/>
      </c>
      <c r="Q531">
        <f>Table1[[#This Row],[TA 1 - Q1 Bonus]]+Table1[[#This Row],[TA 1 - Q2 Bonus]]+Table1[[#This Row],[TA 1 - Q4 Bonus]]</f>
        <v/>
      </c>
      <c r="R531">
        <f>Table1[[#This Row],[TA 2 - Q1 Score]]+Table1[[#This Row],[TA 2 - Q2 Score]]+Table1[[#This Row],[TA 2 - Q3 Score]]</f>
        <v/>
      </c>
      <c r="S531">
        <f>Table1[[#This Row],[TA 2 - Q1 Bonus]]+Table1[[#This Row],[TA 2 - Q2 Bonus]]+Table1[[#This Row],[TA 2 - Q4 Bonus]]</f>
        <v/>
      </c>
      <c r="T531">
        <f>(Table1[[#This Row],[TA 1 - Total Score (out of 35)]]+Table1[[#This Row],[TA 2 - Total Score (out of 35)]])/2</f>
        <v/>
      </c>
      <c r="U531">
        <f>(Table1[[#This Row],[TA 1 - Total Bonus (out of 13)]]+Table1[[#This Row],[TA 2 - Total Bonus (out of 13)]])/2</f>
        <v/>
      </c>
      <c r="V531">
        <f>Table1[[#This Row],[Average Questions]]/35*20+Table1[[#This Row],[Average Bonus]]/13*5</f>
        <v/>
      </c>
      <c r="W531" t="n">
        <v>0</v>
      </c>
      <c r="X531" t="n">
        <v>0</v>
      </c>
      <c r="Y531" t="inlineStr">
        <is>
          <t>The student's submission contains several critical errors that prevent the code from running correctly. The transforms are incorrectly defined, leading to issues with image resizing and normalization. The DataLoaders are not correctly created, and sample images are not displayed. The model loading and adaptation steps are incomplete, and the training and validation loops are not correctly implemented. Additionally, the student did not fix the labels to be 0-indexed, which is a required step. The training and plotting tasks are also incomplete. Therefore, the student receives 0 points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31" t="n">
        <v>0</v>
      </c>
      <c r="AA531" t="n">
        <v>0</v>
      </c>
      <c r="AB531" t="inlineStr">
        <is>
          <t>The student did not provide any code for the tasks in Part 1, Part 2, Part 3, and Part 4. Therefore, no points can be awarded for any of the tasks. The student also did not attempt the bonus tasks, resulting in a score of 0.0 for both the base tasks and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531" t="n">
        <v>0</v>
      </c>
      <c r="AD531" t="inlineStr">
        <is>
          <t>The student's submission does not follow the rubric and uses a different dataset (MNIST) instead of the specified underwater imagery dataset. The code is incomplete and does not run end-to-end, resulting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31" t="n">
        <v>0</v>
      </c>
      <c r="AF531" t="n">
        <v>0</v>
      </c>
      <c r="AG531" t="inlineStr">
        <is>
          <t>The student's submission contains incomplete and non-functional code for the `ColorizationDataset` class. The `__init__`, `__len__`, `rgb_to_grayscale`, and `__getitem__` methods are all left unimplemented with 'pass' statements or 'TO DO' comments, indicating that the student did not complete the task. Additionally, the visualization code attempts to run but will fail due to the incomplete dataset class. Therefore, the implementation does not meet the criteria for any points.
Breakdown:
- Correctly implemented `ColorizationDataset` class: 0.0/5.0</t>
        </is>
      </c>
      <c r="AH531" t="n">
        <v>0</v>
      </c>
      <c r="AI531" t="n">
        <v>0</v>
      </c>
    </row>
    <row r="532">
      <c r="A532" t="n">
        <v>531</v>
      </c>
      <c r="B532" t="inlineStr">
        <is>
          <t>TA_10</t>
        </is>
      </c>
      <c r="C532" t="inlineStr">
        <is>
          <t>TA_20</t>
        </is>
      </c>
      <c r="D532" t="n">
        <v>6.5</v>
      </c>
      <c r="E532" t="n">
        <v>0</v>
      </c>
      <c r="F532" t="n">
        <v>9</v>
      </c>
      <c r="G532" t="n">
        <v>0</v>
      </c>
      <c r="H532" t="n">
        <v>12</v>
      </c>
      <c r="I532" t="n">
        <v>0</v>
      </c>
      <c r="J532" t="n">
        <v>11.5</v>
      </c>
      <c r="K532" t="n">
        <v>0</v>
      </c>
      <c r="L532" t="n">
        <v>9</v>
      </c>
      <c r="M532" t="n">
        <v>0</v>
      </c>
      <c r="N532" t="n">
        <v>12</v>
      </c>
      <c r="O532" t="n">
        <v>0</v>
      </c>
      <c r="P532">
        <f>Table1[[#This Row],[TA 1 - Q1 Score]]+Table1[[#This Row],[TA 1 - Q2 Score]]+Table1[[#This Row],[TA 1 - Q3 Score]]</f>
        <v/>
      </c>
      <c r="Q532">
        <f>Table1[[#This Row],[TA 1 - Q1 Bonus]]+Table1[[#This Row],[TA 1 - Q2 Bonus]]+Table1[[#This Row],[TA 1 - Q4 Bonus]]</f>
        <v/>
      </c>
      <c r="R532">
        <f>Table1[[#This Row],[TA 2 - Q1 Score]]+Table1[[#This Row],[TA 2 - Q2 Score]]+Table1[[#This Row],[TA 2 - Q3 Score]]</f>
        <v/>
      </c>
      <c r="S532">
        <f>Table1[[#This Row],[TA 2 - Q1 Bonus]]+Table1[[#This Row],[TA 2 - Q2 Bonus]]+Table1[[#This Row],[TA 2 - Q4 Bonus]]</f>
        <v/>
      </c>
      <c r="T532">
        <f>(Table1[[#This Row],[TA 1 - Total Score (out of 35)]]+Table1[[#This Row],[TA 2 - Total Score (out of 35)]])/2</f>
        <v/>
      </c>
      <c r="U532">
        <f>(Table1[[#This Row],[TA 1 - Total Bonus (out of 13)]]+Table1[[#This Row],[TA 2 - Total Bonus (out of 13)]])/2</f>
        <v/>
      </c>
      <c r="V532">
        <f>Table1[[#This Row],[Average Questions]]/35*20+Table1[[#This Row],[Average Bonus]]/13*5</f>
        <v/>
      </c>
      <c r="W532" t="n">
        <v>0</v>
      </c>
      <c r="X532" t="n">
        <v>0</v>
      </c>
      <c r="Y532" t="inlineStr">
        <is>
          <t>The student's submission contains several critical errors that prevent the code from running correctly. The transforms are incorrectly defined, leading to issues with image resizing and normalization. The DataLoaders are not correctly created, and the sample images are not displayed properly. The model loading and adaptation steps are incorrect, and the training and validation loops do not function as intended. Additionally, the label fixing step is missing, which is crucial for the model to work correctly. The bonus task for Test Time Augmentation is also not implemented correctly. Overall, the submission does not meet the requirements of the rubric and does not run end-to-end.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32" t="n">
        <v>0</v>
      </c>
      <c r="AA532" t="n">
        <v>0</v>
      </c>
      <c r="AB532" t="inlineStr">
        <is>
          <t>The student's submission does not follow the rubric correctly. The student used a U-Net model instead of a CNN model with 5 convolutional layers. The transforms applied to the images do not match the required specifications (e.g., resizing to 32x32). The training and validation functions are incorrectly implemented for the U-Net model, and the residual connection is not defined correctly. Additionally, the student did not display sample images with labels as required. Therefore, the student receives 0 points for all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532" t="n">
        <v>0</v>
      </c>
      <c r="AD532" t="inlineStr">
        <is>
          <t>The student's submission does not run end-to-end due to missing code in critical sections, such as the dataset class and model definition. The code provided does not follow the rubric's instructions, particularly in the dataset class and model definition tasks, leading to a complete failure in running the tasks.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32" t="n">
        <v>0</v>
      </c>
      <c r="AF532" t="n">
        <v>0</v>
      </c>
      <c r="AG532" t="inlineStr">
        <is>
          <t>The student did not implement any of the required methods in the `ColorizationDataset` class. The `__init__`, `__len__`, `rgb_to_grayscale`, and `__getitem__` methods are all left as 'TO DO' placeholders, indicating that no code was written for these tasks. Additionally, the visualization code will not run correctly because the dataset methods are not implemented. Therefore, the student receives 0 points for this task.
Breakdown:
- Correctly implemented `ColorizationDataset` class: 0.0/5.0</t>
        </is>
      </c>
      <c r="AH532" t="n">
        <v>0</v>
      </c>
      <c r="AI532" t="n">
        <v>0</v>
      </c>
    </row>
    <row r="533">
      <c r="A533" t="n">
        <v>532</v>
      </c>
      <c r="B533" t="inlineStr">
        <is>
          <t>TA_10</t>
        </is>
      </c>
      <c r="C533" t="inlineStr">
        <is>
          <t>TA_20</t>
        </is>
      </c>
      <c r="D533" t="n">
        <v>11.5</v>
      </c>
      <c r="E533" t="n">
        <v>0</v>
      </c>
      <c r="F533" t="n">
        <v>11</v>
      </c>
      <c r="G533" t="n">
        <v>0</v>
      </c>
      <c r="H533" t="n">
        <v>10.5</v>
      </c>
      <c r="I533" t="n">
        <v>0</v>
      </c>
      <c r="J533" t="n">
        <v>8.75</v>
      </c>
      <c r="K533" t="n">
        <v>0</v>
      </c>
      <c r="L533" t="n">
        <v>11</v>
      </c>
      <c r="M533" t="n">
        <v>0</v>
      </c>
      <c r="N533" t="n">
        <v>11.5</v>
      </c>
      <c r="O533" t="n">
        <v>0</v>
      </c>
      <c r="P533">
        <f>Table1[[#This Row],[TA 1 - Q1 Score]]+Table1[[#This Row],[TA 1 - Q2 Score]]+Table1[[#This Row],[TA 1 - Q3 Score]]</f>
        <v/>
      </c>
      <c r="Q533">
        <f>Table1[[#This Row],[TA 1 - Q1 Bonus]]+Table1[[#This Row],[TA 1 - Q2 Bonus]]+Table1[[#This Row],[TA 1 - Q4 Bonus]]</f>
        <v/>
      </c>
      <c r="R533">
        <f>Table1[[#This Row],[TA 2 - Q1 Score]]+Table1[[#This Row],[TA 2 - Q2 Score]]+Table1[[#This Row],[TA 2 - Q3 Score]]</f>
        <v/>
      </c>
      <c r="S533">
        <f>Table1[[#This Row],[TA 2 - Q1 Bonus]]+Table1[[#This Row],[TA 2 - Q2 Bonus]]+Table1[[#This Row],[TA 2 - Q4 Bonus]]</f>
        <v/>
      </c>
      <c r="T533">
        <f>(Table1[[#This Row],[TA 1 - Total Score (out of 35)]]+Table1[[#This Row],[TA 2 - Total Score (out of 35)]])/2</f>
        <v/>
      </c>
      <c r="U533">
        <f>(Table1[[#This Row],[TA 1 - Total Bonus (out of 13)]]+Table1[[#This Row],[TA 2 - Total Bonus (out of 13)]])/2</f>
        <v/>
      </c>
      <c r="V533">
        <f>Table1[[#This Row],[Average Questions]]/35*20+Table1[[#This Row],[Average Bonus]]/13*5</f>
        <v/>
      </c>
      <c r="W533" t="n">
        <v>0</v>
      </c>
      <c r="X533" t="n">
        <v>0</v>
      </c>
      <c r="Y533" t="inlineStr">
        <is>
          <t>The student's submission does not run correctly due to several issues. The transforms include an incorrect custom module that subtracts 1 from the image tensor, which is not part of the required transforms. The DataLoader creation is incomplete and does not display sample images correctly. The model loading and adaptation steps are partially correct but contain errors in the training and validation loops, leading to incorrect label handling and inaccurate loss calculations. The training and validation functions do not run correctly due to these issues, and the plotting functions are incomplete. The bonus task for Test Time Augmentation is not attempted. Therefore, the student receives 0 points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33" t="n">
        <v>0</v>
      </c>
      <c r="AA533" t="n">
        <v>0</v>
      </c>
      <c r="AB533" t="inlineStr">
        <is>
          <t>The student's submission does not run correctly due to several issues. The transformations applied to the images do not match the required specifications (e.g., resizing to 32x32 instead of 128x128). The CNN model class does not follow the required structure with 5 convolutional layers and proper batch normalization. The training and validation functions are incorrectly implemented, leading to errors in the training process. Additionally, the student did not attempt the bonus task. Therefore, the minimum defensible score for each task is 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33" t="n">
        <v>0</v>
      </c>
      <c r="AD533" t="inlineStr">
        <is>
          <t>The student's submission does not run end-to-end due to missing or incorrect code in several critical areas. The dataset class is incorrectly implemented, leading to issues in loading images and masks. The model definition and training loops are incomplete or incorrect, resulting in a non-functional training process. Additionally, the visualization of predictions is not correctly implemented. Therefore, the student receives 0 points for all tasks as the code does not run correctly and deviates significantly from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33" t="n">
        <v>0</v>
      </c>
      <c r="AF533" t="n">
        <v>0</v>
      </c>
      <c r="AG533" t="inlineStr">
        <is>
          <t>The student's implementation of the `ColorizationDataset` class contains critical errors that prevent it from running correctly. The `rgb_to_grayscale` method has a syntax error and incorrect formula application, and the `__getitem__` method does not correctly retrieve and convert the images. Since the code does not run as intended, no partial credit can be awarded.
Breakdown:
- Correctly implemented `ColorizationDataset` class: 0.0/?</t>
        </is>
      </c>
      <c r="AH533" t="n">
        <v>0</v>
      </c>
      <c r="AI533" t="n">
        <v>0</v>
      </c>
    </row>
    <row r="534">
      <c r="A534" t="n">
        <v>533</v>
      </c>
      <c r="B534" t="inlineStr">
        <is>
          <t>TA_10</t>
        </is>
      </c>
      <c r="C534" t="inlineStr">
        <is>
          <t>TA_20</t>
        </is>
      </c>
      <c r="D534" t="n">
        <v>5.75</v>
      </c>
      <c r="E534" t="n">
        <v>0</v>
      </c>
      <c r="F534" t="n">
        <v>8.75</v>
      </c>
      <c r="G534" t="n">
        <v>0</v>
      </c>
      <c r="H534" t="n">
        <v>6.5</v>
      </c>
      <c r="I534" t="n">
        <v>0</v>
      </c>
      <c r="J534" t="n">
        <v>9</v>
      </c>
      <c r="K534" t="n">
        <v>0</v>
      </c>
      <c r="L534" t="n">
        <v>9.75</v>
      </c>
      <c r="M534" t="n">
        <v>0</v>
      </c>
      <c r="N534" t="n">
        <v>11.25</v>
      </c>
      <c r="O534" t="n">
        <v>0</v>
      </c>
      <c r="P534">
        <f>Table1[[#This Row],[TA 1 - Q1 Score]]+Table1[[#This Row],[TA 1 - Q2 Score]]+Table1[[#This Row],[TA 1 - Q3 Score]]</f>
        <v/>
      </c>
      <c r="Q534">
        <f>Table1[[#This Row],[TA 1 - Q1 Bonus]]+Table1[[#This Row],[TA 1 - Q2 Bonus]]+Table1[[#This Row],[TA 1 - Q4 Bonus]]</f>
        <v/>
      </c>
      <c r="R534">
        <f>Table1[[#This Row],[TA 2 - Q1 Score]]+Table1[[#This Row],[TA 2 - Q2 Score]]+Table1[[#This Row],[TA 2 - Q3 Score]]</f>
        <v/>
      </c>
      <c r="S534">
        <f>Table1[[#This Row],[TA 2 - Q1 Bonus]]+Table1[[#This Row],[TA 2 - Q2 Bonus]]+Table1[[#This Row],[TA 2 - Q4 Bonus]]</f>
        <v/>
      </c>
      <c r="T534">
        <f>(Table1[[#This Row],[TA 1 - Total Score (out of 35)]]+Table1[[#This Row],[TA 2 - Total Score (out of 35)]])/2</f>
        <v/>
      </c>
      <c r="U534">
        <f>(Table1[[#This Row],[TA 1 - Total Bonus (out of 13)]]+Table1[[#This Row],[TA 2 - Total Bonus (out of 13)]])/2</f>
        <v/>
      </c>
      <c r="V534">
        <f>Table1[[#This Row],[Average Questions]]/35*20+Table1[[#This Row],[Average Bonus]]/13*5</f>
        <v/>
      </c>
      <c r="W534" t="n">
        <v>0</v>
      </c>
      <c r="X534" t="n">
        <v>0</v>
      </c>
      <c r="Y534" t="inlineStr">
        <is>
          <t>The student's submission does not follow the rubric correctly. The student used the wrong dataset (EMNIST balanced instead of EMNIST letters) and did not complete the transforms correctly. The model was not correctly adapted for the task, and the training and validation loops were not implemented correctly. Additionally, the student did not plot the training and validation losses or accuracies. The bonus task was not attempted.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34" t="n">
        <v>0</v>
      </c>
      <c r="AA534" t="n">
        <v>0</v>
      </c>
      <c r="AB534" t="inlineStr">
        <is>
          <t>The student's submission does not run correctly due to multiple issues. The dataset paths are incorrect, the transformations do not match the rubric, and the model architecture is incorrect. Additionally, the training and validation functions are flawed, and the training process does not follow the specified instructions.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34" t="n">
        <v>0</v>
      </c>
      <c r="AD534" t="inlineStr">
        <is>
          <t>The student's submission does not run correctly due to several issues. The dataset class is incorrectly implemented, leading to mismatched image and mask paths. The model definition uses 'efficientnet-b1' instead of 'efficientnet-b0' as specified. The training and validation loops are incorrectly implemented, using BCEWithLogitsLoss instead of CrossEntropyLoss. The visualization of predictions is missing. These issues prevent the code from running end-to-end, resulting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34" t="n">
        <v>0</v>
      </c>
      <c r="AF534" t="n">
        <v>0</v>
      </c>
      <c r="AG534" t="inlineStr">
        <is>
          <t>No submission found.</t>
        </is>
      </c>
      <c r="AH534" t="n">
        <v>0</v>
      </c>
      <c r="AI534" t="n">
        <v>0</v>
      </c>
    </row>
    <row r="535">
      <c r="A535" t="n">
        <v>534</v>
      </c>
      <c r="B535" t="inlineStr">
        <is>
          <t>TA_10</t>
        </is>
      </c>
      <c r="C535" t="inlineStr">
        <is>
          <t>TA_20</t>
        </is>
      </c>
      <c r="D535" t="n">
        <v>12</v>
      </c>
      <c r="E535" t="n">
        <v>3</v>
      </c>
      <c r="F535" t="n">
        <v>10</v>
      </c>
      <c r="G535" t="n">
        <v>4</v>
      </c>
      <c r="H535" t="n">
        <v>9.75</v>
      </c>
      <c r="I535" t="n">
        <v>5</v>
      </c>
      <c r="J535" t="n">
        <v>12</v>
      </c>
      <c r="K535" t="n">
        <v>3</v>
      </c>
      <c r="L535" t="n">
        <v>10.5</v>
      </c>
      <c r="M535" t="n">
        <v>4</v>
      </c>
      <c r="N535" t="n">
        <v>10.75</v>
      </c>
      <c r="O535" t="n">
        <v>5</v>
      </c>
      <c r="P535">
        <f>Table1[[#This Row],[TA 1 - Q1 Score]]+Table1[[#This Row],[TA 1 - Q2 Score]]+Table1[[#This Row],[TA 1 - Q3 Score]]</f>
        <v/>
      </c>
      <c r="Q535">
        <f>Table1[[#This Row],[TA 1 - Q1 Bonus]]+Table1[[#This Row],[TA 1 - Q2 Bonus]]+Table1[[#This Row],[TA 1 - Q4 Bonus]]</f>
        <v/>
      </c>
      <c r="R535">
        <f>Table1[[#This Row],[TA 2 - Q1 Score]]+Table1[[#This Row],[TA 2 - Q2 Score]]+Table1[[#This Row],[TA 2 - Q3 Score]]</f>
        <v/>
      </c>
      <c r="S535">
        <f>Table1[[#This Row],[TA 2 - Q1 Bonus]]+Table1[[#This Row],[TA 2 - Q2 Bonus]]+Table1[[#This Row],[TA 2 - Q4 Bonus]]</f>
        <v/>
      </c>
      <c r="T535">
        <f>(Table1[[#This Row],[TA 1 - Total Score (out of 35)]]+Table1[[#This Row],[TA 2 - Total Score (out of 35)]])/2</f>
        <v/>
      </c>
      <c r="U535">
        <f>(Table1[[#This Row],[TA 1 - Total Bonus (out of 13)]]+Table1[[#This Row],[TA 2 - Total Bonus (out of 13)]])/2</f>
        <v/>
      </c>
      <c r="V535">
        <f>Table1[[#This Row],[Average Questions]]/35*20+Table1[[#This Row],[Average Bonus]]/13*5</f>
        <v/>
      </c>
      <c r="W535" t="n">
        <v>0</v>
      </c>
      <c r="X535" t="n">
        <v>0</v>
      </c>
      <c r="Y535" t="inlineStr">
        <is>
          <t>The student's submission does not run correctly due to multiple issues. The transforms are incomplete, the DataLoaders are not correctly created, and the model is not properly set up. The training and validation loops are incorrect, and the plots for losses and accuracies are missing. Additionally, the bonus task for Test Time Augmentation is not implemented correctly.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35" t="n">
        <v>0</v>
      </c>
      <c r="AA535" t="n">
        <v>0</v>
      </c>
      <c r="AB535" t="inlineStr">
        <is>
          <t>The student's submission does not run correctly due to multiple issues. The dataset paths are incorrect, the model architecture is not as specified, and the training and validation functions are flawed. The student also did not implement the residual connection correctly. Therefore, no points are awarded for any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535" t="n">
        <v>0</v>
      </c>
      <c r="AD535" t="inlineStr">
        <is>
          <t>The student's submission does not run correctly due to several issues. The dataset class is incorrectly defined, leading to errors in data loading. The model definition uses the wrong number of classes and encoder, and the training and validation loops are incorrectly implemented. Additionally, the loss function and optimizer are not correctly defined for the task. As a result, the code does not produce the correct output and deviates significantly from the rubric, warranting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35" t="n">
        <v>0</v>
      </c>
      <c r="AF535" t="n">
        <v>0</v>
      </c>
      <c r="AG535" t="inlineStr">
        <is>
          <t>The student's implementation of the `ColorizationDataset` class contains several issues. The `__init__` method incorrectly prints the shape of the first channel, which is not required by the rubric. The `rgb_to_grayscale` method has variable names that do not follow standard conventions (e.g., `channelOne`, `channeltwo`, `chanelthree`). Additionally, the `rgb_to_grayscale` method does not correctly handle the dimensions of the grayscale image, leading to incorrect shapes in the output. The `__getitem__` method correctly retrieves the color image but does not handle the grayscale conversion properly. The visualization code runs but does not correctly display the grayscale image due to the issues in the `rgb_to_grayscale` method. Overall, the implementation does not meet the requirements specified in the rubric, resulting in a score of 0.0.
Breakdown:
- Correctly implemented `ColorizationDataset` class: 0.0/5.0</t>
        </is>
      </c>
      <c r="AH535" t="n">
        <v>0</v>
      </c>
      <c r="AI535" t="n">
        <v>0</v>
      </c>
    </row>
    <row r="536">
      <c r="A536" t="n">
        <v>535</v>
      </c>
      <c r="B536" t="inlineStr">
        <is>
          <t>TA_10</t>
        </is>
      </c>
      <c r="C536" t="inlineStr">
        <is>
          <t>TA_20</t>
        </is>
      </c>
      <c r="D536" t="n">
        <v>1</v>
      </c>
      <c r="E536" t="n">
        <v>0</v>
      </c>
      <c r="F536" t="n">
        <v>3.2</v>
      </c>
      <c r="G536" t="n">
        <v>0</v>
      </c>
      <c r="H536" t="n">
        <v>-6</v>
      </c>
      <c r="I536" t="n">
        <v>0</v>
      </c>
      <c r="J536" t="n">
        <v>7.5</v>
      </c>
      <c r="K536" t="n">
        <v>0</v>
      </c>
      <c r="L536" t="n">
        <v>4.75</v>
      </c>
      <c r="M536" t="n">
        <v>0</v>
      </c>
      <c r="N536" t="n">
        <v>10</v>
      </c>
      <c r="O536" t="n">
        <v>0</v>
      </c>
      <c r="P536">
        <f>Table1[[#This Row],[TA 1 - Q1 Score]]+Table1[[#This Row],[TA 1 - Q2 Score]]+Table1[[#This Row],[TA 1 - Q3 Score]]</f>
        <v/>
      </c>
      <c r="Q536">
        <f>Table1[[#This Row],[TA 1 - Q1 Bonus]]+Table1[[#This Row],[TA 1 - Q2 Bonus]]+Table1[[#This Row],[TA 1 - Q4 Bonus]]</f>
        <v/>
      </c>
      <c r="R536">
        <f>Table1[[#This Row],[TA 2 - Q1 Score]]+Table1[[#This Row],[TA 2 - Q2 Score]]+Table1[[#This Row],[TA 2 - Q3 Score]]</f>
        <v/>
      </c>
      <c r="S536">
        <f>Table1[[#This Row],[TA 2 - Q1 Bonus]]+Table1[[#This Row],[TA 2 - Q2 Bonus]]+Table1[[#This Row],[TA 2 - Q4 Bonus]]</f>
        <v/>
      </c>
      <c r="T536">
        <f>(Table1[[#This Row],[TA 1 - Total Score (out of 35)]]+Table1[[#This Row],[TA 2 - Total Score (out of 35)]])/2</f>
        <v/>
      </c>
      <c r="U536">
        <f>(Table1[[#This Row],[TA 1 - Total Bonus (out of 13)]]+Table1[[#This Row],[TA 2 - Total Bonus (out of 13)]])/2</f>
        <v/>
      </c>
      <c r="V536">
        <f>Table1[[#This Row],[Average Questions]]/35*20+Table1[[#This Row],[Average Bonus]]/13*5</f>
        <v/>
      </c>
      <c r="W536" t="n">
        <v>0</v>
      </c>
      <c r="X536" t="n">
        <v>0</v>
      </c>
      <c r="Y536" t="inlineStr">
        <is>
          <t>The student's submission has several critical issues. The transforms are correctly defined, but the DataLoaders are not created correctly, and sample images are not displayed. The model loading is incorrect as it uses EfficientNet-B0 instead of EfficientNetV2-Small, and the classifier head is modified for binary classification instead of 26 classes. The training and validation loops are incorrect and do not fix the labels. The training setup and plotting tasks are not correctly implemented. The bonus task for Test Time Augmentation is not attempted. The submission does not run end-to-end correctly due to these issues.
Breakdown:
- Task 1: Complete transforms (Resize, ToTensor, Normalize): 1.5/?
- Task 2: Create DataLoaders: 0.0/?
- Task 3: Display sample images: 0.0/?
- Task 1: Load pretrained EfficientNetV2-Small: -50.0/?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36" t="n">
        <v>0</v>
      </c>
      <c r="AA536" t="n">
        <v>0</v>
      </c>
      <c r="AB536" t="inlineStr">
        <is>
          <t>The student's submission does not follow the rubric correctly. The dataset class is incorrectly implemented, using a custom class instead of ImageFolder, and the transforms do not include RandomRotation as specified. The CNN model does not have 5 convolutional layers and lacks Batch Normalization. The training and validation functions are present but do not run correctly due to the incorrect model and dataset setup. The training process is incomplete and does not plot losses and accuracy. No bonus tasks were attempted.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36" t="n">
        <v>0</v>
      </c>
      <c r="AD536" t="inlineStr">
        <is>
          <t>The student's submission deviates significantly from the rubric. The dataset class is incorrectly implemented using the OxfordIIITPet dataset instead of the provided underwater imagery dataset. The model class uses 'efficientnet-b0' instead of 'efficientnet-b1' as specified. The training and validation loops are incomplete and use incorrect loss functions. The student did not define the loss and optimizer correctly, and the training process is not properly implemented. Additionally, the visualization of predictions is missing. The submission does not run end-to-end correctly, and the approach is entirely incorrect for the given task.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536" t="n">
        <v>0</v>
      </c>
      <c r="AF536" t="n">
        <v>0</v>
      </c>
      <c r="AG536" t="inlineStr">
        <is>
          <t>The student's implementation of the `ColorizationDataset` class is incomplete and contains significant errors. The `__init__` method is incorrectly implemented with irrelevant code from a different class. The `__len__` method references an undefined variable `self.image_paths`. The `rgb_to_grayscale` method is not implemented. The `__getitem__` method is also incorrect, referencing non-existent variables and using irrelevant code. Additionally, the student's code does not follow the correct logic for converting RGB images to grayscale and returning the correct tuple. Therefore, the implementation does not meet the requirements specified in the rubric.
Breakdown:
- Correctly implemented `ColorizationDataset` class: 0.0/5.0</t>
        </is>
      </c>
      <c r="AH536" t="n">
        <v>0</v>
      </c>
      <c r="AI536" t="n">
        <v>0</v>
      </c>
    </row>
    <row r="537">
      <c r="A537" t="n">
        <v>536</v>
      </c>
      <c r="B537" t="inlineStr">
        <is>
          <t>TA_10</t>
        </is>
      </c>
      <c r="C537" t="inlineStr">
        <is>
          <t>TA_20</t>
        </is>
      </c>
      <c r="D537" t="n">
        <v>11</v>
      </c>
      <c r="E537" t="n">
        <v>0</v>
      </c>
      <c r="F537" t="n">
        <v>9.5</v>
      </c>
      <c r="G537" t="n">
        <v>0</v>
      </c>
      <c r="H537" t="n">
        <v>12.5</v>
      </c>
      <c r="I537" t="n">
        <v>0</v>
      </c>
      <c r="J537" t="n">
        <v>9.5</v>
      </c>
      <c r="K537" t="n">
        <v>0</v>
      </c>
      <c r="L537" t="n">
        <v>9.5</v>
      </c>
      <c r="M537" t="n">
        <v>0</v>
      </c>
      <c r="N537" t="n">
        <v>11.5</v>
      </c>
      <c r="O537" t="n">
        <v>0</v>
      </c>
      <c r="P537">
        <f>Table1[[#This Row],[TA 1 - Q1 Score]]+Table1[[#This Row],[TA 1 - Q2 Score]]+Table1[[#This Row],[TA 1 - Q3 Score]]</f>
        <v/>
      </c>
      <c r="Q537">
        <f>Table1[[#This Row],[TA 1 - Q1 Bonus]]+Table1[[#This Row],[TA 1 - Q2 Bonus]]+Table1[[#This Row],[TA 1 - Q4 Bonus]]</f>
        <v/>
      </c>
      <c r="R537">
        <f>Table1[[#This Row],[TA 2 - Q1 Score]]+Table1[[#This Row],[TA 2 - Q2 Score]]+Table1[[#This Row],[TA 2 - Q3 Score]]</f>
        <v/>
      </c>
      <c r="S537">
        <f>Table1[[#This Row],[TA 2 - Q1 Bonus]]+Table1[[#This Row],[TA 2 - Q2 Bonus]]+Table1[[#This Row],[TA 2 - Q4 Bonus]]</f>
        <v/>
      </c>
      <c r="T537">
        <f>(Table1[[#This Row],[TA 1 - Total Score (out of 35)]]+Table1[[#This Row],[TA 2 - Total Score (out of 35)]])/2</f>
        <v/>
      </c>
      <c r="U537">
        <f>(Table1[[#This Row],[TA 1 - Total Bonus (out of 13)]]+Table1[[#This Row],[TA 2 - Total Bonus (out of 13)]])/2</f>
        <v/>
      </c>
      <c r="V537">
        <f>Table1[[#This Row],[Average Questions]]/35*20+Table1[[#This Row],[Average Bonus]]/13*5</f>
        <v/>
      </c>
      <c r="W537" t="n">
        <v>0</v>
      </c>
      <c r="X537" t="n">
        <v>0</v>
      </c>
      <c r="Y537" t="inlineStr">
        <is>
          <t>The student's submission contains several critical errors that prevent the code from running correctly. The transforms are incorrectly set to resize images to 32x32 instead of 28x28, which deviates from the rubric. The model loading and freezing process is incorrect, and the training and validation loops contain logical errors. Additionally, the student did not plot the training and validation losses or accuracies. The bonus task for Test Time Augmentation (TTA) is also incomplete. Therefore, the student receives 0 points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37" t="n">
        <v>0</v>
      </c>
      <c r="AA537" t="n">
        <v>0</v>
      </c>
      <c r="AB537" t="inlineStr">
        <is>
          <t>The student's submission does not run correctly due to missing code for displaying sample images with labels, defining the training and validation loop functions, and plotting losses and accuracy. Additionally, the CNN model class does not follow the specified structure with 5 convolutional layers and batch normalization. The student also did not attempt the bonus task. Therefore, the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37" t="n">
        <v>0</v>
      </c>
      <c r="AD537" t="inlineStr">
        <is>
          <t>The student's submission does not run correctly due to several issues. The dataset class is defined but not used correctly in the DataLoader creation. The model definition uses 'efficientnet-b1' instead of 'efficientnet-b0' as specified in the rubric. The training and validation loops are defined but not executed correctly. The loss and optimizer are defined but not used correctly in the training loop. The visualization of predictions is attempted but does not run correctly due to issues in the code. Therefore, no points are awarded for any task as the code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37" t="n">
        <v>0</v>
      </c>
      <c r="AF537" t="n">
        <v>0</v>
      </c>
      <c r="AG537" t="inlineStr">
        <is>
          <t>The student's implementation of the `ColorizationDataset` class is incomplete and contains significant errors. The `rgb_to_grayscale` method is incorrectly implemented and does not follow the correct formula for converting RGB to grayscale. Additionally, the `__getitem__` method is not implemented at all, which means the dataset cannot return the required (grayscale, color) tuple. The code does not run correctly due to these issues, and thus, no points can be awarded for this task.
Breakdown:
- Correctly implemented `ColorizationDataset` class: 0.0/5.0</t>
        </is>
      </c>
      <c r="AH537" t="n">
        <v>0</v>
      </c>
      <c r="AI537" t="n">
        <v>0</v>
      </c>
    </row>
    <row r="538">
      <c r="A538" t="n">
        <v>537</v>
      </c>
      <c r="B538" t="inlineStr">
        <is>
          <t>TA_10</t>
        </is>
      </c>
      <c r="C538" t="inlineStr">
        <is>
          <t>TA_20</t>
        </is>
      </c>
      <c r="D538" t="n">
        <v>12</v>
      </c>
      <c r="E538" t="n">
        <v>4</v>
      </c>
      <c r="F538" t="n">
        <v>11</v>
      </c>
      <c r="G538" t="n">
        <v>1</v>
      </c>
      <c r="H538" t="n">
        <v>12</v>
      </c>
      <c r="I538" t="n">
        <v>0</v>
      </c>
      <c r="J538" t="n">
        <v>12</v>
      </c>
      <c r="K538" t="n">
        <v>4</v>
      </c>
      <c r="L538" t="n">
        <v>11</v>
      </c>
      <c r="M538" t="n">
        <v>0</v>
      </c>
      <c r="N538" t="n">
        <v>12</v>
      </c>
      <c r="O538" t="n">
        <v>0</v>
      </c>
      <c r="P538">
        <f>Table1[[#This Row],[TA 1 - Q1 Score]]+Table1[[#This Row],[TA 1 - Q2 Score]]+Table1[[#This Row],[TA 1 - Q3 Score]]</f>
        <v/>
      </c>
      <c r="Q538">
        <f>Table1[[#This Row],[TA 1 - Q1 Bonus]]+Table1[[#This Row],[TA 1 - Q2 Bonus]]+Table1[[#This Row],[TA 1 - Q4 Bonus]]</f>
        <v/>
      </c>
      <c r="R538">
        <f>Table1[[#This Row],[TA 2 - Q1 Score]]+Table1[[#This Row],[TA 2 - Q2 Score]]+Table1[[#This Row],[TA 2 - Q3 Score]]</f>
        <v/>
      </c>
      <c r="S538">
        <f>Table1[[#This Row],[TA 2 - Q1 Bonus]]+Table1[[#This Row],[TA 2 - Q2 Bonus]]+Table1[[#This Row],[TA 2 - Q4 Bonus]]</f>
        <v/>
      </c>
      <c r="T538">
        <f>(Table1[[#This Row],[TA 1 - Total Score (out of 35)]]+Table1[[#This Row],[TA 2 - Total Score (out of 35)]])/2</f>
        <v/>
      </c>
      <c r="U538">
        <f>(Table1[[#This Row],[TA 1 - Total Bonus (out of 13)]]+Table1[[#This Row],[TA 2 - Total Bonus (out of 13)]])/2</f>
        <v/>
      </c>
      <c r="V538">
        <f>Table1[[#This Row],[Average Questions]]/35*20+Table1[[#This Row],[Average Bonus]]/13*5</f>
        <v/>
      </c>
      <c r="W538" t="n">
        <v>0</v>
      </c>
      <c r="X538" t="n">
        <v>0</v>
      </c>
      <c r="Y538" t="inlineStr">
        <is>
          <t>The student's submission does not run correctly due to multiple issues. The transforms are incomplete, the DataLoaders are not created correctly, and the model training and validation loops contain errors. Additionally, the bonus task for Test Time Augmentation (TTA) is not implemented correctly. Therefore, no points are awarded for any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38" t="n">
        <v>0</v>
      </c>
      <c r="AA538" t="n">
        <v>0</v>
      </c>
      <c r="AB538" t="inlineStr">
        <is>
          <t>The student's submission does not run correctly due to multiple issues. The code for loading and preparing the data, building the CNN model, training and validation functions, and training the model all contain errors that prevent the code from executing successfully. Additionally, the bonus task for adding a residual connection is not correctly implemented and does not run.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38" t="n">
        <v>0</v>
      </c>
      <c r="AD538" t="inlineStr">
        <is>
          <t>The student's submission does not run correctly due to several issues. The dataset class and DataLoader creation are incomplete and contain errors. The model definition uses the wrong encoder ('efficientnet-b1' instead of 'efficientnet-b0'). The training and validation loops are present but do not run correctly due to errors in the code. The loss and optimizer are defined correctly, but the training process does not complete successfully. The visualization of predictions is attempted but fails due to the overall issues in the code.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38" t="n">
        <v>0</v>
      </c>
      <c r="AF538" t="n">
        <v>0</v>
      </c>
      <c r="AG538" t="inlineStr">
        <is>
          <t>No submission found.</t>
        </is>
      </c>
      <c r="AH538" t="n">
        <v>0</v>
      </c>
      <c r="AI538" t="n">
        <v>0</v>
      </c>
    </row>
    <row r="539">
      <c r="A539" t="n">
        <v>538</v>
      </c>
      <c r="B539" t="inlineStr">
        <is>
          <t>TA_10</t>
        </is>
      </c>
      <c r="C539" t="inlineStr">
        <is>
          <t>TA_20</t>
        </is>
      </c>
      <c r="D539" t="n">
        <v>10.5</v>
      </c>
      <c r="E539" t="n">
        <v>0</v>
      </c>
      <c r="F539" t="n">
        <v>8.5</v>
      </c>
      <c r="G539" t="n">
        <v>0</v>
      </c>
      <c r="H539" t="n">
        <v>6</v>
      </c>
      <c r="I539" t="n">
        <v>0</v>
      </c>
      <c r="J539" t="n">
        <v>9.5</v>
      </c>
      <c r="K539" t="n">
        <v>0</v>
      </c>
      <c r="L539" t="n">
        <v>9</v>
      </c>
      <c r="M539" t="n">
        <v>0</v>
      </c>
      <c r="N539" t="n">
        <v>8.5</v>
      </c>
      <c r="O539" t="n">
        <v>0</v>
      </c>
      <c r="P539">
        <f>Table1[[#This Row],[TA 1 - Q1 Score]]+Table1[[#This Row],[TA 1 - Q2 Score]]+Table1[[#This Row],[TA 1 - Q3 Score]]</f>
        <v/>
      </c>
      <c r="Q539">
        <f>Table1[[#This Row],[TA 1 - Q1 Bonus]]+Table1[[#This Row],[TA 1 - Q2 Bonus]]+Table1[[#This Row],[TA 1 - Q4 Bonus]]</f>
        <v/>
      </c>
      <c r="R539">
        <f>Table1[[#This Row],[TA 2 - Q1 Score]]+Table1[[#This Row],[TA 2 - Q2 Score]]+Table1[[#This Row],[TA 2 - Q3 Score]]</f>
        <v/>
      </c>
      <c r="S539">
        <f>Table1[[#This Row],[TA 2 - Q1 Bonus]]+Table1[[#This Row],[TA 2 - Q2 Bonus]]+Table1[[#This Row],[TA 2 - Q4 Bonus]]</f>
        <v/>
      </c>
      <c r="T539">
        <f>(Table1[[#This Row],[TA 1 - Total Score (out of 35)]]+Table1[[#This Row],[TA 2 - Total Score (out of 35)]])/2</f>
        <v/>
      </c>
      <c r="U539">
        <f>(Table1[[#This Row],[TA 1 - Total Bonus (out of 13)]]+Table1[[#This Row],[TA 2 - Total Bonus (out of 13)]])/2</f>
        <v/>
      </c>
      <c r="V539">
        <f>Table1[[#This Row],[Average Questions]]/35*20+Table1[[#This Row],[Average Bonus]]/13*5</f>
        <v/>
      </c>
      <c r="W539" t="n">
        <v>0</v>
      </c>
      <c r="X539" t="n">
        <v>0</v>
      </c>
      <c r="Y539" t="inlineStr">
        <is>
          <t>The student's submission does not run correctly due to several issues. The training and validation loops are incorrect, and the model is not properly set up for training. The student did not fix the labels to be 0-indexed, which is a critical requirement. Additionally, the student did not implement the bonus task for Test Time Augmentation.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39" t="n">
        <v>0</v>
      </c>
      <c r="AA539" t="n">
        <v>0</v>
      </c>
      <c r="AB539" t="inlineStr">
        <is>
          <t>The student's submission does not run correctly due to several issues. The transforms applied to the training and testing datasets do not match the rubric specifications, particularly the resizing to 32x32 pixels. Additionally, the CNN model does not include Batch Normalization layers as required. The training and validation functions are incorrectly implemented, leading to errors in the training process.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39" t="n">
        <v>0</v>
      </c>
      <c r="AD539" t="inlineStr">
        <is>
          <t>The student's submission does not run end-to-end due to multiple issues. The dataset class is incorrectly implemented, using a CSV file that was not provided or mentioned in the instructions. The DataLoader creation is flawed, and the model definition uses the wrong number of classes. Additionally, the training and validation loops, as well as the visualization of predictions, are not correctly implemented. Therefore, no tasks are awarded any points.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39" t="n">
        <v>0</v>
      </c>
      <c r="AF539" t="n">
        <v>0</v>
      </c>
      <c r="AG539" t="inlineStr">
        <is>
          <t>No submission found.</t>
        </is>
      </c>
      <c r="AH539" t="n">
        <v>0</v>
      </c>
      <c r="AI539" t="n">
        <v>0</v>
      </c>
    </row>
    <row r="540">
      <c r="A540" t="n">
        <v>539</v>
      </c>
      <c r="B540" t="inlineStr">
        <is>
          <t>TA_10</t>
        </is>
      </c>
      <c r="C540" t="inlineStr">
        <is>
          <t>TA_20</t>
        </is>
      </c>
      <c r="D540" t="n">
        <v>11.5</v>
      </c>
      <c r="E540" t="n">
        <v>0</v>
      </c>
      <c r="F540" t="n">
        <v>9.5</v>
      </c>
      <c r="G540" t="n">
        <v>1</v>
      </c>
      <c r="H540" t="n">
        <v>6.5</v>
      </c>
      <c r="I540" t="n">
        <v>0</v>
      </c>
      <c r="J540" t="n">
        <v>11.5</v>
      </c>
      <c r="K540" t="n">
        <v>0</v>
      </c>
      <c r="L540" t="n">
        <v>9</v>
      </c>
      <c r="M540" t="n">
        <v>3</v>
      </c>
      <c r="N540" t="n">
        <v>8</v>
      </c>
      <c r="O540" t="n">
        <v>0</v>
      </c>
      <c r="P540">
        <f>Table1[[#This Row],[TA 1 - Q1 Score]]+Table1[[#This Row],[TA 1 - Q2 Score]]+Table1[[#This Row],[TA 1 - Q3 Score]]</f>
        <v/>
      </c>
      <c r="Q540">
        <f>Table1[[#This Row],[TA 1 - Q1 Bonus]]+Table1[[#This Row],[TA 1 - Q2 Bonus]]+Table1[[#This Row],[TA 1 - Q4 Bonus]]</f>
        <v/>
      </c>
      <c r="R540">
        <f>Table1[[#This Row],[TA 2 - Q1 Score]]+Table1[[#This Row],[TA 2 - Q2 Score]]+Table1[[#This Row],[TA 2 - Q3 Score]]</f>
        <v/>
      </c>
      <c r="S540">
        <f>Table1[[#This Row],[TA 2 - Q1 Bonus]]+Table1[[#This Row],[TA 2 - Q2 Bonus]]+Table1[[#This Row],[TA 2 - Q4 Bonus]]</f>
        <v/>
      </c>
      <c r="T540">
        <f>(Table1[[#This Row],[TA 1 - Total Score (out of 35)]]+Table1[[#This Row],[TA 2 - Total Score (out of 35)]])/2</f>
        <v/>
      </c>
      <c r="U540">
        <f>(Table1[[#This Row],[TA 1 - Total Bonus (out of 13)]]+Table1[[#This Row],[TA 2 - Total Bonus (out of 13)]])/2</f>
        <v/>
      </c>
      <c r="V540">
        <f>Table1[[#This Row],[Average Questions]]/35*20+Table1[[#This Row],[Average Bonus]]/13*5</f>
        <v/>
      </c>
      <c r="W540" t="n">
        <v>0</v>
      </c>
      <c r="X540" t="n">
        <v>0</v>
      </c>
      <c r="Y540" t="inlineStr">
        <is>
          <t>The student completed the transforms correctly and created the DataLoaders. However, the code for displaying sample images is missing. The student loaded the pretrained model, froze the backbone, and replaced the classifier head correctly. The training loop is partially correct but the validation loop is missing the label adjustment. The training setup is correct, but the training process and plotting functions are missing. The bonus task for Test Time Augmentation is not attempted.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0.0/?
- Label Fix: Fixed labels (subtract 1 for 0-indexed): 0.0/?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540" t="n">
        <v>0</v>
      </c>
      <c r="AA540" t="n">
        <v>0</v>
      </c>
      <c r="AB540" t="inlineStr">
        <is>
          <t>The student's submission does not run correctly due to multiple issues. The dataset loading and transformation tasks are incomplete and incorrect. The CNN model definition is flawed, and the training and validation loops contain errors. The residual connection implementation is incorrect, and the training process for the residual model does not function as intended.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40" t="n">
        <v>0</v>
      </c>
      <c r="AD540" t="inlineStr">
        <is>
          <t>The student's submission does not run end-to-end due to missing or incomplete code in several critical areas. Specifically, the DataLoader creation, training loop, and validation loop are not implemented correctly, leading to a complete failure in running the training process. Additionally, the visualization of predictions is not attempted, and there are no plots for the loss curve. The student's code does not follow the optimal logic and contains significant gaps, resulting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40" t="n">
        <v>0</v>
      </c>
      <c r="AF540" t="n">
        <v>0</v>
      </c>
      <c r="AG540" t="inlineStr">
        <is>
          <t>No submission found.</t>
        </is>
      </c>
      <c r="AH540" t="n">
        <v>0</v>
      </c>
      <c r="AI540" t="n">
        <v>0</v>
      </c>
    </row>
    <row r="541">
      <c r="A541" t="n">
        <v>540</v>
      </c>
      <c r="B541" t="inlineStr">
        <is>
          <t>TA_10</t>
        </is>
      </c>
      <c r="C541" t="inlineStr">
        <is>
          <t>TA_20</t>
        </is>
      </c>
      <c r="D541" t="n">
        <v>8.5</v>
      </c>
      <c r="E541" t="n">
        <v>0</v>
      </c>
      <c r="F541" t="n">
        <v>10.5</v>
      </c>
      <c r="G541" t="n">
        <v>0</v>
      </c>
      <c r="H541" t="n">
        <v>12</v>
      </c>
      <c r="I541" t="n">
        <v>0</v>
      </c>
      <c r="J541" t="n">
        <v>11.5</v>
      </c>
      <c r="K541" t="n">
        <v>0</v>
      </c>
      <c r="L541" t="n">
        <v>10.5</v>
      </c>
      <c r="M541" t="n">
        <v>0</v>
      </c>
      <c r="N541" t="n">
        <v>12</v>
      </c>
      <c r="O541" t="n">
        <v>0</v>
      </c>
      <c r="P541">
        <f>Table1[[#This Row],[TA 1 - Q1 Score]]+Table1[[#This Row],[TA 1 - Q2 Score]]+Table1[[#This Row],[TA 1 - Q3 Score]]</f>
        <v/>
      </c>
      <c r="Q541">
        <f>Table1[[#This Row],[TA 1 - Q1 Bonus]]+Table1[[#This Row],[TA 1 - Q2 Bonus]]+Table1[[#This Row],[TA 1 - Q4 Bonus]]</f>
        <v/>
      </c>
      <c r="R541">
        <f>Table1[[#This Row],[TA 2 - Q1 Score]]+Table1[[#This Row],[TA 2 - Q2 Score]]+Table1[[#This Row],[TA 2 - Q3 Score]]</f>
        <v/>
      </c>
      <c r="S541">
        <f>Table1[[#This Row],[TA 2 - Q1 Bonus]]+Table1[[#This Row],[TA 2 - Q2 Bonus]]+Table1[[#This Row],[TA 2 - Q4 Bonus]]</f>
        <v/>
      </c>
      <c r="T541">
        <f>(Table1[[#This Row],[TA 1 - Total Score (out of 35)]]+Table1[[#This Row],[TA 2 - Total Score (out of 35)]])/2</f>
        <v/>
      </c>
      <c r="U541">
        <f>(Table1[[#This Row],[TA 1 - Total Bonus (out of 13)]]+Table1[[#This Row],[TA 2 - Total Bonus (out of 13)]])/2</f>
        <v/>
      </c>
      <c r="V541">
        <f>Table1[[#This Row],[Average Questions]]/35*20+Table1[[#This Row],[Average Bonus]]/13*5</f>
        <v/>
      </c>
      <c r="W541" t="n">
        <v>0</v>
      </c>
      <c r="X541" t="n">
        <v>0</v>
      </c>
      <c r="Y541" t="inlineStr">
        <is>
          <t>The student's submission does not run correctly due to several issues. The transforms are incomplete, the DataLoaders are not correctly created, and the sample images are not displayed correctly. The model loading and adaptation steps are incorrect, and the training and validation loops do not function as intended. Additionally, the label fixing is not implemented correctly, and the training and validation plots are missing. The bonus task for Test Time Augmentation is also not implemented correctly.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41" t="n">
        <v>0</v>
      </c>
      <c r="AA541" t="n">
        <v>0</v>
      </c>
      <c r="AB541" t="inlineStr">
        <is>
          <t>The student's submission does not run correctly due to missing code for several tasks. Specifically, the student did not implement the dataset class or ImageFolder correctly, did not create the train/test datasets and DataLoaders properly, and did not include the necessary transforms. Additionally, the CNN model class is incomplete, and the training and validation functions are not correctly defined. As a result, the model cannot be trained or validated, and the plots for losses and accuracy are missing. The bonus tasks are also not attempted.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41" t="n">
        <v>0</v>
      </c>
      <c r="AD541" t="inlineStr">
        <is>
          <t>The student's submission does not run end-to-end due to multiple issues. The dataset class is incomplete and incorrect, the DataLoader creation is flawed, and the model definition uses the wrong encoder. Additionally, the training and validation loops are not correctly implemented, and the visualization of predictions is incorrect. Therefore, no points are awarded for any task as the code does not run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41" t="n">
        <v>0</v>
      </c>
      <c r="AF541" t="n">
        <v>0</v>
      </c>
      <c r="AG541" t="inlineStr">
        <is>
          <t>No submission found.</t>
        </is>
      </c>
      <c r="AH541" t="n">
        <v>0</v>
      </c>
      <c r="AI541" t="n">
        <v>0</v>
      </c>
    </row>
    <row r="542">
      <c r="A542" t="n">
        <v>541</v>
      </c>
      <c r="B542" t="inlineStr">
        <is>
          <t>TA_10</t>
        </is>
      </c>
      <c r="C542" t="inlineStr">
        <is>
          <t>TA_20</t>
        </is>
      </c>
      <c r="D542" t="n">
        <v>8.5</v>
      </c>
      <c r="E542" t="n">
        <v>0</v>
      </c>
      <c r="F542" t="n">
        <v>7.25</v>
      </c>
      <c r="G542" t="n">
        <v>0</v>
      </c>
      <c r="H542" t="n">
        <v>3.25</v>
      </c>
      <c r="I542" t="n">
        <v>0</v>
      </c>
      <c r="J542" t="n">
        <v>8.5</v>
      </c>
      <c r="K542" t="n">
        <v>0</v>
      </c>
      <c r="L542" t="n">
        <v>6.75</v>
      </c>
      <c r="M542" t="n">
        <v>0</v>
      </c>
      <c r="N542" t="n">
        <v>9.5</v>
      </c>
      <c r="O542" t="n">
        <v>0</v>
      </c>
      <c r="P542">
        <f>Table1[[#This Row],[TA 1 - Q1 Score]]+Table1[[#This Row],[TA 1 - Q2 Score]]+Table1[[#This Row],[TA 1 - Q3 Score]]</f>
        <v/>
      </c>
      <c r="Q542">
        <f>Table1[[#This Row],[TA 1 - Q1 Bonus]]+Table1[[#This Row],[TA 1 - Q2 Bonus]]+Table1[[#This Row],[TA 1 - Q4 Bonus]]</f>
        <v/>
      </c>
      <c r="R542">
        <f>Table1[[#This Row],[TA 2 - Q1 Score]]+Table1[[#This Row],[TA 2 - Q2 Score]]+Table1[[#This Row],[TA 2 - Q3 Score]]</f>
        <v/>
      </c>
      <c r="S542">
        <f>Table1[[#This Row],[TA 2 - Q1 Bonus]]+Table1[[#This Row],[TA 2 - Q2 Bonus]]+Table1[[#This Row],[TA 2 - Q4 Bonus]]</f>
        <v/>
      </c>
      <c r="T542">
        <f>(Table1[[#This Row],[TA 1 - Total Score (out of 35)]]+Table1[[#This Row],[TA 2 - Total Score (out of 35)]])/2</f>
        <v/>
      </c>
      <c r="U542">
        <f>(Table1[[#This Row],[TA 1 - Total Bonus (out of 13)]]+Table1[[#This Row],[TA 2 - Total Bonus (out of 13)]])/2</f>
        <v/>
      </c>
      <c r="V542">
        <f>Table1[[#This Row],[Average Questions]]/35*20+Table1[[#This Row],[Average Bonus]]/13*5</f>
        <v/>
      </c>
      <c r="W542" t="n">
        <v>0</v>
      </c>
      <c r="X542" t="n">
        <v>0</v>
      </c>
      <c r="Y542" t="inlineStr">
        <is>
          <t>The student's submission does not run correctly due to several critical errors. The transforms are incomplete, the DataLoaders are not created correctly, and the model is not set up properly. The training and validation loops are incorrect, and the labels are not fixed. Additionally, the plots for training and validation losses and accuracies are missing. The bonus task for Test Time Augmentation is also not implemented correctly.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42" t="n">
        <v>0</v>
      </c>
      <c r="AA542" t="n">
        <v>0</v>
      </c>
      <c r="AB542" t="inlineStr">
        <is>
          <t>The student's submission does not run correctly due to multiple issues. The dataset paths and transformations are incorrect, the model architecture does not match the required specifications, and the training and validation functions are not correctly implemented.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42" t="n">
        <v>0</v>
      </c>
      <c r="AD542" t="inlineStr">
        <is>
          <t>The student's submission deviates significantly from the rubric. The dataset class is incorrectly implemented using ImageFolder instead of a custom dataset class, which is a fundamental requirement. The model definition uses the wrong number of classes and the incorrect loss function for multi-class segmentation. The training and validation loops are incorrectly implemented, and the visualization of predictions does not follow the required format. The student's approach disregards specific instructions and uses an entirely wrong approach for several tasks.
Breakdown:
- Build custom dataset class for images and masks: -50.0/?
- Create DataLoaders: -50.0/?
- Display sample images and masks: -50.0/?
- Define pretrained U-Net with efficientnet-b1 encoder: -50.0/?
- Training loop: -50.0/?
- Validation loop: -50.0/?
- Define loss and optimizer: -50.0/?
- Train the model: -50.0/?
- Print training and validation losses: -50.0/?
- Plot loss curve: -50.0/?
- Visualize predictions vs ground truth for multiple images: -50.0/?</t>
        </is>
      </c>
      <c r="AE542" t="n">
        <v>0</v>
      </c>
      <c r="AF542" t="n">
        <v>0</v>
      </c>
      <c r="AG542" t="inlineStr">
        <is>
          <t>The student's implementation of the `ColorizationDataset` class is incomplete and contains errors. The `__init__` method correctly stores the dataset, but the `__len__` method incorrectly references `cifar_data` instead of `self.dataset`. The `rgb_to_grayscale` method uses an incorrect approach by applying a transformation that does not match the required formula. The `__getitem__` method is not implemented at all. These issues prevent the code from running correctly, resulting in a score of 0.0 for the task.
Breakdown:
- Correctly implemented `ColorizationDataset` class: 0.0/5.0</t>
        </is>
      </c>
      <c r="AH542" t="n">
        <v>0</v>
      </c>
      <c r="AI542" t="n">
        <v>0</v>
      </c>
    </row>
    <row r="543">
      <c r="A543" t="n">
        <v>542</v>
      </c>
      <c r="B543" t="inlineStr">
        <is>
          <t>TA_10</t>
        </is>
      </c>
      <c r="C543" t="inlineStr">
        <is>
          <t>TA_20</t>
        </is>
      </c>
      <c r="D543" t="n">
        <v>6.5</v>
      </c>
      <c r="E543" t="n">
        <v>0</v>
      </c>
      <c r="F543" t="n">
        <v>9.5</v>
      </c>
      <c r="G543" t="n">
        <v>0</v>
      </c>
      <c r="H543" t="n">
        <v>7</v>
      </c>
      <c r="I543" t="n">
        <v>0</v>
      </c>
      <c r="J543" t="n">
        <v>9</v>
      </c>
      <c r="K543" t="n">
        <v>0</v>
      </c>
      <c r="L543" t="n">
        <v>9.5</v>
      </c>
      <c r="M543" t="n">
        <v>0</v>
      </c>
      <c r="N543" t="n">
        <v>10</v>
      </c>
      <c r="O543" t="n">
        <v>0</v>
      </c>
      <c r="P543">
        <f>Table1[[#This Row],[TA 1 - Q1 Score]]+Table1[[#This Row],[TA 1 - Q2 Score]]+Table1[[#This Row],[TA 1 - Q3 Score]]</f>
        <v/>
      </c>
      <c r="Q543">
        <f>Table1[[#This Row],[TA 1 - Q1 Bonus]]+Table1[[#This Row],[TA 1 - Q2 Bonus]]+Table1[[#This Row],[TA 1 - Q4 Bonus]]</f>
        <v/>
      </c>
      <c r="R543">
        <f>Table1[[#This Row],[TA 2 - Q1 Score]]+Table1[[#This Row],[TA 2 - Q2 Score]]+Table1[[#This Row],[TA 2 - Q3 Score]]</f>
        <v/>
      </c>
      <c r="S543">
        <f>Table1[[#This Row],[TA 2 - Q1 Bonus]]+Table1[[#This Row],[TA 2 - Q2 Bonus]]+Table1[[#This Row],[TA 2 - Q4 Bonus]]</f>
        <v/>
      </c>
      <c r="T543">
        <f>(Table1[[#This Row],[TA 1 - Total Score (out of 35)]]+Table1[[#This Row],[TA 2 - Total Score (out of 35)]])/2</f>
        <v/>
      </c>
      <c r="U543">
        <f>(Table1[[#This Row],[TA 1 - Total Bonus (out of 13)]]+Table1[[#This Row],[TA 2 - Total Bonus (out of 13)]])/2</f>
        <v/>
      </c>
      <c r="V543">
        <f>Table1[[#This Row],[Average Questions]]/35*20+Table1[[#This Row],[Average Bonus]]/13*5</f>
        <v/>
      </c>
      <c r="W543" t="n">
        <v>0</v>
      </c>
      <c r="X543" t="n">
        <v>0</v>
      </c>
      <c r="Y543" t="inlineStr">
        <is>
          <t>The student's submission does not run correctly due to multiple issues. The transforms are incomplete, the DataLoaders are not correctly created, and the model training and validation loops contain significant errors. The student did not fix the labels for 0-indexing, which is a critical requirement. Additionally, the plotting functions for training and validation losses and accuracies are missing. The bonus task for Test Time Augmentation (TTA) is also not implemented correctly.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43" t="n">
        <v>0</v>
      </c>
      <c r="AA543" t="n">
        <v>0</v>
      </c>
      <c r="AB543" t="inlineStr">
        <is>
          <t>The student's submission does not run correctly due to multiple issues. The dataset class or ImageFolder is not correctly implemented, the transforms are incorrectly applied, and the CNN model class does not follow the specified structure. Additionally, the training and validation functions are incorrectly defined, and the training loop does not set up the device, model, loss, and optimizer correctly.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43" t="n">
        <v>0</v>
      </c>
      <c r="AD543" t="inlineStr">
        <is>
          <t>The student's submission does not run correctly due to several issues. The dataset class is incorrectly implemented, leading to errors in data loading. The model definition and training loops are also flawed, resulting in a non-functional codebase. The visualization of predictions is incorrect and does not follow the required format. Therefore, no points are awarded for any task as the code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43" t="n">
        <v>0</v>
      </c>
      <c r="AF543" t="n">
        <v>0</v>
      </c>
      <c r="AG543" t="inlineStr">
        <is>
          <t>No submission found.</t>
        </is>
      </c>
      <c r="AH543" t="n">
        <v>0</v>
      </c>
      <c r="AI543" t="n">
        <v>0</v>
      </c>
    </row>
    <row r="544">
      <c r="A544" t="n">
        <v>543</v>
      </c>
      <c r="B544" t="inlineStr">
        <is>
          <t>TA_10</t>
        </is>
      </c>
      <c r="C544" t="inlineStr">
        <is>
          <t>TA_20</t>
        </is>
      </c>
      <c r="D544" t="n">
        <v>3.25</v>
      </c>
      <c r="E544" t="n">
        <v>0</v>
      </c>
      <c r="F544" t="n">
        <v>5.3</v>
      </c>
      <c r="G544" t="n">
        <v>0</v>
      </c>
      <c r="H544" t="n">
        <v>5.25</v>
      </c>
      <c r="I544" t="n">
        <v>0</v>
      </c>
      <c r="J544" t="n">
        <v>3.25</v>
      </c>
      <c r="K544" t="n">
        <v>0</v>
      </c>
      <c r="L544" t="n">
        <v>5.5</v>
      </c>
      <c r="M544" t="n">
        <v>0</v>
      </c>
      <c r="N544" t="n">
        <v>6.75</v>
      </c>
      <c r="O544" t="n">
        <v>0</v>
      </c>
      <c r="P544">
        <f>Table1[[#This Row],[TA 1 - Q1 Score]]+Table1[[#This Row],[TA 1 - Q2 Score]]+Table1[[#This Row],[TA 1 - Q3 Score]]</f>
        <v/>
      </c>
      <c r="Q544">
        <f>Table1[[#This Row],[TA 1 - Q1 Bonus]]+Table1[[#This Row],[TA 1 - Q2 Bonus]]+Table1[[#This Row],[TA 1 - Q4 Bonus]]</f>
        <v/>
      </c>
      <c r="R544">
        <f>Table1[[#This Row],[TA 2 - Q1 Score]]+Table1[[#This Row],[TA 2 - Q2 Score]]+Table1[[#This Row],[TA 2 - Q3 Score]]</f>
        <v/>
      </c>
      <c r="S544">
        <f>Table1[[#This Row],[TA 2 - Q1 Bonus]]+Table1[[#This Row],[TA 2 - Q2 Bonus]]+Table1[[#This Row],[TA 2 - Q4 Bonus]]</f>
        <v/>
      </c>
      <c r="T544">
        <f>(Table1[[#This Row],[TA 1 - Total Score (out of 35)]]+Table1[[#This Row],[TA 2 - Total Score (out of 35)]])/2</f>
        <v/>
      </c>
      <c r="U544">
        <f>(Table1[[#This Row],[TA 1 - Total Bonus (out of 13)]]+Table1[[#This Row],[TA 2 - Total Bonus (out of 13)]])/2</f>
        <v/>
      </c>
      <c r="V544">
        <f>Table1[[#This Row],[Average Questions]]/35*20+Table1[[#This Row],[Average Bonus]]/13*5</f>
        <v/>
      </c>
      <c r="W544" t="n">
        <v>0</v>
      </c>
      <c r="X544" t="n">
        <v>0</v>
      </c>
      <c r="Y544" t="inlineStr">
        <is>
          <t>The student's submission does not complete any of the required tasks. The code provided does not follow the rubric and does not run correctly. The student attempted to load and preprocess the data but used incorrect transformations and datasets. The model loading and adaptation tasks are incomplete and incorrect. The training and validation functions are missing, and there is no attempt to plot the training and validation losses or accuracies. The bonus task for Test Time Augmentation is also not attempted.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44" t="n">
        <v>0</v>
      </c>
      <c r="AA544" t="n">
        <v>0</v>
      </c>
      <c r="AB544" t="inlineStr">
        <is>
          <t>The student's submission does not follow the rubric correctly. The dataset class is incorrectly implemented, and the transforms do not match the required specifications. The CNN model does not have the correct number of convolutional layers or batch normalization. The training and validation functions are not correctly defined, and the training process is incomplete. Additionally, the bonus task is not attempted.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44" t="n">
        <v>0</v>
      </c>
      <c r="AD544" t="inlineStr">
        <is>
          <t>The student's submission does not include any code for creating DataLoaders, defining the model, or running the training and validation loops. The dataset class is incomplete and does not correctly load images and masks. The training and validation loops are not defined, and there is no code for plotting the loss curve or visualizing predictions. The student's code does not run end-to-end and does not follow the rubric, resulting in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44" t="n">
        <v>0</v>
      </c>
      <c r="AF544" t="n">
        <v>0</v>
      </c>
      <c r="AG544" t="inlineStr">
        <is>
          <t>No submission found.</t>
        </is>
      </c>
      <c r="AH544" t="n">
        <v>0</v>
      </c>
      <c r="AI544" t="n">
        <v>0</v>
      </c>
    </row>
    <row r="545">
      <c r="A545" t="n">
        <v>544</v>
      </c>
      <c r="B545" t="inlineStr">
        <is>
          <t>TA_10</t>
        </is>
      </c>
      <c r="C545" t="inlineStr">
        <is>
          <t>TA_20</t>
        </is>
      </c>
      <c r="D545" t="n">
        <v>5</v>
      </c>
      <c r="E545" t="n">
        <v>4</v>
      </c>
      <c r="F545" t="n">
        <v>10</v>
      </c>
      <c r="G545" t="n">
        <v>1</v>
      </c>
      <c r="H545" t="n">
        <v>11.5</v>
      </c>
      <c r="I545" t="n">
        <v>0</v>
      </c>
      <c r="J545" t="n">
        <v>6.5</v>
      </c>
      <c r="K545" t="n">
        <v>3</v>
      </c>
      <c r="L545" t="n">
        <v>11</v>
      </c>
      <c r="M545" t="n">
        <v>0</v>
      </c>
      <c r="N545" t="n">
        <v>12</v>
      </c>
      <c r="O545" t="n">
        <v>0</v>
      </c>
      <c r="P545">
        <f>Table1[[#This Row],[TA 1 - Q1 Score]]+Table1[[#This Row],[TA 1 - Q2 Score]]+Table1[[#This Row],[TA 1 - Q3 Score]]</f>
        <v/>
      </c>
      <c r="Q545">
        <f>Table1[[#This Row],[TA 1 - Q1 Bonus]]+Table1[[#This Row],[TA 1 - Q2 Bonus]]+Table1[[#This Row],[TA 1 - Q4 Bonus]]</f>
        <v/>
      </c>
      <c r="R545">
        <f>Table1[[#This Row],[TA 2 - Q1 Score]]+Table1[[#This Row],[TA 2 - Q2 Score]]+Table1[[#This Row],[TA 2 - Q3 Score]]</f>
        <v/>
      </c>
      <c r="S545">
        <f>Table1[[#This Row],[TA 2 - Q1 Bonus]]+Table1[[#This Row],[TA 2 - Q2 Bonus]]+Table1[[#This Row],[TA 2 - Q4 Bonus]]</f>
        <v/>
      </c>
      <c r="T545">
        <f>(Table1[[#This Row],[TA 1 - Total Score (out of 35)]]+Table1[[#This Row],[TA 2 - Total Score (out of 35)]])/2</f>
        <v/>
      </c>
      <c r="U545">
        <f>(Table1[[#This Row],[TA 1 - Total Bonus (out of 13)]]+Table1[[#This Row],[TA 2 - Total Bonus (out of 13)]])/2</f>
        <v/>
      </c>
      <c r="V545">
        <f>Table1[[#This Row],[Average Questions]]/35*20+Table1[[#This Row],[Average Bonus]]/13*5</f>
        <v/>
      </c>
      <c r="W545" t="n">
        <v>0</v>
      </c>
      <c r="X545" t="n">
        <v>0</v>
      </c>
      <c r="Y545" t="inlineStr">
        <is>
          <t>The student's submission does not run correctly due to several issues. The transforms are incomplete, the DataLoaders are not created correctly, and the model is not properly adapted for the task. Additionally, the training and validation loops contain errors, and the bonus task for Test Time Augmentation is not implemented correctly.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45" t="n">
        <v>0</v>
      </c>
      <c r="AA545" t="n">
        <v>0</v>
      </c>
      <c r="AB545" t="inlineStr">
        <is>
          <t>The student's submission does not run correctly due to multiple issues. The dataset class or ImageFolder is not correctly implemented, the transforms are incorrect, and the CNN model class does not follow the specified structure. Additionally, the training and validation functions are flawed, and the residual connection implementation is incorrect.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45" t="n">
        <v>0</v>
      </c>
      <c r="AD545" t="inlineStr">
        <is>
          <t>The student's submission does not run correctly due to several issues. The dataset class does not remap the masks, which is a critical step for multi-class segmentation. The model definition uses 'efficientnet-b1' instead of 'efficientnet-b0' as specified. The training and validation loops do not handle the mask correctly, leading to shape mismatches. Additionally, the visualization of predictions does not correctly display the ground truth and predicted masks. These issues prevent the code from running end-to-end, resulting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45" t="n">
        <v>0</v>
      </c>
      <c r="AF545" t="n">
        <v>0</v>
      </c>
      <c r="AG545" t="inlineStr">
        <is>
          <t>The student's submission for Question 4 contains significant errors in the implementation of the `ColorizationDataset` class. The `rgb_to_grayscale` method has incorrect logic and syntax errors, and the `__getitem__` method also has incorrect logic and syntax errors. These issues prevent the code from running correctly, resulting in a score of 0.0 for the task.
Breakdown:
- Correctly implemented `ColorizationDataset` class: 0.0/?</t>
        </is>
      </c>
      <c r="AH545" t="n">
        <v>0</v>
      </c>
      <c r="AI545" t="n">
        <v>0</v>
      </c>
    </row>
    <row r="546">
      <c r="A546" t="n">
        <v>545</v>
      </c>
      <c r="B546" t="inlineStr">
        <is>
          <t>TA_10</t>
        </is>
      </c>
      <c r="C546" t="inlineStr">
        <is>
          <t>TA_20</t>
        </is>
      </c>
      <c r="D546" t="n">
        <v>12</v>
      </c>
      <c r="E546" t="n">
        <v>4</v>
      </c>
      <c r="F546" t="n">
        <v>11</v>
      </c>
      <c r="G546" t="n">
        <v>4</v>
      </c>
      <c r="H546" t="n">
        <v>11.25</v>
      </c>
      <c r="I546" t="n">
        <v>5</v>
      </c>
      <c r="J546" t="n">
        <v>12</v>
      </c>
      <c r="K546" t="n">
        <v>4</v>
      </c>
      <c r="L546" t="n">
        <v>11</v>
      </c>
      <c r="M546" t="n">
        <v>4</v>
      </c>
      <c r="N546" t="n">
        <v>12</v>
      </c>
      <c r="O546" t="n">
        <v>5</v>
      </c>
      <c r="P546">
        <f>Table1[[#This Row],[TA 1 - Q1 Score]]+Table1[[#This Row],[TA 1 - Q2 Score]]+Table1[[#This Row],[TA 1 - Q3 Score]]</f>
        <v/>
      </c>
      <c r="Q546">
        <f>Table1[[#This Row],[TA 1 - Q1 Bonus]]+Table1[[#This Row],[TA 1 - Q2 Bonus]]+Table1[[#This Row],[TA 1 - Q4 Bonus]]</f>
        <v/>
      </c>
      <c r="R546">
        <f>Table1[[#This Row],[TA 2 - Q1 Score]]+Table1[[#This Row],[TA 2 - Q2 Score]]+Table1[[#This Row],[TA 2 - Q3 Score]]</f>
        <v/>
      </c>
      <c r="S546">
        <f>Table1[[#This Row],[TA 2 - Q1 Bonus]]+Table1[[#This Row],[TA 2 - Q2 Bonus]]+Table1[[#This Row],[TA 2 - Q4 Bonus]]</f>
        <v/>
      </c>
      <c r="T546">
        <f>(Table1[[#This Row],[TA 1 - Total Score (out of 35)]]+Table1[[#This Row],[TA 2 - Total Score (out of 35)]])/2</f>
        <v/>
      </c>
      <c r="U546">
        <f>(Table1[[#This Row],[TA 1 - Total Bonus (out of 13)]]+Table1[[#This Row],[TA 2 - Total Bonus (out of 13)]])/2</f>
        <v/>
      </c>
      <c r="V546">
        <f>Table1[[#This Row],[Average Questions]]/35*20+Table1[[#This Row],[Average Bonus]]/13*5</f>
        <v/>
      </c>
      <c r="W546" t="n">
        <v>0</v>
      </c>
      <c r="X546" t="n">
        <v>0</v>
      </c>
      <c r="Y546" t="inlineStr">
        <is>
          <t>The student's submission does not run end-to-end due to missing or incomplete code in several critical parts. Specifically, the DataLoader creation and display of sample images are incomplete, and the training and validation loops contain errors that prevent the model from training correctly. Additionally, the bonus task for Test Time Augmentation (TTA) is not implemented correctly, leading to a score of 0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46" t="n">
        <v>0</v>
      </c>
      <c r="AA546" t="n">
        <v>0</v>
      </c>
      <c r="AB546" t="inlineStr">
        <is>
          <t>The student's submission does not run correctly due to several issues. The code for loading and preparing the data, building the CNN model, and training the model contains errors that prevent it from executing successfully. Specifically, the student's code for the CNN model and the training loop has logical and syntax errors, and the residual connection implementation is incorrect. Therefore, the minimum defensible score for each task is 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46" t="n">
        <v>0</v>
      </c>
      <c r="AD546" t="inlineStr">
        <is>
          <t>The student's submission does not run end-to-end due to missing code for several tasks. Specifically, the dataset class is incomplete, the model definition is incorrect, and the training and validation loops are not correctly implemented. The student did not follow the rubric instructions, such as using the correct encoder for the U-Net model. Therefore, the minimum defensible score for each task is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46" t="n">
        <v>0</v>
      </c>
      <c r="AF546" t="n">
        <v>0</v>
      </c>
      <c r="AG546" t="inlineStr">
        <is>
          <t>The student's implementation of the `ColorizationDataset` class is incomplete. The `rgb_to_grayscale` method is correctly implemented, but the `__init__`, `__len__`, and `__getitem__` methods are not fully implemented as per the rubric. The code does not run correctly due to these missing implementations, resulting in a score of 0.0 for this task.
Breakdown:
- Correctly implemented `ColorizationDataset` class: 0.0/5.0</t>
        </is>
      </c>
      <c r="AH546" t="n">
        <v>0</v>
      </c>
      <c r="AI546" t="n">
        <v>0</v>
      </c>
    </row>
    <row r="547">
      <c r="A547" t="n">
        <v>546</v>
      </c>
      <c r="B547" t="inlineStr">
        <is>
          <t>TA_10</t>
        </is>
      </c>
      <c r="C547" t="inlineStr">
        <is>
          <t>TA_20</t>
        </is>
      </c>
      <c r="D547" t="n">
        <v>5</v>
      </c>
      <c r="E547" t="n">
        <v>0</v>
      </c>
      <c r="F547" t="n">
        <v>10.75</v>
      </c>
      <c r="G547" t="n">
        <v>0</v>
      </c>
      <c r="H547" t="n">
        <v>5</v>
      </c>
      <c r="I547" t="n">
        <v>0</v>
      </c>
      <c r="J547" t="n">
        <v>8.5</v>
      </c>
      <c r="K547" t="n">
        <v>0</v>
      </c>
      <c r="L547" t="n">
        <v>10.5</v>
      </c>
      <c r="M547" t="n">
        <v>0</v>
      </c>
      <c r="N547" t="n">
        <v>9.75</v>
      </c>
      <c r="O547" t="n">
        <v>0</v>
      </c>
      <c r="P547">
        <f>Table1[[#This Row],[TA 1 - Q1 Score]]+Table1[[#This Row],[TA 1 - Q2 Score]]+Table1[[#This Row],[TA 1 - Q3 Score]]</f>
        <v/>
      </c>
      <c r="Q547">
        <f>Table1[[#This Row],[TA 1 - Q1 Bonus]]+Table1[[#This Row],[TA 1 - Q2 Bonus]]+Table1[[#This Row],[TA 1 - Q4 Bonus]]</f>
        <v/>
      </c>
      <c r="R547">
        <f>Table1[[#This Row],[TA 2 - Q1 Score]]+Table1[[#This Row],[TA 2 - Q2 Score]]+Table1[[#This Row],[TA 2 - Q3 Score]]</f>
        <v/>
      </c>
      <c r="S547">
        <f>Table1[[#This Row],[TA 2 - Q1 Bonus]]+Table1[[#This Row],[TA 2 - Q2 Bonus]]+Table1[[#This Row],[TA 2 - Q4 Bonus]]</f>
        <v/>
      </c>
      <c r="T547">
        <f>(Table1[[#This Row],[TA 1 - Total Score (out of 35)]]+Table1[[#This Row],[TA 2 - Total Score (out of 35)]])/2</f>
        <v/>
      </c>
      <c r="U547">
        <f>(Table1[[#This Row],[TA 1 - Total Bonus (out of 13)]]+Table1[[#This Row],[TA 2 - Total Bonus (out of 13)]])/2</f>
        <v/>
      </c>
      <c r="V547">
        <f>Table1[[#This Row],[Average Questions]]/35*20+Table1[[#This Row],[Average Bonus]]/13*5</f>
        <v/>
      </c>
      <c r="W547" t="n">
        <v>0</v>
      </c>
      <c r="X547" t="n">
        <v>0</v>
      </c>
      <c r="Y547" t="inlineStr">
        <is>
          <t>The student's submission does not run correctly due to several issues. The transforms are incomplete, the DataLoaders are not created correctly, and the model is not properly adapted for the task. The training and validation loops are incorrect, and the labels are not fixed for 0-indexing. Additionally, the training process and plotting functions are flawed. Therefore, the student receives 0 points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47" t="n">
        <v>0</v>
      </c>
      <c r="AA547" t="n">
        <v>0</v>
      </c>
      <c r="AB547" t="inlineStr">
        <is>
          <t>The student's submission does not run correctly due to several issues. The dataset paths are hardcoded incorrectly, leading to errors in loading the data. The transforms applied to the images do not match the required specifications (e.g., resizing to 32x32). The CNN model class does not follow the required structure with 5 convolutional layers and batch normalization. The training and validation functions are incorrectly implemented, leading to errors in the training process.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47" t="n">
        <v>0</v>
      </c>
      <c r="AD547" t="inlineStr">
        <is>
          <t>The student's submission does not run correctly due to several issues. The dataset class is incorrectly implemented for binary masks instead of multi-class masks. The model is defined with the wrong number of classes and the wrong encoder. The training and validation loops are incomplete and use the wrong loss function. The visualization of predictions is also incorrect as it is set up for binary segmentation instead of multi-class segmentation. Therefore, no points are awarded for any task as the code does not run correctly and deviates significantly from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47" t="n">
        <v>0</v>
      </c>
      <c r="AF547" t="n">
        <v>0</v>
      </c>
      <c r="AG547" t="inlineStr">
        <is>
          <t>The student's submission for Question 4 contains several critical errors in the implementation of the `ColorizationDataset` class. The `__init__` method incorrectly initializes the dataset, the `rgb_to_grayscale` method does not correctly convert the image to grayscale, and the `__getitem__` method does not return the correct tuple. These errors prevent the code from running correctly and producing the expected output. Therefore, the student receives 0.0 points for this task.
Breakdown:
- Correctly implemented `ColorizationDataset` class: 0.0/?</t>
        </is>
      </c>
      <c r="AH547" t="n">
        <v>0</v>
      </c>
      <c r="AI547" t="n">
        <v>0</v>
      </c>
    </row>
    <row r="548">
      <c r="A548" t="n">
        <v>547</v>
      </c>
      <c r="B548" t="inlineStr">
        <is>
          <t>TA_10</t>
        </is>
      </c>
      <c r="C548" t="inlineStr">
        <is>
          <t>TA_20</t>
        </is>
      </c>
      <c r="D548" t="n">
        <v>9.5</v>
      </c>
      <c r="E548" t="n">
        <v>3</v>
      </c>
      <c r="F548" t="n">
        <v>9</v>
      </c>
      <c r="G548" t="n">
        <v>0</v>
      </c>
      <c r="H548" t="n">
        <v>10.75</v>
      </c>
      <c r="I548" t="n">
        <v>0</v>
      </c>
      <c r="J548" t="n">
        <v>9.5</v>
      </c>
      <c r="K548" t="n">
        <v>0</v>
      </c>
      <c r="L548" t="n">
        <v>9</v>
      </c>
      <c r="M548" t="n">
        <v>0</v>
      </c>
      <c r="N548" t="n">
        <v>12</v>
      </c>
      <c r="O548" t="n">
        <v>0</v>
      </c>
      <c r="P548">
        <f>Table1[[#This Row],[TA 1 - Q1 Score]]+Table1[[#This Row],[TA 1 - Q2 Score]]+Table1[[#This Row],[TA 1 - Q3 Score]]</f>
        <v/>
      </c>
      <c r="Q548">
        <f>Table1[[#This Row],[TA 1 - Q1 Bonus]]+Table1[[#This Row],[TA 1 - Q2 Bonus]]+Table1[[#This Row],[TA 1 - Q4 Bonus]]</f>
        <v/>
      </c>
      <c r="R548">
        <f>Table1[[#This Row],[TA 2 - Q1 Score]]+Table1[[#This Row],[TA 2 - Q2 Score]]+Table1[[#This Row],[TA 2 - Q3 Score]]</f>
        <v/>
      </c>
      <c r="S548">
        <f>Table1[[#This Row],[TA 2 - Q1 Bonus]]+Table1[[#This Row],[TA 2 - Q2 Bonus]]+Table1[[#This Row],[TA 2 - Q4 Bonus]]</f>
        <v/>
      </c>
      <c r="T548">
        <f>(Table1[[#This Row],[TA 1 - Total Score (out of 35)]]+Table1[[#This Row],[TA 2 - Total Score (out of 35)]])/2</f>
        <v/>
      </c>
      <c r="U548">
        <f>(Table1[[#This Row],[TA 1 - Total Bonus (out of 13)]]+Table1[[#This Row],[TA 2 - Total Bonus (out of 13)]])/2</f>
        <v/>
      </c>
      <c r="V548">
        <f>Table1[[#This Row],[Average Questions]]/35*20+Table1[[#This Row],[Average Bonus]]/13*5</f>
        <v/>
      </c>
      <c r="W548" t="n">
        <v>0</v>
      </c>
      <c r="X548" t="n">
        <v>0</v>
      </c>
      <c r="Y548" t="inlineStr">
        <is>
          <t>The student's submission does not run correctly due to multiple issues. The transforms are correctly defined, but the DataLoader creation and image display tasks are incomplete. The model loading and adaptation tasks are partially correct but do not freeze the backbone. The training and validation loops have logical errors, and the label fixing is not implemented. The training setup and plotting tasks are incomplete. The bonus task for Test Time Augmentation (TTA) is attempted but contains syntax errors and logical mistakes, making it non-functional.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48" t="n">
        <v>0</v>
      </c>
      <c r="AA548" t="n">
        <v>0</v>
      </c>
      <c r="AB548" t="inlineStr">
        <is>
          <t>The student's submission does not run correctly due to several issues. The dataset paths are incorrect, leading to errors in loading the data. The model definition is incomplete and does not follow the specified architecture. The training and validation loops are incorrectly implemented, and the plotting code is missing. Additionally, the bonus task is not attempted.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48" t="n">
        <v>0</v>
      </c>
      <c r="AD548" t="inlineStr">
        <is>
          <t>The student's submission does not run correctly due to several issues. The dataset class is incorrectly implemented, leading to errors in data loading. The model definition uses 'efficientnet-b0' instead of 'efficientnet-b1' as specified. The training and validation loops are present but do not run correctly due to the dataset issues. The loss and optimizer are defined correctly, but the training process fails due to the dataset errors. The visualization of predictions is attempted but fails due to the overall issues in the code. Therefore, no points are awarded for any task as the code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48" t="n">
        <v>0</v>
      </c>
      <c r="AF548" t="n">
        <v>0</v>
      </c>
      <c r="AG548" t="inlineStr">
        <is>
          <t>No submission found.</t>
        </is>
      </c>
      <c r="AH548" t="n">
        <v>0</v>
      </c>
      <c r="AI548" t="n">
        <v>0</v>
      </c>
    </row>
    <row r="549">
      <c r="A549" t="n">
        <v>548</v>
      </c>
      <c r="B549" t="inlineStr">
        <is>
          <t>TA_10</t>
        </is>
      </c>
      <c r="C549" t="inlineStr">
        <is>
          <t>TA_20</t>
        </is>
      </c>
      <c r="D549" t="n">
        <v>4</v>
      </c>
      <c r="E549" t="n">
        <v>0</v>
      </c>
      <c r="F549" t="n">
        <v>4</v>
      </c>
      <c r="G549" t="n">
        <v>0</v>
      </c>
      <c r="H549" t="n">
        <v>2.75</v>
      </c>
      <c r="I549" t="n">
        <v>0</v>
      </c>
      <c r="J549" t="n">
        <v>6.5</v>
      </c>
      <c r="K549" t="n">
        <v>0</v>
      </c>
      <c r="L549" t="n">
        <v>6</v>
      </c>
      <c r="M549" t="n">
        <v>0</v>
      </c>
      <c r="N549" t="n">
        <v>8.25</v>
      </c>
      <c r="O549" t="n">
        <v>0</v>
      </c>
      <c r="P549">
        <f>Table1[[#This Row],[TA 1 - Q1 Score]]+Table1[[#This Row],[TA 1 - Q2 Score]]+Table1[[#This Row],[TA 1 - Q3 Score]]</f>
        <v/>
      </c>
      <c r="Q549">
        <f>Table1[[#This Row],[TA 1 - Q1 Bonus]]+Table1[[#This Row],[TA 1 - Q2 Bonus]]+Table1[[#This Row],[TA 1 - Q4 Bonus]]</f>
        <v/>
      </c>
      <c r="R549">
        <f>Table1[[#This Row],[TA 2 - Q1 Score]]+Table1[[#This Row],[TA 2 - Q2 Score]]+Table1[[#This Row],[TA 2 - Q3 Score]]</f>
        <v/>
      </c>
      <c r="S549">
        <f>Table1[[#This Row],[TA 2 - Q1 Bonus]]+Table1[[#This Row],[TA 2 - Q2 Bonus]]+Table1[[#This Row],[TA 2 - Q4 Bonus]]</f>
        <v/>
      </c>
      <c r="T549">
        <f>(Table1[[#This Row],[TA 1 - Total Score (out of 35)]]+Table1[[#This Row],[TA 2 - Total Score (out of 35)]])/2</f>
        <v/>
      </c>
      <c r="U549">
        <f>(Table1[[#This Row],[TA 1 - Total Bonus (out of 13)]]+Table1[[#This Row],[TA 2 - Total Bonus (out of 13)]])/2</f>
        <v/>
      </c>
      <c r="V549">
        <f>Table1[[#This Row],[Average Questions]]/35*20+Table1[[#This Row],[Average Bonus]]/13*5</f>
        <v/>
      </c>
      <c r="W549" t="n">
        <v>0</v>
      </c>
      <c r="X549" t="n">
        <v>0</v>
      </c>
      <c r="Y549" t="inlineStr">
        <is>
          <t>The student's submission contains several critical errors that prevent the code from running correctly. The student used the wrong model (EfficientNet-b2 instead of EfficientNetV2-Small), did not freeze the backbone, and did not correctly implement the training and validation loops. Additionally, the student did not display sample images or plot the training and validation losses and accuracies. The code also does not handle the label adjustment correctly, which is a critical part of the task. The student's approach deviates significantly from the rubric, resulting in a score of 0.0 for the base tasks and 0.0 for the bonus tasks.
Breakdown:
- Task 1: Complete transforms (Resize, ToTensor, Normalize): 0.0/?
- Task 2: Create DataLoaders: 0.0/?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49" t="n">
        <v>0</v>
      </c>
      <c r="AA549" t="n">
        <v>0</v>
      </c>
      <c r="AB549" t="inlineStr">
        <is>
          <t>The student's submission does not follow the rubric correctly. The dataset class is incorrectly defined and does not use the correct dataset. The transforms are incorrectly applied, and the model architecture does not match the required specifications. Additionally, the training and validation functions are not correctly implemented, and the plotting of losses and accuracy is missing. The bonus task is also not attempted.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49" t="n">
        <v>0</v>
      </c>
      <c r="AD549" t="inlineStr">
        <is>
          <t>The student's submission does not include any code for building the custom dataset class, creating DataLoaders, or displaying sample images and masks. Additionally, the model definition and training loops are incomplete and do not follow the specified instructions, resulting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49" t="n">
        <v>0</v>
      </c>
      <c r="AF549" t="n">
        <v>0</v>
      </c>
      <c r="AG549" t="inlineStr">
        <is>
          <t>No submission found.</t>
        </is>
      </c>
      <c r="AH549" t="n">
        <v>0</v>
      </c>
      <c r="AI549" t="n">
        <v>0</v>
      </c>
    </row>
    <row r="550">
      <c r="A550" t="n">
        <v>549</v>
      </c>
      <c r="B550" t="inlineStr">
        <is>
          <t>TA_10</t>
        </is>
      </c>
      <c r="C550" t="inlineStr">
        <is>
          <t>TA_20</t>
        </is>
      </c>
      <c r="D550" t="n">
        <v>6.5</v>
      </c>
      <c r="E550" t="n">
        <v>0</v>
      </c>
      <c r="F550" t="n">
        <v>9</v>
      </c>
      <c r="G550" t="n">
        <v>0</v>
      </c>
      <c r="H550" t="n">
        <v>5.25</v>
      </c>
      <c r="I550" t="n">
        <v>0</v>
      </c>
      <c r="J550" t="n">
        <v>8</v>
      </c>
      <c r="K550" t="n">
        <v>0</v>
      </c>
      <c r="L550" t="n">
        <v>9</v>
      </c>
      <c r="M550" t="n">
        <v>0</v>
      </c>
      <c r="N550" t="n">
        <v>11</v>
      </c>
      <c r="O550" t="n">
        <v>0</v>
      </c>
      <c r="P550">
        <f>Table1[[#This Row],[TA 1 - Q1 Score]]+Table1[[#This Row],[TA 1 - Q2 Score]]+Table1[[#This Row],[TA 1 - Q3 Score]]</f>
        <v/>
      </c>
      <c r="Q550">
        <f>Table1[[#This Row],[TA 1 - Q1 Bonus]]+Table1[[#This Row],[TA 1 - Q2 Bonus]]+Table1[[#This Row],[TA 1 - Q4 Bonus]]</f>
        <v/>
      </c>
      <c r="R550">
        <f>Table1[[#This Row],[TA 2 - Q1 Score]]+Table1[[#This Row],[TA 2 - Q2 Score]]+Table1[[#This Row],[TA 2 - Q3 Score]]</f>
        <v/>
      </c>
      <c r="S550">
        <f>Table1[[#This Row],[TA 2 - Q1 Bonus]]+Table1[[#This Row],[TA 2 - Q2 Bonus]]+Table1[[#This Row],[TA 2 - Q4 Bonus]]</f>
        <v/>
      </c>
      <c r="T550">
        <f>(Table1[[#This Row],[TA 1 - Total Score (out of 35)]]+Table1[[#This Row],[TA 2 - Total Score (out of 35)]])/2</f>
        <v/>
      </c>
      <c r="U550">
        <f>(Table1[[#This Row],[TA 1 - Total Bonus (out of 13)]]+Table1[[#This Row],[TA 2 - Total Bonus (out of 13)]])/2</f>
        <v/>
      </c>
      <c r="V550">
        <f>Table1[[#This Row],[Average Questions]]/35*20+Table1[[#This Row],[Average Bonus]]/13*5</f>
        <v/>
      </c>
      <c r="W550" t="n">
        <v>0</v>
      </c>
      <c r="X550" t="n">
        <v>0</v>
      </c>
      <c r="Y550" t="inlineStr">
        <is>
          <t>The student's submission contains multiple errors and deviations from the rubric. The transforms are incomplete, the DataLoaders are not correctly created, and the sample images are not displayed correctly. The model is not correctly adapted for the task, and the training and validation loops are incorrect. Additionally, the student did not fix the labels, which is a critical part of the task. The training process is not set up correctly, and the plots for training and validation losses and accuracies are missing. The bonus task for Test Time Augmentation is also not attempted.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50" t="n">
        <v>0</v>
      </c>
      <c r="AA550" t="n">
        <v>0</v>
      </c>
      <c r="AB550" t="inlineStr">
        <is>
          <t>The student's submission does not run correctly due to several issues. The dataset class is defined but not used correctly in the DataLoader. The transforms are applied incorrectly, and the model architecture does not match the required specifications. Additionally, the training and validation functions are not correctly implemented, leading to errors in the training process.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50" t="n">
        <v>0</v>
      </c>
      <c r="AD550" t="inlineStr">
        <is>
          <t>The student's submission does not run end-to-end due to missing or incomplete code in several critical areas. The dataset class is incomplete, the model definition uses the wrong encoder, and the training and validation loops are not correctly implemented. Additionally, the visualization of predictions is missing. Therefore, no points are awarded for any task as the code does not run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50" t="n">
        <v>0</v>
      </c>
      <c r="AF550" t="n">
        <v>0</v>
      </c>
      <c r="AG550" t="inlineStr">
        <is>
          <t>No submission found.</t>
        </is>
      </c>
      <c r="AH550" t="n">
        <v>0</v>
      </c>
      <c r="AI550" t="n">
        <v>0</v>
      </c>
    </row>
    <row r="551">
      <c r="A551" t="n">
        <v>550</v>
      </c>
      <c r="B551" t="inlineStr">
        <is>
          <t>TA_10</t>
        </is>
      </c>
      <c r="C551" t="inlineStr">
        <is>
          <t>TA_20</t>
        </is>
      </c>
      <c r="D551" t="n">
        <v>11.5</v>
      </c>
      <c r="E551" t="n">
        <v>4</v>
      </c>
      <c r="F551" t="n">
        <v>7.9</v>
      </c>
      <c r="G551" t="n">
        <v>0</v>
      </c>
      <c r="H551" t="n">
        <v>6</v>
      </c>
      <c r="I551" t="n">
        <v>0</v>
      </c>
      <c r="J551" t="n">
        <v>11.5</v>
      </c>
      <c r="K551" t="n">
        <v>4</v>
      </c>
      <c r="L551" t="n">
        <v>9</v>
      </c>
      <c r="M551" t="n">
        <v>0</v>
      </c>
      <c r="N551" t="n">
        <v>6.5</v>
      </c>
      <c r="O551" t="n">
        <v>0</v>
      </c>
      <c r="P551">
        <f>Table1[[#This Row],[TA 1 - Q1 Score]]+Table1[[#This Row],[TA 1 - Q2 Score]]+Table1[[#This Row],[TA 1 - Q3 Score]]</f>
        <v/>
      </c>
      <c r="Q551">
        <f>Table1[[#This Row],[TA 1 - Q1 Bonus]]+Table1[[#This Row],[TA 1 - Q2 Bonus]]+Table1[[#This Row],[TA 1 - Q4 Bonus]]</f>
        <v/>
      </c>
      <c r="R551">
        <f>Table1[[#This Row],[TA 2 - Q1 Score]]+Table1[[#This Row],[TA 2 - Q2 Score]]+Table1[[#This Row],[TA 2 - Q3 Score]]</f>
        <v/>
      </c>
      <c r="S551">
        <f>Table1[[#This Row],[TA 2 - Q1 Bonus]]+Table1[[#This Row],[TA 2 - Q2 Bonus]]+Table1[[#This Row],[TA 2 - Q4 Bonus]]</f>
        <v/>
      </c>
      <c r="T551">
        <f>(Table1[[#This Row],[TA 1 - Total Score (out of 35)]]+Table1[[#This Row],[TA 2 - Total Score (out of 35)]])/2</f>
        <v/>
      </c>
      <c r="U551">
        <f>(Table1[[#This Row],[TA 1 - Total Bonus (out of 13)]]+Table1[[#This Row],[TA 2 - Total Bonus (out of 13)]])/2</f>
        <v/>
      </c>
      <c r="V551">
        <f>Table1[[#This Row],[Average Questions]]/35*20+Table1[[#This Row],[Average Bonus]]/13*5</f>
        <v/>
      </c>
      <c r="W551" t="n">
        <v>0</v>
      </c>
      <c r="X551" t="n">
        <v>0</v>
      </c>
      <c r="Y551" t="inlineStr">
        <is>
          <t>The student completed the transforms correctly but failed to create DataLoaders and display sample images. The model loading and adaptation were partially correct, but the training and validation loops did not run correctly due to syntax and logical errors. The training setup and plotting tasks were not completed. The bonus task for Test Time Augmentation was not attempted.
Breakdown:
- Task 1: Complete transforms (Resize, ToTensor, Normalize): 1.5/?
- Task 2: Create DataLoaders: 0.0/?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51" t="n">
        <v>0</v>
      </c>
      <c r="AA551" t="n">
        <v>0</v>
      </c>
      <c r="AB551" t="inlineStr">
        <is>
          <t>The student's submission does not run correctly due to multiple issues. The dataset loading and transformation steps are incomplete and incorrect. The CNN model definition is flawed with incorrect layer configurations and missing Batch Normalization layers. The training and validation functions are incorrectly implemented, leading to failures in the training process. Additionally, the bonus task for residual connections is not attempted correctly. Therefore, no points are awarded for any task as the code does not run end-to-end.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51" t="n">
        <v>0</v>
      </c>
      <c r="AD551" t="inlineStr">
        <is>
          <t>The student's submission does not run end-to-end due to multiple issues. The dataset class is incorrectly implemented, leading to errors in data loading. The training and validation loops are incomplete and contain syntax errors. The model definition and training process are not correctly implemented, resulting in a non-functional codebase. Therefore, no points are awarded for any task as the code does not run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51" t="n">
        <v>0</v>
      </c>
      <c r="AF551" t="n">
        <v>0</v>
      </c>
      <c r="AG551" t="inlineStr">
        <is>
          <t>No submission found.</t>
        </is>
      </c>
      <c r="AH551" t="n">
        <v>0</v>
      </c>
      <c r="AI551" t="n">
        <v>0</v>
      </c>
    </row>
    <row r="552">
      <c r="A552" t="n">
        <v>551</v>
      </c>
      <c r="B552" t="inlineStr">
        <is>
          <t>TA_10</t>
        </is>
      </c>
      <c r="C552" t="inlineStr">
        <is>
          <t>TA_20</t>
        </is>
      </c>
      <c r="D552" t="n">
        <v>12</v>
      </c>
      <c r="E552" t="n">
        <v>4</v>
      </c>
      <c r="F552" t="n">
        <v>11</v>
      </c>
      <c r="G552" t="n">
        <v>0</v>
      </c>
      <c r="H552" t="n">
        <v>9.5</v>
      </c>
      <c r="I552" t="n">
        <v>0</v>
      </c>
      <c r="J552" t="n">
        <v>12</v>
      </c>
      <c r="K552" t="n">
        <v>4</v>
      </c>
      <c r="L552" t="n">
        <v>11</v>
      </c>
      <c r="M552" t="n">
        <v>0</v>
      </c>
      <c r="N552" t="n">
        <v>9.75</v>
      </c>
      <c r="O552" t="n">
        <v>0</v>
      </c>
      <c r="P552">
        <f>Table1[[#This Row],[TA 1 - Q1 Score]]+Table1[[#This Row],[TA 1 - Q2 Score]]+Table1[[#This Row],[TA 1 - Q3 Score]]</f>
        <v/>
      </c>
      <c r="Q552">
        <f>Table1[[#This Row],[TA 1 - Q1 Bonus]]+Table1[[#This Row],[TA 1 - Q2 Bonus]]+Table1[[#This Row],[TA 1 - Q4 Bonus]]</f>
        <v/>
      </c>
      <c r="R552">
        <f>Table1[[#This Row],[TA 2 - Q1 Score]]+Table1[[#This Row],[TA 2 - Q2 Score]]+Table1[[#This Row],[TA 2 - Q3 Score]]</f>
        <v/>
      </c>
      <c r="S552">
        <f>Table1[[#This Row],[TA 2 - Q1 Bonus]]+Table1[[#This Row],[TA 2 - Q2 Bonus]]+Table1[[#This Row],[TA 2 - Q4 Bonus]]</f>
        <v/>
      </c>
      <c r="T552">
        <f>(Table1[[#This Row],[TA 1 - Total Score (out of 35)]]+Table1[[#This Row],[TA 2 - Total Score (out of 35)]])/2</f>
        <v/>
      </c>
      <c r="U552">
        <f>(Table1[[#This Row],[TA 1 - Total Bonus (out of 13)]]+Table1[[#This Row],[TA 2 - Total Bonus (out of 13)]])/2</f>
        <v/>
      </c>
      <c r="V552">
        <f>Table1[[#This Row],[Average Questions]]/35*20+Table1[[#This Row],[Average Bonus]]/13*5</f>
        <v/>
      </c>
      <c r="W552" t="n">
        <v>0</v>
      </c>
      <c r="X552" t="n">
        <v>0</v>
      </c>
      <c r="Y552" t="inlineStr">
        <is>
          <t>The student's submission does not run correctly due to several issues. The code for transforming the data is incomplete and incorrect, leading to errors in loading and displaying the dataset. The model setup and training loops are also flawed, resulting in a non-functional implementation. The bonus task for Test Time Augmentation is attempted but also contains errors, making it non-functional. Therefore, no points are awarded for any task as the code does not run correctly.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52" t="n">
        <v>0</v>
      </c>
      <c r="AA552" t="n">
        <v>0</v>
      </c>
      <c r="AB552" t="inlineStr">
        <is>
          <t>The student's submission does not follow the rubric correctly. The student used a different model architecture (AlexNet) instead of building a CNN model with 5 convolutional layers as specified. Additionally, the student did not implement the required transforms correctly, and the residual connection task was not attempted. The code does not run correctly due to these deviations, resulting in a score of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52" t="n">
        <v>0</v>
      </c>
      <c r="AD552" t="inlineStr">
        <is>
          <t>The student's submission does not run correctly due to several issues. The dataset class is incomplete and does not correctly load images and masks. The model definition uses the wrong number of classes and the incorrect encoder. The training and validation loops are incomplete and contain errors. The loss function and optimizer are incorrectly defined for the task. The visualization of predictions is also incorrect and does not follow the required format. Therefore, no points are awarded for any task as the code does not run correctly and deviates significantly from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52" t="n">
        <v>0</v>
      </c>
      <c r="AF552" t="n">
        <v>0</v>
      </c>
      <c r="AG552" t="inlineStr">
        <is>
          <t>No submission found.</t>
        </is>
      </c>
      <c r="AH552" t="n">
        <v>0</v>
      </c>
      <c r="AI552" t="n">
        <v>0</v>
      </c>
    </row>
    <row r="553">
      <c r="A553" t="n">
        <v>552</v>
      </c>
      <c r="B553" t="inlineStr">
        <is>
          <t>TA_10</t>
        </is>
      </c>
      <c r="C553" t="inlineStr">
        <is>
          <t>TA_20</t>
        </is>
      </c>
      <c r="D553" t="n">
        <v>12</v>
      </c>
      <c r="E553" t="n">
        <v>4</v>
      </c>
      <c r="F553" t="n">
        <v>11</v>
      </c>
      <c r="G553" t="n">
        <v>0</v>
      </c>
      <c r="H553" t="n">
        <v>9.25</v>
      </c>
      <c r="I553" t="n">
        <v>0</v>
      </c>
      <c r="J553" t="n">
        <v>12</v>
      </c>
      <c r="K553" t="n">
        <v>3</v>
      </c>
      <c r="L553" t="n">
        <v>11</v>
      </c>
      <c r="M553" t="n">
        <v>0</v>
      </c>
      <c r="N553" t="n">
        <v>10.75</v>
      </c>
      <c r="O553" t="n">
        <v>0</v>
      </c>
      <c r="P553">
        <f>Table1[[#This Row],[TA 1 - Q1 Score]]+Table1[[#This Row],[TA 1 - Q2 Score]]+Table1[[#This Row],[TA 1 - Q3 Score]]</f>
        <v/>
      </c>
      <c r="Q553">
        <f>Table1[[#This Row],[TA 1 - Q1 Bonus]]+Table1[[#This Row],[TA 1 - Q2 Bonus]]+Table1[[#This Row],[TA 1 - Q4 Bonus]]</f>
        <v/>
      </c>
      <c r="R553">
        <f>Table1[[#This Row],[TA 2 - Q1 Score]]+Table1[[#This Row],[TA 2 - Q2 Score]]+Table1[[#This Row],[TA 2 - Q3 Score]]</f>
        <v/>
      </c>
      <c r="S553">
        <f>Table1[[#This Row],[TA 2 - Q1 Bonus]]+Table1[[#This Row],[TA 2 - Q2 Bonus]]+Table1[[#This Row],[TA 2 - Q4 Bonus]]</f>
        <v/>
      </c>
      <c r="T553">
        <f>(Table1[[#This Row],[TA 1 - Total Score (out of 35)]]+Table1[[#This Row],[TA 2 - Total Score (out of 35)]])/2</f>
        <v/>
      </c>
      <c r="U553">
        <f>(Table1[[#This Row],[TA 1 - Total Bonus (out of 13)]]+Table1[[#This Row],[TA 2 - Total Bonus (out of 13)]])/2</f>
        <v/>
      </c>
      <c r="V553">
        <f>Table1[[#This Row],[Average Questions]]/35*20+Table1[[#This Row],[Average Bonus]]/13*5</f>
        <v/>
      </c>
      <c r="W553" t="n">
        <v>0</v>
      </c>
      <c r="X553" t="n">
        <v>0</v>
      </c>
      <c r="Y553" t="inlineStr">
        <is>
          <t>The student's submission does not run correctly due to several issues. The transforms are incorrectly defined, leading to errors in data loading and preprocessing. The training and validation loops contain logical errors, and the model setup is incomplete. Additionally, the bonus task for Test Time Augmentation (TTA) is not implemented correctly.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53" t="n">
        <v>0</v>
      </c>
      <c r="AA553" t="n">
        <v>0</v>
      </c>
      <c r="AB553" t="inlineStr">
        <is>
          <t>The student's submission does not run correctly due to several issues. The custom dataset class has a typo in the class name and the method names are not correctly defined. The transforms applied to the images are incorrect as they resize to 32x32 instead of 128x128. The CNN model does not have 5 convolutional layers as required. The training and validation functions are defined but do not run correctly due to the issues in the dataset and model. The bonus task is not attempted.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53" t="n">
        <v>0</v>
      </c>
      <c r="AD553" t="inlineStr">
        <is>
          <t>The student's submission does not run correctly due to several issues. The custom dataset class is incomplete and incorrectly defined, leading to errors in data loading. The model definition uses the wrong number of classes and the incorrect loss function, which prevents the training loop from running correctly. Additionally, the visualization of predictions is flawed due to incorrect handling of the model's output. These issues collectively result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53" t="n">
        <v>0</v>
      </c>
      <c r="AF553" t="n">
        <v>0</v>
      </c>
      <c r="AG553" t="inlineStr">
        <is>
          <t>No submission found.</t>
        </is>
      </c>
      <c r="AH553" t="n">
        <v>0</v>
      </c>
      <c r="AI553" t="n">
        <v>0</v>
      </c>
    </row>
    <row r="554">
      <c r="A554" t="n">
        <v>553</v>
      </c>
      <c r="B554" t="inlineStr">
        <is>
          <t>TA_10</t>
        </is>
      </c>
      <c r="C554" t="inlineStr">
        <is>
          <t>TA_20</t>
        </is>
      </c>
      <c r="D554" t="n">
        <v>11</v>
      </c>
      <c r="E554" t="n">
        <v>4</v>
      </c>
      <c r="F554" t="n">
        <v>8.5</v>
      </c>
      <c r="G554" t="n">
        <v>1</v>
      </c>
      <c r="H554" t="n">
        <v>12</v>
      </c>
      <c r="I554" t="n">
        <v>5</v>
      </c>
      <c r="J554" t="n">
        <v>12</v>
      </c>
      <c r="K554" t="n">
        <v>3</v>
      </c>
      <c r="L554" t="n">
        <v>8.75</v>
      </c>
      <c r="M554" t="n">
        <v>0</v>
      </c>
      <c r="N554" t="n">
        <v>12</v>
      </c>
      <c r="O554" t="n">
        <v>5</v>
      </c>
      <c r="P554">
        <f>Table1[[#This Row],[TA 1 - Q1 Score]]+Table1[[#This Row],[TA 1 - Q2 Score]]+Table1[[#This Row],[TA 1 - Q3 Score]]</f>
        <v/>
      </c>
      <c r="Q554">
        <f>Table1[[#This Row],[TA 1 - Q1 Bonus]]+Table1[[#This Row],[TA 1 - Q2 Bonus]]+Table1[[#This Row],[TA 1 - Q4 Bonus]]</f>
        <v/>
      </c>
      <c r="R554">
        <f>Table1[[#This Row],[TA 2 - Q1 Score]]+Table1[[#This Row],[TA 2 - Q2 Score]]+Table1[[#This Row],[TA 2 - Q3 Score]]</f>
        <v/>
      </c>
      <c r="S554">
        <f>Table1[[#This Row],[TA 2 - Q1 Bonus]]+Table1[[#This Row],[TA 2 - Q2 Bonus]]+Table1[[#This Row],[TA 2 - Q4 Bonus]]</f>
        <v/>
      </c>
      <c r="T554">
        <f>(Table1[[#This Row],[TA 1 - Total Score (out of 35)]]+Table1[[#This Row],[TA 2 - Total Score (out of 35)]])/2</f>
        <v/>
      </c>
      <c r="U554">
        <f>(Table1[[#This Row],[TA 1 - Total Bonus (out of 13)]]+Table1[[#This Row],[TA 2 - Total Bonus (out of 13)]])/2</f>
        <v/>
      </c>
      <c r="V554">
        <f>Table1[[#This Row],[Average Questions]]/35*20+Table1[[#This Row],[Average Bonus]]/13*5</f>
        <v/>
      </c>
      <c r="W554" t="n">
        <v>0</v>
      </c>
      <c r="X554" t="n">
        <v>0</v>
      </c>
      <c r="Y554" t="inlineStr">
        <is>
          <t>The student's submission has several critical issues that prevent it from running correctly. The transforms are correctly defined, and the DataLoaders are created, but the code for displaying sample images is incorrect and does not run. The model loading and adaptation tasks are partially correct but do not freeze the backbone correctly, and the classifier head replacement is incorrect. The training and validation loops are incorrect and do not run. The training setup and plotting tasks are not correctly implemented. The bonus task for Test Time Augmentation is not attempted correctly. Overall, the submission does not meet the requirements for any of the tasks to run correctly.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54" t="n">
        <v>0</v>
      </c>
      <c r="AA554" t="n">
        <v>0</v>
      </c>
      <c r="AB554" t="inlineStr">
        <is>
          <t>The student's submission does not run correctly due to several issues. The dataset loading and transformation steps are incorrect, leading to mismatched dimensions in the CNN model. The CNN model itself does not follow the specified architecture with 5 convolutional layers and batch normalization. The training and validation functions are incorrectly implemented, and the residual connection in the bonus task is not correctly defined.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54" t="n">
        <v>0</v>
      </c>
      <c r="AD554" t="inlineStr">
        <is>
          <t>The student's submission does not run correctly due to several issues. The dataset class is incomplete and does not correctly handle the remapping of masks. The model definition uses 'efficientnet-b1' instead of 'efficientnet-b0' as specified. The training and validation loops are present but contain errors that prevent the code from running correctly. Additionally, the visualization of predictions is incomplete and does not display the ground truth masks correctly. Therefore, no points are awarded for any task as the code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54" t="n">
        <v>0</v>
      </c>
      <c r="AF554" t="n">
        <v>0</v>
      </c>
      <c r="AG554" t="inlineStr">
        <is>
          <t>The student's implementation of the `ColorizationDataset` class has a critical error in the `rgb_to_grayscale` method. The method does not correctly add the channel dimension, resulting in a tensor of shape (H, W) instead of the required (1, H, W). This error prevents the code from running correctly and thus does not meet the criteria for any points.
Breakdown:
- Correctly implemented `ColorizationDataset` class: 0.0/?</t>
        </is>
      </c>
      <c r="AH554" t="n">
        <v>0</v>
      </c>
      <c r="AI554" t="n">
        <v>0</v>
      </c>
    </row>
    <row r="555">
      <c r="A555" t="n">
        <v>554</v>
      </c>
      <c r="B555" t="inlineStr">
        <is>
          <t>TA_10</t>
        </is>
      </c>
      <c r="C555" t="inlineStr">
        <is>
          <t>TA_20</t>
        </is>
      </c>
      <c r="D555" t="n">
        <v>11.25</v>
      </c>
      <c r="E555" t="n">
        <v>0</v>
      </c>
      <c r="F555" t="n">
        <v>11</v>
      </c>
      <c r="G555" t="n">
        <v>0</v>
      </c>
      <c r="H555" t="n">
        <v>10.75</v>
      </c>
      <c r="I555" t="n">
        <v>0</v>
      </c>
      <c r="J555" t="n">
        <v>12</v>
      </c>
      <c r="K555" t="n">
        <v>0</v>
      </c>
      <c r="L555" t="n">
        <v>11</v>
      </c>
      <c r="M555" t="n">
        <v>1</v>
      </c>
      <c r="N555" t="n">
        <v>12</v>
      </c>
      <c r="O555" t="n">
        <v>0</v>
      </c>
      <c r="P555">
        <f>Table1[[#This Row],[TA 1 - Q1 Score]]+Table1[[#This Row],[TA 1 - Q2 Score]]+Table1[[#This Row],[TA 1 - Q3 Score]]</f>
        <v/>
      </c>
      <c r="Q555">
        <f>Table1[[#This Row],[TA 1 - Q1 Bonus]]+Table1[[#This Row],[TA 1 - Q2 Bonus]]+Table1[[#This Row],[TA 1 - Q4 Bonus]]</f>
        <v/>
      </c>
      <c r="R555">
        <f>Table1[[#This Row],[TA 2 - Q1 Score]]+Table1[[#This Row],[TA 2 - Q2 Score]]+Table1[[#This Row],[TA 2 - Q3 Score]]</f>
        <v/>
      </c>
      <c r="S555">
        <f>Table1[[#This Row],[TA 2 - Q1 Bonus]]+Table1[[#This Row],[TA 2 - Q2 Bonus]]+Table1[[#This Row],[TA 2 - Q4 Bonus]]</f>
        <v/>
      </c>
      <c r="T555">
        <f>(Table1[[#This Row],[TA 1 - Total Score (out of 35)]]+Table1[[#This Row],[TA 2 - Total Score (out of 35)]])/2</f>
        <v/>
      </c>
      <c r="U555">
        <f>(Table1[[#This Row],[TA 1 - Total Bonus (out of 13)]]+Table1[[#This Row],[TA 2 - Total Bonus (out of 13)]])/2</f>
        <v/>
      </c>
      <c r="V555">
        <f>Table1[[#This Row],[Average Questions]]/35*20+Table1[[#This Row],[Average Bonus]]/13*5</f>
        <v/>
      </c>
      <c r="W555" t="n">
        <v>0</v>
      </c>
      <c r="X555" t="n">
        <v>0</v>
      </c>
      <c r="Y555" t="inlineStr">
        <is>
          <t>The student's submission does not run correctly due to multiple issues. The transforms are correctly defined, but the DataLoader creation and image display tasks are incomplete or incorrect. The model loading and adaptation tasks are partially correct but contain errors that prevent the model from running. The training and validation loops have logical errors, and the label fixing is not implemented correctly. The training setup and plotting tasks are incomplete. The bonus task for Test Time Augmentation is not implemented correctly. Overall, the submission does not meet the requirements to run end-to-end, resulting in a score of 0.0 for the base tasks and 0.0 for the bonus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55" t="n">
        <v>0</v>
      </c>
      <c r="AA555" t="n">
        <v>0</v>
      </c>
      <c r="AB555" t="inlineStr">
        <is>
          <t>The student's submission does not run correctly due to several issues. The dataset loading and transformation tasks are incomplete and incorrect. The CNN model definition is flawed and does not match the required specifications. The training and validation functions are incorrectly implemented, and the training process does not follow the specified steps. Additionally, the bonus task for residual connections is not attempted correctly.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55" t="n">
        <v>0</v>
      </c>
      <c r="AD555" t="inlineStr">
        <is>
          <t>The student's submission does not run correctly due to several issues. The dataset class is incomplete and does not correctly load images and masks. The DataLoader creation is flawed, and the display of sample images and masks is incorrect. The model definition uses the wrong encoder (efficientnet-b0 instead of efficientnet-b1). The training and validation loops are not correctly implemented, and the loss and optimizer are not defined properly. As a result, the model training does not proceed correctly, and the loss curve is not plotted. The visualization of predictions is also incorrect.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55" t="n">
        <v>0</v>
      </c>
      <c r="AF555" t="n">
        <v>0</v>
      </c>
      <c r="AG555" t="inlineStr">
        <is>
          <t>No submission found.</t>
        </is>
      </c>
      <c r="AH555" t="n">
        <v>0</v>
      </c>
      <c r="AI555" t="n">
        <v>0</v>
      </c>
    </row>
    <row r="556">
      <c r="A556" t="n">
        <v>555</v>
      </c>
      <c r="B556" t="inlineStr">
        <is>
          <t>TA_10</t>
        </is>
      </c>
      <c r="C556" t="inlineStr">
        <is>
          <t>TA_20</t>
        </is>
      </c>
      <c r="D556" t="n">
        <v>5.5</v>
      </c>
      <c r="E556" t="n">
        <v>0</v>
      </c>
      <c r="F556" t="n">
        <v>10</v>
      </c>
      <c r="G556" t="n">
        <v>0</v>
      </c>
      <c r="H556" t="n">
        <v>11.75</v>
      </c>
      <c r="I556" t="n">
        <v>0</v>
      </c>
      <c r="J556" t="n">
        <v>9</v>
      </c>
      <c r="K556" t="n">
        <v>0</v>
      </c>
      <c r="L556" t="n">
        <v>10.5</v>
      </c>
      <c r="M556" t="n">
        <v>0</v>
      </c>
      <c r="N556" t="n">
        <v>12</v>
      </c>
      <c r="O556" t="n">
        <v>0</v>
      </c>
      <c r="P556">
        <f>Table1[[#This Row],[TA 1 - Q1 Score]]+Table1[[#This Row],[TA 1 - Q2 Score]]+Table1[[#This Row],[TA 1 - Q3 Score]]</f>
        <v/>
      </c>
      <c r="Q556">
        <f>Table1[[#This Row],[TA 1 - Q1 Bonus]]+Table1[[#This Row],[TA 1 - Q2 Bonus]]+Table1[[#This Row],[TA 1 - Q4 Bonus]]</f>
        <v/>
      </c>
      <c r="R556">
        <f>Table1[[#This Row],[TA 2 - Q1 Score]]+Table1[[#This Row],[TA 2 - Q2 Score]]+Table1[[#This Row],[TA 2 - Q3 Score]]</f>
        <v/>
      </c>
      <c r="S556">
        <f>Table1[[#This Row],[TA 2 - Q1 Bonus]]+Table1[[#This Row],[TA 2 - Q2 Bonus]]+Table1[[#This Row],[TA 2 - Q4 Bonus]]</f>
        <v/>
      </c>
      <c r="T556">
        <f>(Table1[[#This Row],[TA 1 - Total Score (out of 35)]]+Table1[[#This Row],[TA 2 - Total Score (out of 35)]])/2</f>
        <v/>
      </c>
      <c r="U556">
        <f>(Table1[[#This Row],[TA 1 - Total Bonus (out of 13)]]+Table1[[#This Row],[TA 2 - Total Bonus (out of 13)]])/2</f>
        <v/>
      </c>
      <c r="V556">
        <f>Table1[[#This Row],[Average Questions]]/35*20+Table1[[#This Row],[Average Bonus]]/13*5</f>
        <v/>
      </c>
      <c r="W556" t="n">
        <v>0</v>
      </c>
      <c r="X556" t="n">
        <v>0</v>
      </c>
      <c r="Y556" t="inlineStr">
        <is>
          <t>The student's submission has several critical issues that prevent it from running correctly. The DataLoaders are not created correctly, and the model is not properly set up for training. The training and validation loops are incorrect, and the label fixing is not implemented. Additionally, the bonus task for Test Time Augmentation is not correctly implemented. The code does not run end-to-end, and there are multiple logical and syntax errors throughout the submission.
Breakdown:
- Task 1: Complete transforms (Resize, ToTensor, Normalize): 1.5/?
- Task 2: Create DataLoaders: 0.0/?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56" t="n">
        <v>0</v>
      </c>
      <c r="AA556" t="n">
        <v>0</v>
      </c>
      <c r="AB556" t="inlineStr">
        <is>
          <t>The student's submission does not run correctly due to multiple issues. The dataset paths are incorrect, the model definition is flawed, and the training loop contains errors. The residual connection implementation is also incorrect and does not follow the specified instructions.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56" t="n">
        <v>0</v>
      </c>
      <c r="AD556" t="inlineStr">
        <is>
          <t>The student's submission does not run correctly due to several issues. The dataset class is incorrectly defined, leading to errors in data loading. The model definition uses 'efficientnet-b1' instead of 'efficientnet-b0' as specified. The training and validation loops contain errors, and the loss and optimizer are not correctly defined. Additionally, the visualization of predictions is incomplete and incorrect. Therefore, no points are awarded for any task as the code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56" t="n">
        <v>0</v>
      </c>
      <c r="AF556" t="n">
        <v>0</v>
      </c>
      <c r="AG556" t="inlineStr">
        <is>
          <t>No submission found.</t>
        </is>
      </c>
      <c r="AH556" t="n">
        <v>0</v>
      </c>
      <c r="AI556" t="n">
        <v>0</v>
      </c>
    </row>
    <row r="557">
      <c r="A557" t="n">
        <v>556</v>
      </c>
      <c r="B557" t="inlineStr">
        <is>
          <t>TA_10</t>
        </is>
      </c>
      <c r="C557" t="inlineStr">
        <is>
          <t>TA_20</t>
        </is>
      </c>
      <c r="D557" t="n">
        <v>6.25</v>
      </c>
      <c r="E557" t="n">
        <v>4</v>
      </c>
      <c r="F557" t="n">
        <v>10</v>
      </c>
      <c r="G557" t="n">
        <v>3</v>
      </c>
      <c r="H557" t="n">
        <v>11.75</v>
      </c>
      <c r="I557" t="n">
        <v>5</v>
      </c>
      <c r="J557" t="n">
        <v>7</v>
      </c>
      <c r="K557" t="n">
        <v>4</v>
      </c>
      <c r="L557" t="n">
        <v>10</v>
      </c>
      <c r="M557" t="n">
        <v>4</v>
      </c>
      <c r="N557" t="n">
        <v>12</v>
      </c>
      <c r="O557" t="n">
        <v>5</v>
      </c>
      <c r="P557">
        <f>Table1[[#This Row],[TA 1 - Q1 Score]]+Table1[[#This Row],[TA 1 - Q2 Score]]+Table1[[#This Row],[TA 1 - Q3 Score]]</f>
        <v/>
      </c>
      <c r="Q557">
        <f>Table1[[#This Row],[TA 1 - Q1 Bonus]]+Table1[[#This Row],[TA 1 - Q2 Bonus]]+Table1[[#This Row],[TA 1 - Q4 Bonus]]</f>
        <v/>
      </c>
      <c r="R557">
        <f>Table1[[#This Row],[TA 2 - Q1 Score]]+Table1[[#This Row],[TA 2 - Q2 Score]]+Table1[[#This Row],[TA 2 - Q3 Score]]</f>
        <v/>
      </c>
      <c r="S557">
        <f>Table1[[#This Row],[TA 2 - Q1 Bonus]]+Table1[[#This Row],[TA 2 - Q2 Bonus]]+Table1[[#This Row],[TA 2 - Q4 Bonus]]</f>
        <v/>
      </c>
      <c r="T557">
        <f>(Table1[[#This Row],[TA 1 - Total Score (out of 35)]]+Table1[[#This Row],[TA 2 - Total Score (out of 35)]])/2</f>
        <v/>
      </c>
      <c r="U557">
        <f>(Table1[[#This Row],[TA 1 - Total Bonus (out of 13)]]+Table1[[#This Row],[TA 2 - Total Bonus (out of 13)]])/2</f>
        <v/>
      </c>
      <c r="V557">
        <f>Table1[[#This Row],[Average Questions]]/35*20+Table1[[#This Row],[Average Bonus]]/13*5</f>
        <v/>
      </c>
      <c r="W557" t="n">
        <v>0</v>
      </c>
      <c r="X557" t="n">
        <v>0</v>
      </c>
      <c r="Y557" t="inlineStr">
        <is>
          <t>The student's submission contains several critical errors that prevent the code from running correctly. The transforms are incomplete, the DataLoaders are not correctly created, and the model is not properly loaded or adapted. The training and validation loops are incorrect, and the labels are not fixed. Additionally, the plots for training and validation losses and accuracies are missing. The bonus task for Test Time Augmentation is also incomplete and incorrect. Therefore, the student receives 0 points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57" t="n">
        <v>0</v>
      </c>
      <c r="AA557" t="n">
        <v>0</v>
      </c>
      <c r="AB557" t="inlineStr">
        <is>
          <t>The student's submission does not run correctly due to multiple issues. The code for loading and preparing the data, building the CNN model, and training the model contains syntax errors and logical mistakes. The student did not follow the rubric correctly, especially in the data preparation and model building sections. The code for the residual connection is also incorrect and does not run.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57" t="n">
        <v>0</v>
      </c>
      <c r="AD557" t="inlineStr">
        <is>
          <t>The student's submission does not run end-to-end due to multiple issues. The dataset class is incomplete and does not follow the required structure. The model definition uses 'efficientnet-b0' instead of 'efficientnet-b1'. The training and validation loops are present but do not run correctly due to missing or incorrect code in other parts. The visualization of predictions is attempted but fails to run due to the overall issues in the code. Therefore, no points are awarded for any task as the code does not run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57" t="n">
        <v>0</v>
      </c>
      <c r="AF557" t="n">
        <v>0</v>
      </c>
      <c r="AG557" t="inlineStr">
        <is>
          <t>The student's implementation of the `ColorizationDataset` class contains several errors. The `rgb_to_grayscale` method has a logic error in accessing the color channels, leading to an index error. Additionally, the method prints statements that are not part of the required functionality. These issues prevent the code from running correctly, resulting in a score of 0.0 for the task.
Breakdown:
- Correctly implemented `ColorizationDataset` class: 0.0/5.0</t>
        </is>
      </c>
      <c r="AH557" t="n">
        <v>0</v>
      </c>
      <c r="AI557" t="n">
        <v>0</v>
      </c>
    </row>
    <row r="558">
      <c r="A558" t="n">
        <v>557</v>
      </c>
      <c r="B558" t="inlineStr">
        <is>
          <t>TA_10</t>
        </is>
      </c>
      <c r="C558" t="inlineStr">
        <is>
          <t>TA_20</t>
        </is>
      </c>
      <c r="D558" t="n">
        <v>9.75</v>
      </c>
      <c r="E558" t="n">
        <v>0</v>
      </c>
      <c r="F558" t="n">
        <v>8.5</v>
      </c>
      <c r="G558" t="n">
        <v>0</v>
      </c>
      <c r="H558" t="n">
        <v>5</v>
      </c>
      <c r="I558" t="n">
        <v>0</v>
      </c>
      <c r="J558" t="n">
        <v>11</v>
      </c>
      <c r="K558" t="n">
        <v>0</v>
      </c>
      <c r="L558" t="n">
        <v>9</v>
      </c>
      <c r="M558" t="n">
        <v>0</v>
      </c>
      <c r="N558" t="n">
        <v>10.75</v>
      </c>
      <c r="O558" t="n">
        <v>0</v>
      </c>
      <c r="P558">
        <f>Table1[[#This Row],[TA 1 - Q1 Score]]+Table1[[#This Row],[TA 1 - Q2 Score]]+Table1[[#This Row],[TA 1 - Q3 Score]]</f>
        <v/>
      </c>
      <c r="Q558">
        <f>Table1[[#This Row],[TA 1 - Q1 Bonus]]+Table1[[#This Row],[TA 1 - Q2 Bonus]]+Table1[[#This Row],[TA 1 - Q4 Bonus]]</f>
        <v/>
      </c>
      <c r="R558">
        <f>Table1[[#This Row],[TA 2 - Q1 Score]]+Table1[[#This Row],[TA 2 - Q2 Score]]+Table1[[#This Row],[TA 2 - Q3 Score]]</f>
        <v/>
      </c>
      <c r="S558">
        <f>Table1[[#This Row],[TA 2 - Q1 Bonus]]+Table1[[#This Row],[TA 2 - Q2 Bonus]]+Table1[[#This Row],[TA 2 - Q4 Bonus]]</f>
        <v/>
      </c>
      <c r="T558">
        <f>(Table1[[#This Row],[TA 1 - Total Score (out of 35)]]+Table1[[#This Row],[TA 2 - Total Score (out of 35)]])/2</f>
        <v/>
      </c>
      <c r="U558">
        <f>(Table1[[#This Row],[TA 1 - Total Bonus (out of 13)]]+Table1[[#This Row],[TA 2 - Total Bonus (out of 13)]])/2</f>
        <v/>
      </c>
      <c r="V558">
        <f>Table1[[#This Row],[Average Questions]]/35*20+Table1[[#This Row],[Average Bonus]]/13*5</f>
        <v/>
      </c>
      <c r="W558" t="n">
        <v>0</v>
      </c>
      <c r="X558" t="n">
        <v>0</v>
      </c>
      <c r="Y558" t="inlineStr">
        <is>
          <t>The student's submission contains multiple critical errors that prevent the code from running correctly. The transforms are incorrectly defined, the DataLoaders are not created properly, and the model setup is flawed. Additionally, the training and validation loops contain logical errors, and the plots for training and validation metrics are missing. The bonus task for Test Time Augmentation is also not implemented correctly.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58" t="n">
        <v>0</v>
      </c>
      <c r="AA558" t="n">
        <v>0</v>
      </c>
      <c r="AB558" t="inlineStr">
        <is>
          <t>The student's submission does not run correctly due to several issues. The dataset loading and transformation steps are incomplete and incorrect. The CNN model definition is missing batch normalization, and the training and validation functions are not correctly implemented. Additionally, the student did not attempt the bonus task.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58" t="n">
        <v>0</v>
      </c>
      <c r="AD558" t="inlineStr">
        <is>
          <t>The student's submission has several critical issues. The dataset class is incorrectly implemented, using a binary mask remapping function that is not suitable for multi-class segmentation. The model definition is incorrect, using 'efficientnet-b1' instead of 'efficientnet-b0' and setting the number of classes to 1 instead of 8. The training and validation loops are incomplete and use the wrong loss function (BCEWithLogitsLoss instead of CrossEntropyLoss). The visualization of predictions is also incorrect, using a sigmoid function and thresholding, which is not appropriate for multi-class segmentation. The code does not run correctly due to these fundamental errors, resulting in a score of 0.0 for the base tasks.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558" t="n">
        <v>0</v>
      </c>
      <c r="AF558" t="n">
        <v>0</v>
      </c>
      <c r="AG558" t="inlineStr">
        <is>
          <t>No submission found.</t>
        </is>
      </c>
      <c r="AH558" t="n">
        <v>0</v>
      </c>
      <c r="AI558" t="n">
        <v>0</v>
      </c>
    </row>
    <row r="559">
      <c r="A559" t="n">
        <v>558</v>
      </c>
      <c r="B559" t="inlineStr">
        <is>
          <t>TA_10</t>
        </is>
      </c>
      <c r="C559" t="inlineStr">
        <is>
          <t>TA_20</t>
        </is>
      </c>
      <c r="D559" t="n">
        <v>2.5</v>
      </c>
      <c r="E559" t="n">
        <v>0</v>
      </c>
      <c r="F559" t="n">
        <v>0</v>
      </c>
      <c r="G559" t="n">
        <v>0</v>
      </c>
      <c r="H559" t="n">
        <v>0</v>
      </c>
      <c r="I559" t="n">
        <v>0</v>
      </c>
      <c r="J559" t="n">
        <v>5.5</v>
      </c>
      <c r="K559" t="n">
        <v>0</v>
      </c>
      <c r="L559" t="n">
        <v>2.5</v>
      </c>
      <c r="M559" t="n">
        <v>0</v>
      </c>
      <c r="N559" t="n">
        <v>10.75</v>
      </c>
      <c r="O559" t="n">
        <v>0</v>
      </c>
      <c r="P559">
        <f>Table1[[#This Row],[TA 1 - Q1 Score]]+Table1[[#This Row],[TA 1 - Q2 Score]]+Table1[[#This Row],[TA 1 - Q3 Score]]</f>
        <v/>
      </c>
      <c r="Q559">
        <f>Table1[[#This Row],[TA 1 - Q1 Bonus]]+Table1[[#This Row],[TA 1 - Q2 Bonus]]+Table1[[#This Row],[TA 1 - Q4 Bonus]]</f>
        <v/>
      </c>
      <c r="R559">
        <f>Table1[[#This Row],[TA 2 - Q1 Score]]+Table1[[#This Row],[TA 2 - Q2 Score]]+Table1[[#This Row],[TA 2 - Q3 Score]]</f>
        <v/>
      </c>
      <c r="S559">
        <f>Table1[[#This Row],[TA 2 - Q1 Bonus]]+Table1[[#This Row],[TA 2 - Q2 Bonus]]+Table1[[#This Row],[TA 2 - Q4 Bonus]]</f>
        <v/>
      </c>
      <c r="T559">
        <f>(Table1[[#This Row],[TA 1 - Total Score (out of 35)]]+Table1[[#This Row],[TA 2 - Total Score (out of 35)]])/2</f>
        <v/>
      </c>
      <c r="U559">
        <f>(Table1[[#This Row],[TA 1 - Total Bonus (out of 13)]]+Table1[[#This Row],[TA 2 - Total Bonus (out of 13)]])/2</f>
        <v/>
      </c>
      <c r="V559">
        <f>Table1[[#This Row],[Average Questions]]/35*20+Table1[[#This Row],[Average Bonus]]/13*5</f>
        <v/>
      </c>
      <c r="W559" t="n">
        <v>0</v>
      </c>
      <c r="X559" t="n">
        <v>0</v>
      </c>
      <c r="Y559" t="inlineStr">
        <is>
          <t>The student's submission does not complete any of the required tasks. The transforms are incorrectly specified, the DataLoaders are not created, and sample images are not displayed. The pretrained model is not loaded correctly, the backbone is not frozen, and the classifier head is not replaced. The training and validation loops are not defined correctly, and the labels are not fixed. The training setup is incomplete, and the plots for training and validation losses and accuracies are missing. The bonus task for Test Time Augmentation is also not attempted.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59" t="n">
        <v>0</v>
      </c>
      <c r="AA559" t="n">
        <v>0</v>
      </c>
      <c r="AB559" t="inlineStr">
        <is>
          <t>The student's submission does not include any code for loading and preparing the data, building the CNN model, or training and validation functions. The code provided is incomplete and does not run correctly, resulting in a score of 0.0 for all tasks. The student did not attempt to define the dataset class or ImageFolder, create train/test datasets and DataLoaders, apply the required transforms, or display sample images with labels. Additionally, the CNN model class is incomplete and does not meet the requirements of having 5 convolutional layers with batch normalization. The training and validation functions are also missing, and there is no code for setting up the device, model, loss, optimizer, or training the model. The bonus tasks are also not attempted.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59" t="n">
        <v>0</v>
      </c>
      <c r="AD559" t="inlineStr">
        <is>
          <t>The student's submission deviates significantly from the rubric. The dataset class is incorrectly implemented, using a CSV file for paths instead of directly loading images and masks from directories. The model class uses 'efficientnet-b0' instead of 'efficientnet-b1' as specified, and the loss function is incorrectly defined for binary segmentation instead of multi-class segmentation. The training and validation loops are present but do not run correctly due to the incorrect model and loss function definitions. Additionally, the visualization of predictions is attempted but fails due to the incorrect model output format. The submission does not run end-to-end correctly, and the approach taken is fundamentally flawed, leading to a score of 0.0 for all tasks except the model class, which is penalized with -50% for using the wrong encoder.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559" t="n">
        <v>0</v>
      </c>
      <c r="AF559" t="n">
        <v>0</v>
      </c>
      <c r="AG559" t="inlineStr">
        <is>
          <t>The student did not implement any of the required methods in the `ColorizationDataset` class. The `__init__`, `__len__`, `rgb_to_grayscale`, and `__getitem__` methods are all left as 'TO DO' placeholders, indicating that no code was written for these tasks. Additionally, the visualization code will not run correctly because the dataset methods are not implemented. Therefore, the student receives 0 points for this task.
Breakdown:
- Correctly implemented `ColorizationDataset` class: 0.0/5.0</t>
        </is>
      </c>
      <c r="AH559" t="n">
        <v>0</v>
      </c>
      <c r="AI559" t="n">
        <v>0</v>
      </c>
    </row>
    <row r="560">
      <c r="A560" t="n">
        <v>559</v>
      </c>
      <c r="B560" t="inlineStr">
        <is>
          <t>TA_10</t>
        </is>
      </c>
      <c r="C560" t="inlineStr">
        <is>
          <t>TA_20</t>
        </is>
      </c>
      <c r="D560" t="n">
        <v>12</v>
      </c>
      <c r="E560" t="n">
        <v>4</v>
      </c>
      <c r="F560" t="n">
        <v>10.5</v>
      </c>
      <c r="G560" t="n">
        <v>4</v>
      </c>
      <c r="H560" t="n">
        <v>11.5</v>
      </c>
      <c r="I560" t="n">
        <v>5</v>
      </c>
      <c r="J560" t="n">
        <v>12</v>
      </c>
      <c r="K560" t="n">
        <v>3</v>
      </c>
      <c r="L560" t="n">
        <v>11</v>
      </c>
      <c r="M560" t="n">
        <v>4</v>
      </c>
      <c r="N560" t="n">
        <v>12</v>
      </c>
      <c r="O560" t="n">
        <v>5</v>
      </c>
      <c r="P560">
        <f>Table1[[#This Row],[TA 1 - Q1 Score]]+Table1[[#This Row],[TA 1 - Q2 Score]]+Table1[[#This Row],[TA 1 - Q3 Score]]</f>
        <v/>
      </c>
      <c r="Q560">
        <f>Table1[[#This Row],[TA 1 - Q1 Bonus]]+Table1[[#This Row],[TA 1 - Q2 Bonus]]+Table1[[#This Row],[TA 1 - Q4 Bonus]]</f>
        <v/>
      </c>
      <c r="R560">
        <f>Table1[[#This Row],[TA 2 - Q1 Score]]+Table1[[#This Row],[TA 2 - Q2 Score]]+Table1[[#This Row],[TA 2 - Q3 Score]]</f>
        <v/>
      </c>
      <c r="S560">
        <f>Table1[[#This Row],[TA 2 - Q1 Bonus]]+Table1[[#This Row],[TA 2 - Q2 Bonus]]+Table1[[#This Row],[TA 2 - Q4 Bonus]]</f>
        <v/>
      </c>
      <c r="T560">
        <f>(Table1[[#This Row],[TA 1 - Total Score (out of 35)]]+Table1[[#This Row],[TA 2 - Total Score (out of 35)]])/2</f>
        <v/>
      </c>
      <c r="U560">
        <f>(Table1[[#This Row],[TA 1 - Total Bonus (out of 13)]]+Table1[[#This Row],[TA 2 - Total Bonus (out of 13)]])/2</f>
        <v/>
      </c>
      <c r="V560">
        <f>Table1[[#This Row],[Average Questions]]/35*20+Table1[[#This Row],[Average Bonus]]/13*5</f>
        <v/>
      </c>
      <c r="W560" t="n">
        <v>0</v>
      </c>
      <c r="X560" t="n">
        <v>0</v>
      </c>
      <c r="Y560" t="inlineStr">
        <is>
          <t>The student's submission does not run correctly due to several issues. The transforms are incomplete, the DataLoaders are not correctly created, and the model is not properly adapted for the task. Additionally, the training and validation loops contain errors, and the plots for training and validation losses and accuracies are missing. The bonus task for Test Time Augmentation is also incomplete and does not run correctly. Therefore, no points are awarded for any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60" t="n">
        <v>0</v>
      </c>
      <c r="AA560" t="n">
        <v>0</v>
      </c>
      <c r="AB560" t="inlineStr">
        <is>
          <t>The student's submission does not run correctly due to multiple issues. The dataset transformations do not match the required specifications, the model architecture is incorrect, and the training and validation functions are flawed. Additionally, the bonus task for residual connections is not correctly implemented.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60" t="n">
        <v>0</v>
      </c>
      <c r="AD560" t="inlineStr">
        <is>
          <t>The student's submission does not run correctly due to missing code in critical sections, such as the model definition and training loop. The code provided does not follow the rubric's instructions, leading to a complete failure in executing the tasks.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60" t="n">
        <v>0</v>
      </c>
      <c r="AF560" t="n">
        <v>0</v>
      </c>
      <c r="AG560" t="inlineStr">
        <is>
          <t>The student's implementation of the `ColorizationDataset` class contains several critical errors. The `rgb_to_grayscale` method incorrectly processes the image tensor, leading to shape mismatches and incorrect grayscale conversion. Additionally, the `__getitem__` method does not correctly handle the dataset indexing and returns incorrect shapes for the grayscale and color images. These issues prevent the code from running correctly, resulting in a score of 0.0 for the task.
Breakdown:
- Correctly implemented `ColorizationDataset` class: 0.0/5.0</t>
        </is>
      </c>
      <c r="AH560" t="n">
        <v>0</v>
      </c>
      <c r="AI560" t="n">
        <v>0</v>
      </c>
    </row>
    <row r="561">
      <c r="A561" t="n">
        <v>560</v>
      </c>
      <c r="B561" t="inlineStr">
        <is>
          <t>TA_10</t>
        </is>
      </c>
      <c r="C561" t="inlineStr">
        <is>
          <t>TA_20</t>
        </is>
      </c>
      <c r="D561" t="n">
        <v>6.5</v>
      </c>
      <c r="E561" t="n">
        <v>0</v>
      </c>
      <c r="F561" t="n">
        <v>8</v>
      </c>
      <c r="G561" t="n">
        <v>0</v>
      </c>
      <c r="H561" t="n">
        <v>12</v>
      </c>
      <c r="I561" t="n">
        <v>0</v>
      </c>
      <c r="J561" t="n">
        <v>8</v>
      </c>
      <c r="K561" t="n">
        <v>0</v>
      </c>
      <c r="L561" t="n">
        <v>8.5</v>
      </c>
      <c r="M561" t="n">
        <v>0</v>
      </c>
      <c r="N561" t="n">
        <v>12</v>
      </c>
      <c r="O561" t="n">
        <v>0</v>
      </c>
      <c r="P561">
        <f>Table1[[#This Row],[TA 1 - Q1 Score]]+Table1[[#This Row],[TA 1 - Q2 Score]]+Table1[[#This Row],[TA 1 - Q3 Score]]</f>
        <v/>
      </c>
      <c r="Q561">
        <f>Table1[[#This Row],[TA 1 - Q1 Bonus]]+Table1[[#This Row],[TA 1 - Q2 Bonus]]+Table1[[#This Row],[TA 1 - Q4 Bonus]]</f>
        <v/>
      </c>
      <c r="R561">
        <f>Table1[[#This Row],[TA 2 - Q1 Score]]+Table1[[#This Row],[TA 2 - Q2 Score]]+Table1[[#This Row],[TA 2 - Q3 Score]]</f>
        <v/>
      </c>
      <c r="S561">
        <f>Table1[[#This Row],[TA 2 - Q1 Bonus]]+Table1[[#This Row],[TA 2 - Q2 Bonus]]+Table1[[#This Row],[TA 2 - Q4 Bonus]]</f>
        <v/>
      </c>
      <c r="T561">
        <f>(Table1[[#This Row],[TA 1 - Total Score (out of 35)]]+Table1[[#This Row],[TA 2 - Total Score (out of 35)]])/2</f>
        <v/>
      </c>
      <c r="U561">
        <f>(Table1[[#This Row],[TA 1 - Total Bonus (out of 13)]]+Table1[[#This Row],[TA 2 - Total Bonus (out of 13)]])/2</f>
        <v/>
      </c>
      <c r="V561">
        <f>Table1[[#This Row],[Average Questions]]/35*20+Table1[[#This Row],[Average Bonus]]/13*5</f>
        <v/>
      </c>
      <c r="W561" t="n">
        <v>0</v>
      </c>
      <c r="X561" t="n">
        <v>0</v>
      </c>
      <c r="Y561" t="inlineStr">
        <is>
          <t>The student's submission does not run correctly due to several issues. The transforms are incomplete, the DataLoaders are not created correctly, and the model training and validation loops contain significant errors. The bonus task for Test Time Augmentation is also incomplete and does not run correctly.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61" t="n">
        <v>0</v>
      </c>
      <c r="AA561" t="n">
        <v>0</v>
      </c>
      <c r="AB561" t="inlineStr">
        <is>
          <t>The student's submission does not run correctly due to several issues. The CNN model definition is incorrect, with mismatched dimensions and incorrect layer configurations. The training and validation loops are flawed, and the plotting code is missing.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61" t="n">
        <v>0</v>
      </c>
      <c r="AD561" t="inlineStr">
        <is>
          <t>The student's submission does not run end-to-end due to missing code in critical sections, such as the model definition and training loop. The code provided does not follow the rubric's instructions, particularly in Task 2 and Task 4, where the model definition and training loop are incomplete. The student did not define the model correctly and did not implement the training and validation loops as required. Therefore, the submission is awarded 0 points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61" t="n">
        <v>0</v>
      </c>
      <c r="AF561" t="n">
        <v>0</v>
      </c>
      <c r="AG561" t="inlineStr">
        <is>
          <t>The student's submission contains incomplete and non-functional code for the `ColorizationDataset` class. The `__init__`, `__len__`, `rgb_to_grayscale`, and `__getitem__` methods are all left unimplemented with 'pass' statements or incomplete logic. Additionally, the visualization code attempts to run but will fail due to the missing implementations. Since the code does not run correctly and does not produce the correct output, the minimum defensible score is 0.0.
Breakdown:
- Correctly implemented `ColorizationDataset` class: 0.0/5.0</t>
        </is>
      </c>
      <c r="AH561" t="n">
        <v>0</v>
      </c>
      <c r="AI561" t="n">
        <v>0</v>
      </c>
    </row>
    <row r="562">
      <c r="A562" t="n">
        <v>561</v>
      </c>
      <c r="B562" t="inlineStr">
        <is>
          <t>TA_10</t>
        </is>
      </c>
      <c r="C562" t="inlineStr">
        <is>
          <t>TA_20</t>
        </is>
      </c>
      <c r="D562" t="n">
        <v>11</v>
      </c>
      <c r="E562" t="n">
        <v>0</v>
      </c>
      <c r="F562" t="n">
        <v>9.25</v>
      </c>
      <c r="G562" t="n">
        <v>0</v>
      </c>
      <c r="H562" t="n">
        <v>10</v>
      </c>
      <c r="I562" t="n">
        <v>0</v>
      </c>
      <c r="J562" t="n">
        <v>11</v>
      </c>
      <c r="K562" t="n">
        <v>0</v>
      </c>
      <c r="L562" t="n">
        <v>10.5</v>
      </c>
      <c r="M562" t="n">
        <v>0</v>
      </c>
      <c r="N562" t="n">
        <v>11.25</v>
      </c>
      <c r="O562" t="n">
        <v>0</v>
      </c>
      <c r="P562">
        <f>Table1[[#This Row],[TA 1 - Q1 Score]]+Table1[[#This Row],[TA 1 - Q2 Score]]+Table1[[#This Row],[TA 1 - Q3 Score]]</f>
        <v/>
      </c>
      <c r="Q562">
        <f>Table1[[#This Row],[TA 1 - Q1 Bonus]]+Table1[[#This Row],[TA 1 - Q2 Bonus]]+Table1[[#This Row],[TA 1 - Q4 Bonus]]</f>
        <v/>
      </c>
      <c r="R562">
        <f>Table1[[#This Row],[TA 2 - Q1 Score]]+Table1[[#This Row],[TA 2 - Q2 Score]]+Table1[[#This Row],[TA 2 - Q3 Score]]</f>
        <v/>
      </c>
      <c r="S562">
        <f>Table1[[#This Row],[TA 2 - Q1 Bonus]]+Table1[[#This Row],[TA 2 - Q2 Bonus]]+Table1[[#This Row],[TA 2 - Q4 Bonus]]</f>
        <v/>
      </c>
      <c r="T562">
        <f>(Table1[[#This Row],[TA 1 - Total Score (out of 35)]]+Table1[[#This Row],[TA 2 - Total Score (out of 35)]])/2</f>
        <v/>
      </c>
      <c r="U562">
        <f>(Table1[[#This Row],[TA 1 - Total Bonus (out of 13)]]+Table1[[#This Row],[TA 2 - Total Bonus (out of 13)]])/2</f>
        <v/>
      </c>
      <c r="V562">
        <f>Table1[[#This Row],[Average Questions]]/35*20+Table1[[#This Row],[Average Bonus]]/13*5</f>
        <v/>
      </c>
      <c r="W562" t="n">
        <v>0</v>
      </c>
      <c r="X562" t="n">
        <v>0</v>
      </c>
      <c r="Y562" t="inlineStr">
        <is>
          <t>The student's submission does not run correctly due to multiple issues. The code for freezing the backbone is incorrect, and the training and validation loops have logical errors. Additionally, the student did not implement the bonus task for Test Time Augmentation.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62" t="n">
        <v>0</v>
      </c>
      <c r="AA562" t="n">
        <v>0</v>
      </c>
      <c r="AB562" t="inlineStr">
        <is>
          <t>The student's submission does not run end-to-end due to missing DataLoader definitions and incorrect model architecture. The student did not define the DataLoader for the training and testing datasets, which is crucial for the model training process. Additionally, the model architecture does not match the required specifications, particularly the number of convolutional layers and the inclusion of Batch Normalization. The training and validation functions are defined but cannot be executed due to the missing DataLoader. The plotting code is present but cannot be executed without the training process. The bonus task is not attempted.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62" t="n">
        <v>0</v>
      </c>
      <c r="AD562" t="inlineStr">
        <is>
          <t>The student's submission does not run correctly due to several issues. The dataset class is incomplete and does not correctly map images to masks. The model definition uses the wrong number of classes and the incorrect loss function for multi-class segmentation. The training and validation loops are incorrectly implemented, and the loss curve plotting is missing. Additionally, the visualization of predictions is flawed due to incorrect model output handling. Therefore, no points are awarded for any task as the code does not run end-to-end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62" t="n">
        <v>0</v>
      </c>
      <c r="AF562" t="n">
        <v>0</v>
      </c>
      <c r="AG562" t="inlineStr">
        <is>
          <t>No submission found.</t>
        </is>
      </c>
      <c r="AH562" t="n">
        <v>0</v>
      </c>
      <c r="AI562" t="n">
        <v>0</v>
      </c>
    </row>
    <row r="563">
      <c r="A563" t="n">
        <v>562</v>
      </c>
      <c r="B563" t="inlineStr">
        <is>
          <t>TA_10</t>
        </is>
      </c>
      <c r="C563" t="inlineStr">
        <is>
          <t>TA_20</t>
        </is>
      </c>
      <c r="D563" t="n">
        <v>12</v>
      </c>
      <c r="E563" t="n">
        <v>0</v>
      </c>
      <c r="F563" t="n">
        <v>9</v>
      </c>
      <c r="G563" t="n">
        <v>0</v>
      </c>
      <c r="H563" t="n">
        <v>12</v>
      </c>
      <c r="I563" t="n">
        <v>0</v>
      </c>
      <c r="J563" t="n">
        <v>11</v>
      </c>
      <c r="K563" t="n">
        <v>0</v>
      </c>
      <c r="L563" t="n">
        <v>9</v>
      </c>
      <c r="M563" t="n">
        <v>0</v>
      </c>
      <c r="N563" t="n">
        <v>12</v>
      </c>
      <c r="O563" t="n">
        <v>0</v>
      </c>
      <c r="P563">
        <f>Table1[[#This Row],[TA 1 - Q1 Score]]+Table1[[#This Row],[TA 1 - Q2 Score]]+Table1[[#This Row],[TA 1 - Q3 Score]]</f>
        <v/>
      </c>
      <c r="Q563">
        <f>Table1[[#This Row],[TA 1 - Q1 Bonus]]+Table1[[#This Row],[TA 1 - Q2 Bonus]]+Table1[[#This Row],[TA 1 - Q4 Bonus]]</f>
        <v/>
      </c>
      <c r="R563">
        <f>Table1[[#This Row],[TA 2 - Q1 Score]]+Table1[[#This Row],[TA 2 - Q2 Score]]+Table1[[#This Row],[TA 2 - Q3 Score]]</f>
        <v/>
      </c>
      <c r="S563">
        <f>Table1[[#This Row],[TA 2 - Q1 Bonus]]+Table1[[#This Row],[TA 2 - Q2 Bonus]]+Table1[[#This Row],[TA 2 - Q4 Bonus]]</f>
        <v/>
      </c>
      <c r="T563">
        <f>(Table1[[#This Row],[TA 1 - Total Score (out of 35)]]+Table1[[#This Row],[TA 2 - Total Score (out of 35)]])/2</f>
        <v/>
      </c>
      <c r="U563">
        <f>(Table1[[#This Row],[TA 1 - Total Bonus (out of 13)]]+Table1[[#This Row],[TA 2 - Total Bonus (out of 13)]])/2</f>
        <v/>
      </c>
      <c r="V563">
        <f>Table1[[#This Row],[Average Questions]]/35*20+Table1[[#This Row],[Average Bonus]]/13*5</f>
        <v/>
      </c>
      <c r="W563" t="n">
        <v>0</v>
      </c>
      <c r="X563" t="n">
        <v>0</v>
      </c>
      <c r="Y563" t="inlineStr">
        <is>
          <t>The student's submission does not run correctly due to several issues. The transforms are incorrectly set to resize images to 64x64 instead of 28x28. The DataLoaders are created with shuffle=True for the test set, which is incorrect. The model is incorrectly loaded as EfficientNet-B0 instead of EfficientNetV2-Small. The training and validation loops have logical errors, such as squeezing the model outputs incorrectly and not handling the labels correctly. Additionally, the student did not implement the bonus task for Test Time Augmentation. These issues prevent the code from running correctly, resulting in a score of 0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63" t="n">
        <v>0</v>
      </c>
      <c r="AA563" t="n">
        <v>0</v>
      </c>
      <c r="AB563" t="inlineStr">
        <is>
          <t>The student's submission does not follow the rubric correctly. The student used a different dataset and did not follow the specified transformations. The CNN model does not have the required 5 convolutional layers with Batch Normalization. The training and validation functions are incorrect, and the training process does not follow the specified steps. Additionally, the bonus task is not attempted correctly.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63" t="n">
        <v>0</v>
      </c>
      <c r="AD563" t="inlineStr">
        <is>
          <t>The student's submission does not run correctly due to missing code in critical sections, such as the training and validation loops, and the model definition. The code provided does not follow the rubric's instructions, particularly in the model definition where the encoder name is incorrect. Additionally, the student did not complete the training and validation loops, which are essential for the task. Therefore, the minimum defensible score for each task is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63" t="n">
        <v>0</v>
      </c>
      <c r="AF563" t="n">
        <v>0</v>
      </c>
      <c r="AG563" t="inlineStr">
        <is>
          <t>No submission found.</t>
        </is>
      </c>
      <c r="AH563" t="n">
        <v>0</v>
      </c>
      <c r="AI563" t="n">
        <v>0</v>
      </c>
    </row>
    <row r="564">
      <c r="A564" t="n">
        <v>563</v>
      </c>
      <c r="B564" t="inlineStr">
        <is>
          <t>TA_10</t>
        </is>
      </c>
      <c r="C564" t="inlineStr">
        <is>
          <t>TA_20</t>
        </is>
      </c>
      <c r="D564" t="n">
        <v>12</v>
      </c>
      <c r="E564" t="n">
        <v>0</v>
      </c>
      <c r="F564" t="n">
        <v>10.5</v>
      </c>
      <c r="G564" t="n">
        <v>0</v>
      </c>
      <c r="H564" t="n">
        <v>1.5</v>
      </c>
      <c r="I564" t="n">
        <v>0</v>
      </c>
      <c r="J564" t="n">
        <v>12</v>
      </c>
      <c r="K564" t="n">
        <v>0</v>
      </c>
      <c r="L564" t="n">
        <v>10</v>
      </c>
      <c r="M564" t="n">
        <v>0</v>
      </c>
      <c r="N564" t="n">
        <v>2</v>
      </c>
      <c r="O564" t="n">
        <v>0</v>
      </c>
      <c r="P564">
        <f>Table1[[#This Row],[TA 1 - Q1 Score]]+Table1[[#This Row],[TA 1 - Q2 Score]]+Table1[[#This Row],[TA 1 - Q3 Score]]</f>
        <v/>
      </c>
      <c r="Q564">
        <f>Table1[[#This Row],[TA 1 - Q1 Bonus]]+Table1[[#This Row],[TA 1 - Q2 Bonus]]+Table1[[#This Row],[TA 1 - Q4 Bonus]]</f>
        <v/>
      </c>
      <c r="R564">
        <f>Table1[[#This Row],[TA 2 - Q1 Score]]+Table1[[#This Row],[TA 2 - Q2 Score]]+Table1[[#This Row],[TA 2 - Q3 Score]]</f>
        <v/>
      </c>
      <c r="S564">
        <f>Table1[[#This Row],[TA 2 - Q1 Bonus]]+Table1[[#This Row],[TA 2 - Q2 Bonus]]+Table1[[#This Row],[TA 2 - Q4 Bonus]]</f>
        <v/>
      </c>
      <c r="T564">
        <f>(Table1[[#This Row],[TA 1 - Total Score (out of 35)]]+Table1[[#This Row],[TA 2 - Total Score (out of 35)]])/2</f>
        <v/>
      </c>
      <c r="U564">
        <f>(Table1[[#This Row],[TA 1 - Total Bonus (out of 13)]]+Table1[[#This Row],[TA 2 - Total Bonus (out of 13)]])/2</f>
        <v/>
      </c>
      <c r="V564">
        <f>Table1[[#This Row],[Average Questions]]/35*20+Table1[[#This Row],[Average Bonus]]/13*5</f>
        <v/>
      </c>
      <c r="W564" t="n">
        <v>0</v>
      </c>
      <c r="X564" t="n">
        <v>0</v>
      </c>
      <c r="Y564" t="inlineStr">
        <is>
          <t>The student's submission does not run end-to-end due to missing or incorrect code in several critical parts. Specifically, the code for displaying sample images is incorrect and does not follow the rubric. Additionally, the training and validation loops are not correctly implemented, and the plotting functions are missing. The bonus task for Test Time Augmentation is also not attempted.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64" t="n">
        <v>0</v>
      </c>
      <c r="AA564" t="n">
        <v>0</v>
      </c>
      <c r="AB564" t="inlineStr">
        <is>
          <t>The student's submission does not run correctly due to multiple issues. The dataset class is incorrectly defined and overwritten by ImageFolder, leading to incorrect data loading. The CNN model does not follow the specified architecture with 5 convolutional layers and correct batch normalization. The training and validation functions are incorrectly implemented, leading to errors in the training process.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64" t="n">
        <v>0</v>
      </c>
      <c r="AD564" t="inlineStr">
        <is>
          <t>The student's submission is incomplete and does not run end-to-end. The dataset class is partially defined but not fully implemented, and there is no code for creating DataLoaders or displaying sample images and masks. The model class, training and validation loops, and visualization tasks are also missing.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64" t="n">
        <v>0</v>
      </c>
      <c r="AF564" t="n">
        <v>0</v>
      </c>
      <c r="AG564" t="inlineStr">
        <is>
          <t>No submission found.</t>
        </is>
      </c>
      <c r="AH564" t="n">
        <v>0</v>
      </c>
      <c r="AI564" t="n">
        <v>0</v>
      </c>
    </row>
    <row r="565">
      <c r="A565" t="n">
        <v>564</v>
      </c>
      <c r="B565" t="inlineStr">
        <is>
          <t>TA_10</t>
        </is>
      </c>
      <c r="C565" t="inlineStr">
        <is>
          <t>TA_20</t>
        </is>
      </c>
      <c r="D565" t="n">
        <v>0</v>
      </c>
      <c r="E565" t="n">
        <v>0</v>
      </c>
      <c r="F565" t="n">
        <v>0</v>
      </c>
      <c r="G565" t="n">
        <v>0</v>
      </c>
      <c r="H565" t="n">
        <v>0</v>
      </c>
      <c r="I565" t="n">
        <v>0</v>
      </c>
      <c r="J565" t="n">
        <v>0</v>
      </c>
      <c r="K565" t="n">
        <v>0</v>
      </c>
      <c r="L565" t="n">
        <v>0</v>
      </c>
      <c r="M565" t="n">
        <v>0</v>
      </c>
      <c r="N565" t="n">
        <v>0</v>
      </c>
      <c r="O565" t="n">
        <v>0</v>
      </c>
      <c r="P565">
        <f>Table1[[#This Row],[TA 1 - Q1 Score]]+Table1[[#This Row],[TA 1 - Q2 Score]]+Table1[[#This Row],[TA 1 - Q3 Score]]</f>
        <v/>
      </c>
      <c r="Q565">
        <f>Table1[[#This Row],[TA 1 - Q1 Bonus]]+Table1[[#This Row],[TA 1 - Q2 Bonus]]+Table1[[#This Row],[TA 1 - Q4 Bonus]]</f>
        <v/>
      </c>
      <c r="R565">
        <f>Table1[[#This Row],[TA 2 - Q1 Score]]+Table1[[#This Row],[TA 2 - Q2 Score]]+Table1[[#This Row],[TA 2 - Q3 Score]]</f>
        <v/>
      </c>
      <c r="S565">
        <f>Table1[[#This Row],[TA 2 - Q1 Bonus]]+Table1[[#This Row],[TA 2 - Q2 Bonus]]+Table1[[#This Row],[TA 2 - Q4 Bonus]]</f>
        <v/>
      </c>
      <c r="T565">
        <f>(Table1[[#This Row],[TA 1 - Total Score (out of 35)]]+Table1[[#This Row],[TA 2 - Total Score (out of 35)]])/2</f>
        <v/>
      </c>
      <c r="U565">
        <f>(Table1[[#This Row],[TA 1 - Total Bonus (out of 13)]]+Table1[[#This Row],[TA 2 - Total Bonus (out of 13)]])/2</f>
        <v/>
      </c>
      <c r="V565">
        <f>Table1[[#This Row],[Average Questions]]/35*20+Table1[[#This Row],[Average Bonus]]/13*5</f>
        <v/>
      </c>
      <c r="W565" t="n">
        <v>0</v>
      </c>
      <c r="X565" t="n">
        <v>0</v>
      </c>
      <c r="Y565" t="inlineStr">
        <is>
          <t>The student did not complete any of the tasks. There is no code written for any of the required tasks, resulting in a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65" t="n">
        <v>0</v>
      </c>
      <c r="AA565" t="n">
        <v>0</v>
      </c>
      <c r="AB565" t="inlineStr">
        <is>
          <t>The student did not provide any code for the tasks in Part 1, Part 2, Part 3, Part 4, or the bonus tasks. Therefore, no points can be awarded for any of the tasks as there is no evidence of any attempt to complete the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565" t="n">
        <v>0</v>
      </c>
      <c r="AD565" t="inlineStr">
        <is>
          <t>The student did not complete any of the tasks. The submission contains only the dataset download code and the remap_mask function, with placeholders for the rest of the tasks.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65" t="n">
        <v>0</v>
      </c>
      <c r="AF565" t="n">
        <v>0</v>
      </c>
      <c r="AG565" t="inlineStr">
        <is>
          <t>No submission found.</t>
        </is>
      </c>
      <c r="AH565" t="n">
        <v>0</v>
      </c>
      <c r="AI565" t="n">
        <v>0</v>
      </c>
    </row>
    <row r="566">
      <c r="A566" t="n">
        <v>565</v>
      </c>
      <c r="B566" t="inlineStr">
        <is>
          <t>TA_10</t>
        </is>
      </c>
      <c r="C566" t="inlineStr">
        <is>
          <t>TA_20</t>
        </is>
      </c>
      <c r="D566" t="n">
        <v>6</v>
      </c>
      <c r="E566" t="n">
        <v>0</v>
      </c>
      <c r="F566" t="n">
        <v>11</v>
      </c>
      <c r="G566" t="n">
        <v>0</v>
      </c>
      <c r="H566" t="n">
        <v>12</v>
      </c>
      <c r="I566" t="n">
        <v>0</v>
      </c>
      <c r="J566" t="n">
        <v>8.5</v>
      </c>
      <c r="K566" t="n">
        <v>0</v>
      </c>
      <c r="L566" t="n">
        <v>11</v>
      </c>
      <c r="M566" t="n">
        <v>0</v>
      </c>
      <c r="N566" t="n">
        <v>12</v>
      </c>
      <c r="O566" t="n">
        <v>0</v>
      </c>
      <c r="P566">
        <f>Table1[[#This Row],[TA 1 - Q1 Score]]+Table1[[#This Row],[TA 1 - Q2 Score]]+Table1[[#This Row],[TA 1 - Q3 Score]]</f>
        <v/>
      </c>
      <c r="Q566">
        <f>Table1[[#This Row],[TA 1 - Q1 Bonus]]+Table1[[#This Row],[TA 1 - Q2 Bonus]]+Table1[[#This Row],[TA 1 - Q4 Bonus]]</f>
        <v/>
      </c>
      <c r="R566">
        <f>Table1[[#This Row],[TA 2 - Q1 Score]]+Table1[[#This Row],[TA 2 - Q2 Score]]+Table1[[#This Row],[TA 2 - Q3 Score]]</f>
        <v/>
      </c>
      <c r="S566">
        <f>Table1[[#This Row],[TA 2 - Q1 Bonus]]+Table1[[#This Row],[TA 2 - Q2 Bonus]]+Table1[[#This Row],[TA 2 - Q4 Bonus]]</f>
        <v/>
      </c>
      <c r="T566">
        <f>(Table1[[#This Row],[TA 1 - Total Score (out of 35)]]+Table1[[#This Row],[TA 2 - Total Score (out of 35)]])/2</f>
        <v/>
      </c>
      <c r="U566">
        <f>(Table1[[#This Row],[TA 1 - Total Bonus (out of 13)]]+Table1[[#This Row],[TA 2 - Total Bonus (out of 13)]])/2</f>
        <v/>
      </c>
      <c r="V566">
        <f>Table1[[#This Row],[Average Questions]]/35*20+Table1[[#This Row],[Average Bonus]]/13*5</f>
        <v/>
      </c>
      <c r="W566" t="n">
        <v>0</v>
      </c>
      <c r="X566" t="n">
        <v>0</v>
      </c>
      <c r="Y566" t="inlineStr">
        <is>
          <t>The student's submission contains significant errors and deviations from the rubric. The DataLoaders are incorrectly created with a different batch size and number of workers. The model loading and freezing steps are incorrect, and the training and validation loops are fundamentally flawed. The student used BCEWithLogitsLoss instead of CrossEntropyLoss, which is inappropriate for a multi-class classification problem. Additionally, the student did not fix the labels to be 0-indexed, which is a critical requirement. The plotting tasks were not attempted. The bonus task was not addressed. Overall, the submission does not meet the requirements of the rubric and does not run correctly.
Breakdown:
- Task 1: Complete transforms (Resize, ToTensor, Normalize): 1.5/?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66" t="n">
        <v>0</v>
      </c>
      <c r="AA566" t="n">
        <v>0</v>
      </c>
      <c r="AB566" t="inlineStr">
        <is>
          <t>The student's submission does not run correctly due to missing or incomplete code in several critical areas. The dataset class or ImageFolder is not correctly implemented, and the transforms are incorrectly applied. The CNN model class is incomplete and does not follow the specified structure. The training and validation functions are missing, and the training process is not correctly set up. Additionally, the bonus tasks are not attempted.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66" t="n">
        <v>0</v>
      </c>
      <c r="AD566" t="inlineStr">
        <is>
          <t>The student's submission does not run correctly due to multiple issues. The dataset class is incorrectly defined and does not follow the required structure. The model definition uses 'efficientnet-b0' instead of 'efficientnet-b1'. The training and validation loops are present but do not run correctly due to errors in the code. The loss and optimizer are defined correctly, but the training process does not complete successfully. The visualization of predictions is attempted but fails due to the overall issues in the code. Therefore, no points are awarded for any task as the code does not run end-to-end.
Breakdown:
- Build custom dataset class for images and masks: 0.0/2.0
- Create DataLoaders: 0.0/0.5
- Display sample images and masks: 0.0/0.5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566" t="n">
        <v>0</v>
      </c>
      <c r="AF566" t="n">
        <v>0</v>
      </c>
      <c r="AG566" t="inlineStr">
        <is>
          <t>No submission found.</t>
        </is>
      </c>
      <c r="AH566" t="n">
        <v>0</v>
      </c>
      <c r="AI566" t="n">
        <v>0</v>
      </c>
    </row>
    <row r="567">
      <c r="A567" t="n">
        <v>566</v>
      </c>
      <c r="B567" t="inlineStr">
        <is>
          <t>TA_10</t>
        </is>
      </c>
      <c r="C567" t="inlineStr">
        <is>
          <t>TA_20</t>
        </is>
      </c>
      <c r="D567" t="n">
        <v>11</v>
      </c>
      <c r="E567" t="n">
        <v>0</v>
      </c>
      <c r="F567" t="n">
        <v>7.5</v>
      </c>
      <c r="G567" t="n">
        <v>1</v>
      </c>
      <c r="H567" t="n">
        <v>10.5</v>
      </c>
      <c r="I567" t="n">
        <v>0</v>
      </c>
      <c r="J567" t="n">
        <v>11</v>
      </c>
      <c r="K567" t="n">
        <v>0</v>
      </c>
      <c r="L567" t="n">
        <v>7.5</v>
      </c>
      <c r="M567" t="n">
        <v>0</v>
      </c>
      <c r="N567" t="n">
        <v>11</v>
      </c>
      <c r="O567" t="n">
        <v>0</v>
      </c>
      <c r="P567">
        <f>Table1[[#This Row],[TA 1 - Q1 Score]]+Table1[[#This Row],[TA 1 - Q2 Score]]+Table1[[#This Row],[TA 1 - Q3 Score]]</f>
        <v/>
      </c>
      <c r="Q567">
        <f>Table1[[#This Row],[TA 1 - Q1 Bonus]]+Table1[[#This Row],[TA 1 - Q2 Bonus]]+Table1[[#This Row],[TA 1 - Q4 Bonus]]</f>
        <v/>
      </c>
      <c r="R567">
        <f>Table1[[#This Row],[TA 2 - Q1 Score]]+Table1[[#This Row],[TA 2 - Q2 Score]]+Table1[[#This Row],[TA 2 - Q3 Score]]</f>
        <v/>
      </c>
      <c r="S567">
        <f>Table1[[#This Row],[TA 2 - Q1 Bonus]]+Table1[[#This Row],[TA 2 - Q2 Bonus]]+Table1[[#This Row],[TA 2 - Q4 Bonus]]</f>
        <v/>
      </c>
      <c r="T567">
        <f>(Table1[[#This Row],[TA 1 - Total Score (out of 35)]]+Table1[[#This Row],[TA 2 - Total Score (out of 35)]])/2</f>
        <v/>
      </c>
      <c r="U567">
        <f>(Table1[[#This Row],[TA 1 - Total Bonus (out of 13)]]+Table1[[#This Row],[TA 2 - Total Bonus (out of 13)]])/2</f>
        <v/>
      </c>
      <c r="V567">
        <f>Table1[[#This Row],[Average Questions]]/35*20+Table1[[#This Row],[Average Bonus]]/13*5</f>
        <v/>
      </c>
      <c r="W567" t="n">
        <v>0</v>
      </c>
      <c r="X567" t="n">
        <v>0</v>
      </c>
      <c r="Y567" t="inlineStr">
        <is>
          <t>The student's submission does not run end-to-end due to missing code for displaying sample images and the bonus task. The training and validation loops contain errors, such as incorrect label adjustment and the use of softmax, which is not necessary for CrossEntropyLoss. The student also did not fix the labels to be 0-indexed, which results in a penalty. Additionally, the student used SGD instead of Adam as the optimizer, which is not specified in the instructions. Therefore, the student receives 0 points for the base tasks and 0 points for the bonus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67" t="n">
        <v>0</v>
      </c>
      <c r="AA567" t="n">
        <v>0</v>
      </c>
      <c r="AB567" t="inlineStr">
        <is>
          <t>The student's submission does not run correctly due to several issues. The dataset paths are incorrect, the transformations do not match the rubric, and the model architecture deviates significantly from the required specifications. Additionally, the training and validation functions contain errors, and the residual connection implementation is incorrect.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67" t="n">
        <v>0</v>
      </c>
      <c r="AD567" t="inlineStr">
        <is>
          <t>The student's submission failed to run end-to-end due to multiple issues. The dataset class was incorrectly implemented, leading to errors in data loading. The model definition used 'efficientnet-b0' instead of 'efficientnet-b1', which is a deviation from the rubric. Additionally, the training and validation loops, as well as the visualization of predictions, were not correctly implemented. The code does not run correctly, and thus, no partial credit can be awarded for any task.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567" t="n">
        <v>0</v>
      </c>
      <c r="AF567" t="n">
        <v>0</v>
      </c>
      <c r="AG567" t="inlineStr">
        <is>
          <t>The student's implementation of the `ColorizationDataset` class contains several critical errors. The `rgb_to_grayscale` method incorrectly modifies the input tensor in place and does not return the correct grayscale image. Additionally, the `__getitem__` method does not return the color image as required. These issues prevent the code from running correctly and producing the expected output, resulting in a score of 0.0 for the task.
Breakdown:
- Correctly implemented `ColorizationDataset` class: 0.0/5.0</t>
        </is>
      </c>
      <c r="AH567" t="n">
        <v>0</v>
      </c>
      <c r="AI567" t="n">
        <v>0</v>
      </c>
    </row>
    <row r="568">
      <c r="A568" t="n">
        <v>567</v>
      </c>
      <c r="B568" t="inlineStr">
        <is>
          <t>TA_10</t>
        </is>
      </c>
      <c r="C568" t="inlineStr">
        <is>
          <t>TA_20</t>
        </is>
      </c>
      <c r="D568" t="n">
        <v>6.5</v>
      </c>
      <c r="E568" t="n">
        <v>0</v>
      </c>
      <c r="F568" t="n">
        <v>8.5</v>
      </c>
      <c r="G568" t="n">
        <v>0</v>
      </c>
      <c r="H568" t="n">
        <v>11.75</v>
      </c>
      <c r="I568" t="n">
        <v>0</v>
      </c>
      <c r="J568" t="n">
        <v>10</v>
      </c>
      <c r="K568" t="n">
        <v>0</v>
      </c>
      <c r="L568" t="n">
        <v>9</v>
      </c>
      <c r="M568" t="n">
        <v>0</v>
      </c>
      <c r="N568" t="n">
        <v>12</v>
      </c>
      <c r="O568" t="n">
        <v>0</v>
      </c>
      <c r="P568">
        <f>Table1[[#This Row],[TA 1 - Q1 Score]]+Table1[[#This Row],[TA 1 - Q2 Score]]+Table1[[#This Row],[TA 1 - Q3 Score]]</f>
        <v/>
      </c>
      <c r="Q568">
        <f>Table1[[#This Row],[TA 1 - Q1 Bonus]]+Table1[[#This Row],[TA 1 - Q2 Bonus]]+Table1[[#This Row],[TA 1 - Q4 Bonus]]</f>
        <v/>
      </c>
      <c r="R568">
        <f>Table1[[#This Row],[TA 2 - Q1 Score]]+Table1[[#This Row],[TA 2 - Q2 Score]]+Table1[[#This Row],[TA 2 - Q3 Score]]</f>
        <v/>
      </c>
      <c r="S568">
        <f>Table1[[#This Row],[TA 2 - Q1 Bonus]]+Table1[[#This Row],[TA 2 - Q2 Bonus]]+Table1[[#This Row],[TA 2 - Q4 Bonus]]</f>
        <v/>
      </c>
      <c r="T568">
        <f>(Table1[[#This Row],[TA 1 - Total Score (out of 35)]]+Table1[[#This Row],[TA 2 - Total Score (out of 35)]])/2</f>
        <v/>
      </c>
      <c r="U568">
        <f>(Table1[[#This Row],[TA 1 - Total Bonus (out of 13)]]+Table1[[#This Row],[TA 2 - Total Bonus (out of 13)]])/2</f>
        <v/>
      </c>
      <c r="V568">
        <f>Table1[[#This Row],[Average Questions]]/35*20+Table1[[#This Row],[Average Bonus]]/13*5</f>
        <v/>
      </c>
      <c r="W568" t="n">
        <v>0</v>
      </c>
      <c r="X568" t="n">
        <v>0</v>
      </c>
      <c r="Y568" t="inlineStr">
        <is>
          <t>The student's submission does not run correctly due to several issues. The training and validation loops are incorrect because the model outputs are squeezed, which is not necessary and causes errors. The labels are not adjusted for 0-indexing, leading to incorrect loss calculations. Additionally, the student did not implement the bonus task for Test Time Augmentation.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68" t="n">
        <v>0</v>
      </c>
      <c r="AA568" t="n">
        <v>0</v>
      </c>
      <c r="AB568" t="inlineStr">
        <is>
          <t>The student's submission does not run correctly due to several issues. The dataset class is implemented incorrectly, leading to errors in data loading. The CNN model does not follow the specified architecture with 5 convolutional layers and batch normalization. The training and validation functions are incorrectly implemented, and the training process does not set up the device, model, loss, and optimizer correctly. Additionally, the student did not attempt the bonus task.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68" t="n">
        <v>0</v>
      </c>
      <c r="AD568" t="inlineStr">
        <is>
          <t>The student's submission does not run correctly due to several issues. The dataset class and DataLoader creation are incomplete and incorrect, leading to errors in subsequent tasks. The model definition uses the wrong encoder, and the training and validation loops are not correctly implemented. As a result, the model training and visualization tasks cannot be completed, resulting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68" t="n">
        <v>0</v>
      </c>
      <c r="AF568" t="n">
        <v>0</v>
      </c>
      <c r="AG568" t="inlineStr">
        <is>
          <t>No submission found.</t>
        </is>
      </c>
      <c r="AH568" t="n">
        <v>0</v>
      </c>
      <c r="AI568" t="n">
        <v>0</v>
      </c>
    </row>
    <row r="569">
      <c r="A569" t="n">
        <v>568</v>
      </c>
      <c r="B569" t="inlineStr">
        <is>
          <t>TA_10</t>
        </is>
      </c>
      <c r="C569" t="inlineStr">
        <is>
          <t>TA_20</t>
        </is>
      </c>
      <c r="D569" t="n">
        <v>12</v>
      </c>
      <c r="E569" t="n">
        <v>4</v>
      </c>
      <c r="F569" t="n">
        <v>11</v>
      </c>
      <c r="G569" t="n">
        <v>4</v>
      </c>
      <c r="H569" t="n">
        <v>9.5</v>
      </c>
      <c r="I569" t="n">
        <v>0</v>
      </c>
      <c r="J569" t="n">
        <v>11</v>
      </c>
      <c r="K569" t="n">
        <v>4</v>
      </c>
      <c r="L569" t="n">
        <v>11</v>
      </c>
      <c r="M569" t="n">
        <v>4</v>
      </c>
      <c r="N569" t="n">
        <v>12</v>
      </c>
      <c r="O569" t="n">
        <v>5</v>
      </c>
      <c r="P569">
        <f>Table1[[#This Row],[TA 1 - Q1 Score]]+Table1[[#This Row],[TA 1 - Q2 Score]]+Table1[[#This Row],[TA 1 - Q3 Score]]</f>
        <v/>
      </c>
      <c r="Q569">
        <f>Table1[[#This Row],[TA 1 - Q1 Bonus]]+Table1[[#This Row],[TA 1 - Q2 Bonus]]+Table1[[#This Row],[TA 1 - Q4 Bonus]]</f>
        <v/>
      </c>
      <c r="R569">
        <f>Table1[[#This Row],[TA 2 - Q1 Score]]+Table1[[#This Row],[TA 2 - Q2 Score]]+Table1[[#This Row],[TA 2 - Q3 Score]]</f>
        <v/>
      </c>
      <c r="S569">
        <f>Table1[[#This Row],[TA 2 - Q1 Bonus]]+Table1[[#This Row],[TA 2 - Q2 Bonus]]+Table1[[#This Row],[TA 2 - Q4 Bonus]]</f>
        <v/>
      </c>
      <c r="T569">
        <f>(Table1[[#This Row],[TA 1 - Total Score (out of 35)]]+Table1[[#This Row],[TA 2 - Total Score (out of 35)]])/2</f>
        <v/>
      </c>
      <c r="U569">
        <f>(Table1[[#This Row],[TA 1 - Total Bonus (out of 13)]]+Table1[[#This Row],[TA 2 - Total Bonus (out of 13)]])/2</f>
        <v/>
      </c>
      <c r="V569">
        <f>Table1[[#This Row],[Average Questions]]/35*20+Table1[[#This Row],[Average Bonus]]/13*5</f>
        <v/>
      </c>
      <c r="W569" t="n">
        <v>0</v>
      </c>
      <c r="X569" t="n">
        <v>0</v>
      </c>
      <c r="Y569" t="inlineStr">
        <is>
          <t>The student's submission does not run end-to-end due to multiple issues. The transforms are incomplete, the DataLoaders are not correctly created, and the model training and validation loops contain errors. Additionally, the student did not correctly freeze the backbone of the model, and the plots for training and validation losses and accuracies are incorrect. The bonus task for Test Time Augmentation (TTA) is also incomplete and does not run correctly.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69" t="n">
        <v>0</v>
      </c>
      <c r="AA569" t="n">
        <v>0</v>
      </c>
      <c r="AB569" t="inlineStr">
        <is>
          <t>The student's submission does not run correctly due to several issues. The dataset class is incorrectly implemented, leading to errors in data loading. The CNN model definition is flawed, with incorrect layer configurations and missing residual connections. The training and validation functions are incomplete and contain logical errors. As a result, the model training does not proceed correctly, and the plots for losses and accuracy are not generated. The bonus task for residual connections is also not implemented correctly. Therefore, the minimum defensible score for each task is 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69" t="n">
        <v>0</v>
      </c>
      <c r="AD569" t="inlineStr">
        <is>
          <t>The student's submission does not run correctly due to several issues. The dataset class is incomplete and does not follow the required structure. The model definition uses 'efficientnet-b0' instead of 'efficientnet-b1'. The training and validation loops are incorrectly implemented, and the loss and optimizer are not defined correctly. Additionally, the visualization of predictions is flawed and does not produce the correct output. Therefore, no points are awarded for any task as the code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69" t="n">
        <v>0</v>
      </c>
      <c r="AF569" t="n">
        <v>0</v>
      </c>
      <c r="AG569" t="inlineStr">
        <is>
          <t>The student's implementation of the `ColorizationDataset` class contains several issues. The `rgb_to_grayscale` method incorrectly initializes the grayscale image and does not correctly apply the grayscale conversion formula. Additionally, the method does not handle the tensor dimensions correctly, leading to incorrect output shapes. The code also includes unnecessary comments and explanations that do not contribute to the functionality. Furthermore, the student's code does not run end-to-end correctly due to these issues, resulting in a score of 0.0 for the task.
Breakdown:
- Correctly implemented `ColorizationDataset` class: 0.0/5.0</t>
        </is>
      </c>
      <c r="AH569" t="n">
        <v>0</v>
      </c>
      <c r="AI569" t="n">
        <v>0</v>
      </c>
    </row>
    <row r="570">
      <c r="A570" t="n">
        <v>569</v>
      </c>
      <c r="B570" t="inlineStr">
        <is>
          <t>TA_10</t>
        </is>
      </c>
      <c r="C570" t="inlineStr">
        <is>
          <t>TA_20</t>
        </is>
      </c>
      <c r="D570" t="n">
        <v>6.5</v>
      </c>
      <c r="E570" t="n">
        <v>0</v>
      </c>
      <c r="F570" t="n">
        <v>11</v>
      </c>
      <c r="G570" t="n">
        <v>2</v>
      </c>
      <c r="H570" t="n">
        <v>11.5</v>
      </c>
      <c r="I570" t="n">
        <v>0</v>
      </c>
      <c r="J570" t="n">
        <v>10</v>
      </c>
      <c r="K570" t="n">
        <v>0</v>
      </c>
      <c r="L570" t="n">
        <v>11</v>
      </c>
      <c r="M570" t="n">
        <v>0</v>
      </c>
      <c r="N570" t="n">
        <v>12</v>
      </c>
      <c r="O570" t="n">
        <v>0</v>
      </c>
      <c r="P570">
        <f>Table1[[#This Row],[TA 1 - Q1 Score]]+Table1[[#This Row],[TA 1 - Q2 Score]]+Table1[[#This Row],[TA 1 - Q3 Score]]</f>
        <v/>
      </c>
      <c r="Q570">
        <f>Table1[[#This Row],[TA 1 - Q1 Bonus]]+Table1[[#This Row],[TA 1 - Q2 Bonus]]+Table1[[#This Row],[TA 1 - Q4 Bonus]]</f>
        <v/>
      </c>
      <c r="R570">
        <f>Table1[[#This Row],[TA 2 - Q1 Score]]+Table1[[#This Row],[TA 2 - Q2 Score]]+Table1[[#This Row],[TA 2 - Q3 Score]]</f>
        <v/>
      </c>
      <c r="S570">
        <f>Table1[[#This Row],[TA 2 - Q1 Bonus]]+Table1[[#This Row],[TA 2 - Q2 Bonus]]+Table1[[#This Row],[TA 2 - Q4 Bonus]]</f>
        <v/>
      </c>
      <c r="T570">
        <f>(Table1[[#This Row],[TA 1 - Total Score (out of 35)]]+Table1[[#This Row],[TA 2 - Total Score (out of 35)]])/2</f>
        <v/>
      </c>
      <c r="U570">
        <f>(Table1[[#This Row],[TA 1 - Total Bonus (out of 13)]]+Table1[[#This Row],[TA 2 - Total Bonus (out of 13)]])/2</f>
        <v/>
      </c>
      <c r="V570">
        <f>Table1[[#This Row],[Average Questions]]/35*20+Table1[[#This Row],[Average Bonus]]/13*5</f>
        <v/>
      </c>
      <c r="W570" t="n">
        <v>0</v>
      </c>
      <c r="X570" t="n">
        <v>0</v>
      </c>
      <c r="Y570" t="inlineStr">
        <is>
          <t>The student's submission does not run end-to-end due to a runtime disconnect error. The code for training and validation functions is incomplete and contains syntax errors. The student did not fix the labels for 0-indexing, which is a critical requirement. Additionally, the student did not implement the bonus task for Test Time Augmentation.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70" t="n">
        <v>0</v>
      </c>
      <c r="AA570" t="n">
        <v>0</v>
      </c>
      <c r="AB570" t="inlineStr">
        <is>
          <t>The student's submission does not run correctly due to multiple issues. The dataset loading and transformation steps are incomplete and incorrect. The CNN model definition is flawed, with incorrect layer configurations and missing residual connections. The training and validation functions are not correctly implemented, leading to failures in the training process. Additionally, the bonus task for residual connections is not correctly defined or implemented.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70" t="n">
        <v>0</v>
      </c>
      <c r="AD570" t="inlineStr">
        <is>
          <t>The student's submission does not run correctly due to several issues. The dataset class is incorrectly implemented, leading to errors in data loading. The model definition uses 'efficientnet-b1' instead of 'efficientnet-b0' as specified. The training and validation loops are present but do not run correctly due to the dataset issues. The visualization of predictions is attempted but fails due to the earlier errors. Overall, the submission does not meet the requirements of the rubric, resulting in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70" t="n">
        <v>0</v>
      </c>
      <c r="AF570" t="n">
        <v>0</v>
      </c>
      <c r="AG570" t="inlineStr">
        <is>
          <t>No submission found.</t>
        </is>
      </c>
      <c r="AH570" t="n">
        <v>0</v>
      </c>
      <c r="AI570" t="n">
        <v>0</v>
      </c>
    </row>
    <row r="571">
      <c r="A571" t="n">
        <v>570</v>
      </c>
      <c r="B571" t="inlineStr">
        <is>
          <t>TA_10</t>
        </is>
      </c>
      <c r="C571" t="inlineStr">
        <is>
          <t>TA_20</t>
        </is>
      </c>
      <c r="D571" t="n">
        <v>10</v>
      </c>
      <c r="E571" t="n">
        <v>1</v>
      </c>
      <c r="F571" t="n">
        <v>9</v>
      </c>
      <c r="G571" t="n">
        <v>0</v>
      </c>
      <c r="H571" t="n">
        <v>10.5</v>
      </c>
      <c r="I571" t="n">
        <v>0</v>
      </c>
      <c r="J571" t="n">
        <v>10</v>
      </c>
      <c r="K571" t="n">
        <v>0</v>
      </c>
      <c r="L571" t="n">
        <v>9.5</v>
      </c>
      <c r="M571" t="n">
        <v>0</v>
      </c>
      <c r="N571" t="n">
        <v>11</v>
      </c>
      <c r="O571" t="n">
        <v>0</v>
      </c>
      <c r="P571">
        <f>Table1[[#This Row],[TA 1 - Q1 Score]]+Table1[[#This Row],[TA 1 - Q2 Score]]+Table1[[#This Row],[TA 1 - Q3 Score]]</f>
        <v/>
      </c>
      <c r="Q571">
        <f>Table1[[#This Row],[TA 1 - Q1 Bonus]]+Table1[[#This Row],[TA 1 - Q2 Bonus]]+Table1[[#This Row],[TA 1 - Q4 Bonus]]</f>
        <v/>
      </c>
      <c r="R571">
        <f>Table1[[#This Row],[TA 2 - Q1 Score]]+Table1[[#This Row],[TA 2 - Q2 Score]]+Table1[[#This Row],[TA 2 - Q3 Score]]</f>
        <v/>
      </c>
      <c r="S571">
        <f>Table1[[#This Row],[TA 2 - Q1 Bonus]]+Table1[[#This Row],[TA 2 - Q2 Bonus]]+Table1[[#This Row],[TA 2 - Q4 Bonus]]</f>
        <v/>
      </c>
      <c r="T571">
        <f>(Table1[[#This Row],[TA 1 - Total Score (out of 35)]]+Table1[[#This Row],[TA 2 - Total Score (out of 35)]])/2</f>
        <v/>
      </c>
      <c r="U571">
        <f>(Table1[[#This Row],[TA 1 - Total Bonus (out of 13)]]+Table1[[#This Row],[TA 2 - Total Bonus (out of 13)]])/2</f>
        <v/>
      </c>
      <c r="V571">
        <f>Table1[[#This Row],[Average Questions]]/35*20+Table1[[#This Row],[Average Bonus]]/13*5</f>
        <v/>
      </c>
      <c r="W571" t="n">
        <v>0</v>
      </c>
      <c r="X571" t="n">
        <v>0</v>
      </c>
      <c r="Y571" t="inlineStr">
        <is>
          <t>The student's submission does not run correctly due to several issues. The transforms are not correctly applied, the DataLoaders are not created properly, and the model is not correctly set up for training. Additionally, the training and validation loops are incorrect, and the bonus task for Test Time Augmentation is not implemented correctly.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71" t="n">
        <v>0</v>
      </c>
      <c r="AA571" t="n">
        <v>0</v>
      </c>
      <c r="AB571" t="inlineStr">
        <is>
          <t>The student's submission does not run correctly due to multiple issues. The dataset class is incorrectly defined, the transforms do not match the rubric, and the CNN model does not follow the specified architecture. Additionally, the training and validation functions are incomplete and incorrect. The bonus task is also not attempted correctly.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71" t="n">
        <v>0</v>
      </c>
      <c r="AD571" t="inlineStr">
        <is>
          <t>The student's submission does not run end-to-end due to missing code for displaying sample images and masks, and the model training loop does not execute correctly due to missing code for defining the loss and optimizer. Additionally, the student did not plot the loss curve or visualize the predictions vs ground truth for multiple images. Therefore, the student receives 0 points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71" t="n">
        <v>0</v>
      </c>
      <c r="AF571" t="n">
        <v>0</v>
      </c>
      <c r="AG571" t="inlineStr">
        <is>
          <t>No submission found.</t>
        </is>
      </c>
      <c r="AH571" t="n">
        <v>0</v>
      </c>
      <c r="AI571" t="n">
        <v>0</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2026-05-20T13:26:12Z</dcterms:created>
  <dcterms:modified xsi:type="dcterms:W3CDTF">2026-07-20T08:27:01Z</dcterms:modified>
  <cp:lastModifiedBy>Ali Habibullah</cp:lastModifiedBy>
</cp:coreProperties>
</file>