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51840" windowHeight="2112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Calibri"/>
      <family val="2"/>
      <color theme="1"/>
      <sz val="11"/>
      <scheme val="minor"/>
    </font>
    <font>
      <name val="Calibri"/>
      <b val="1"/>
      <sz val="11"/>
    </font>
  </fonts>
  <fills count="2">
    <fill>
      <patternFill/>
    </fill>
    <fill>
      <patternFill patternType="gray125"/>
    </fill>
  </fills>
  <borders count="2">
    <border>
      <left/>
      <right/>
      <top/>
      <bottom/>
      <diagonal/>
    </border>
    <border>
      <left style="thin">
        <color auto="1"/>
      </left>
      <right style="thin">
        <color auto="1"/>
      </right>
      <top/>
      <bottom style="thin">
        <color auto="1"/>
      </bottom>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cellStyles>
  <dxfs count="7">
    <dxf>
      <numFmt numFmtId="0" formatCode="General"/>
    </dxf>
    <dxf>
      <numFmt numFmtId="0" formatCode="General"/>
    </dxf>
    <dxf>
      <numFmt numFmtId="0" formatCode="General"/>
    </dxf>
    <dxf>
      <numFmt numFmtId="0" formatCode="General"/>
    </dxf>
    <dxf>
      <border outline="0">
        <top style="thin">
          <color auto="1"/>
        </top>
      </border>
    </dxf>
    <dxf>
      <border outline="0">
        <bottom style="thin">
          <color auto="1"/>
        </bottom>
      </border>
    </dxf>
    <dxf>
      <font>
        <name val="Calibri"/>
        <b val="1"/>
        <strike val="0"/>
        <outline val="0"/>
        <shadow val="0"/>
        <condense val="0"/>
        <color auto="1"/>
        <extend val="0"/>
        <sz val="11"/>
        <vertAlign val="baseline"/>
      </font>
      <alignment horizontal="center" vertical="top"/>
      <border outline="0">
        <left style="thin">
          <color auto="1"/>
        </left>
        <right style="thin">
          <color auto="1"/>
        </right>
        <top/>
        <bottom/>
      </border>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Table1" displayName="Table1" ref="A1:V571" headerRowCount="1" totalsRowShown="0" headerRowDxfId="6" headerRowBorderDxfId="5" tableBorderDxfId="4">
  <autoFilter ref="A1:V571"/>
  <sortState ref="A2:V571">
    <sortCondition ref="A1:A571"/>
  </sortState>
  <tableColumns count="22">
    <tableColumn id="1" name="Number"/>
    <tableColumn id="6" name="TA_1_ID"/>
    <tableColumn id="8" name="TA_2_ID"/>
    <tableColumn id="17" name="TA 1 - Q1 Score"/>
    <tableColumn id="18" name="TA 1 - Q1 Bonus"/>
    <tableColumn id="19" name="TA 1 - Q2 Score"/>
    <tableColumn id="20" name="TA 1 - Q2 Bonus"/>
    <tableColumn id="21" name="TA 1 - Q3 Score"/>
    <tableColumn id="22" name="TA 1 - Q4 Bonus"/>
    <tableColumn id="23" name="TA 2 - Q1 Score"/>
    <tableColumn id="24" name="TA 2 - Q1 Bonus"/>
    <tableColumn id="25" name="TA 2 - Q2 Score"/>
    <tableColumn id="26" name="TA 2 - Q2 Bonus"/>
    <tableColumn id="27" name="TA 2 - Q3 Score"/>
    <tableColumn id="28" name="TA 2 - Q4 Bonus"/>
    <tableColumn id="31" name="TA 1 - Total Score (out of 35)" dataDxfId="3">
      <calculatedColumnFormula>Table1[[#This Row],[TA 1 - Q1 Score]]+Table1[[#This Row],[TA 1 - Q2 Score]]+Table1[[#This Row],[TA 1 - Q3 Score]]</calculatedColumnFormula>
    </tableColumn>
    <tableColumn id="32" name="TA 1 - Total Bonus (out of 13)" dataDxfId="2">
      <calculatedColumnFormula>Table1[[#This Row],[TA 1 - Q1 Bonus]]+Table1[[#This Row],[TA 1 - Q2 Bonus]]+Table1[[#This Row],[TA 1 - Q4 Bonus]]</calculatedColumnFormula>
    </tableColumn>
    <tableColumn id="33" name="TA 2 - Total Score (out of 35)">
      <calculatedColumnFormula>Table1[[#This Row],[TA 2 - Q1 Score]]+Table1[[#This Row],[TA 2 - Q2 Score]]+Table1[[#This Row],[TA 2 - Q3 Score]]</calculatedColumnFormula>
    </tableColumn>
    <tableColumn id="34" name="TA 2 - Total Bonus (out of 13)">
      <calculatedColumnFormula>Table1[[#This Row],[TA 2 - Q1 Bonus]]+Table1[[#This Row],[TA 2 - Q2 Bonus]]+Table1[[#This Row],[TA 2 - Q4 Bonus]]</calculatedColumnFormula>
    </tableColumn>
    <tableColumn id="35" name="Average Questions" dataDxfId="1">
      <calculatedColumnFormula>(Table1[[#This Row],[TA 1 - Total Score (out of 35)]]+Table1[[#This Row],[TA 2 - Total Score (out of 35)]])/2</calculatedColumnFormula>
    </tableColumn>
    <tableColumn id="36" name="Average Bonus" dataDxfId="0">
      <calculatedColumnFormula>(Table1[[#This Row],[TA 1 - Total Bonus (out of 13)]]+Table1[[#This Row],[TA 2 - Total Bonus (out of 13)]])/2</calculatedColumnFormula>
    </tableColumn>
    <tableColumn id="37" name="Earned Points">
      <calculatedColumnFormula>Table1[[#This Row],[Average Questions]]/35*20+Table1[[#This Row],[Average Bonus]]/13*5</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outlinePr summaryBelow="1" summaryRight="1"/>
    <pageSetUpPr/>
  </sheetPr>
  <dimension ref="A1:AI571"/>
  <sheetViews>
    <sheetView tabSelected="1" workbookViewId="0">
      <selection activeCell="O5" sqref="O5"/>
    </sheetView>
  </sheetViews>
  <sheetFormatPr baseColWidth="8" defaultRowHeight="15" outlineLevelCol="0"/>
  <cols>
    <col width="12.85546875" bestFit="1" customWidth="1" min="1" max="1"/>
    <col width="12.7109375" bestFit="1" customWidth="1" min="2" max="3"/>
    <col width="18.7109375" bestFit="1" customWidth="1" min="4" max="4"/>
    <col width="19.28515625" bestFit="1" customWidth="1" min="5" max="5"/>
    <col width="18.7109375" bestFit="1" customWidth="1" min="6" max="6"/>
    <col width="19.28515625" bestFit="1" customWidth="1" min="7" max="7"/>
    <col width="18.7109375" bestFit="1" customWidth="1" min="8" max="8"/>
    <col width="19.28515625" bestFit="1" customWidth="1" min="9" max="9"/>
    <col width="18.7109375" bestFit="1" customWidth="1" min="10" max="10"/>
    <col width="19.28515625" bestFit="1" customWidth="1" min="11" max="11"/>
    <col width="18.7109375" bestFit="1" customWidth="1" min="12" max="12"/>
    <col width="19.28515625" bestFit="1" customWidth="1" min="13" max="13"/>
    <col width="18.7109375" bestFit="1" customWidth="1" min="14" max="14"/>
    <col width="19.28515625" bestFit="1" customWidth="1" min="15" max="15"/>
    <col width="30.7109375" bestFit="1" customWidth="1" min="16" max="16"/>
    <col width="31.28515625" bestFit="1" customWidth="1" min="17" max="17"/>
    <col width="30.7109375" bestFit="1" customWidth="1" min="18" max="18"/>
    <col width="31.28515625" bestFit="1" customWidth="1" min="19" max="19"/>
    <col width="22.5703125" bestFit="1" customWidth="1" min="20" max="20"/>
    <col width="18.85546875" bestFit="1" customWidth="1" min="21" max="21"/>
    <col width="17.85546875" bestFit="1" customWidth="1" min="22" max="22"/>
  </cols>
  <sheetData>
    <row r="1">
      <c r="A1" s="1" t="inlineStr">
        <is>
          <t>Number</t>
        </is>
      </c>
      <c r="B1" s="1" t="inlineStr">
        <is>
          <t>TA_1_ID</t>
        </is>
      </c>
      <c r="C1" s="1" t="inlineStr">
        <is>
          <t>TA_2_ID</t>
        </is>
      </c>
      <c r="D1" s="1" t="inlineStr">
        <is>
          <t>TA 1 - Q1 Score</t>
        </is>
      </c>
      <c r="E1" s="1" t="inlineStr">
        <is>
          <t>TA 1 - Q1 Bonus</t>
        </is>
      </c>
      <c r="F1" s="1" t="inlineStr">
        <is>
          <t>TA 1 - Q2 Score</t>
        </is>
      </c>
      <c r="G1" s="1" t="inlineStr">
        <is>
          <t>TA 1 - Q2 Bonus</t>
        </is>
      </c>
      <c r="H1" s="1" t="inlineStr">
        <is>
          <t>TA 1 - Q3 Score</t>
        </is>
      </c>
      <c r="I1" s="1" t="inlineStr">
        <is>
          <t>TA 1 - Q4 Bonus</t>
        </is>
      </c>
      <c r="J1" s="1" t="inlineStr">
        <is>
          <t>TA 2 - Q1 Score</t>
        </is>
      </c>
      <c r="K1" s="1" t="inlineStr">
        <is>
          <t>TA 2 - Q1 Bonus</t>
        </is>
      </c>
      <c r="L1" s="1" t="inlineStr">
        <is>
          <t>TA 2 - Q2 Score</t>
        </is>
      </c>
      <c r="M1" s="1" t="inlineStr">
        <is>
          <t>TA 2 - Q2 Bonus</t>
        </is>
      </c>
      <c r="N1" s="1" t="inlineStr">
        <is>
          <t>TA 2 - Q3 Score</t>
        </is>
      </c>
      <c r="O1" s="1" t="inlineStr">
        <is>
          <t>TA 2 - Q4 Bonus</t>
        </is>
      </c>
      <c r="P1" s="1" t="inlineStr">
        <is>
          <t>TA 1 - Total Score (out of 35)</t>
        </is>
      </c>
      <c r="Q1" s="1" t="inlineStr">
        <is>
          <t>TA 1 - Total Bonus (out of 13)</t>
        </is>
      </c>
      <c r="R1" s="1" t="inlineStr">
        <is>
          <t>TA 2 - Total Score (out of 35)</t>
        </is>
      </c>
      <c r="S1" s="1" t="inlineStr">
        <is>
          <t>TA 2 - Total Bonus (out of 13)</t>
        </is>
      </c>
      <c r="T1" s="1" t="inlineStr">
        <is>
          <t>Average Questions</t>
        </is>
      </c>
      <c r="U1" s="1" t="inlineStr">
        <is>
          <t>Average Bonus</t>
        </is>
      </c>
      <c r="V1" s="1" t="inlineStr">
        <is>
          <t>Earned Points</t>
        </is>
      </c>
      <c r="W1" t="inlineStr">
        <is>
          <t>AI Q1 Score</t>
        </is>
      </c>
      <c r="X1" t="inlineStr">
        <is>
          <t>AI Q1 Bonus</t>
        </is>
      </c>
      <c r="Y1" t="inlineStr">
        <is>
          <t>AI Q1 Reasoning</t>
        </is>
      </c>
      <c r="Z1" t="inlineStr">
        <is>
          <t>AI Q2 Score</t>
        </is>
      </c>
      <c r="AA1" t="inlineStr">
        <is>
          <t>AI Q2 Bonus</t>
        </is>
      </c>
      <c r="AB1" t="inlineStr">
        <is>
          <t>AI Q2 Reasoning</t>
        </is>
      </c>
      <c r="AC1" t="inlineStr">
        <is>
          <t>AI Q3 Score</t>
        </is>
      </c>
      <c r="AD1" t="inlineStr">
        <is>
          <t>AI Q3 Reasoning</t>
        </is>
      </c>
      <c r="AE1" t="inlineStr">
        <is>
          <t>AI Q4 Score</t>
        </is>
      </c>
      <c r="AF1" t="inlineStr">
        <is>
          <t>AI Q4 Bonus</t>
        </is>
      </c>
      <c r="AG1" t="inlineStr">
        <is>
          <t>AI Q4 Reasoning</t>
        </is>
      </c>
      <c r="AH1" t="inlineStr">
        <is>
          <t>AI Total Score</t>
        </is>
      </c>
      <c r="AI1" t="inlineStr">
        <is>
          <t>AI Total Bonus</t>
        </is>
      </c>
    </row>
    <row r="2">
      <c r="A2" t="n">
        <v>1</v>
      </c>
      <c r="B2" t="inlineStr">
        <is>
          <t>TA_1</t>
        </is>
      </c>
      <c r="C2" t="inlineStr">
        <is>
          <t>TA_11</t>
        </is>
      </c>
      <c r="D2" t="n">
        <v>9</v>
      </c>
      <c r="E2" t="n">
        <v>0</v>
      </c>
      <c r="F2" t="n">
        <v>8</v>
      </c>
      <c r="G2" t="n">
        <v>0</v>
      </c>
      <c r="H2" t="n">
        <v>5</v>
      </c>
      <c r="I2" t="n">
        <v>0</v>
      </c>
      <c r="J2" t="n">
        <v>9.25</v>
      </c>
      <c r="K2" t="n">
        <v>0</v>
      </c>
      <c r="L2" t="n">
        <v>8.5</v>
      </c>
      <c r="M2" t="n">
        <v>0</v>
      </c>
      <c r="N2" t="n">
        <v>0</v>
      </c>
      <c r="O2" t="n">
        <v>0</v>
      </c>
      <c r="P2">
        <f>Table1[[#This Row],[TA 1 - Q1 Score]]+Table1[[#This Row],[TA 1 - Q2 Score]]+Table1[[#This Row],[TA 1 - Q3 Score]]</f>
        <v/>
      </c>
      <c r="Q2">
        <f>Table1[[#This Row],[TA 1 - Q1 Bonus]]+Table1[[#This Row],[TA 1 - Q2 Bonus]]+Table1[[#This Row],[TA 1 - Q4 Bonus]]</f>
        <v/>
      </c>
      <c r="R2">
        <f>Table1[[#This Row],[TA 2 - Q1 Score]]+Table1[[#This Row],[TA 2 - Q2 Score]]+Table1[[#This Row],[TA 2 - Q3 Score]]</f>
        <v/>
      </c>
      <c r="S2">
        <f>Table1[[#This Row],[TA 2 - Q1 Bonus]]+Table1[[#This Row],[TA 2 - Q2 Bonus]]+Table1[[#This Row],[TA 2 - Q4 Bonus]]</f>
        <v/>
      </c>
      <c r="T2">
        <f>(Table1[[#This Row],[TA 1 - Total Score (out of 35)]]+Table1[[#This Row],[TA 2 - Total Score (out of 35)]])/2</f>
        <v/>
      </c>
      <c r="U2">
        <f>(Table1[[#This Row],[TA 1 - Total Bonus (out of 13)]]+Table1[[#This Row],[TA 2 - Total Bonus (out of 13)]])/2</f>
        <v/>
      </c>
      <c r="V2">
        <f>Table1[[#This Row],[Average Questions]]/35*20+Table1[[#This Row],[Average Bonus]]/13*5</f>
        <v/>
      </c>
      <c r="W2" t="n">
        <v>6</v>
      </c>
      <c r="X2" t="n">
        <v>0</v>
      </c>
      <c r="Y2" t="inlineStr">
        <is>
          <t>The student's submission failed to complete several key tasks, including loading and preparing the data, loading the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2" t="n">
        <v>6</v>
      </c>
      <c r="AA2" t="n">
        <v>0</v>
      </c>
      <c r="AB2" t="inlineStr">
        <is>
          <t>The student's submission failed to complete several key tasks, including loading and preparing the data, building the CNN model, and defining the training and validation functions. While the student did attempt to train the model, their implementation was incomplete and did not follow the reference solution. As a result, the student did not earn any points for the base tasks. The bonus task was also not completed, resulting in a score of 0 for the bonus.
Breakdown:
- Part 1: Load and Prepare Data: 0.0/?
- Part 2: Build the CNN Model: 0.0/?
- Part 3: Training and Validation Functions: 0.0/?
- Part 4: Training: 2.0/?
- Part 5: Bonus — Residual Connection: 0.0/?</t>
        </is>
      </c>
      <c r="AC2" t="n">
        <v>6</v>
      </c>
      <c r="AD2" t="inlineStr">
        <is>
          <t>The student's submission had several issues. They failed to complete Task 1: Dataset Class, Task 2: Model Class, Task 3: Training and Validation Loops, Task 4: Running Training, and Task 5: Visualizing Predictions. The student's code had several syntax and logic mistakes, and they used an entirely wrong approach in some tasks. As a result, the student did not meet the requirements of the question and did not demonstrate a clear understanding of the concepts.
Breakdown:
- Task 1: Dataset Class: 0.0/?
- Task 2: Model Class: 0.0/?
- Task 3: Training and Validation Loops: 0.0/?
- Task 4: Running Training: 0.0/?
- Task 5: Visualizing Predictions: 0.0/?</t>
        </is>
      </c>
      <c r="AE2" t="n">
        <v>0</v>
      </c>
      <c r="AF2" t="n">
        <v>0</v>
      </c>
      <c r="AG2" t="inlineStr">
        <is>
          <t>No submission found.</t>
        </is>
      </c>
      <c r="AH2" t="n">
        <v>18</v>
      </c>
      <c r="AI2" t="n">
        <v>0</v>
      </c>
    </row>
    <row r="3">
      <c r="A3" t="n">
        <v>2</v>
      </c>
      <c r="B3" t="inlineStr">
        <is>
          <t>TA_1</t>
        </is>
      </c>
      <c r="C3" t="inlineStr">
        <is>
          <t>TA_11</t>
        </is>
      </c>
      <c r="D3" t="n">
        <v>12</v>
      </c>
      <c r="E3" t="n">
        <v>0</v>
      </c>
      <c r="F3" t="n">
        <v>11</v>
      </c>
      <c r="G3" t="n">
        <v>4</v>
      </c>
      <c r="H3" t="n">
        <v>12</v>
      </c>
      <c r="I3" t="n">
        <v>0</v>
      </c>
      <c r="J3" t="n">
        <v>12</v>
      </c>
      <c r="K3" t="n">
        <v>0</v>
      </c>
      <c r="L3" t="n">
        <v>11</v>
      </c>
      <c r="M3" t="n">
        <v>4</v>
      </c>
      <c r="N3" t="n">
        <v>12</v>
      </c>
      <c r="O3" t="n">
        <v>0</v>
      </c>
      <c r="P3">
        <f>Table1[[#This Row],[TA 1 - Q1 Score]]+Table1[[#This Row],[TA 1 - Q2 Score]]+Table1[[#This Row],[TA 1 - Q3 Score]]</f>
        <v/>
      </c>
      <c r="Q3">
        <f>Table1[[#This Row],[TA 1 - Q1 Bonus]]+Table1[[#This Row],[TA 1 - Q2 Bonus]]+Table1[[#This Row],[TA 1 - Q4 Bonus]]</f>
        <v/>
      </c>
      <c r="R3">
        <f>Table1[[#This Row],[TA 2 - Q1 Score]]+Table1[[#This Row],[TA 2 - Q2 Score]]+Table1[[#This Row],[TA 2 - Q3 Score]]</f>
        <v/>
      </c>
      <c r="S3">
        <f>Table1[[#This Row],[TA 2 - Q1 Bonus]]+Table1[[#This Row],[TA 2 - Q2 Bonus]]+Table1[[#This Row],[TA 2 - Q4 Bonus]]</f>
        <v/>
      </c>
      <c r="T3">
        <f>(Table1[[#This Row],[TA 1 - Total Score (out of 35)]]+Table1[[#This Row],[TA 2 - Total Score (out of 35)]])/2</f>
        <v/>
      </c>
      <c r="U3">
        <f>(Table1[[#This Row],[TA 1 - Total Bonus (out of 13)]]+Table1[[#This Row],[TA 2 - Total Bonus (out of 13)]])/2</f>
        <v/>
      </c>
      <c r="V3">
        <f>Table1[[#This Row],[Average Questions]]/35*20+Table1[[#This Row],[Average Bonus]]/13*5</f>
        <v/>
      </c>
      <c r="W3" t="n">
        <v>6</v>
      </c>
      <c r="X3" t="n">
        <v>0</v>
      </c>
      <c r="Y3" t="inlineStr">
        <is>
          <t>The student's submission failed to complete several key tasks, including loading and preparing the data, loading a pretrained model and adapting it, and implementing training and validation functions. While the student did attempt to train the model, their implementation was incomplete and did not follow the reference solution. As a result, the student was unable to achieve the full potential of the model and their submission was not evaluated for bonus points.
Breakdown:
- Part 1: Load and Prepare Data: 0.0/?
- Part 2: Load Pretrained Model and Adapt: 0.0/?
- Part 3: Training and Validation Functions: 0.0/?
- Part 4: Training: 2.5/?
- Part 5: Bonus — Test Time Augmentation: 0.0/?</t>
        </is>
      </c>
      <c r="Z3" t="n">
        <v>4</v>
      </c>
      <c r="AA3" t="n">
        <v>0</v>
      </c>
      <c r="AB3"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disorganized and does not run end-to-end. As a result, the student receives 0 points for each task.
Breakdown:
- Part 1: Load and Prepare Data: 0.0/?
- Part 2: Build the CNN Model: 0.0/?
- Part 3: Training and Validation Functions: 0.0/?
- Part 4: Training: 0.0/?
- Part 5: Bonus — Residual Connection: 0.0/?</t>
        </is>
      </c>
      <c r="AC3" t="n">
        <v>6</v>
      </c>
      <c r="AD3" t="inlineStr">
        <is>
          <t>The student's submission was incomplete and failed to address several key tasks. While they made an attempt at visualizing predictions, their code was not fully correct and did not run as expected. As a result, the student was unable to demonstrate their understanding of the material and was awarded a score of 6.0.
Breakdown:
- Task 1: Dataset Class: 0.0/?
- Task 2: Model Class: 0.0/?
- Task 3: Training and Validation Loops: 0.0/?
- Task 4: Running Training: 0.0/?
- Task 5: Visualizing Predictions: 6.0/?</t>
        </is>
      </c>
      <c r="AE3" t="n">
        <v>0</v>
      </c>
      <c r="AF3" t="n">
        <v>0</v>
      </c>
      <c r="AG3" t="inlineStr">
        <is>
          <t>No submission found.</t>
        </is>
      </c>
      <c r="AH3" t="n">
        <v>16</v>
      </c>
      <c r="AI3" t="n">
        <v>0</v>
      </c>
    </row>
    <row r="4">
      <c r="A4" t="n">
        <v>3</v>
      </c>
      <c r="B4" t="inlineStr">
        <is>
          <t>TA_1</t>
        </is>
      </c>
      <c r="C4" t="inlineStr">
        <is>
          <t>TA_11</t>
        </is>
      </c>
      <c r="D4" t="n">
        <v>10.5</v>
      </c>
      <c r="E4" t="n">
        <v>0</v>
      </c>
      <c r="F4" t="n">
        <v>6.5</v>
      </c>
      <c r="G4" t="n">
        <v>0</v>
      </c>
      <c r="H4" t="n">
        <v>12</v>
      </c>
      <c r="I4" t="n">
        <v>0</v>
      </c>
      <c r="J4" t="n">
        <v>12</v>
      </c>
      <c r="K4" t="n">
        <v>0</v>
      </c>
      <c r="L4" t="n">
        <v>7.75</v>
      </c>
      <c r="M4" t="n">
        <v>1.5</v>
      </c>
      <c r="N4" t="n">
        <v>12</v>
      </c>
      <c r="O4" t="n">
        <v>0</v>
      </c>
      <c r="P4">
        <f>Table1[[#This Row],[TA 1 - Q1 Score]]+Table1[[#This Row],[TA 1 - Q2 Score]]+Table1[[#This Row],[TA 1 - Q3 Score]]</f>
        <v/>
      </c>
      <c r="Q4">
        <f>Table1[[#This Row],[TA 1 - Q1 Bonus]]+Table1[[#This Row],[TA 1 - Q2 Bonus]]+Table1[[#This Row],[TA 1 - Q4 Bonus]]</f>
        <v/>
      </c>
      <c r="R4">
        <f>Table1[[#This Row],[TA 2 - Q1 Score]]+Table1[[#This Row],[TA 2 - Q2 Score]]+Table1[[#This Row],[TA 2 - Q3 Score]]</f>
        <v/>
      </c>
      <c r="S4">
        <f>Table1[[#This Row],[TA 2 - Q1 Bonus]]+Table1[[#This Row],[TA 2 - Q2 Bonus]]+Table1[[#This Row],[TA 2 - Q4 Bonus]]</f>
        <v/>
      </c>
      <c r="T4">
        <f>(Table1[[#This Row],[TA 1 - Total Score (out of 35)]]+Table1[[#This Row],[TA 2 - Total Score (out of 35)]])/2</f>
        <v/>
      </c>
      <c r="U4">
        <f>(Table1[[#This Row],[TA 1 - Total Bonus (out of 13)]]+Table1[[#This Row],[TA 2 - Total Bonus (out of 13)]])/2</f>
        <v/>
      </c>
      <c r="V4">
        <f>Table1[[#This Row],[Average Questions]]/35*20+Table1[[#This Row],[Average Bonus]]/13*5</f>
        <v/>
      </c>
      <c r="W4" t="n">
        <v>6</v>
      </c>
      <c r="X4" t="n">
        <v>0</v>
      </c>
      <c r="Y4"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4" t="n">
        <v>4</v>
      </c>
      <c r="AA4" t="n">
        <v>0</v>
      </c>
      <c r="AB4"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 t="n">
        <v>6</v>
      </c>
      <c r="AD4" t="inlineStr">
        <is>
          <t>The student's submission was incomplete and lacked code for most tasks. However, the code for visualizing predictions was mostly correct and attempted to run the task, but it had some issues with imports and model usage. As a result, the student received partial credit for this task.
Breakdown:
- Task 1: Dataset Class: 0.0/?
- Task 2: Model Class: 0.0/?
- Task 3: Training and Validation Loops: 0.0/?
- Task 4: Running Training: 0.0/?
- Task 5: Visualizing Predictions: 6.0/?</t>
        </is>
      </c>
      <c r="AE4" t="n">
        <v>0</v>
      </c>
      <c r="AF4" t="n">
        <v>0</v>
      </c>
      <c r="AG4" t="inlineStr">
        <is>
          <t>No submission found.</t>
        </is>
      </c>
      <c r="AH4" t="n">
        <v>16</v>
      </c>
      <c r="AI4" t="n">
        <v>0</v>
      </c>
    </row>
    <row r="5">
      <c r="A5" t="n">
        <v>4</v>
      </c>
      <c r="B5" t="inlineStr">
        <is>
          <t>TA_1</t>
        </is>
      </c>
      <c r="C5" t="inlineStr">
        <is>
          <t>TA_11</t>
        </is>
      </c>
      <c r="D5" t="n">
        <v>12</v>
      </c>
      <c r="E5" t="n">
        <v>4</v>
      </c>
      <c r="F5" t="n">
        <v>11</v>
      </c>
      <c r="G5" t="n">
        <v>4</v>
      </c>
      <c r="H5" t="n">
        <v>9</v>
      </c>
      <c r="I5" t="n">
        <v>5</v>
      </c>
      <c r="J5" t="n">
        <v>11.25</v>
      </c>
      <c r="K5" t="n">
        <v>4</v>
      </c>
      <c r="L5" t="n">
        <v>10.5</v>
      </c>
      <c r="M5" t="n">
        <v>4</v>
      </c>
      <c r="N5" t="n">
        <v>2</v>
      </c>
      <c r="O5" t="n">
        <v>5</v>
      </c>
      <c r="P5">
        <f>Table1[[#This Row],[TA 1 - Q1 Score]]+Table1[[#This Row],[TA 1 - Q2 Score]]+Table1[[#This Row],[TA 1 - Q3 Score]]</f>
        <v/>
      </c>
      <c r="Q5">
        <f>Table1[[#This Row],[TA 1 - Q1 Bonus]]+Table1[[#This Row],[TA 1 - Q2 Bonus]]+Table1[[#This Row],[TA 1 - Q4 Bonus]]</f>
        <v/>
      </c>
      <c r="R5">
        <f>Table1[[#This Row],[TA 2 - Q1 Score]]+Table1[[#This Row],[TA 2 - Q2 Score]]+Table1[[#This Row],[TA 2 - Q3 Score]]</f>
        <v/>
      </c>
      <c r="S5">
        <f>Table1[[#This Row],[TA 2 - Q1 Bonus]]+Table1[[#This Row],[TA 2 - Q2 Bonus]]+Table1[[#This Row],[TA 2 - Q4 Bonus]]</f>
        <v/>
      </c>
      <c r="T5">
        <f>(Table1[[#This Row],[TA 1 - Total Score (out of 35)]]+Table1[[#This Row],[TA 2 - Total Score (out of 35)]])/2</f>
        <v/>
      </c>
      <c r="U5">
        <f>(Table1[[#This Row],[TA 1 - Total Bonus (out of 13)]]+Table1[[#This Row],[TA 2 - Total Bonus (out of 13)]])/2</f>
        <v/>
      </c>
      <c r="V5">
        <f>Table1[[#This Row],[Average Questions]]/35*20+Table1[[#This Row],[Average Bonus]]/13*5</f>
        <v/>
      </c>
      <c r="W5" t="n">
        <v>8.5</v>
      </c>
      <c r="X5" t="n">
        <v>2</v>
      </c>
      <c r="Y5" t="inlineStr">
        <is>
          <t>The student's submission demonstrates a good understanding of the task requirements but lacks attention to detail in several areas. The code for Part 1 and Part 2 is incomplete or incorrect, resulting in a score of 0 for these tasks. However, the student has made a good effort in Part 3, Part 4, and the bonus task, earning them 3.5, 2.5, and 2.0 points respectively. Overall, the student's submission shows potential but requires improvement in several areas.
Breakdown:
- Part 1: Load and Prepare Data: 0.0/?
- Part 2: Load Pretrained Model and Adapt: 0.0/?
- Part 3: Training and Validation Functions: 3.5/?
- Part 4: Training: 2.5/?
- Part 5: Bonus — Test Time Augmentation: 2.0/?</t>
        </is>
      </c>
      <c r="Z5" t="n">
        <v>6</v>
      </c>
      <c r="AA5" t="n">
        <v>0</v>
      </c>
      <c r="AB5" t="inlineStr">
        <is>
          <t>The student's submission failed to meet the requirements for several tasks. In Part 1, the student did not create a custom Dataset class or use ImageFolder, and the transforms were not applied correctly. In Part 2, the CNN model class was not created with 5 convolutional layers. In Part 3, the training and validation loop functions were not defined. In Part 4, the student was able to train the model, but the validation loop function was not used. In Part 5, the student did not add a residual connection to the CNN model. As a result, the student's submission was awarded 2 points for Part 4 and 0 points for the other tasks.
Breakdown:
- Part 1: Load and Prepare Data: 0.0/?
- Part 2: Build the CNN Model: 0.0/?
- Part 3: Training and Validation Functions: 0.0/?
- Part 4: Training: 2.0/?
- Part 5: Bonus — Residual Connection: 0.0/?</t>
        </is>
      </c>
      <c r="AC5" t="n">
        <v>6</v>
      </c>
      <c r="AD5" t="inlineStr">
        <is>
          <t>The student's submission failed to meet the requirements of the task. The code was not organized, and the tasks were not completed correctly. The student did not define the dataset class, model class, training and validation loops, or visualize the predictions correctly. As a result, the student did not earn any points for this task.
Breakdown:
- Task 1: Dataset Class: 0.0/?
- Task 2: Model Class: 0.0/?
- Task 3: Training and Validation Loops: 0.0/?
- Task 4: Running Training: 0.0/?
- Task 5: Visualizing Predictions: 0.0/?</t>
        </is>
      </c>
      <c r="AE5" t="n">
        <v>0</v>
      </c>
      <c r="AF5" t="n">
        <v>0</v>
      </c>
      <c r="AG5" t="inlineStr">
        <is>
          <t>The student's submission demonstrates a good understanding of the ColorizationDataset class. The `__init__`, `__len__`, `rgb_to_grayscale`, and `__getitem__` methods are correctly implemented. However, the `rgb_to_grayscale` method does not correctly handle the dimensions of the input image, resulting in a loss of 1 point. Additionally, the visualization code is missing the `squeeze()` method call, which is necessary to remove the extra dimension. Overall, the submission shows a good effort, but some minor mistakes prevent it from receiving full credit.
Breakdown:
- Correctly implemented `ColorizationDataset` class: 4.0/?
- Any mistake in implementation: 0.0/?</t>
        </is>
      </c>
      <c r="AH5" t="n">
        <v>20.5</v>
      </c>
      <c r="AI5" t="n">
        <v>2</v>
      </c>
    </row>
    <row r="6">
      <c r="A6" t="n">
        <v>5</v>
      </c>
      <c r="B6" t="inlineStr">
        <is>
          <t>TA_1</t>
        </is>
      </c>
      <c r="C6" t="inlineStr">
        <is>
          <t>TA_11</t>
        </is>
      </c>
      <c r="D6" t="n">
        <v>8</v>
      </c>
      <c r="E6" t="n">
        <v>0</v>
      </c>
      <c r="F6" t="n">
        <v>9.5</v>
      </c>
      <c r="G6" t="n">
        <v>0</v>
      </c>
      <c r="H6" t="n">
        <v>8</v>
      </c>
      <c r="I6" t="n">
        <v>0</v>
      </c>
      <c r="J6" t="n">
        <v>7.75</v>
      </c>
      <c r="K6" t="n">
        <v>0</v>
      </c>
      <c r="L6" t="n">
        <v>7.25</v>
      </c>
      <c r="M6" t="n">
        <v>0</v>
      </c>
      <c r="N6" t="n">
        <v>9.5</v>
      </c>
      <c r="O6" t="n">
        <v>0</v>
      </c>
      <c r="P6">
        <f>Table1[[#This Row],[TA 1 - Q1 Score]]+Table1[[#This Row],[TA 1 - Q2 Score]]+Table1[[#This Row],[TA 1 - Q3 Score]]</f>
        <v/>
      </c>
      <c r="Q6">
        <f>Table1[[#This Row],[TA 1 - Q1 Bonus]]+Table1[[#This Row],[TA 1 - Q2 Bonus]]+Table1[[#This Row],[TA 1 - Q4 Bonus]]</f>
        <v/>
      </c>
      <c r="R6">
        <f>Table1[[#This Row],[TA 2 - Q1 Score]]+Table1[[#This Row],[TA 2 - Q2 Score]]+Table1[[#This Row],[TA 2 - Q3 Score]]</f>
        <v/>
      </c>
      <c r="S6">
        <f>Table1[[#This Row],[TA 2 - Q1 Bonus]]+Table1[[#This Row],[TA 2 - Q2 Bonus]]+Table1[[#This Row],[TA 2 - Q4 Bonus]]</f>
        <v/>
      </c>
      <c r="T6">
        <f>(Table1[[#This Row],[TA 1 - Total Score (out of 35)]]+Table1[[#This Row],[TA 2 - Total Score (out of 35)]])/2</f>
        <v/>
      </c>
      <c r="U6">
        <f>(Table1[[#This Row],[TA 1 - Total Bonus (out of 13)]]+Table1[[#This Row],[TA 2 - Total Bonus (out of 13)]])/2</f>
        <v/>
      </c>
      <c r="V6">
        <f>Table1[[#This Row],[Average Questions]]/35*20+Table1[[#This Row],[Average Bonus]]/13*5</f>
        <v/>
      </c>
      <c r="W6" t="n">
        <v>6</v>
      </c>
      <c r="X6" t="n">
        <v>0</v>
      </c>
      <c r="Y6" t="inlineStr">
        <is>
          <t>The student's submission failed to complete several key tasks, including loading and preparing the data, loading a pretrained model and adapting it, and implementing training and validation functions. While the student did attempt to train the model, their implementation was incomplete and did not follow the reference solution. As a result, the student did not earn any points for the base tasks, and their bonus task was also not completed.
Breakdown:
- Part 1: Load and Prepare Data: 0.0/?
- Part 2: Load Pretrained Model and Adapt: 0.0/?
- Part 3: Training and Validation Functions: 0.0/?
- Part 4: Training: 3.0/?
- Part 5: Bonus — Test Time Augmentation: 0.0/?</t>
        </is>
      </c>
      <c r="Z6" t="n">
        <v>6</v>
      </c>
      <c r="AA6" t="n">
        <v>0</v>
      </c>
      <c r="AB6" t="inlineStr">
        <is>
          <t>The student's submission failed to load and prepare the data correctly, resulting in a score of 0 for Part 1. The CNN model was partially built, but it lacked the correct number of convolutional layers and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6" t="n">
        <v>6</v>
      </c>
      <c r="AD6" t="inlineStr">
        <is>
          <t>The student's submission was incomplete, with no code provided for Tasks 1-4. However, the code for Task 5 was mostly correct, with the student successfully visualizing the predictions against the ground truth. The only issue was that the ground truth masks were not displayed correctly.
Breakdown:
- Task 1: Dataset Class: 0.0/?
- Task 2: Model Class: 0.0/?
- Task 3: Training and Validation Loops: 0.0/?
- Task 4: Running Training: 0.0/?
- Task 5: Visualizing Predictions: 6.0/?</t>
        </is>
      </c>
      <c r="AE6" t="n">
        <v>0</v>
      </c>
      <c r="AF6" t="n">
        <v>0</v>
      </c>
      <c r="AG6" t="inlineStr">
        <is>
          <t>No submission found.</t>
        </is>
      </c>
      <c r="AH6" t="n">
        <v>18</v>
      </c>
      <c r="AI6" t="n">
        <v>0</v>
      </c>
    </row>
    <row r="7">
      <c r="A7" t="n">
        <v>6</v>
      </c>
      <c r="B7" t="inlineStr">
        <is>
          <t>TA_1</t>
        </is>
      </c>
      <c r="C7" t="inlineStr">
        <is>
          <t>TA_11</t>
        </is>
      </c>
      <c r="D7" t="n">
        <v>7</v>
      </c>
      <c r="E7" t="n">
        <v>0</v>
      </c>
      <c r="F7" t="n">
        <v>10</v>
      </c>
      <c r="G7" t="n">
        <v>3</v>
      </c>
      <c r="H7" t="n">
        <v>8</v>
      </c>
      <c r="I7" t="n">
        <v>0</v>
      </c>
      <c r="J7" t="n">
        <v>9.5</v>
      </c>
      <c r="K7" t="n">
        <v>0</v>
      </c>
      <c r="L7" t="n">
        <v>11</v>
      </c>
      <c r="M7" t="n">
        <v>0</v>
      </c>
      <c r="N7" t="n">
        <v>6.5</v>
      </c>
      <c r="O7" t="n">
        <v>0</v>
      </c>
      <c r="P7">
        <f>Table1[[#This Row],[TA 1 - Q1 Score]]+Table1[[#This Row],[TA 1 - Q2 Score]]+Table1[[#This Row],[TA 1 - Q3 Score]]</f>
        <v/>
      </c>
      <c r="Q7">
        <f>Table1[[#This Row],[TA 1 - Q1 Bonus]]+Table1[[#This Row],[TA 1 - Q2 Bonus]]+Table1[[#This Row],[TA 1 - Q4 Bonus]]</f>
        <v/>
      </c>
      <c r="R7">
        <f>Table1[[#This Row],[TA 2 - Q1 Score]]+Table1[[#This Row],[TA 2 - Q2 Score]]+Table1[[#This Row],[TA 2 - Q3 Score]]</f>
        <v/>
      </c>
      <c r="S7">
        <f>Table1[[#This Row],[TA 2 - Q1 Bonus]]+Table1[[#This Row],[TA 2 - Q2 Bonus]]+Table1[[#This Row],[TA 2 - Q4 Bonus]]</f>
        <v/>
      </c>
      <c r="T7">
        <f>(Table1[[#This Row],[TA 1 - Total Score (out of 35)]]+Table1[[#This Row],[TA 2 - Total Score (out of 35)]])/2</f>
        <v/>
      </c>
      <c r="U7">
        <f>(Table1[[#This Row],[TA 1 - Total Bonus (out of 13)]]+Table1[[#This Row],[TA 2 - Total Bonus (out of 13)]])/2</f>
        <v/>
      </c>
      <c r="V7">
        <f>Table1[[#This Row],[Average Questions]]/35*20+Table1[[#This Row],[Average Bonus]]/13*5</f>
        <v/>
      </c>
      <c r="W7" t="n">
        <v>6</v>
      </c>
      <c r="X7" t="n">
        <v>0</v>
      </c>
      <c r="Y7" t="inlineStr">
        <is>
          <t>The student's submission failed to complete several key tasks, including loading and preparing the data, loading a pretrained model and adapting it, and implementing training and validation functions. While the student did attempt to train the model, their implementation was incomplete and did not follow the reference solution. As a result, the student was unable to achieve the full score for this question.
Breakdown:
- Part 1: Load and Prepare Data: 0.0/?
- Part 2: Load Pretrained Model and Adapt: 0.0/?
- Part 3: Training and Validation Functions: 0.0/?
- Part 4: Training: 6.0/?
- Part 5: Bonus — Test Time Augmentation: 0.0/?</t>
        </is>
      </c>
      <c r="Z7" t="n">
        <v>6</v>
      </c>
      <c r="AA7" t="n">
        <v>0</v>
      </c>
      <c r="AB7" t="inlineStr">
        <is>
          <t>The student's submission failed to meet the requirements for most tasks. In Part 1, the code did not create the dataset class or use ImageFolder, and the transforms were not applied correctly. In Part 2, the CNN model class was not defined with 5 convolutional layers. In Part 3, the training and validation loop functions were not defined. In Part 4, the model was trained, but the validation loop function was not used. In Part 5, the residual connection was not implemented correctly. The student's code had several syntax and logic mistakes, and some tasks were not attempted at all.
Breakdown:
- Part 1: Load and Prepare Data: 0.0/?
- Part 2: Build the CNN Model: 0.0/?
- Part 3: Training and Validation Functions: 0.0/?
- Part 4: Training: 2.0/?
- Part 5: Bonus — Residual Connection: 0.0/?</t>
        </is>
      </c>
      <c r="AC7" t="n">
        <v>6</v>
      </c>
      <c r="AD7"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7" t="n">
        <v>0</v>
      </c>
      <c r="AF7" t="n">
        <v>0</v>
      </c>
      <c r="AG7" t="inlineStr">
        <is>
          <t>The student's submission does not meet the requirements of the task. The `ColorizationDataset` class is not implemented correctly, and the code contains syntax errors and logical mistakes. As a result, the student does not receive any points for this task.
Breakdown:
- Correctly implemented `ColorizationDataset` class:: 0.0/?</t>
        </is>
      </c>
      <c r="AH7" t="n">
        <v>18</v>
      </c>
      <c r="AI7" t="n">
        <v>0</v>
      </c>
    </row>
    <row r="8">
      <c r="A8" t="n">
        <v>7</v>
      </c>
      <c r="B8" t="inlineStr">
        <is>
          <t>TA_1</t>
        </is>
      </c>
      <c r="C8" t="inlineStr">
        <is>
          <t>TA_11</t>
        </is>
      </c>
      <c r="D8" t="n">
        <v>10</v>
      </c>
      <c r="E8" t="n">
        <v>0</v>
      </c>
      <c r="F8" t="n">
        <v>6.5</v>
      </c>
      <c r="G8" t="n">
        <v>0</v>
      </c>
      <c r="H8" t="n">
        <v>4</v>
      </c>
      <c r="I8" t="n">
        <v>0</v>
      </c>
      <c r="J8" t="n">
        <v>8.5</v>
      </c>
      <c r="K8" t="n">
        <v>0</v>
      </c>
      <c r="L8" t="n">
        <v>5.75</v>
      </c>
      <c r="M8" t="n">
        <v>0</v>
      </c>
      <c r="N8" t="n">
        <v>4.5</v>
      </c>
      <c r="O8" t="n">
        <v>0</v>
      </c>
      <c r="P8">
        <f>Table1[[#This Row],[TA 1 - Q1 Score]]+Table1[[#This Row],[TA 1 - Q2 Score]]+Table1[[#This Row],[TA 1 - Q3 Score]]</f>
        <v/>
      </c>
      <c r="Q8">
        <f>Table1[[#This Row],[TA 1 - Q1 Bonus]]+Table1[[#This Row],[TA 1 - Q2 Bonus]]+Table1[[#This Row],[TA 1 - Q4 Bonus]]</f>
        <v/>
      </c>
      <c r="R8">
        <f>Table1[[#This Row],[TA 2 - Q1 Score]]+Table1[[#This Row],[TA 2 - Q2 Score]]+Table1[[#This Row],[TA 2 - Q3 Score]]</f>
        <v/>
      </c>
      <c r="S8">
        <f>Table1[[#This Row],[TA 2 - Q1 Bonus]]+Table1[[#This Row],[TA 2 - Q2 Bonus]]+Table1[[#This Row],[TA 2 - Q4 Bonus]]</f>
        <v/>
      </c>
      <c r="T8">
        <f>(Table1[[#This Row],[TA 1 - Total Score (out of 35)]]+Table1[[#This Row],[TA 2 - Total Score (out of 35)]])/2</f>
        <v/>
      </c>
      <c r="U8">
        <f>(Table1[[#This Row],[TA 1 - Total Bonus (out of 13)]]+Table1[[#This Row],[TA 2 - Total Bonus (out of 13)]])/2</f>
        <v/>
      </c>
      <c r="V8">
        <f>Table1[[#This Row],[Average Questions]]/35*20+Table1[[#This Row],[Average Bonus]]/13*5</f>
        <v/>
      </c>
      <c r="W8" t="n">
        <v>6</v>
      </c>
      <c r="X8" t="n">
        <v>0</v>
      </c>
      <c r="Y8"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produce a working solution.
Breakdown:
- Part 1: Load and Prepare Data: 0.0/?
- Part 2: Load Pretrained Model and Adapt: 0.0/?
- Part 3: Training and Validation Functions: 1.5/?
- Part 4: Training: 0.0/?
- Part 5: Bonus — Test Time Augmentation: 0.0/?</t>
        </is>
      </c>
      <c r="Z8" t="n">
        <v>4</v>
      </c>
      <c r="AA8" t="n">
        <v>0</v>
      </c>
      <c r="AB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points for each task, resulting in a total score of 0.
Breakdown:
- Part 1: Load and Prepare Data: 0.0/?
- Part 2: Build the CNN Model: 0.0/?
- Part 3: Training and Validation Functions: 0.0/?
- Part 4: Training: 0.0/?
- Part 5: Bonus — Residual Connection: 0.0/?</t>
        </is>
      </c>
      <c r="AC8" t="n">
        <v>6</v>
      </c>
      <c r="AD8" t="inlineStr">
        <is>
          <t>The student's submission was incomplete and lacked code for most tasks. However, they did attempt to visualize predictions, which earned them 6 points. Unfortunately, their code for this task had some issues with displaying the ground truth masks. Overall, the student's submission was not well-organized and lacked a clear understanding of the tasks.
Breakdown:
- Task 1: Dataset Class: 0.0/?
- Task 2: Model Class: 0.0/?
- Task 3: Training and Validation Loops: 0.0/?
- Task 4: Running Training: 0.0/?
- Task 5: Visualizing Predictions: 6.0/?</t>
        </is>
      </c>
      <c r="AE8" t="n">
        <v>0</v>
      </c>
      <c r="AF8" t="n">
        <v>0</v>
      </c>
      <c r="AG8" t="inlineStr">
        <is>
          <t>No submission found.</t>
        </is>
      </c>
      <c r="AH8" t="n">
        <v>16</v>
      </c>
      <c r="AI8" t="n">
        <v>0</v>
      </c>
    </row>
    <row r="9">
      <c r="A9" t="n">
        <v>8</v>
      </c>
      <c r="B9" t="inlineStr">
        <is>
          <t>TA_1</t>
        </is>
      </c>
      <c r="C9" t="inlineStr">
        <is>
          <t>TA_11</t>
        </is>
      </c>
      <c r="D9" t="n">
        <v>7</v>
      </c>
      <c r="E9" t="n">
        <v>0</v>
      </c>
      <c r="F9" t="n">
        <v>9.5</v>
      </c>
      <c r="G9" t="n">
        <v>0</v>
      </c>
      <c r="H9" t="n">
        <v>12</v>
      </c>
      <c r="I9" t="n">
        <v>0</v>
      </c>
      <c r="J9" t="n">
        <v>7</v>
      </c>
      <c r="K9" t="n">
        <v>0</v>
      </c>
      <c r="L9" t="n">
        <v>7.5</v>
      </c>
      <c r="M9" t="n">
        <v>0</v>
      </c>
      <c r="N9" t="n">
        <v>11.5</v>
      </c>
      <c r="O9" t="n">
        <v>0</v>
      </c>
      <c r="P9">
        <f>Table1[[#This Row],[TA 1 - Q1 Score]]+Table1[[#This Row],[TA 1 - Q2 Score]]+Table1[[#This Row],[TA 1 - Q3 Score]]</f>
        <v/>
      </c>
      <c r="Q9">
        <f>Table1[[#This Row],[TA 1 - Q1 Bonus]]+Table1[[#This Row],[TA 1 - Q2 Bonus]]+Table1[[#This Row],[TA 1 - Q4 Bonus]]</f>
        <v/>
      </c>
      <c r="R9">
        <f>Table1[[#This Row],[TA 2 - Q1 Score]]+Table1[[#This Row],[TA 2 - Q2 Score]]+Table1[[#This Row],[TA 2 - Q3 Score]]</f>
        <v/>
      </c>
      <c r="S9">
        <f>Table1[[#This Row],[TA 2 - Q1 Bonus]]+Table1[[#This Row],[TA 2 - Q2 Bonus]]+Table1[[#This Row],[TA 2 - Q4 Bonus]]</f>
        <v/>
      </c>
      <c r="T9">
        <f>(Table1[[#This Row],[TA 1 - Total Score (out of 35)]]+Table1[[#This Row],[TA 2 - Total Score (out of 35)]])/2</f>
        <v/>
      </c>
      <c r="U9">
        <f>(Table1[[#This Row],[TA 1 - Total Bonus (out of 13)]]+Table1[[#This Row],[TA 2 - Total Bonus (out of 13)]])/2</f>
        <v/>
      </c>
      <c r="V9">
        <f>Table1[[#This Row],[Average Questions]]/35*20+Table1[[#This Row],[Average Bonus]]/13*5</f>
        <v/>
      </c>
      <c r="W9" t="n">
        <v>6</v>
      </c>
      <c r="X9" t="n">
        <v>0</v>
      </c>
      <c r="Y9"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syntax errors and failed to run end-to-end. The bonus task of implementing test time augmentation was also not completed. Overall, the student's submission demonstrated a lack of understanding of the required tasks and a failure to execute the code correctly.
Breakdown:
- Part 1: Load and Prepare Data: 0.0/?
- Part 2: Load Pretrained Model and Adapt: 0.0/?
- Part 3: Training and Validation Functions: 0.0/?
- Part 4: Training: 6.0/?
- Part 5: Bonus — Test Time Augmentation: 0.0/?</t>
        </is>
      </c>
      <c r="Z9" t="n">
        <v>4</v>
      </c>
      <c r="AA9" t="n">
        <v>0</v>
      </c>
      <c r="AB9" t="inlineStr">
        <is>
          <t>The submission failed to load and prepare the data correctly, build the CNN model, define the training and validation functions, train the model, and implement the residual connection. The code attempted some tasks but contained syntax and logic mistakes. The student did not provide any code for the bonus task.
Breakdown:
- Part 1: Load and Prepare Data: 0.0/?
- Part 2: Build the CNN Model: 0.0/?
- Part 3: Training and Validation Functions: 0.0/?
- Part 4: Training: 0.0/?
- Part 5: Bonus — Residual Connection: 0.0/?</t>
        </is>
      </c>
      <c r="AC9" t="n">
        <v>6</v>
      </c>
      <c r="AD9"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9" t="n">
        <v>0</v>
      </c>
      <c r="AF9" t="n">
        <v>0</v>
      </c>
      <c r="AG9" t="inlineStr">
        <is>
          <t>No submission found.</t>
        </is>
      </c>
      <c r="AH9" t="n">
        <v>16</v>
      </c>
      <c r="AI9" t="n">
        <v>0</v>
      </c>
    </row>
    <row r="10">
      <c r="A10" t="n">
        <v>9</v>
      </c>
      <c r="B10" t="inlineStr">
        <is>
          <t>TA_1</t>
        </is>
      </c>
      <c r="C10" t="inlineStr">
        <is>
          <t>TA_11</t>
        </is>
      </c>
      <c r="D10" t="n">
        <v>11</v>
      </c>
      <c r="E10" t="n">
        <v>0</v>
      </c>
      <c r="F10" t="n">
        <v>11</v>
      </c>
      <c r="G10" t="n">
        <v>0</v>
      </c>
      <c r="H10" t="n">
        <v>12</v>
      </c>
      <c r="I10" t="n">
        <v>0</v>
      </c>
      <c r="J10" t="n">
        <v>11.75</v>
      </c>
      <c r="K10" t="n">
        <v>0</v>
      </c>
      <c r="L10" t="n">
        <v>10.25</v>
      </c>
      <c r="M10" t="n">
        <v>0</v>
      </c>
      <c r="N10" t="n">
        <v>12</v>
      </c>
      <c r="O10" t="n">
        <v>0</v>
      </c>
      <c r="P10">
        <f>Table1[[#This Row],[TA 1 - Q1 Score]]+Table1[[#This Row],[TA 1 - Q2 Score]]+Table1[[#This Row],[TA 1 - Q3 Score]]</f>
        <v/>
      </c>
      <c r="Q10">
        <f>Table1[[#This Row],[TA 1 - Q1 Bonus]]+Table1[[#This Row],[TA 1 - Q2 Bonus]]+Table1[[#This Row],[TA 1 - Q4 Bonus]]</f>
        <v/>
      </c>
      <c r="R10">
        <f>Table1[[#This Row],[TA 2 - Q1 Score]]+Table1[[#This Row],[TA 2 - Q2 Score]]+Table1[[#This Row],[TA 2 - Q3 Score]]</f>
        <v/>
      </c>
      <c r="S10">
        <f>Table1[[#This Row],[TA 2 - Q1 Bonus]]+Table1[[#This Row],[TA 2 - Q2 Bonus]]+Table1[[#This Row],[TA 2 - Q4 Bonus]]</f>
        <v/>
      </c>
      <c r="T10">
        <f>(Table1[[#This Row],[TA 1 - Total Score (out of 35)]]+Table1[[#This Row],[TA 2 - Total Score (out of 35)]])/2</f>
        <v/>
      </c>
      <c r="U10">
        <f>(Table1[[#This Row],[TA 1 - Total Bonus (out of 13)]]+Table1[[#This Row],[TA 2 - Total Bonus (out of 13)]])/2</f>
        <v/>
      </c>
      <c r="V10">
        <f>Table1[[#This Row],[Average Questions]]/35*20+Table1[[#This Row],[Average Bonus]]/13*5</f>
        <v/>
      </c>
      <c r="W10" t="n">
        <v>6</v>
      </c>
      <c r="X10" t="n">
        <v>0</v>
      </c>
      <c r="Y10"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syntax and logic mistakes, resulting in a score of 6.0 for this task. Unfortunately, the student did not complete the bonus task, resulting in a score of 0.0 for this task. Overall, the student's submission demonstrates a lack of understanding of the key concepts and requirements of the task.
Breakdown:
- Part 1: Load and Prepare Data: 0.0/?
- Part 2: Load Pretrained Model and Adapt: 0.0/?
- Part 3: Training and Validation Functions: 0.0/?
- Part 4: Training: 6.0/?
- Part 5: Bonus — Test Time Augmentation: 0.0/?</t>
        </is>
      </c>
      <c r="Z10" t="n">
        <v>6</v>
      </c>
      <c r="AA10" t="n">
        <v>0</v>
      </c>
      <c r="AB10"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any points for the base tasks, and their bonus task was also not completed.
Breakdown:
- Part 1: Load and Prepare Data: 0.0/?
- Part 2: Build the CNN Model: 0.0/?
- Part 3: Training and Validation Functions: 0.0/?
- Part 4: Training: 2.0/?
- Part 5: Bonus — Residual Connection: 0.0/?</t>
        </is>
      </c>
      <c r="AC10" t="n">
        <v>6</v>
      </c>
      <c r="AD10" t="inlineStr">
        <is>
          <t>The student's submission was incomplete, with no code submitted for Tasks 1-4. However, the code for Task 5 was mostly correct, with the student successfully visualizing the predictions against the ground truth for several images. The only issue was that the ground truth masks were not displayed correctly.
Breakdown:
- Task 1: Dataset Class: 0.0/?
- Task 2: Model Class: 0.0/?
- Task 3: Training and Validation Loops: 0.0/?
- Task 4: Running Training: 0.0/?
- Task 5: Visualizing Predictions: 6.0/?</t>
        </is>
      </c>
      <c r="AE10" t="n">
        <v>0</v>
      </c>
      <c r="AF10" t="n">
        <v>0</v>
      </c>
      <c r="AG10" t="inlineStr">
        <is>
          <t>No submission found.</t>
        </is>
      </c>
      <c r="AH10" t="n">
        <v>18</v>
      </c>
      <c r="AI10" t="n">
        <v>0</v>
      </c>
    </row>
    <row r="11">
      <c r="A11" t="n">
        <v>10</v>
      </c>
      <c r="B11" t="inlineStr">
        <is>
          <t>TA_1</t>
        </is>
      </c>
      <c r="C11" t="inlineStr">
        <is>
          <t>TA_11</t>
        </is>
      </c>
      <c r="D11" t="n">
        <v>12</v>
      </c>
      <c r="E11" t="n">
        <v>4</v>
      </c>
      <c r="F11" t="n">
        <v>11</v>
      </c>
      <c r="G11" t="n">
        <v>0</v>
      </c>
      <c r="H11" t="n">
        <v>9.5</v>
      </c>
      <c r="I11" t="n">
        <v>0</v>
      </c>
      <c r="J11" t="n">
        <v>12</v>
      </c>
      <c r="K11" t="n">
        <v>3</v>
      </c>
      <c r="L11" t="n">
        <v>11</v>
      </c>
      <c r="M11" t="n">
        <v>0</v>
      </c>
      <c r="N11" t="n">
        <v>10</v>
      </c>
      <c r="O11" t="n">
        <v>0</v>
      </c>
      <c r="P11">
        <f>Table1[[#This Row],[TA 1 - Q1 Score]]+Table1[[#This Row],[TA 1 - Q2 Score]]+Table1[[#This Row],[TA 1 - Q3 Score]]</f>
        <v/>
      </c>
      <c r="Q11">
        <f>Table1[[#This Row],[TA 1 - Q1 Bonus]]+Table1[[#This Row],[TA 1 - Q2 Bonus]]+Table1[[#This Row],[TA 1 - Q4 Bonus]]</f>
        <v/>
      </c>
      <c r="R11">
        <f>Table1[[#This Row],[TA 2 - Q1 Score]]+Table1[[#This Row],[TA 2 - Q2 Score]]+Table1[[#This Row],[TA 2 - Q3 Score]]</f>
        <v/>
      </c>
      <c r="S11">
        <f>Table1[[#This Row],[TA 2 - Q1 Bonus]]+Table1[[#This Row],[TA 2 - Q2 Bonus]]+Table1[[#This Row],[TA 2 - Q4 Bonus]]</f>
        <v/>
      </c>
      <c r="T11">
        <f>(Table1[[#This Row],[TA 1 - Total Score (out of 35)]]+Table1[[#This Row],[TA 2 - Total Score (out of 35)]])/2</f>
        <v/>
      </c>
      <c r="U11">
        <f>(Table1[[#This Row],[TA 1 - Total Bonus (out of 13)]]+Table1[[#This Row],[TA 2 - Total Bonus (out of 13)]])/2</f>
        <v/>
      </c>
      <c r="V11">
        <f>Table1[[#This Row],[Average Questions]]/35*20+Table1[[#This Row],[Average Bonus]]/13*5</f>
        <v/>
      </c>
      <c r="W11" t="n">
        <v>6</v>
      </c>
      <c r="X11" t="n">
        <v>0</v>
      </c>
      <c r="Y11" t="inlineStr">
        <is>
          <t>The student's submission failed to complete several key tasks, including loading and preparing the data, loading the pretrained model and adapting it, and implementing the training and validation functions. Although the student attempted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2.0/?
- Part 5: Bonus — Test Time Augmentation: 0.0/?</t>
        </is>
      </c>
      <c r="Z11" t="n">
        <v>6</v>
      </c>
      <c r="AA11" t="n">
        <v>0</v>
      </c>
      <c r="AB1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11" t="n">
        <v>6</v>
      </c>
      <c r="AD11" t="inlineStr">
        <is>
          <t>The student's submission failed to meet the requirements of the task. The code was not organized in a way that allowed it to run end-to-end, and several key components were missing or implemented incorrectly. As a result, the student was unable to complete the task and earn any points.
Breakdown:
- Task 1: Dataset Class: 0.0/?
- Task 2: Model Class: 0.0/?
- Task 3: Training and Validation Loops: 0.0/?
- Task 4: Running Training: 0.0/?
- Task 5: Visualizing Predictions: 0.0/?</t>
        </is>
      </c>
      <c r="AE11" t="n">
        <v>0</v>
      </c>
      <c r="AF11" t="n">
        <v>0</v>
      </c>
      <c r="AG11" t="inlineStr">
        <is>
          <t>No submission found.</t>
        </is>
      </c>
      <c r="AH11" t="n">
        <v>18</v>
      </c>
      <c r="AI11" t="n">
        <v>0</v>
      </c>
    </row>
    <row r="12">
      <c r="A12" t="n">
        <v>11</v>
      </c>
      <c r="B12" t="inlineStr">
        <is>
          <t>TA_1</t>
        </is>
      </c>
      <c r="C12" t="inlineStr">
        <is>
          <t>TA_11</t>
        </is>
      </c>
      <c r="D12" t="n">
        <v>12</v>
      </c>
      <c r="E12" t="n">
        <v>4</v>
      </c>
      <c r="F12" t="n">
        <v>6</v>
      </c>
      <c r="G12" t="n">
        <v>0</v>
      </c>
      <c r="H12" t="n">
        <v>12</v>
      </c>
      <c r="I12" t="n">
        <v>0</v>
      </c>
      <c r="J12" t="n">
        <v>10</v>
      </c>
      <c r="K12" t="n">
        <v>4</v>
      </c>
      <c r="L12" t="n">
        <v>5.5</v>
      </c>
      <c r="M12" t="n">
        <v>0</v>
      </c>
      <c r="N12" t="n">
        <v>11.5</v>
      </c>
      <c r="O12" t="n">
        <v>0</v>
      </c>
      <c r="P12">
        <f>Table1[[#This Row],[TA 1 - Q1 Score]]+Table1[[#This Row],[TA 1 - Q2 Score]]+Table1[[#This Row],[TA 1 - Q3 Score]]</f>
        <v/>
      </c>
      <c r="Q12">
        <f>Table1[[#This Row],[TA 1 - Q1 Bonus]]+Table1[[#This Row],[TA 1 - Q2 Bonus]]+Table1[[#This Row],[TA 1 - Q4 Bonus]]</f>
        <v/>
      </c>
      <c r="R12">
        <f>Table1[[#This Row],[TA 2 - Q1 Score]]+Table1[[#This Row],[TA 2 - Q2 Score]]+Table1[[#This Row],[TA 2 - Q3 Score]]</f>
        <v/>
      </c>
      <c r="S12">
        <f>Table1[[#This Row],[TA 2 - Q1 Bonus]]+Table1[[#This Row],[TA 2 - Q2 Bonus]]+Table1[[#This Row],[TA 2 - Q4 Bonus]]</f>
        <v/>
      </c>
      <c r="T12">
        <f>(Table1[[#This Row],[TA 1 - Total Score (out of 35)]]+Table1[[#This Row],[TA 2 - Total Score (out of 35)]])/2</f>
        <v/>
      </c>
      <c r="U12">
        <f>(Table1[[#This Row],[TA 1 - Total Bonus (out of 13)]]+Table1[[#This Row],[TA 2 - Total Bonus (out of 13)]])/2</f>
        <v/>
      </c>
      <c r="V12">
        <f>Table1[[#This Row],[Average Questions]]/35*20+Table1[[#This Row],[Average Bonus]]/13*5</f>
        <v/>
      </c>
      <c r="W12" t="n">
        <v>6</v>
      </c>
      <c r="X12" t="n">
        <v>0</v>
      </c>
      <c r="Y12" t="inlineStr">
        <is>
          <t>The student's submission failed to complete several key tasks, including loading and preparing the data, loading the pretrained model and adapting it, and implementing the training and validation functions. While the student did attempt to train the model and implement test time augmentation, their code contained several syntax and logic mistakes, resulting in a low score for these tasks. Overall, the student's submission demonstrated a lack of understanding of the required tasks and concepts.
Breakdown:
- Part 1: Load and Prepare Data: 0.0/?
- Part 2: Load Pretrained Model and Adapt: 0.0/?
- Part 3: Training and Validation Functions: 0.0/?
- Part 4: Training: 2.5/?
- Part 5: Bonus — Test Time Augmentation: 0.0/?</t>
        </is>
      </c>
      <c r="Z12" t="n">
        <v>4</v>
      </c>
      <c r="AA12" t="n">
        <v>0</v>
      </c>
      <c r="AB12"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2" t="n">
        <v>6</v>
      </c>
      <c r="AD12"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2" t="n">
        <v>0</v>
      </c>
      <c r="AF12" t="n">
        <v>0</v>
      </c>
      <c r="AG12" t="inlineStr">
        <is>
          <t>No submission found.</t>
        </is>
      </c>
      <c r="AH12" t="n">
        <v>16</v>
      </c>
      <c r="AI12" t="n">
        <v>0</v>
      </c>
    </row>
    <row r="13">
      <c r="A13" t="n">
        <v>12</v>
      </c>
      <c r="B13" t="inlineStr">
        <is>
          <t>TA_1</t>
        </is>
      </c>
      <c r="C13" t="inlineStr">
        <is>
          <t>TA_11</t>
        </is>
      </c>
      <c r="D13" t="n">
        <v>7.5</v>
      </c>
      <c r="E13" t="n">
        <v>4</v>
      </c>
      <c r="F13" t="n">
        <v>11</v>
      </c>
      <c r="G13" t="n">
        <v>0</v>
      </c>
      <c r="H13" t="n">
        <v>12</v>
      </c>
      <c r="I13" t="n">
        <v>0</v>
      </c>
      <c r="J13" t="n">
        <v>7.5</v>
      </c>
      <c r="K13" t="n">
        <v>3</v>
      </c>
      <c r="L13" t="n">
        <v>9.75</v>
      </c>
      <c r="M13" t="n">
        <v>0</v>
      </c>
      <c r="N13" t="n">
        <v>12</v>
      </c>
      <c r="O13" t="n">
        <v>0</v>
      </c>
      <c r="P13">
        <f>Table1[[#This Row],[TA 1 - Q1 Score]]+Table1[[#This Row],[TA 1 - Q2 Score]]+Table1[[#This Row],[TA 1 - Q3 Score]]</f>
        <v/>
      </c>
      <c r="Q13">
        <f>Table1[[#This Row],[TA 1 - Q1 Bonus]]+Table1[[#This Row],[TA 1 - Q2 Bonus]]+Table1[[#This Row],[TA 1 - Q4 Bonus]]</f>
        <v/>
      </c>
      <c r="R13">
        <f>Table1[[#This Row],[TA 2 - Q1 Score]]+Table1[[#This Row],[TA 2 - Q2 Score]]+Table1[[#This Row],[TA 2 - Q3 Score]]</f>
        <v/>
      </c>
      <c r="S13">
        <f>Table1[[#This Row],[TA 2 - Q1 Bonus]]+Table1[[#This Row],[TA 2 - Q2 Bonus]]+Table1[[#This Row],[TA 2 - Q4 Bonus]]</f>
        <v/>
      </c>
      <c r="T13">
        <f>(Table1[[#This Row],[TA 1 - Total Score (out of 35)]]+Table1[[#This Row],[TA 2 - Total Score (out of 35)]])/2</f>
        <v/>
      </c>
      <c r="U13">
        <f>(Table1[[#This Row],[TA 1 - Total Bonus (out of 13)]]+Table1[[#This Row],[TA 2 - Total Bonus (out of 13)]])/2</f>
        <v/>
      </c>
      <c r="V13">
        <f>Table1[[#This Row],[Average Questions]]/35*20+Table1[[#This Row],[Average Bonus]]/13*5</f>
        <v/>
      </c>
      <c r="W13" t="n">
        <v>6</v>
      </c>
      <c r="X13" t="n">
        <v>0</v>
      </c>
      <c r="Y13"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produce a working solution.
Breakdown:
- Part 1: Load and Prepare Data: 0.0/?
- Part 2: Load Pretrained Model and Adapt: 0.0/?
- Part 3: Training and Validation Functions: 1.5/?
- Part 4: Training: 0.0/?
- Part 5: Bonus — Test Time Augmentation: 0.0/?</t>
        </is>
      </c>
      <c r="Z13" t="n">
        <v>6</v>
      </c>
      <c r="AA13" t="n">
        <v>0</v>
      </c>
      <c r="AB1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As a result, the student's score is limited to the points awarded for the training task, which was partially completed.
Breakdown:
- Part 1: Load and Prepare Data: 0.0/?
- Part 2: Build the CNN Model: 0.0/?
- Part 3: Training and Validation Functions: 0.0/?
- Part 4: Training: 2.0/?
- Part 5: Bonus — Residual Connection: 0.0/?</t>
        </is>
      </c>
      <c r="AC13" t="n">
        <v>6</v>
      </c>
      <c r="AD13" t="inlineStr">
        <is>
          <t>The student's submission had several issues. The dataset class was not implemented correctly, and the model class was not defined correctly. The training and validation loops were not implemented correctly, and the student used a different loss function. The student defined the loss and optimizer correctly, but the training loop was not implemented correctly. The student did not visualize the predictions correctly. Overall, the student's submission had several issues and did not meet the requirements of the task.
Breakdown:
- Task 1: Dataset Class: 0.0/?
- Task 2: Model Class: 0.0/?
- Task 3: Training and Validation Loops: 0.0/?
- Task 4: Running Training: 1.5/?
- Task 5: Visualizing Predictions: 0.0/?</t>
        </is>
      </c>
      <c r="AE13" t="n">
        <v>0</v>
      </c>
      <c r="AF13" t="n">
        <v>0</v>
      </c>
      <c r="AG13" t="inlineStr">
        <is>
          <t>No submission found.</t>
        </is>
      </c>
      <c r="AH13" t="n">
        <v>18</v>
      </c>
      <c r="AI13" t="n">
        <v>0</v>
      </c>
    </row>
    <row r="14">
      <c r="A14" t="n">
        <v>13</v>
      </c>
      <c r="B14" t="inlineStr">
        <is>
          <t>TA_1</t>
        </is>
      </c>
      <c r="C14" t="inlineStr">
        <is>
          <t>TA_11</t>
        </is>
      </c>
      <c r="D14" t="n">
        <v>6</v>
      </c>
      <c r="E14" t="n">
        <v>0</v>
      </c>
      <c r="F14" t="n">
        <v>9</v>
      </c>
      <c r="G14" t="n">
        <v>0</v>
      </c>
      <c r="H14" t="n">
        <v>2</v>
      </c>
      <c r="I14" t="n">
        <v>0</v>
      </c>
      <c r="J14" t="n">
        <v>5.5</v>
      </c>
      <c r="K14" t="n">
        <v>0</v>
      </c>
      <c r="L14" t="n">
        <v>6.75</v>
      </c>
      <c r="M14" t="n">
        <v>0</v>
      </c>
      <c r="N14" t="n">
        <v>-1</v>
      </c>
      <c r="O14" t="n">
        <v>0</v>
      </c>
      <c r="P14">
        <f>Table1[[#This Row],[TA 1 - Q1 Score]]+Table1[[#This Row],[TA 1 - Q2 Score]]+Table1[[#This Row],[TA 1 - Q3 Score]]</f>
        <v/>
      </c>
      <c r="Q14">
        <f>Table1[[#This Row],[TA 1 - Q1 Bonus]]+Table1[[#This Row],[TA 1 - Q2 Bonus]]+Table1[[#This Row],[TA 1 - Q4 Bonus]]</f>
        <v/>
      </c>
      <c r="R14">
        <f>Table1[[#This Row],[TA 2 - Q1 Score]]+Table1[[#This Row],[TA 2 - Q2 Score]]+Table1[[#This Row],[TA 2 - Q3 Score]]</f>
        <v/>
      </c>
      <c r="S14">
        <f>Table1[[#This Row],[TA 2 - Q1 Bonus]]+Table1[[#This Row],[TA 2 - Q2 Bonus]]+Table1[[#This Row],[TA 2 - Q4 Bonus]]</f>
        <v/>
      </c>
      <c r="T14">
        <f>(Table1[[#This Row],[TA 1 - Total Score (out of 35)]]+Table1[[#This Row],[TA 2 - Total Score (out of 35)]])/2</f>
        <v/>
      </c>
      <c r="U14">
        <f>(Table1[[#This Row],[TA 1 - Total Bonus (out of 13)]]+Table1[[#This Row],[TA 2 - Total Bonus (out of 13)]])/2</f>
        <v/>
      </c>
      <c r="V14">
        <f>Table1[[#This Row],[Average Questions]]/35*20+Table1[[#This Row],[Average Bonus]]/13*5</f>
        <v/>
      </c>
      <c r="W14" t="n">
        <v>6</v>
      </c>
      <c r="X14" t="n">
        <v>0</v>
      </c>
      <c r="Y14"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approach to the bonus task was entirely wrong, disregarding explicit instructions and using a different structure than the reference solution. As a result, the student earned a score of 6.0, with no bonus points awarded.
Breakdown:
- Part 1: Load and Prepare Data: 0.0/?
- Part 2: Load Pretrained Model and Adapt: 0.0/?
- Part 3: Training and Validation Functions: 0.0/?
- Part 4: Training: 2.5/?
- Part 5: Bonus — Test Time Augmentation: 0.0/?</t>
        </is>
      </c>
      <c r="Z14" t="n">
        <v>4</v>
      </c>
      <c r="AA14" t="n">
        <v>0</v>
      </c>
      <c r="AB14"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4" t="n">
        <v>6</v>
      </c>
      <c r="AD1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for the bonus tasks.
Breakdown:
- Task 1: Dataset Class: 0.0/?
- Task 2: Model Class: 0.0/?
- Task 3: Training and Validation Loops: 0.0/?
- Task 4: Running Training: 0.0/?
- Task 5: Visualizing Predictions: 6.0/?</t>
        </is>
      </c>
      <c r="AE14" t="n">
        <v>0</v>
      </c>
      <c r="AF14" t="n">
        <v>0</v>
      </c>
      <c r="AG14" t="inlineStr">
        <is>
          <t>No submission found.</t>
        </is>
      </c>
      <c r="AH14" t="n">
        <v>16</v>
      </c>
      <c r="AI14" t="n">
        <v>0</v>
      </c>
    </row>
    <row r="15">
      <c r="A15" t="n">
        <v>14</v>
      </c>
      <c r="B15" t="inlineStr">
        <is>
          <t>TA_1</t>
        </is>
      </c>
      <c r="C15" t="inlineStr">
        <is>
          <t>TA_11</t>
        </is>
      </c>
      <c r="D15" t="n">
        <v>12</v>
      </c>
      <c r="E15" t="n">
        <v>4</v>
      </c>
      <c r="F15" t="n">
        <v>11</v>
      </c>
      <c r="G15" t="n">
        <v>4</v>
      </c>
      <c r="H15" t="n">
        <v>11</v>
      </c>
      <c r="I15" t="n">
        <v>0</v>
      </c>
      <c r="J15" t="n">
        <v>12</v>
      </c>
      <c r="K15" t="n">
        <v>4</v>
      </c>
      <c r="L15" t="n">
        <v>11</v>
      </c>
      <c r="M15" t="n">
        <v>4</v>
      </c>
      <c r="N15" t="n">
        <v>11</v>
      </c>
      <c r="O15" t="n">
        <v>0</v>
      </c>
      <c r="P15">
        <f>Table1[[#This Row],[TA 1 - Q1 Score]]+Table1[[#This Row],[TA 1 - Q2 Score]]+Table1[[#This Row],[TA 1 - Q3 Score]]</f>
        <v/>
      </c>
      <c r="Q15">
        <f>Table1[[#This Row],[TA 1 - Q1 Bonus]]+Table1[[#This Row],[TA 1 - Q2 Bonus]]+Table1[[#This Row],[TA 1 - Q4 Bonus]]</f>
        <v/>
      </c>
      <c r="R15">
        <f>Table1[[#This Row],[TA 2 - Q1 Score]]+Table1[[#This Row],[TA 2 - Q2 Score]]+Table1[[#This Row],[TA 2 - Q3 Score]]</f>
        <v/>
      </c>
      <c r="S15">
        <f>Table1[[#This Row],[TA 2 - Q1 Bonus]]+Table1[[#This Row],[TA 2 - Q2 Bonus]]+Table1[[#This Row],[TA 2 - Q4 Bonus]]</f>
        <v/>
      </c>
      <c r="T15">
        <f>(Table1[[#This Row],[TA 1 - Total Score (out of 35)]]+Table1[[#This Row],[TA 2 - Total Score (out of 35)]])/2</f>
        <v/>
      </c>
      <c r="U15">
        <f>(Table1[[#This Row],[TA 1 - Total Bonus (out of 13)]]+Table1[[#This Row],[TA 2 - Total Bonus (out of 13)]])/2</f>
        <v/>
      </c>
      <c r="V15">
        <f>Table1[[#This Row],[Average Questions]]/35*20+Table1[[#This Row],[Average Bonus]]/13*5</f>
        <v/>
      </c>
      <c r="W15" t="n">
        <v>9.5</v>
      </c>
      <c r="X15" t="n">
        <v>3</v>
      </c>
      <c r="Y15" t="inlineStr">
        <is>
          <t>The student's submission demonstrates a good understanding of the task requirements but lacks attention to detail in implementing the necessary code. The transforms for data preparation are incomplete, and the data loaders are not created correctly. The model loading and adaptation are partially correct, but the training and validation functions are not implemented correctly. The training process is also not fully implemented. However, the student has attempted to implement the test time augmentation correctly, earning them 3 points for the bonus task.
Breakdown:
- Part 1: Load and Prepare Data: 0.0/?
- Task 1: Complete transforms (Resize, ToTensor, Normalize): 0.0/?
- Task 2: Create DataLoaders: 0.0/?
- Task 3: Display sample images: 1.0/?
- Part 2: Load Pretrained Model and Adapt: 0.0/?
- Task 1: Load pretrained EfficientNetV2-Small: 0.5/?
- Task 2: Freeze the backbone (feature extractor): 0.0/?
- Task 3: Replace classifier head for 26 classes: 1.0/?
- Part 3: Training and Validation Functions: 0.0/?
- Correct training loop: 0.0/?
- Correct validation loop: 0.0/?
- Label Fix: Fixed labels (subtract 1 for 0-indexed): 0.0/?
- Penalty: Did NOT fix labels (1–26 instead of 0–25): -2.0/?
- Part 4: Training: 2.5/?
- Task 1: Set up device, model, loss, optimizer: 1.0/?
- Task 2: Train the model: 0.5/?
- Task 3: Plot training and validation losses: 0.0/?
- Task 4: Plot training and validation accuracy: 0.0/?
- Part 5: Bonus — Test Time Augmentation: 3.0/?
- Defined 3 predictions correctly (original, h flip, v flip): 3.0/?
- Averaged predictions correctly: 0.0/?</t>
        </is>
      </c>
      <c r="Z15" t="n">
        <v>6</v>
      </c>
      <c r="AA15" t="n">
        <v>0</v>
      </c>
      <c r="AB15" t="inlineStr">
        <is>
          <t>The student's submission failed to meet the requirements for most tasks. In Part 1, the student incorrectly resized the images to 32x32 instead of 128x128. In Part 2, the student did not implement the CNN model with the correct architecture. In Part 3, the student did not define the training and validation functions. In Part 4, the student only partially implemented the training process. In Part 5, the student did not implement the residual connection correctly. As a result, the student's submission did not run end-to-end and did not produce the expected output.
Breakdown:
- Part 1: Load and Prepare Data: 0.0/?
- Part 2: Build the CNN Model: 0.0/?
- Part 3: Training and Validation Functions: 0.0/?
- Part 4: Training: 2.0/?
- Part 5: Bonus — Residual Connection: 0.0/?</t>
        </is>
      </c>
      <c r="AC15" t="n">
        <v>6</v>
      </c>
      <c r="AD15" t="inlineStr">
        <is>
          <t>The student's submission failed to address several key tasks in the rubric, including building a custom dataset class, defining a model class, and implementing training and validation loops. While the student did attempt to visualize predictions, their code did not meet the requirements of the task, which included displaying the ground truth and prediction for multiple images. As a result, the student's score is significantly lower than the maximum possible score.
Breakdown:
- Task 1: Dataset Class: 0.0/?
- Task 2: Model Class: 0.0/?
- Task 3: Training and Validation Loops: 0.0/?
- Task 4: Running Training: 0.0/?
- Task 5: Visualizing Predictions: 6.0/?</t>
        </is>
      </c>
      <c r="AE15" t="n">
        <v>0</v>
      </c>
      <c r="AF15" t="n">
        <v>0</v>
      </c>
      <c r="AG15" t="inlineStr">
        <is>
          <t>No submission found.</t>
        </is>
      </c>
      <c r="AH15" t="n">
        <v>21.5</v>
      </c>
      <c r="AI15" t="n">
        <v>3</v>
      </c>
    </row>
    <row r="16">
      <c r="A16" t="n">
        <v>15</v>
      </c>
      <c r="B16" t="inlineStr">
        <is>
          <t>TA_1</t>
        </is>
      </c>
      <c r="C16" t="inlineStr">
        <is>
          <t>TA_11</t>
        </is>
      </c>
      <c r="D16" t="n">
        <v>8.5</v>
      </c>
      <c r="E16" t="n">
        <v>0</v>
      </c>
      <c r="F16" t="n">
        <v>8.5</v>
      </c>
      <c r="G16" t="n">
        <v>0</v>
      </c>
      <c r="H16" t="n">
        <v>5</v>
      </c>
      <c r="I16" t="n">
        <v>0</v>
      </c>
      <c r="J16" t="n">
        <v>5.25</v>
      </c>
      <c r="K16" t="n">
        <v>0</v>
      </c>
      <c r="L16" t="n">
        <v>7</v>
      </c>
      <c r="M16" t="n">
        <v>0</v>
      </c>
      <c r="N16" t="n">
        <v>-1.5</v>
      </c>
      <c r="O16" t="n">
        <v>0</v>
      </c>
      <c r="P16">
        <f>Table1[[#This Row],[TA 1 - Q1 Score]]+Table1[[#This Row],[TA 1 - Q2 Score]]+Table1[[#This Row],[TA 1 - Q3 Score]]</f>
        <v/>
      </c>
      <c r="Q16">
        <f>Table1[[#This Row],[TA 1 - Q1 Bonus]]+Table1[[#This Row],[TA 1 - Q2 Bonus]]+Table1[[#This Row],[TA 1 - Q4 Bonus]]</f>
        <v/>
      </c>
      <c r="R16">
        <f>Table1[[#This Row],[TA 2 - Q1 Score]]+Table1[[#This Row],[TA 2 - Q2 Score]]+Table1[[#This Row],[TA 2 - Q3 Score]]</f>
        <v/>
      </c>
      <c r="S16">
        <f>Table1[[#This Row],[TA 2 - Q1 Bonus]]+Table1[[#This Row],[TA 2 - Q2 Bonus]]+Table1[[#This Row],[TA 2 - Q4 Bonus]]</f>
        <v/>
      </c>
      <c r="T16">
        <f>(Table1[[#This Row],[TA 1 - Total Score (out of 35)]]+Table1[[#This Row],[TA 2 - Total Score (out of 35)]])/2</f>
        <v/>
      </c>
      <c r="U16">
        <f>(Table1[[#This Row],[TA 1 - Total Bonus (out of 13)]]+Table1[[#This Row],[TA 2 - Total Bonus (out of 13)]])/2</f>
        <v/>
      </c>
      <c r="V16">
        <f>Table1[[#This Row],[Average Questions]]/35*20+Table1[[#This Row],[Average Bonus]]/13*5</f>
        <v/>
      </c>
      <c r="W16" t="n">
        <v>6</v>
      </c>
      <c r="X16" t="n">
        <v>0</v>
      </c>
      <c r="Y16"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resulting in a low overall score.
Breakdown:
- Part 1: Load and Prepare Data: 0.0/?
- Part 2: Load Pretrained Model and Adapt: 0.0/?
- Part 3: Training and Validation Functions: 0.0/?
- Part 4: Training: 3.0/?
- Part 5: Bonus — Test Time Augmentation: 0.0/?</t>
        </is>
      </c>
      <c r="Z16" t="n">
        <v>4</v>
      </c>
      <c r="AA16" t="n">
        <v>0</v>
      </c>
      <c r="AB16" t="inlineStr">
        <is>
          <t>The student's submission failed to meet the requirements of the task. The code was not organized in a way that was easy to follow, and many of the tasks were not completed correctly. The CNN model class was not implemented correctly, and the training loop function was not implemented correctly. The model was not trained correctly, and the residual connection was not implemented correctly. Overall, the submission did not demonstrate a clear understanding of the task requirements.
Breakdown:
- Part 1: Load and Prepare Data: 0.0/?
- Part 2: Build the CNN Model: 0.0/?
- Part 3: Training and Validation Functions: 0.0/?
- Part 4: Training: 0.0/?
- Part 5: Bonus — Residual Connection: 0.0/?</t>
        </is>
      </c>
      <c r="AC16" t="n">
        <v>6</v>
      </c>
      <c r="AD16" t="inlineStr">
        <is>
          <t>The student's submission failed to meet the requirements of several tasks, including the dataset class, model class, training and validation loops, running training, and visualizing predictions. The code was often incorrect or incomplete, and the student failed to implement several key components of the task. As a result, the student earned a score of 6.0, with no bonus points awarded.
Breakdown:
- Task 1: Dataset Class: 0.0/?
- Task 2: Model Class: 0.0/?
- Task 3: Training and Validation Loops: 0.0/?
- Task 4: Running Training: 0.0/?
- Task 5: Visualizing Predictions: 0.0/?</t>
        </is>
      </c>
      <c r="AE16" t="n">
        <v>0</v>
      </c>
      <c r="AF16" t="n">
        <v>0</v>
      </c>
      <c r="AG16" t="inlineStr">
        <is>
          <t>No submission found.</t>
        </is>
      </c>
      <c r="AH16" t="n">
        <v>16</v>
      </c>
      <c r="AI16" t="n">
        <v>0</v>
      </c>
    </row>
    <row r="17">
      <c r="A17" t="n">
        <v>16</v>
      </c>
      <c r="B17" t="inlineStr">
        <is>
          <t>TA_1</t>
        </is>
      </c>
      <c r="C17" t="inlineStr">
        <is>
          <t>TA_11</t>
        </is>
      </c>
      <c r="D17" t="n">
        <v>8</v>
      </c>
      <c r="E17" t="n">
        <v>0</v>
      </c>
      <c r="F17" t="n">
        <v>9</v>
      </c>
      <c r="G17" t="n">
        <v>0</v>
      </c>
      <c r="H17" t="n">
        <v>8.5</v>
      </c>
      <c r="I17" t="n">
        <v>0</v>
      </c>
      <c r="J17" t="n">
        <v>7</v>
      </c>
      <c r="K17" t="n">
        <v>0</v>
      </c>
      <c r="L17" t="n">
        <v>8.25</v>
      </c>
      <c r="M17" t="n">
        <v>0</v>
      </c>
      <c r="N17" t="n">
        <v>7</v>
      </c>
      <c r="O17" t="n">
        <v>0</v>
      </c>
      <c r="P17">
        <f>Table1[[#This Row],[TA 1 - Q1 Score]]+Table1[[#This Row],[TA 1 - Q2 Score]]+Table1[[#This Row],[TA 1 - Q3 Score]]</f>
        <v/>
      </c>
      <c r="Q17">
        <f>Table1[[#This Row],[TA 1 - Q1 Bonus]]+Table1[[#This Row],[TA 1 - Q2 Bonus]]+Table1[[#This Row],[TA 1 - Q4 Bonus]]</f>
        <v/>
      </c>
      <c r="R17">
        <f>Table1[[#This Row],[TA 2 - Q1 Score]]+Table1[[#This Row],[TA 2 - Q2 Score]]+Table1[[#This Row],[TA 2 - Q3 Score]]</f>
        <v/>
      </c>
      <c r="S17">
        <f>Table1[[#This Row],[TA 2 - Q1 Bonus]]+Table1[[#This Row],[TA 2 - Q2 Bonus]]+Table1[[#This Row],[TA 2 - Q4 Bonus]]</f>
        <v/>
      </c>
      <c r="T17">
        <f>(Table1[[#This Row],[TA 1 - Total Score (out of 35)]]+Table1[[#This Row],[TA 2 - Total Score (out of 35)]])/2</f>
        <v/>
      </c>
      <c r="U17">
        <f>(Table1[[#This Row],[TA 1 - Total Bonus (out of 13)]]+Table1[[#This Row],[TA 2 - Total Bonus (out of 13)]])/2</f>
        <v/>
      </c>
      <c r="V17">
        <f>Table1[[#This Row],[Average Questions]]/35*20+Table1[[#This Row],[Average Bonus]]/13*5</f>
        <v/>
      </c>
      <c r="W17" t="n">
        <v>6</v>
      </c>
      <c r="X17" t="n">
        <v>0</v>
      </c>
      <c r="Y17" t="inlineStr">
        <is>
          <t>The student failed to complete the transforms in Part 1, and the model loading and adaptation in Part 2. The training and validation functions in Part 3 were partially correct, but the training process in Part 4 was not implemented. The bonus task in Part 5 was not attempted.
Breakdown:
- Part 1: Load and Prepare Data: 0.0/?
- Part 2: Load Pretrained Model and Adapt: 0.0/?
- Part 3: Training and Validation Functions: 1.5/?
- Part 4: Training: 0.0/?
- Part 5: Bonus — Test Time Augmentation: 0.0/?</t>
        </is>
      </c>
      <c r="Z17" t="n">
        <v>4</v>
      </c>
      <c r="AA17" t="n">
        <v>0</v>
      </c>
      <c r="AB17"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7" t="n">
        <v>6</v>
      </c>
      <c r="AD17" t="inlineStr">
        <is>
          <t>The student's submission failed to meet the requirements of the task. The code was not organized in a way that allowed it to run end-to-end, and several tasks were not completed correctly. The student did not define the dataset class, model class, training and validation loops, or the running training process correctly. The visualization of predictions was also not defined correctly. As a result, the student did not earn any points for this task.
Breakdown:
- Task 1: Dataset Class: 0.0/?
- Task 2: Model Class: 0.0/?
- Task 3: Training and Validation Loops: 0.0/?
- Task 4: Running Training: 0.0/?
- Task 5: Visualizing Predictions: 0.0/?</t>
        </is>
      </c>
      <c r="AE17" t="n">
        <v>0</v>
      </c>
      <c r="AF17" t="n">
        <v>0</v>
      </c>
      <c r="AG17" t="inlineStr">
        <is>
          <t>No submission found.</t>
        </is>
      </c>
      <c r="AH17" t="n">
        <v>16</v>
      </c>
      <c r="AI17" t="n">
        <v>0</v>
      </c>
    </row>
    <row r="18">
      <c r="A18" t="n">
        <v>17</v>
      </c>
      <c r="B18" t="inlineStr">
        <is>
          <t>TA_1</t>
        </is>
      </c>
      <c r="C18" t="inlineStr">
        <is>
          <t>TA_11</t>
        </is>
      </c>
      <c r="D18" t="n">
        <v>6.5</v>
      </c>
      <c r="E18" t="n">
        <v>0</v>
      </c>
      <c r="F18" t="n">
        <v>9</v>
      </c>
      <c r="G18" t="n">
        <v>0</v>
      </c>
      <c r="H18" t="n">
        <v>4.5</v>
      </c>
      <c r="I18" t="n">
        <v>0</v>
      </c>
      <c r="J18" t="n">
        <v>6</v>
      </c>
      <c r="K18" t="n">
        <v>0</v>
      </c>
      <c r="L18" t="n">
        <v>4.75</v>
      </c>
      <c r="M18" t="n">
        <v>0</v>
      </c>
      <c r="N18" t="n">
        <v>-0.5</v>
      </c>
      <c r="O18" t="n">
        <v>0</v>
      </c>
      <c r="P18">
        <f>Table1[[#This Row],[TA 1 - Q1 Score]]+Table1[[#This Row],[TA 1 - Q2 Score]]+Table1[[#This Row],[TA 1 - Q3 Score]]</f>
        <v/>
      </c>
      <c r="Q18">
        <f>Table1[[#This Row],[TA 1 - Q1 Bonus]]+Table1[[#This Row],[TA 1 - Q2 Bonus]]+Table1[[#This Row],[TA 1 - Q4 Bonus]]</f>
        <v/>
      </c>
      <c r="R18">
        <f>Table1[[#This Row],[TA 2 - Q1 Score]]+Table1[[#This Row],[TA 2 - Q2 Score]]+Table1[[#This Row],[TA 2 - Q3 Score]]</f>
        <v/>
      </c>
      <c r="S18">
        <f>Table1[[#This Row],[TA 2 - Q1 Bonus]]+Table1[[#This Row],[TA 2 - Q2 Bonus]]+Table1[[#This Row],[TA 2 - Q4 Bonus]]</f>
        <v/>
      </c>
      <c r="T18">
        <f>(Table1[[#This Row],[TA 1 - Total Score (out of 35)]]+Table1[[#This Row],[TA 2 - Total Score (out of 35)]])/2</f>
        <v/>
      </c>
      <c r="U18">
        <f>(Table1[[#This Row],[TA 1 - Total Bonus (out of 13)]]+Table1[[#This Row],[TA 2 - Total Bonus (out of 13)]])/2</f>
        <v/>
      </c>
      <c r="V18">
        <f>Table1[[#This Row],[Average Questions]]/35*20+Table1[[#This Row],[Average Bonus]]/13*5</f>
        <v/>
      </c>
      <c r="W18" t="n">
        <v>6</v>
      </c>
      <c r="X18" t="n">
        <v>0</v>
      </c>
      <c r="Y18" t="inlineStr">
        <is>
          <t>The student's submission failed to complete several key tasks, including loading and preparing the data, loading a pretrained model and adapting it for the task, and implementing training and validation functions. While the student did attempt to train the model and plot losses and accuracy, their code contained several errors and did not run end-to-end. The student's approach to the bonus task was also incorrect, and they failed to implement test time augmentation. As a result, the student's score is low, reflecting the significant gaps in their submission.
Breakdown:
- Part 1: Load and Prepare Data: 0.0/?
- Part 2: Load Pretrained Model and Adapt: 0.0/?
- Part 3: Training and Validation Functions: 0.0/?
- Part 4: Training: 2.0/?
- Part 5: Bonus — Test Time Augmentation: 0.0/?</t>
        </is>
      </c>
      <c r="Z18" t="n">
        <v>4</v>
      </c>
      <c r="AA18" t="n">
        <v>0</v>
      </c>
      <c r="AB18"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8" t="n">
        <v>6</v>
      </c>
      <c r="AD18"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positive aspect of their submission. Overall, the student's submission was incomplete and had several errors, resulting in a low score.
Breakdown:
- Task 1: Dataset Class: 0.0/?
- Task 2: Model Class: 0.0/?
- Task 3: Training and Validation Loops: 0.0/?
- Task 4: Running Training: 0.0/?
- Task 5: Visualizing Predictions: 6.0/?</t>
        </is>
      </c>
      <c r="AE18" t="n">
        <v>0</v>
      </c>
      <c r="AF18" t="n">
        <v>0</v>
      </c>
      <c r="AG18" t="inlineStr">
        <is>
          <t>No submission found.</t>
        </is>
      </c>
      <c r="AH18" t="n">
        <v>16</v>
      </c>
      <c r="AI18" t="n">
        <v>0</v>
      </c>
    </row>
    <row r="19">
      <c r="A19" t="n">
        <v>18</v>
      </c>
      <c r="B19" t="inlineStr">
        <is>
          <t>TA_1</t>
        </is>
      </c>
      <c r="C19" t="inlineStr">
        <is>
          <t>TA_11</t>
        </is>
      </c>
      <c r="D19" t="n">
        <v>11</v>
      </c>
      <c r="E19" t="n">
        <v>0</v>
      </c>
      <c r="F19" t="n">
        <v>11</v>
      </c>
      <c r="G19" t="n">
        <v>0</v>
      </c>
      <c r="H19" t="n">
        <v>11</v>
      </c>
      <c r="I19" t="n">
        <v>5</v>
      </c>
      <c r="J19" t="n">
        <v>5.5</v>
      </c>
      <c r="K19" t="n">
        <v>0</v>
      </c>
      <c r="L19" t="n">
        <v>10.25</v>
      </c>
      <c r="M19" t="n">
        <v>0</v>
      </c>
      <c r="N19" t="n">
        <v>10.5</v>
      </c>
      <c r="O19" t="n">
        <v>0</v>
      </c>
      <c r="P19">
        <f>Table1[[#This Row],[TA 1 - Q1 Score]]+Table1[[#This Row],[TA 1 - Q2 Score]]+Table1[[#This Row],[TA 1 - Q3 Score]]</f>
        <v/>
      </c>
      <c r="Q19">
        <f>Table1[[#This Row],[TA 1 - Q1 Bonus]]+Table1[[#This Row],[TA 1 - Q2 Bonus]]+Table1[[#This Row],[TA 1 - Q4 Bonus]]</f>
        <v/>
      </c>
      <c r="R19">
        <f>Table1[[#This Row],[TA 2 - Q1 Score]]+Table1[[#This Row],[TA 2 - Q2 Score]]+Table1[[#This Row],[TA 2 - Q3 Score]]</f>
        <v/>
      </c>
      <c r="S19">
        <f>Table1[[#This Row],[TA 2 - Q1 Bonus]]+Table1[[#This Row],[TA 2 - Q2 Bonus]]+Table1[[#This Row],[TA 2 - Q4 Bonus]]</f>
        <v/>
      </c>
      <c r="T19">
        <f>(Table1[[#This Row],[TA 1 - Total Score (out of 35)]]+Table1[[#This Row],[TA 2 - Total Score (out of 35)]])/2</f>
        <v/>
      </c>
      <c r="U19">
        <f>(Table1[[#This Row],[TA 1 - Total Bonus (out of 13)]]+Table1[[#This Row],[TA 2 - Total Bonus (out of 13)]])/2</f>
        <v/>
      </c>
      <c r="V19">
        <f>Table1[[#This Row],[Average Questions]]/35*20+Table1[[#This Row],[Average Bonus]]/13*5</f>
        <v/>
      </c>
      <c r="W19" t="n">
        <v>6</v>
      </c>
      <c r="X19" t="n">
        <v>0</v>
      </c>
      <c r="Y19" t="inlineStr">
        <is>
          <t>The student's submission failed to complete several key tasks, including loading and preparing data, loading a pretrained model, and implementing training and validation functions. While the student made an attempt at training the model, their code contained several errors and did not run end-to-end. The bonus task was not attempted. Overall, the submission demonstrated a lack of understanding of the required tasks and concepts.
Breakdown:
- Part 1: Load and Prepare Data: 0.0/?
- Part 2: Load Pretrained Model and Adapt: 0.0/?
- Part 3: Training and Validation Functions: 0.0/?
- Part 4: Training: 2.0/?
- Part 5: Bonus — Test Time Augmentation: 0.0/?</t>
        </is>
      </c>
      <c r="Z19" t="n">
        <v>4</v>
      </c>
      <c r="AA19" t="n">
        <v>0</v>
      </c>
      <c r="AB19" t="inlineStr">
        <is>
          <t>The submission failed to load and prepare the data correctly, and the CNN model was not built as per the reference solution. The training and validation functions were not implemented, and the model was not trained. The bonus task of adding a residual connection was not attempted. The code was disorganized and failed to run end-to-end.
Breakdown:
- Part 1: Load and Prepare Data: 0.0/?
- Part 2: Build the CNN Model: 0.0/?
- Part 3: Training and Validation Functions: 0.0/?
- Part 4: Training: 0.0/?
- Part 5: Bonus — Residual Connection: 0.0/?</t>
        </is>
      </c>
      <c r="AC19" t="n">
        <v>6</v>
      </c>
      <c r="AD19" t="inlineStr">
        <is>
          <t>The student's submission failed to address several key tasks, including building a custom dataset class, defining a model class, and implementing training and validation loops. As a result, the submission was unable to run end-to-end and failed to meet the requirements of the question. However, the student did attempt to visualize predictions, and their code was mostly correct, although it did not display the ground truth for multiple images as required.
Breakdown:
- Task 1: Dataset Class: 0.0/?
- Task 2: Model Class: 0.0/?
- Task 3: Training and Validation Loops: 0.0/?
- Task 4: Running Training: 0.0/?
- Task 5: Visualizing Predictions: 6.0/?</t>
        </is>
      </c>
      <c r="AE19" t="n">
        <v>0</v>
      </c>
      <c r="AF19" t="n">
        <v>0</v>
      </c>
      <c r="AG19" t="inlineStr">
        <is>
          <t>The student's submission does not implement the `ColorizationDataset` class correctly. The `rgb_to_grayscale` method is not implemented correctly, and the `__getitem__` method is not implemented correctly. As a result, the student does not receive any points for this task.
Breakdown:
- Correctly implemented `ColorizationDataset` class:: 0.0/?</t>
        </is>
      </c>
      <c r="AH19" t="n">
        <v>16</v>
      </c>
      <c r="AI19" t="n">
        <v>0</v>
      </c>
    </row>
    <row r="20">
      <c r="A20" t="n">
        <v>19</v>
      </c>
      <c r="B20" t="inlineStr">
        <is>
          <t>TA_1</t>
        </is>
      </c>
      <c r="C20" t="inlineStr">
        <is>
          <t>TA_11</t>
        </is>
      </c>
      <c r="D20" t="n">
        <v>8</v>
      </c>
      <c r="E20" t="n">
        <v>0</v>
      </c>
      <c r="F20" t="n">
        <v>5</v>
      </c>
      <c r="G20" t="n">
        <v>0</v>
      </c>
      <c r="H20" t="n">
        <v>12</v>
      </c>
      <c r="I20" t="n">
        <v>0</v>
      </c>
      <c r="J20" t="n">
        <v>6</v>
      </c>
      <c r="K20" t="n">
        <v>0</v>
      </c>
      <c r="L20" t="n">
        <v>5</v>
      </c>
      <c r="M20" t="n">
        <v>0</v>
      </c>
      <c r="N20" t="n">
        <v>11</v>
      </c>
      <c r="O20" t="n">
        <v>0</v>
      </c>
      <c r="P20">
        <f>Table1[[#This Row],[TA 1 - Q1 Score]]+Table1[[#This Row],[TA 1 - Q2 Score]]+Table1[[#This Row],[TA 1 - Q3 Score]]</f>
        <v/>
      </c>
      <c r="Q20">
        <f>Table1[[#This Row],[TA 1 - Q1 Bonus]]+Table1[[#This Row],[TA 1 - Q2 Bonus]]+Table1[[#This Row],[TA 1 - Q4 Bonus]]</f>
        <v/>
      </c>
      <c r="R20">
        <f>Table1[[#This Row],[TA 2 - Q1 Score]]+Table1[[#This Row],[TA 2 - Q2 Score]]+Table1[[#This Row],[TA 2 - Q3 Score]]</f>
        <v/>
      </c>
      <c r="S20">
        <f>Table1[[#This Row],[TA 2 - Q1 Bonus]]+Table1[[#This Row],[TA 2 - Q2 Bonus]]+Table1[[#This Row],[TA 2 - Q4 Bonus]]</f>
        <v/>
      </c>
      <c r="T20">
        <f>(Table1[[#This Row],[TA 1 - Total Score (out of 35)]]+Table1[[#This Row],[TA 2 - Total Score (out of 35)]])/2</f>
        <v/>
      </c>
      <c r="U20">
        <f>(Table1[[#This Row],[TA 1 - Total Bonus (out of 13)]]+Table1[[#This Row],[TA 2 - Total Bonus (out of 13)]])/2</f>
        <v/>
      </c>
      <c r="V20">
        <f>Table1[[#This Row],[Average Questions]]/35*20+Table1[[#This Row],[Average Bonus]]/13*5</f>
        <v/>
      </c>
      <c r="W20" t="n">
        <v>6</v>
      </c>
      <c r="X20" t="n">
        <v>0</v>
      </c>
      <c r="Y20" t="inlineStr">
        <is>
          <t>The student's submission failed to complete several key tasks, including loading and preparing the data, loading a pretrained model, and adapting it for the task. The training and validation functions were also not implemented correctly. While the student did attempt to train the model, the submission lacked several critical components, including the correct data loading and model adaptation. As a result, the student was unable to complete the task and was awarded 0 points for several key components.
Breakdown:
- Part 1: Load and Prepare Data: 0.0/?
- Part 2: Load Pretrained Model and Adapt: 0.0/?
- Part 3: Training and Validation Functions: 0.0/?
- Part 4: Training: 2.5/?
- Part 5: Bonus — Test Time Augmentation: 0.0/?</t>
        </is>
      </c>
      <c r="Z20" t="n">
        <v>4</v>
      </c>
      <c r="AA20" t="n">
        <v>0</v>
      </c>
      <c r="AB20" t="inlineStr">
        <is>
          <t>The submission failed to load and prepare the data correctly, build the CNN model, define the training and validation functions, train the model, and implement the residual connection. The code is disorganized and lacks a clear structure. The student attempted to use a different dataset and model architecture, which is not in line with the reference solution. The submission does not meet the requirements of the task and does not demonstrate a clear understanding of the concepts.
Breakdown:
- Part 1: Load and Prepare Data: 0.0/?
- Part 2: Build the CNN Model: 0.0/?
- Part 3: Training and Validation Functions: 0.0/?
- Part 4: Training: 0.0/?
- Part 5: Bonus — Residual Connection: 0.0/?</t>
        </is>
      </c>
      <c r="AC20" t="n">
        <v>6</v>
      </c>
      <c r="AD20" t="inlineStr">
        <is>
          <t>The student's submission failed to address several key tasks, including building a custom dataset class, defining a model class, and implementing training and validation loops. While the student did attempt to visualize predictions, their code did not meet the requirements of the task, which included displaying the ground truth and predicted masks for multiple images.
Breakdown:
- Task 1: Dataset Class: 0.0/?
- Task 2: Model Class: 0.0/?
- Task 3: Training and Validation Loops: 0.0/?
- Task 4: Running Training: 0.0/?
- Task 5: Visualizing Predictions: 6.0/?</t>
        </is>
      </c>
      <c r="AE20" t="n">
        <v>0</v>
      </c>
      <c r="AF20" t="n">
        <v>0</v>
      </c>
      <c r="AG20" t="inlineStr">
        <is>
          <t>The student's submission for Question 4 is incomplete and contains syntax errors. The `ColorizationDataset` class is not implemented correctly, and the `rgb_to_grayscale` method is not implemented as required. As a result, the student does not receive any points for this question.
Breakdown:
- Correctly implemented `ColorizationDataset` class:: 0.0/?
- Any mistake in implementation: 0.0/?</t>
        </is>
      </c>
      <c r="AH20" t="n">
        <v>16</v>
      </c>
      <c r="AI20" t="n">
        <v>0</v>
      </c>
    </row>
    <row r="21">
      <c r="A21" t="n">
        <v>20</v>
      </c>
      <c r="B21" t="inlineStr">
        <is>
          <t>TA_1</t>
        </is>
      </c>
      <c r="C21" t="inlineStr">
        <is>
          <t>TA_11</t>
        </is>
      </c>
      <c r="D21" t="n">
        <v>12</v>
      </c>
      <c r="E21" t="n">
        <v>0</v>
      </c>
      <c r="F21" t="n">
        <v>6</v>
      </c>
      <c r="G21" t="n">
        <v>0</v>
      </c>
      <c r="H21" t="n">
        <v>6</v>
      </c>
      <c r="I21" t="n">
        <v>0</v>
      </c>
      <c r="J21" t="n">
        <v>11</v>
      </c>
      <c r="K21" t="n">
        <v>0</v>
      </c>
      <c r="L21" t="n">
        <v>7.25</v>
      </c>
      <c r="M21" t="n">
        <v>0</v>
      </c>
      <c r="N21" t="n">
        <v>9.5</v>
      </c>
      <c r="O21" t="n">
        <v>0</v>
      </c>
      <c r="P21">
        <f>Table1[[#This Row],[TA 1 - Q1 Score]]+Table1[[#This Row],[TA 1 - Q2 Score]]+Table1[[#This Row],[TA 1 - Q3 Score]]</f>
        <v/>
      </c>
      <c r="Q21">
        <f>Table1[[#This Row],[TA 1 - Q1 Bonus]]+Table1[[#This Row],[TA 1 - Q2 Bonus]]+Table1[[#This Row],[TA 1 - Q4 Bonus]]</f>
        <v/>
      </c>
      <c r="R21">
        <f>Table1[[#This Row],[TA 2 - Q1 Score]]+Table1[[#This Row],[TA 2 - Q2 Score]]+Table1[[#This Row],[TA 2 - Q3 Score]]</f>
        <v/>
      </c>
      <c r="S21">
        <f>Table1[[#This Row],[TA 2 - Q1 Bonus]]+Table1[[#This Row],[TA 2 - Q2 Bonus]]+Table1[[#This Row],[TA 2 - Q4 Bonus]]</f>
        <v/>
      </c>
      <c r="T21">
        <f>(Table1[[#This Row],[TA 1 - Total Score (out of 35)]]+Table1[[#This Row],[TA 2 - Total Score (out of 35)]])/2</f>
        <v/>
      </c>
      <c r="U21">
        <f>(Table1[[#This Row],[TA 1 - Total Bonus (out of 13)]]+Table1[[#This Row],[TA 2 - Total Bonus (out of 13)]])/2</f>
        <v/>
      </c>
      <c r="V21">
        <f>Table1[[#This Row],[Average Questions]]/35*20+Table1[[#This Row],[Average Bonus]]/13*5</f>
        <v/>
      </c>
      <c r="W21" t="n">
        <v>6</v>
      </c>
      <c r="X21" t="n">
        <v>0</v>
      </c>
      <c r="Y21"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resulting in a low overall score. The bonus task was not attempted.
Breakdown:
- Part 1: Load and Prepare Data: 0.0/?
- Part 2: Load Pretrained Model and Adapt: 0.0/?
- Part 3: Training and Validation Functions: 0.0/?
- Part 4: Training: 3.0/?
- Part 5: Bonus — Test Time Augmentation: 0.0/?</t>
        </is>
      </c>
      <c r="Z21" t="n">
        <v>4</v>
      </c>
      <c r="AA21" t="n">
        <v>0</v>
      </c>
      <c r="AB21"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1" t="n">
        <v>6</v>
      </c>
      <c r="AD21" t="inlineStr">
        <is>
          <t>The student's submission was incomplete and failed to address several key tasks. While the code for visualizing predictions was partially correct, it did not run end-to-end due to missing imports and incorrect usage of the model. The student did not submit code for the remaining tasks, resulting in a score of 6.0 out of 12.0 for the base tasks and 0.0 out of 0.0 for the bonus tasks.
Breakdown:
- Task 1: Dataset Class: 0.0/?
- Task 2: Model Class: 0.0/?
- Task 3: Training and Validation Loops: 0.0/?
- Task 4: Running Training: 0.0/?
- Task 5: Visualizing Predictions: 6.0/?</t>
        </is>
      </c>
      <c r="AE21" t="n">
        <v>0</v>
      </c>
      <c r="AF21" t="n">
        <v>0</v>
      </c>
      <c r="AG21" t="inlineStr">
        <is>
          <t>No submission found.</t>
        </is>
      </c>
      <c r="AH21" t="n">
        <v>16</v>
      </c>
      <c r="AI21" t="n">
        <v>0</v>
      </c>
    </row>
    <row r="22">
      <c r="A22" t="n">
        <v>21</v>
      </c>
      <c r="B22" t="inlineStr">
        <is>
          <t>TA_1</t>
        </is>
      </c>
      <c r="C22" t="inlineStr">
        <is>
          <t>TA_11</t>
        </is>
      </c>
      <c r="D22" t="n">
        <v>10.5</v>
      </c>
      <c r="E22" t="n">
        <v>0</v>
      </c>
      <c r="F22" t="n">
        <v>8</v>
      </c>
      <c r="G22" t="n">
        <v>0</v>
      </c>
      <c r="H22" t="n">
        <v>9</v>
      </c>
      <c r="I22" t="n">
        <v>0</v>
      </c>
      <c r="J22" t="n">
        <v>4.75</v>
      </c>
      <c r="K22" t="n">
        <v>0</v>
      </c>
      <c r="L22" t="n">
        <v>5.75</v>
      </c>
      <c r="M22" t="n">
        <v>0</v>
      </c>
      <c r="N22" t="n">
        <v>6.5</v>
      </c>
      <c r="O22" t="n">
        <v>0</v>
      </c>
      <c r="P22">
        <f>Table1[[#This Row],[TA 1 - Q1 Score]]+Table1[[#This Row],[TA 1 - Q2 Score]]+Table1[[#This Row],[TA 1 - Q3 Score]]</f>
        <v/>
      </c>
      <c r="Q22">
        <f>Table1[[#This Row],[TA 1 - Q1 Bonus]]+Table1[[#This Row],[TA 1 - Q2 Bonus]]+Table1[[#This Row],[TA 1 - Q4 Bonus]]</f>
        <v/>
      </c>
      <c r="R22">
        <f>Table1[[#This Row],[TA 2 - Q1 Score]]+Table1[[#This Row],[TA 2 - Q2 Score]]+Table1[[#This Row],[TA 2 - Q3 Score]]</f>
        <v/>
      </c>
      <c r="S22">
        <f>Table1[[#This Row],[TA 2 - Q1 Bonus]]+Table1[[#This Row],[TA 2 - Q2 Bonus]]+Table1[[#This Row],[TA 2 - Q4 Bonus]]</f>
        <v/>
      </c>
      <c r="T22">
        <f>(Table1[[#This Row],[TA 1 - Total Score (out of 35)]]+Table1[[#This Row],[TA 2 - Total Score (out of 35)]])/2</f>
        <v/>
      </c>
      <c r="U22">
        <f>(Table1[[#This Row],[TA 1 - Total Bonus (out of 13)]]+Table1[[#This Row],[TA 2 - Total Bonus (out of 13)]])/2</f>
        <v/>
      </c>
      <c r="V22">
        <f>Table1[[#This Row],[Average Questions]]/35*20+Table1[[#This Row],[Average Bonus]]/13*5</f>
        <v/>
      </c>
      <c r="W22" t="n">
        <v>6</v>
      </c>
      <c r="X22" t="n">
        <v>0</v>
      </c>
      <c r="Y22"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22" t="n">
        <v>4</v>
      </c>
      <c r="AA22" t="n">
        <v>0</v>
      </c>
      <c r="AB22" t="inlineStr">
        <is>
          <t>The student's submission failed to meet the requirements of the task. The code was not organized in a way that follows the reference solution, and it did not run end-to-end. The student attempted to load and prepare the data, but the code was not correct. The CNN model was not built correctly, and the training and validation functions were not implemented. The training process was not executed, and the residual connection was not added to the model. The student's submission did not demonstrate a clear understanding of the task and the requirements.
Breakdown:
- Part 1: Load and Prepare Data: 0.0/?
- Part 2: Build the CNN Model: 0.0/?
- Part 3: Training and Validation Functions: 0.0/?
- Part 4: Training: 0.0/?
- Part 5: Bonus — Residual Connection: 0.0/?</t>
        </is>
      </c>
      <c r="AC22" t="n">
        <v>6</v>
      </c>
      <c r="AD22"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2" t="n">
        <v>0</v>
      </c>
      <c r="AF22" t="n">
        <v>0</v>
      </c>
      <c r="AG22" t="inlineStr">
        <is>
          <t>The student's submission does not meet the requirements of the task. The implementation of the `ColorizationDataset` class is incomplete and does not follow the reference solution. The student did not attempt to implement the correct formula for converting RGB to grayscale, and the `__getitem__` method does not return the correct (grayscale, color) tuple. As a result, the student did not earn any points for this task.
Breakdown:
- Correctly implemented `ColorizationDataset` class:: 0.0/?
- Any mistake in implementation: 0.0/?</t>
        </is>
      </c>
      <c r="AH22" t="n">
        <v>16</v>
      </c>
      <c r="AI22" t="n">
        <v>0</v>
      </c>
    </row>
    <row r="23">
      <c r="A23" t="n">
        <v>22</v>
      </c>
      <c r="B23" t="inlineStr">
        <is>
          <t>TA_1</t>
        </is>
      </c>
      <c r="C23" t="inlineStr">
        <is>
          <t>TA_11</t>
        </is>
      </c>
      <c r="D23" t="n">
        <v>8</v>
      </c>
      <c r="E23" t="n">
        <v>0</v>
      </c>
      <c r="F23" t="n">
        <v>7.5</v>
      </c>
      <c r="G23" t="n">
        <v>0</v>
      </c>
      <c r="H23" t="n">
        <v>5</v>
      </c>
      <c r="I23" t="n">
        <v>0</v>
      </c>
      <c r="J23" t="n">
        <v>5.5</v>
      </c>
      <c r="K23" t="n">
        <v>0</v>
      </c>
      <c r="L23" t="n">
        <v>6.5</v>
      </c>
      <c r="M23" t="n">
        <v>0</v>
      </c>
      <c r="N23" t="n">
        <v>-1</v>
      </c>
      <c r="O23" t="n">
        <v>0</v>
      </c>
      <c r="P23">
        <f>Table1[[#This Row],[TA 1 - Q1 Score]]+Table1[[#This Row],[TA 1 - Q2 Score]]+Table1[[#This Row],[TA 1 - Q3 Score]]</f>
        <v/>
      </c>
      <c r="Q23">
        <f>Table1[[#This Row],[TA 1 - Q1 Bonus]]+Table1[[#This Row],[TA 1 - Q2 Bonus]]+Table1[[#This Row],[TA 1 - Q4 Bonus]]</f>
        <v/>
      </c>
      <c r="R23">
        <f>Table1[[#This Row],[TA 2 - Q1 Score]]+Table1[[#This Row],[TA 2 - Q2 Score]]+Table1[[#This Row],[TA 2 - Q3 Score]]</f>
        <v/>
      </c>
      <c r="S23">
        <f>Table1[[#This Row],[TA 2 - Q1 Bonus]]+Table1[[#This Row],[TA 2 - Q2 Bonus]]+Table1[[#This Row],[TA 2 - Q4 Bonus]]</f>
        <v/>
      </c>
      <c r="T23">
        <f>(Table1[[#This Row],[TA 1 - Total Score (out of 35)]]+Table1[[#This Row],[TA 2 - Total Score (out of 35)]])/2</f>
        <v/>
      </c>
      <c r="U23">
        <f>(Table1[[#This Row],[TA 1 - Total Bonus (out of 13)]]+Table1[[#This Row],[TA 2 - Total Bonus (out of 13)]])/2</f>
        <v/>
      </c>
      <c r="V23">
        <f>Table1[[#This Row],[Average Questions]]/35*20+Table1[[#This Row],[Average Bonus]]/13*5</f>
        <v/>
      </c>
      <c r="W23" t="n">
        <v>6</v>
      </c>
      <c r="X23" t="n">
        <v>0</v>
      </c>
      <c r="Y23" t="inlineStr">
        <is>
          <t>The student's submission failed to complete several key tasks, including loading and preparing the data, loading a pretrained model, and training the model. The code for the training and validation functions was partially correct, but the student failed to fix the labels, resulting in a penalty.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23" t="n">
        <v>4</v>
      </c>
      <c r="AA23" t="n">
        <v>0</v>
      </c>
      <c r="AB23"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3" t="n">
        <v>6</v>
      </c>
      <c r="AD23" t="inlineStr">
        <is>
          <t>The student's submission was incomplete and contained several errors. They failed to complete tasks 1, 2, 3, and 4, and only partially completed task 5. The code was not well-organized and did not run end-to-end. The student needs to revisit the reference solution and complete all tasks correctly to achieve a higher score.
Breakdown:
- Task 1: Dataset Class: 0.0/?
- Task 2: Model Class: 0.0/?
- Task 3: Training and Validation Loops: 0.0/?
- Task 4: Running Training: 0.0/?
- Task 5: Visualizing Predictions: 6.0/?</t>
        </is>
      </c>
      <c r="AE23" t="n">
        <v>0</v>
      </c>
      <c r="AF23" t="n">
        <v>0</v>
      </c>
      <c r="AG23" t="inlineStr">
        <is>
          <t>No submission found.</t>
        </is>
      </c>
      <c r="AH23" t="n">
        <v>16</v>
      </c>
      <c r="AI23" t="n">
        <v>0</v>
      </c>
    </row>
    <row r="24">
      <c r="A24" t="n">
        <v>23</v>
      </c>
      <c r="B24" t="inlineStr">
        <is>
          <t>TA_1</t>
        </is>
      </c>
      <c r="C24" t="inlineStr">
        <is>
          <t>TA_11</t>
        </is>
      </c>
      <c r="D24" t="n">
        <v>12</v>
      </c>
      <c r="E24" t="n">
        <v>0</v>
      </c>
      <c r="F24" t="n">
        <v>9</v>
      </c>
      <c r="G24" t="n">
        <v>0</v>
      </c>
      <c r="H24" t="n">
        <v>12.5</v>
      </c>
      <c r="I24" t="n">
        <v>0</v>
      </c>
      <c r="J24" t="n">
        <v>11</v>
      </c>
      <c r="K24" t="n">
        <v>0</v>
      </c>
      <c r="L24" t="n">
        <v>10.75</v>
      </c>
      <c r="M24" t="n">
        <v>0</v>
      </c>
      <c r="N24" t="n">
        <v>12</v>
      </c>
      <c r="O24" t="n">
        <v>0</v>
      </c>
      <c r="P24">
        <f>Table1[[#This Row],[TA 1 - Q1 Score]]+Table1[[#This Row],[TA 1 - Q2 Score]]+Table1[[#This Row],[TA 1 - Q3 Score]]</f>
        <v/>
      </c>
      <c r="Q24">
        <f>Table1[[#This Row],[TA 1 - Q1 Bonus]]+Table1[[#This Row],[TA 1 - Q2 Bonus]]+Table1[[#This Row],[TA 1 - Q4 Bonus]]</f>
        <v/>
      </c>
      <c r="R24">
        <f>Table1[[#This Row],[TA 2 - Q1 Score]]+Table1[[#This Row],[TA 2 - Q2 Score]]+Table1[[#This Row],[TA 2 - Q3 Score]]</f>
        <v/>
      </c>
      <c r="S24">
        <f>Table1[[#This Row],[TA 2 - Q1 Bonus]]+Table1[[#This Row],[TA 2 - Q2 Bonus]]+Table1[[#This Row],[TA 2 - Q4 Bonus]]</f>
        <v/>
      </c>
      <c r="T24">
        <f>(Table1[[#This Row],[TA 1 - Total Score (out of 35)]]+Table1[[#This Row],[TA 2 - Total Score (out of 35)]])/2</f>
        <v/>
      </c>
      <c r="U24">
        <f>(Table1[[#This Row],[TA 1 - Total Bonus (out of 13)]]+Table1[[#This Row],[TA 2 - Total Bonus (out of 13)]])/2</f>
        <v/>
      </c>
      <c r="V24">
        <f>Table1[[#This Row],[Average Questions]]/35*20+Table1[[#This Row],[Average Bonus]]/13*5</f>
        <v/>
      </c>
      <c r="W24" t="n">
        <v>6</v>
      </c>
      <c r="X24" t="n">
        <v>0</v>
      </c>
      <c r="Y2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correctly.
Breakdown:
- Part 1: Load and Prepare Data: 0.0/?
- Part 2: Load Pretrained Model and Adapt: 0.0/?
- Part 3: Training and Validation Functions: 0.0/?
- Part 4: Training: 2.0/?
- Part 5: Bonus — Test Time Augmentation: 0.0/?</t>
        </is>
      </c>
      <c r="Z24" t="n">
        <v>4</v>
      </c>
      <c r="AA24" t="n">
        <v>0</v>
      </c>
      <c r="AB24"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4" t="n">
        <v>6</v>
      </c>
      <c r="AD24" t="inlineStr">
        <is>
          <t>The student's submission is incomplete and lacks code for several tasks. While they attempted to visualize predictions, their code is not fully functional and does not meet the requirements of the task.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24" t="n">
        <v>0</v>
      </c>
      <c r="AF24" t="n">
        <v>0</v>
      </c>
      <c r="AG24" t="inlineStr">
        <is>
          <t>No submission found.</t>
        </is>
      </c>
      <c r="AH24" t="n">
        <v>16</v>
      </c>
      <c r="AI24" t="n">
        <v>0</v>
      </c>
    </row>
    <row r="25">
      <c r="A25" t="n">
        <v>24</v>
      </c>
      <c r="B25" t="inlineStr">
        <is>
          <t>TA_1</t>
        </is>
      </c>
      <c r="C25" t="inlineStr">
        <is>
          <t>TA_11</t>
        </is>
      </c>
      <c r="D25" t="n">
        <v>12</v>
      </c>
      <c r="E25" t="n">
        <v>0</v>
      </c>
      <c r="F25" t="n">
        <v>11</v>
      </c>
      <c r="G25" t="n">
        <v>0</v>
      </c>
      <c r="H25" t="n">
        <v>12</v>
      </c>
      <c r="I25" t="n">
        <v>0</v>
      </c>
      <c r="J25" t="n">
        <v>12</v>
      </c>
      <c r="K25" t="n">
        <v>0</v>
      </c>
      <c r="L25" t="n">
        <v>10.25</v>
      </c>
      <c r="M25" t="n">
        <v>0</v>
      </c>
      <c r="N25" t="n">
        <v>12</v>
      </c>
      <c r="O25" t="n">
        <v>0</v>
      </c>
      <c r="P25">
        <f>Table1[[#This Row],[TA 1 - Q1 Score]]+Table1[[#This Row],[TA 1 - Q2 Score]]+Table1[[#This Row],[TA 1 - Q3 Score]]</f>
        <v/>
      </c>
      <c r="Q25">
        <f>Table1[[#This Row],[TA 1 - Q1 Bonus]]+Table1[[#This Row],[TA 1 - Q2 Bonus]]+Table1[[#This Row],[TA 1 - Q4 Bonus]]</f>
        <v/>
      </c>
      <c r="R25">
        <f>Table1[[#This Row],[TA 2 - Q1 Score]]+Table1[[#This Row],[TA 2 - Q2 Score]]+Table1[[#This Row],[TA 2 - Q3 Score]]</f>
        <v/>
      </c>
      <c r="S25">
        <f>Table1[[#This Row],[TA 2 - Q1 Bonus]]+Table1[[#This Row],[TA 2 - Q2 Bonus]]+Table1[[#This Row],[TA 2 - Q4 Bonus]]</f>
        <v/>
      </c>
      <c r="T25">
        <f>(Table1[[#This Row],[TA 1 - Total Score (out of 35)]]+Table1[[#This Row],[TA 2 - Total Score (out of 35)]])/2</f>
        <v/>
      </c>
      <c r="U25">
        <f>(Table1[[#This Row],[TA 1 - Total Bonus (out of 13)]]+Table1[[#This Row],[TA 2 - Total Bonus (out of 13)]])/2</f>
        <v/>
      </c>
      <c r="V25">
        <f>Table1[[#This Row],[Average Questions]]/35*20+Table1[[#This Row],[Average Bonus]]/13*5</f>
        <v/>
      </c>
      <c r="W25" t="n">
        <v>6</v>
      </c>
      <c r="X25" t="n">
        <v>0</v>
      </c>
      <c r="Y25"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syntax and logic mistakes. The bonus task of implementing test time augmentation was also not completed. Overall, the student's submission demonstrated a lack of understanding of the required tasks and concepts.
Breakdown:
- Part 1: Load and Prepare Data: 0.0/?
- Part 2: Load Pretrained Model and Adapt: 0.0/?
- Part 3: Training and Validation Functions: 0.0/?
- Part 4: Training: 2.0/?
- Part 5: Bonus — Test Time Augmentation: 0.0/?</t>
        </is>
      </c>
      <c r="Z25" t="n">
        <v>6</v>
      </c>
      <c r="AA25" t="n">
        <v>0</v>
      </c>
      <c r="AB25"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full potential of the model and their submission was not evaluated for bonus points.
Breakdown:
- Part 1: Load and Prepare Data: 0.0/?
- Part 2: Build the CNN Model: 0.0/?
- Part 3: Training and Validation Functions: 0.0/?
- Part 4: Training: 2.0/?
- Part 5: Bonus — Residual Connection: 0.0/?</t>
        </is>
      </c>
      <c r="AC25" t="n">
        <v>6</v>
      </c>
      <c r="AD25" t="inlineStr">
        <is>
          <t>The student's submission is incomplete and lacks code for several tasks. While they attempted to visualize predictions, their code is not fully functional and does not meet the requirements of the task. As a result, the student earns 0 points for the majority of the tasks and 6 points for the task of visualizing predictions.
Breakdown:
- Task 1: Dataset Class: 0.0/?
- Task 2: Model Class: 0.0/?
- Task 3: Training and Validation Loops: 0.0/?
- Task 4: Running Training: 0.0/?
- Task 5: Visualizing Predictions: 6.0/?</t>
        </is>
      </c>
      <c r="AE25" t="n">
        <v>0</v>
      </c>
      <c r="AF25" t="n">
        <v>0</v>
      </c>
      <c r="AG25" t="inlineStr">
        <is>
          <t>No submission found.</t>
        </is>
      </c>
      <c r="AH25" t="n">
        <v>18</v>
      </c>
      <c r="AI25" t="n">
        <v>0</v>
      </c>
    </row>
    <row r="26">
      <c r="A26" t="n">
        <v>25</v>
      </c>
      <c r="B26" t="inlineStr">
        <is>
          <t>TA_1</t>
        </is>
      </c>
      <c r="C26" t="inlineStr">
        <is>
          <t>TA_11</t>
        </is>
      </c>
      <c r="D26" t="n">
        <v>11</v>
      </c>
      <c r="E26" t="n">
        <v>4</v>
      </c>
      <c r="F26" t="n">
        <v>11</v>
      </c>
      <c r="G26" t="n">
        <v>4</v>
      </c>
      <c r="H26" t="n">
        <v>12</v>
      </c>
      <c r="I26" t="n">
        <v>0</v>
      </c>
      <c r="J26" t="n">
        <v>8</v>
      </c>
      <c r="K26" t="n">
        <v>3</v>
      </c>
      <c r="L26" t="n">
        <v>10.75</v>
      </c>
      <c r="M26" t="n">
        <v>3.75</v>
      </c>
      <c r="N26" t="n">
        <v>12</v>
      </c>
      <c r="O26" t="n">
        <v>0</v>
      </c>
      <c r="P26">
        <f>Table1[[#This Row],[TA 1 - Q1 Score]]+Table1[[#This Row],[TA 1 - Q2 Score]]+Table1[[#This Row],[TA 1 - Q3 Score]]</f>
        <v/>
      </c>
      <c r="Q26">
        <f>Table1[[#This Row],[TA 1 - Q1 Bonus]]+Table1[[#This Row],[TA 1 - Q2 Bonus]]+Table1[[#This Row],[TA 1 - Q4 Bonus]]</f>
        <v/>
      </c>
      <c r="R26">
        <f>Table1[[#This Row],[TA 2 - Q1 Score]]+Table1[[#This Row],[TA 2 - Q2 Score]]+Table1[[#This Row],[TA 2 - Q3 Score]]</f>
        <v/>
      </c>
      <c r="S26">
        <f>Table1[[#This Row],[TA 2 - Q1 Bonus]]+Table1[[#This Row],[TA 2 - Q2 Bonus]]+Table1[[#This Row],[TA 2 - Q4 Bonus]]</f>
        <v/>
      </c>
      <c r="T26">
        <f>(Table1[[#This Row],[TA 1 - Total Score (out of 35)]]+Table1[[#This Row],[TA 2 - Total Score (out of 35)]])/2</f>
        <v/>
      </c>
      <c r="U26">
        <f>(Table1[[#This Row],[TA 1 - Total Bonus (out of 13)]]+Table1[[#This Row],[TA 2 - Total Bonus (out of 13)]])/2</f>
        <v/>
      </c>
      <c r="V26">
        <f>Table1[[#This Row],[Average Questions]]/35*20+Table1[[#This Row],[Average Bonus]]/13*5</f>
        <v/>
      </c>
      <c r="W26" t="n">
        <v>6</v>
      </c>
      <c r="X26" t="n">
        <v>0</v>
      </c>
      <c r="Y26"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26" t="n">
        <v>4</v>
      </c>
      <c r="AA26" t="n">
        <v>0</v>
      </c>
      <c r="AB26"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not organized and does not follow the structure of the reference solution. As a result, the student's submission does not meet the requirements of the task and does not demonstrate an understanding of the concepts.
Breakdown:
- Part 1: Load and Prepare Data: 0.0/?
- Part 2: Build the CNN Model: 0.0/?
- Part 3: Training and Validation Functions: 0.0/?
- Part 4: Training: 0.0/?
- Part 5: Bonus — Residual Connection: 0.0/?</t>
        </is>
      </c>
      <c r="AC26" t="n">
        <v>6</v>
      </c>
      <c r="AD26" t="inlineStr">
        <is>
          <t>The student's submission failed to meet the requirements of the task, with no code submitted for several tasks and incorrect implementations in others. The student's code attempted to implement the tasks but contained syntax and logic mistakes, resulting in a low score.
Breakdown:
- Task 1: Dataset Class: 0.0/?
- Task 2: Model Class: 0.0/?
- Task 3: Training and Validation Loops: 0.0/?
- Task 4: Running Training: 0.0/?
- Task 5: Visualizing Predictions: 0.0/?</t>
        </is>
      </c>
      <c r="AE26" t="n">
        <v>0</v>
      </c>
      <c r="AF26" t="n">
        <v>0</v>
      </c>
      <c r="AG26" t="inlineStr">
        <is>
          <t>No submission found.</t>
        </is>
      </c>
      <c r="AH26" t="n">
        <v>16</v>
      </c>
      <c r="AI26" t="n">
        <v>0</v>
      </c>
    </row>
    <row r="27">
      <c r="A27" t="n">
        <v>26</v>
      </c>
      <c r="B27" t="inlineStr">
        <is>
          <t>TA_1</t>
        </is>
      </c>
      <c r="C27" t="inlineStr">
        <is>
          <t>TA_11</t>
        </is>
      </c>
      <c r="D27" t="n">
        <v>10</v>
      </c>
      <c r="E27" t="n">
        <v>0</v>
      </c>
      <c r="F27" t="n">
        <v>11</v>
      </c>
      <c r="G27" t="n">
        <v>0</v>
      </c>
      <c r="H27" t="n">
        <v>8</v>
      </c>
      <c r="I27" t="n">
        <v>0</v>
      </c>
      <c r="J27" t="n">
        <v>10</v>
      </c>
      <c r="K27" t="n">
        <v>0</v>
      </c>
      <c r="L27" t="n">
        <v>10</v>
      </c>
      <c r="M27" t="n">
        <v>0</v>
      </c>
      <c r="N27" t="n">
        <v>9</v>
      </c>
      <c r="O27" t="n">
        <v>0</v>
      </c>
      <c r="P27">
        <f>Table1[[#This Row],[TA 1 - Q1 Score]]+Table1[[#This Row],[TA 1 - Q2 Score]]+Table1[[#This Row],[TA 1 - Q3 Score]]</f>
        <v/>
      </c>
      <c r="Q27">
        <f>Table1[[#This Row],[TA 1 - Q1 Bonus]]+Table1[[#This Row],[TA 1 - Q2 Bonus]]+Table1[[#This Row],[TA 1 - Q4 Bonus]]</f>
        <v/>
      </c>
      <c r="R27">
        <f>Table1[[#This Row],[TA 2 - Q1 Score]]+Table1[[#This Row],[TA 2 - Q2 Score]]+Table1[[#This Row],[TA 2 - Q3 Score]]</f>
        <v/>
      </c>
      <c r="S27">
        <f>Table1[[#This Row],[TA 2 - Q1 Bonus]]+Table1[[#This Row],[TA 2 - Q2 Bonus]]+Table1[[#This Row],[TA 2 - Q4 Bonus]]</f>
        <v/>
      </c>
      <c r="T27">
        <f>(Table1[[#This Row],[TA 1 - Total Score (out of 35)]]+Table1[[#This Row],[TA 2 - Total Score (out of 35)]])/2</f>
        <v/>
      </c>
      <c r="U27">
        <f>(Table1[[#This Row],[TA 1 - Total Bonus (out of 13)]]+Table1[[#This Row],[TA 2 - Total Bonus (out of 13)]])/2</f>
        <v/>
      </c>
      <c r="V27">
        <f>Table1[[#This Row],[Average Questions]]/35*20+Table1[[#This Row],[Average Bonus]]/13*5</f>
        <v/>
      </c>
      <c r="W27" t="n">
        <v>6</v>
      </c>
      <c r="X27" t="n">
        <v>0</v>
      </c>
      <c r="Y27" t="inlineStr">
        <is>
          <t>The student's submission failed to complete several key tasks, including loading and preparing the data, loading a pretrained model and adapting it, and implementing training and validation functions. While the student did manage to train the model and plot some losses and accuracies, their code was incomplete and contained several errors. The student's approach to test time augmentation was not implemented correctly, and their code did not run end-to-end. Overall, the student's submission demonstrated a lack of understanding of the key concepts and tasks required for the question.
Breakdown:
- Part 1: Load and Prepare Data: 0.0/?
- Part 2: Load Pretrained Model and Adapt: 0.0/?
- Part 3: Training and Validation Functions: 0.0/?
- Part 4: Training: 2.5/?
- Part 5: Bonus — Test Time Augmentation: 0.0/?</t>
        </is>
      </c>
      <c r="Z27" t="n">
        <v>4</v>
      </c>
      <c r="AA27" t="n">
        <v>0</v>
      </c>
      <c r="AB27" t="inlineStr">
        <is>
          <t>The submission failed to load and prepare the data correctly, as the dataset class was not implemented. The CNN model was not built with the correct architecture, and the training and validation functions were not implemented. The training process was not executed, and the residual connection bonus task was not attempted. The student's code was disorganized and failed to run end-to-end.
Breakdown:
- Part 1: Load and Prepare Data: 0.0/?
- Part 2: Build the CNN Model: 0.0/?
- Part 3: Training and Validation Functions: 0.0/?
- Part 4: Training: 0.0/?
- Part 5: Bonus — Residual Connection: 0.0/?</t>
        </is>
      </c>
      <c r="AC27" t="n">
        <v>6</v>
      </c>
      <c r="AD27" t="inlineStr">
        <is>
          <t>The student's submission failed to meet the requirements of the task. The code was not organized, and the tasks were not completed correctly. The student did not use the provided functions and did not implement the tasks as described in the reference solution. As a result, the student did not earn any points for this task.
Breakdown:
- Task 1: Dataset Class: 0.0/?
- Task 2: Model Class: 0.0/?
- Task 3: Training and Validation Loops: 0.0/?
- Task 4: Running Training: 0.0/?
- Task 5: Visualizing Predictions: 0.0/?</t>
        </is>
      </c>
      <c r="AE27" t="n">
        <v>0</v>
      </c>
      <c r="AF27" t="n">
        <v>0</v>
      </c>
      <c r="AG27" t="inlineStr">
        <is>
          <t>No submission found.</t>
        </is>
      </c>
      <c r="AH27" t="n">
        <v>16</v>
      </c>
      <c r="AI27" t="n">
        <v>0</v>
      </c>
    </row>
    <row r="28">
      <c r="A28" t="n">
        <v>27</v>
      </c>
      <c r="B28" t="inlineStr">
        <is>
          <t>TA_1</t>
        </is>
      </c>
      <c r="C28" t="inlineStr">
        <is>
          <t>TA_11</t>
        </is>
      </c>
      <c r="D28" t="n">
        <v>12</v>
      </c>
      <c r="E28" t="n">
        <v>4</v>
      </c>
      <c r="F28" t="n">
        <v>11</v>
      </c>
      <c r="G28" t="n">
        <v>0</v>
      </c>
      <c r="H28" t="n">
        <v>12</v>
      </c>
      <c r="I28" t="n">
        <v>5</v>
      </c>
      <c r="J28" t="n">
        <v>12</v>
      </c>
      <c r="K28" t="n">
        <v>4</v>
      </c>
      <c r="L28" t="n">
        <v>11</v>
      </c>
      <c r="M28" t="n">
        <v>0</v>
      </c>
      <c r="N28" t="n">
        <v>12</v>
      </c>
      <c r="O28" t="n">
        <v>5</v>
      </c>
      <c r="P28">
        <f>Table1[[#This Row],[TA 1 - Q1 Score]]+Table1[[#This Row],[TA 1 - Q2 Score]]+Table1[[#This Row],[TA 1 - Q3 Score]]</f>
        <v/>
      </c>
      <c r="Q28">
        <f>Table1[[#This Row],[TA 1 - Q1 Bonus]]+Table1[[#This Row],[TA 1 - Q2 Bonus]]+Table1[[#This Row],[TA 1 - Q4 Bonus]]</f>
        <v/>
      </c>
      <c r="R28">
        <f>Table1[[#This Row],[TA 2 - Q1 Score]]+Table1[[#This Row],[TA 2 - Q2 Score]]+Table1[[#This Row],[TA 2 - Q3 Score]]</f>
        <v/>
      </c>
      <c r="S28">
        <f>Table1[[#This Row],[TA 2 - Q1 Bonus]]+Table1[[#This Row],[TA 2 - Q2 Bonus]]+Table1[[#This Row],[TA 2 - Q4 Bonus]]</f>
        <v/>
      </c>
      <c r="T28">
        <f>(Table1[[#This Row],[TA 1 - Total Score (out of 35)]]+Table1[[#This Row],[TA 2 - Total Score (out of 35)]])/2</f>
        <v/>
      </c>
      <c r="U28">
        <f>(Table1[[#This Row],[TA 1 - Total Bonus (out of 13)]]+Table1[[#This Row],[TA 2 - Total Bonus (out of 13)]])/2</f>
        <v/>
      </c>
      <c r="V28">
        <f>Table1[[#This Row],[Average Questions]]/35*20+Table1[[#This Row],[Average Bonus]]/13*5</f>
        <v/>
      </c>
      <c r="W28" t="n">
        <v>6</v>
      </c>
      <c r="X28" t="n">
        <v>0</v>
      </c>
      <c r="Y2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implementation of test time augmentation was also incomplete. Overall, the student's submission demonstrated a lack of understanding of the key concepts and failed to execute the tasks correctly.
Breakdown:
- Part 1: Load and Prepare Data: 0.0/?
- Part 2: Load Pretrained Model and Adapt: 0.0/?
- Part 3: Training and Validation Functions: 0.0/?
- Part 4: Training: 3.0/?
- Part 5: Bonus — Test Time Augmentation: 0.0/?</t>
        </is>
      </c>
      <c r="Z28" t="n">
        <v>6</v>
      </c>
      <c r="AA28" t="n">
        <v>0</v>
      </c>
      <c r="AB28" t="inlineStr">
        <is>
          <t>The student's submission failed to complete several key tasks, including loading and preparing the data, building the CNN model, and implementing the training and validation functions. Although the student attempted to train the model, their implementation was incomplete and did not follow the reference solution. As a result, the student did not earn any points for the base tasks. The bonus task was also not completed, resulting in a score of 0 for the bonus.
Breakdown:
- Part 1: Load and Prepare Data: 0.0/?
- Part 2: Build the CNN Model: 0.0/?
- Part 3: Training and Validation Functions: 0.0/?
- Part 4: Training: 2.0/?
- Part 5: Bonus — Residual Connection: 0.0/?</t>
        </is>
      </c>
      <c r="AC28" t="n">
        <v>6</v>
      </c>
      <c r="AD28" t="inlineStr">
        <is>
          <t>The student's submission failed to meet the requirements of the task. They did not submit code for Task 1: Dataset Class, and their code for the other tasks contained significant errors. The model class was not defined correctly, the training and validation loops were not defined correctly, the training process was not executed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8" t="n">
        <v>0</v>
      </c>
      <c r="AF28" t="n">
        <v>0</v>
      </c>
      <c r="AG28" t="inlineStr">
        <is>
          <t>The student's submission failed to implement the `ColorizationDataset` class correctly, resulting in a score of 0.0 for the base task. The `rgb_to_grayscale` method contained a critical error in its calculation, and the `__getitem__` method returned the wrong image. As a result, the entire submission was awarded 0.0 points.
Breakdown:
- Correctly implemented `ColorizationDataset` class:: 0.0/?</t>
        </is>
      </c>
      <c r="AH28" t="n">
        <v>18</v>
      </c>
      <c r="AI28" t="n">
        <v>0</v>
      </c>
    </row>
    <row r="29">
      <c r="A29" t="n">
        <v>28</v>
      </c>
      <c r="B29" t="inlineStr">
        <is>
          <t>TA_1</t>
        </is>
      </c>
      <c r="C29" t="inlineStr">
        <is>
          <t>TA_11</t>
        </is>
      </c>
      <c r="D29" t="n">
        <v>10</v>
      </c>
      <c r="E29" t="n">
        <v>0</v>
      </c>
      <c r="F29" t="n">
        <v>11</v>
      </c>
      <c r="G29" t="n">
        <v>0</v>
      </c>
      <c r="H29" t="n">
        <v>8</v>
      </c>
      <c r="I29" t="n">
        <v>0</v>
      </c>
      <c r="J29" t="n">
        <v>8.5</v>
      </c>
      <c r="K29" t="n">
        <v>4</v>
      </c>
      <c r="L29" t="n">
        <v>9.25</v>
      </c>
      <c r="M29" t="n">
        <v>0</v>
      </c>
      <c r="N29" t="n">
        <v>7</v>
      </c>
      <c r="O29" t="n">
        <v>0</v>
      </c>
      <c r="P29">
        <f>Table1[[#This Row],[TA 1 - Q1 Score]]+Table1[[#This Row],[TA 1 - Q2 Score]]+Table1[[#This Row],[TA 1 - Q3 Score]]</f>
        <v/>
      </c>
      <c r="Q29">
        <f>Table1[[#This Row],[TA 1 - Q1 Bonus]]+Table1[[#This Row],[TA 1 - Q2 Bonus]]+Table1[[#This Row],[TA 1 - Q4 Bonus]]</f>
        <v/>
      </c>
      <c r="R29">
        <f>Table1[[#This Row],[TA 2 - Q1 Score]]+Table1[[#This Row],[TA 2 - Q2 Score]]+Table1[[#This Row],[TA 2 - Q3 Score]]</f>
        <v/>
      </c>
      <c r="S29">
        <f>Table1[[#This Row],[TA 2 - Q1 Bonus]]+Table1[[#This Row],[TA 2 - Q2 Bonus]]+Table1[[#This Row],[TA 2 - Q4 Bonus]]</f>
        <v/>
      </c>
      <c r="T29">
        <f>(Table1[[#This Row],[TA 1 - Total Score (out of 35)]]+Table1[[#This Row],[TA 2 - Total Score (out of 35)]])/2</f>
        <v/>
      </c>
      <c r="U29">
        <f>(Table1[[#This Row],[TA 1 - Total Bonus (out of 13)]]+Table1[[#This Row],[TA 2 - Total Bonus (out of 13)]])/2</f>
        <v/>
      </c>
      <c r="V29">
        <f>Table1[[#This Row],[Average Questions]]/35*20+Table1[[#This Row],[Average Bonus]]/13*5</f>
        <v/>
      </c>
      <c r="W29" t="n">
        <v>6</v>
      </c>
      <c r="X29" t="n">
        <v>0</v>
      </c>
      <c r="Y29"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produce a working solution.
Breakdown:
- Part 1: Load and Prepare Data: 0.0/?
- Part 2: Load Pretrained Model and Adapt: 0.0/?
- Part 3: Training and Validation Functions: 1.5/?
- Part 4: Training: 0.0/?
- Part 5: Bonus — Test Time Augmentation: 0.0/?</t>
        </is>
      </c>
      <c r="Z29" t="n">
        <v>4</v>
      </c>
      <c r="AA29" t="n">
        <v>0</v>
      </c>
      <c r="AB29"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add a residual connection to the model. As a result, the student did not earn any points for this task.
Breakdown:
- Part 1: Load and Prepare Data: 0.0/?
- Part 2: Build the CNN Model: 0.0/?
- Part 3: Training and Validation Functions: 0.0/?
- Part 4: Training: 0.0/?
- Part 5: Bonus — Residual Connection: 0.0/?</t>
        </is>
      </c>
      <c r="AC29" t="n">
        <v>6</v>
      </c>
      <c r="AD29" t="inlineStr">
        <is>
          <t>The student's submission failed to meet the requirements of the task. The code was not organized in a way that allowed it to run end-to-end, and many tasks were not implemented correctly. The student did not use the provided functions and did not follow the instructions. As a result, the student did not earn any points for this task.
Breakdown:
- Task 1: Dataset Class: 0.0/?
- Task 2: Model Class: 0.0/?
- Task 3: Training and Validation Loops: 0.0/?
- Task 4: Running Training: 0.0/?
- Task 5: Visualizing Predictions: 0.0/?</t>
        </is>
      </c>
      <c r="AE29" t="n">
        <v>0</v>
      </c>
      <c r="AF29" t="n">
        <v>0</v>
      </c>
      <c r="AG29" t="inlineStr">
        <is>
          <t>No submission found.</t>
        </is>
      </c>
      <c r="AH29" t="n">
        <v>16</v>
      </c>
      <c r="AI29" t="n">
        <v>0</v>
      </c>
    </row>
    <row r="30">
      <c r="A30" t="n">
        <v>29</v>
      </c>
      <c r="B30" t="inlineStr">
        <is>
          <t>TA_1</t>
        </is>
      </c>
      <c r="C30" t="inlineStr">
        <is>
          <t>TA_11</t>
        </is>
      </c>
      <c r="D30" t="n">
        <v>12</v>
      </c>
      <c r="E30" t="n">
        <v>0</v>
      </c>
      <c r="F30" t="n">
        <v>11</v>
      </c>
      <c r="G30" t="n">
        <v>3</v>
      </c>
      <c r="H30" t="n">
        <v>12</v>
      </c>
      <c r="I30" t="n">
        <v>0</v>
      </c>
      <c r="J30" t="n">
        <v>9.5</v>
      </c>
      <c r="K30" t="n">
        <v>3.5</v>
      </c>
      <c r="L30" t="n">
        <v>10.25</v>
      </c>
      <c r="M30" t="n">
        <v>1</v>
      </c>
      <c r="N30" t="n">
        <v>12</v>
      </c>
      <c r="O30" t="n">
        <v>0</v>
      </c>
      <c r="P30">
        <f>Table1[[#This Row],[TA 1 - Q1 Score]]+Table1[[#This Row],[TA 1 - Q2 Score]]+Table1[[#This Row],[TA 1 - Q3 Score]]</f>
        <v/>
      </c>
      <c r="Q30">
        <f>Table1[[#This Row],[TA 1 - Q1 Bonus]]+Table1[[#This Row],[TA 1 - Q2 Bonus]]+Table1[[#This Row],[TA 1 - Q4 Bonus]]</f>
        <v/>
      </c>
      <c r="R30">
        <f>Table1[[#This Row],[TA 2 - Q1 Score]]+Table1[[#This Row],[TA 2 - Q2 Score]]+Table1[[#This Row],[TA 2 - Q3 Score]]</f>
        <v/>
      </c>
      <c r="S30">
        <f>Table1[[#This Row],[TA 2 - Q1 Bonus]]+Table1[[#This Row],[TA 2 - Q2 Bonus]]+Table1[[#This Row],[TA 2 - Q4 Bonus]]</f>
        <v/>
      </c>
      <c r="T30">
        <f>(Table1[[#This Row],[TA 1 - Total Score (out of 35)]]+Table1[[#This Row],[TA 2 - Total Score (out of 35)]])/2</f>
        <v/>
      </c>
      <c r="U30">
        <f>(Table1[[#This Row],[TA 1 - Total Bonus (out of 13)]]+Table1[[#This Row],[TA 2 - Total Bonus (out of 13)]])/2</f>
        <v/>
      </c>
      <c r="V30">
        <f>Table1[[#This Row],[Average Questions]]/35*20+Table1[[#This Row],[Average Bonus]]/13*5</f>
        <v/>
      </c>
      <c r="W30" t="n">
        <v>6</v>
      </c>
      <c r="X30" t="n">
        <v>0</v>
      </c>
      <c r="Y30" t="inlineStr">
        <is>
          <t>The student's submission failed to complete several key tasks, including loading and preparing the data, loading the pretrained model and adapting it, and implementing the training and validation functions. While the student did attempt to train the model and implement test time augmentation, their code contained several syntax and logic mistakes, resulting in a low score for these tasks. Overall, the student's submission demonstrated a lack of understanding of the required tasks and concepts.
Breakdown:
- Part 1: Load and Prepare Data: 0.0/?
- Part 2: Load Pretrained Model and Adapt: 0.0/?
- Part 3: Training and Validation Functions: 0.0/?
- Part 4: Training: 2.5/?
- Part 5: Bonus — Test Time Augmentation: 0.0/?</t>
        </is>
      </c>
      <c r="Z30" t="n">
        <v>4</v>
      </c>
      <c r="AA30" t="n">
        <v>0</v>
      </c>
      <c r="AB30"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disorganized and does not run end-to-end. As a result, the student receives 0% for each task.
Breakdown:
- Part 1: Load and Prepare Data: 0.0/?
- Part 2: Build the CNN Model: 0.0/?
- Part 3: Training and Validation Functions: 0.0/?
- Part 4: Training: 0.0/?
- Part 5: Bonus — Residual Connection: 0.0/?</t>
        </is>
      </c>
      <c r="AC30" t="n">
        <v>6</v>
      </c>
      <c r="AD30" t="inlineStr">
        <is>
          <t>The student's submission was incomplete, with no code submitted for Tasks 1-4. However, the code for Task 5 was mostly correct, with the student successfully visualizing the predictions against the ground truth for several images. The only issue was that the ground truth masks were not displayed correctly.
Breakdown:
- Task 1: Dataset Class: 0.0/?
- Task 2: Model Class: 0.0/?
- Task 3: Training and Validation Loops: 0.0/?
- Task 4: Running Training: 0.0/?
- Task 5: Visualizing Predictions: 6.0/?</t>
        </is>
      </c>
      <c r="AE30" t="n">
        <v>0</v>
      </c>
      <c r="AF30" t="n">
        <v>0</v>
      </c>
      <c r="AG30" t="inlineStr">
        <is>
          <t>The student's submission for Question 4 is incomplete and contains several errors. The `ColorizationDataset` class is not implemented correctly, and the `rgb_to_grayscale` method is not implemented at all. As a result, the student does not receive any credit for this question.
Breakdown:
- Correctly implemented `ColorizationDataset` class:: 0.0/?
- Any mistake in implementation: 0.0/?</t>
        </is>
      </c>
      <c r="AH30" t="n">
        <v>16</v>
      </c>
      <c r="AI30" t="n">
        <v>0</v>
      </c>
    </row>
    <row r="31">
      <c r="A31" t="n">
        <v>30</v>
      </c>
      <c r="B31" t="inlineStr">
        <is>
          <t>TA_1</t>
        </is>
      </c>
      <c r="C31" t="inlineStr">
        <is>
          <t>TA_11</t>
        </is>
      </c>
      <c r="D31" t="n">
        <v>7.5</v>
      </c>
      <c r="E31" t="n">
        <v>0</v>
      </c>
      <c r="F31" t="n">
        <v>6</v>
      </c>
      <c r="G31" t="n">
        <v>0</v>
      </c>
      <c r="H31" t="n">
        <v>6</v>
      </c>
      <c r="I31" t="n">
        <v>0</v>
      </c>
      <c r="J31" t="n">
        <v>4.25</v>
      </c>
      <c r="K31" t="n">
        <v>0.5</v>
      </c>
      <c r="L31" t="n">
        <v>3.25</v>
      </c>
      <c r="M31" t="n">
        <v>0</v>
      </c>
      <c r="N31" t="n">
        <v>8.5</v>
      </c>
      <c r="O31" t="n">
        <v>0</v>
      </c>
      <c r="P31">
        <f>Table1[[#This Row],[TA 1 - Q1 Score]]+Table1[[#This Row],[TA 1 - Q2 Score]]+Table1[[#This Row],[TA 1 - Q3 Score]]</f>
        <v/>
      </c>
      <c r="Q31">
        <f>Table1[[#This Row],[TA 1 - Q1 Bonus]]+Table1[[#This Row],[TA 1 - Q2 Bonus]]+Table1[[#This Row],[TA 1 - Q4 Bonus]]</f>
        <v/>
      </c>
      <c r="R31">
        <f>Table1[[#This Row],[TA 2 - Q1 Score]]+Table1[[#This Row],[TA 2 - Q2 Score]]+Table1[[#This Row],[TA 2 - Q3 Score]]</f>
        <v/>
      </c>
      <c r="S31">
        <f>Table1[[#This Row],[TA 2 - Q1 Bonus]]+Table1[[#This Row],[TA 2 - Q2 Bonus]]+Table1[[#This Row],[TA 2 - Q4 Bonus]]</f>
        <v/>
      </c>
      <c r="T31">
        <f>(Table1[[#This Row],[TA 1 - Total Score (out of 35)]]+Table1[[#This Row],[TA 2 - Total Score (out of 35)]])/2</f>
        <v/>
      </c>
      <c r="U31">
        <f>(Table1[[#This Row],[TA 1 - Total Bonus (out of 13)]]+Table1[[#This Row],[TA 2 - Total Bonus (out of 13)]])/2</f>
        <v/>
      </c>
      <c r="V31">
        <f>Table1[[#This Row],[Average Questions]]/35*20+Table1[[#This Row],[Average Bonus]]/13*5</f>
        <v/>
      </c>
      <c r="W31" t="n">
        <v>6</v>
      </c>
      <c r="X31" t="n">
        <v>0</v>
      </c>
      <c r="Y31" t="inlineStr">
        <is>
          <t>The student's submission failed to complete several key tasks, including loading and preparing the data, loading a pretrained model, and training the model. The code for the training and validation functions was partially correct, but the student failed to fix the labels, resulting in a penalty.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31" t="n">
        <v>4</v>
      </c>
      <c r="AA31" t="n">
        <v>0</v>
      </c>
      <c r="AB31" t="inlineStr">
        <is>
          <t>The student's submission failed to meet the requirements of the task. The code was not organized in a way that allowed it to run end-to-end, and several key components were missing or incorrect. The student did not attempt to load and prepare the data, build the CNN model, define the training and validation functions, train the model, or implement the residual connection. As a result, the submission was awarded 0 points for each of these tasks.
Breakdown:
- Part 1: Load and Prepare Data: 0.0/?
- Part 2: Build the CNN Model: 0.0/?
- Part 3: Training and Validation Functions: 0.0/?
- Part 4: Training: 0.0/?
- Part 5: Bonus — Residual Connection: 0.0/?</t>
        </is>
      </c>
      <c r="AC31" t="n">
        <v>6</v>
      </c>
      <c r="AD31" t="inlineStr">
        <is>
          <t>The student's submission was incomplete, with no code submitted for Tasks 1-4. However, they did attempt Task 5, visualizing predictions vs ground truth for multiple images, and received 3.0 points for that task. Overall, the student's submission was not well-organized and lacked completion of the required tasks.
Breakdown:
- Task 1: Dataset Class: 0.0/?
- Task 2: Model Class: 0.0/?
- Task 3: Training and Validation Loops: 0.0/?
- Task 4: Running Training: 0.0/?
- Task 5: Visualizing Predictions: 3.0/?</t>
        </is>
      </c>
      <c r="AE31" t="n">
        <v>0</v>
      </c>
      <c r="AF31" t="n">
        <v>0</v>
      </c>
      <c r="AG31" t="inlineStr">
        <is>
          <t>No submission found.</t>
        </is>
      </c>
      <c r="AH31" t="n">
        <v>16</v>
      </c>
      <c r="AI31" t="n">
        <v>0</v>
      </c>
    </row>
    <row r="32">
      <c r="A32" t="n">
        <v>31</v>
      </c>
      <c r="B32" t="inlineStr">
        <is>
          <t>TA_1</t>
        </is>
      </c>
      <c r="C32" t="inlineStr">
        <is>
          <t>TA_11</t>
        </is>
      </c>
      <c r="D32" t="n">
        <v>3</v>
      </c>
      <c r="E32" t="n">
        <v>0</v>
      </c>
      <c r="F32" t="n">
        <v>6.5</v>
      </c>
      <c r="G32" t="n">
        <v>0</v>
      </c>
      <c r="H32" t="n">
        <v>6</v>
      </c>
      <c r="I32" t="n">
        <v>0</v>
      </c>
      <c r="J32" t="n">
        <v>0</v>
      </c>
      <c r="K32" t="n">
        <v>0</v>
      </c>
      <c r="L32" t="n">
        <v>4.5</v>
      </c>
      <c r="M32" t="n">
        <v>0</v>
      </c>
      <c r="N32" t="n">
        <v>0</v>
      </c>
      <c r="O32" t="n">
        <v>0</v>
      </c>
      <c r="P32">
        <f>Table1[[#This Row],[TA 1 - Q1 Score]]+Table1[[#This Row],[TA 1 - Q2 Score]]+Table1[[#This Row],[TA 1 - Q3 Score]]</f>
        <v/>
      </c>
      <c r="Q32">
        <f>Table1[[#This Row],[TA 1 - Q1 Bonus]]+Table1[[#This Row],[TA 1 - Q2 Bonus]]+Table1[[#This Row],[TA 1 - Q4 Bonus]]</f>
        <v/>
      </c>
      <c r="R32">
        <f>Table1[[#This Row],[TA 2 - Q1 Score]]+Table1[[#This Row],[TA 2 - Q2 Score]]+Table1[[#This Row],[TA 2 - Q3 Score]]</f>
        <v/>
      </c>
      <c r="S32">
        <f>Table1[[#This Row],[TA 2 - Q1 Bonus]]+Table1[[#This Row],[TA 2 - Q2 Bonus]]+Table1[[#This Row],[TA 2 - Q4 Bonus]]</f>
        <v/>
      </c>
      <c r="T32">
        <f>(Table1[[#This Row],[TA 1 - Total Score (out of 35)]]+Table1[[#This Row],[TA 2 - Total Score (out of 35)]])/2</f>
        <v/>
      </c>
      <c r="U32">
        <f>(Table1[[#This Row],[TA 1 - Total Bonus (out of 13)]]+Table1[[#This Row],[TA 2 - Total Bonus (out of 13)]])/2</f>
        <v/>
      </c>
      <c r="V32">
        <f>Table1[[#This Row],[Average Questions]]/35*20+Table1[[#This Row],[Average Bonus]]/13*5</f>
        <v/>
      </c>
      <c r="W32" t="n">
        <v>6</v>
      </c>
      <c r="X32" t="n">
        <v>0</v>
      </c>
      <c r="Y32"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loss function and optimizer. The bonus task of implementing test time augmentation was also not completed.
Breakdown:
- Part 1: Load and Prepare Data: 0.0/?
- Part 2: Load Pretrained Model and Adapt: 0.0/?
- Part 3: Training and Validation Functions: 0.0/?
- Part 4: Training: 3.0/?
- Part 5: Bonus — Test Time Augmentation: 0.0/?</t>
        </is>
      </c>
      <c r="Z32" t="n">
        <v>4</v>
      </c>
      <c r="AA32" t="n">
        <v>0</v>
      </c>
      <c r="AB32" t="inlineStr">
        <is>
          <t>The submission failed to load and prepare the data correctly, as the dataset class or ImageFolder was not implemented. The CNN model was not built with the correct architecture, and the training and validation functions were not implemented. The training process was not executed, and the residual connection was not added to the model. The student's code attempted to load the data, but it was not in the correct format. The model architecture was not implemented correctly, and the training and validation functions were not defined. The training process was not executed, and the residual connection was not added to the model. The student's code attempted to load the data, but it was not in the correct format. The model architecture was not implemented correctly, and the training and validation functions were not defined.
Breakdown:
- Part 1: Load and Prepare Data: 0.0/?
- Part 2: Build the CNN Model: 0.0/?
- Part 3: Training and Validation Functions: 0.0/?
- Part 4: Training: 0.0/?
- Part 5: Bonus — Residual Connection: 0.0/?</t>
        </is>
      </c>
      <c r="AC32" t="n">
        <v>6</v>
      </c>
      <c r="AD32" t="inlineStr">
        <is>
          <t>The student's submission failed to meet the requirements of the task, with missing or incorrect code for several key components. The dataset class was not defined, the model class was incorrect, and the training and validation loops were not implemented. The training process was also incomplete, and the predictions were not visualized correctly. As a result, the student's submission was awarded 0 points for each task.
Breakdown:
- Task 1: Dataset Class: 0.0/?
- Task 2: Model Class: 0.0/?
- Task 3: Training and Validation Loops: 0.0/?
- Task 4: Running Training: 0.0/?
- Task 5: Visualizing Predictions: 0.0/?
- Bonus Task: 0.0/?</t>
        </is>
      </c>
      <c r="AE32" t="n">
        <v>0</v>
      </c>
      <c r="AF32" t="n">
        <v>0</v>
      </c>
      <c r="AG32" t="inlineStr">
        <is>
          <t>The student's submission for Question 4 does not meet the requirements of the task. The `ColorizationDataset` class is not implemented correctly, and the code contains syntax errors and logical mistakes. As a result, the student does not receive any points for this task.
Breakdown:
- Correctly implemented `ColorizationDataset` class:: 0.0/?</t>
        </is>
      </c>
      <c r="AH32" t="n">
        <v>16</v>
      </c>
      <c r="AI32" t="n">
        <v>0</v>
      </c>
    </row>
    <row r="33">
      <c r="A33" t="n">
        <v>32</v>
      </c>
      <c r="B33" t="inlineStr">
        <is>
          <t>TA_1</t>
        </is>
      </c>
      <c r="C33" t="inlineStr">
        <is>
          <t>TA_11</t>
        </is>
      </c>
      <c r="D33" t="n">
        <v>12</v>
      </c>
      <c r="E33" t="n">
        <v>4</v>
      </c>
      <c r="F33" t="n">
        <v>11</v>
      </c>
      <c r="G33" t="n">
        <v>0</v>
      </c>
      <c r="H33" t="n">
        <v>12</v>
      </c>
      <c r="I33" t="n">
        <v>0</v>
      </c>
      <c r="J33" t="n">
        <v>9.5</v>
      </c>
      <c r="K33" t="n">
        <v>4</v>
      </c>
      <c r="L33" t="n">
        <v>10.5</v>
      </c>
      <c r="M33" t="n">
        <v>0</v>
      </c>
      <c r="N33" t="n">
        <v>11.5</v>
      </c>
      <c r="O33" t="n">
        <v>0</v>
      </c>
      <c r="P33">
        <f>Table1[[#This Row],[TA 1 - Q1 Score]]+Table1[[#This Row],[TA 1 - Q2 Score]]+Table1[[#This Row],[TA 1 - Q3 Score]]</f>
        <v/>
      </c>
      <c r="Q33">
        <f>Table1[[#This Row],[TA 1 - Q1 Bonus]]+Table1[[#This Row],[TA 1 - Q2 Bonus]]+Table1[[#This Row],[TA 1 - Q4 Bonus]]</f>
        <v/>
      </c>
      <c r="R33">
        <f>Table1[[#This Row],[TA 2 - Q1 Score]]+Table1[[#This Row],[TA 2 - Q2 Score]]+Table1[[#This Row],[TA 2 - Q3 Score]]</f>
        <v/>
      </c>
      <c r="S33">
        <f>Table1[[#This Row],[TA 2 - Q1 Bonus]]+Table1[[#This Row],[TA 2 - Q2 Bonus]]+Table1[[#This Row],[TA 2 - Q4 Bonus]]</f>
        <v/>
      </c>
      <c r="T33">
        <f>(Table1[[#This Row],[TA 1 - Total Score (out of 35)]]+Table1[[#This Row],[TA 2 - Total Score (out of 35)]])/2</f>
        <v/>
      </c>
      <c r="U33">
        <f>(Table1[[#This Row],[TA 1 - Total Bonus (out of 13)]]+Table1[[#This Row],[TA 2 - Total Bonus (out of 13)]])/2</f>
        <v/>
      </c>
      <c r="V33">
        <f>Table1[[#This Row],[Average Questions]]/35*20+Table1[[#This Row],[Average Bonus]]/13*5</f>
        <v/>
      </c>
      <c r="W33" t="n">
        <v>6</v>
      </c>
      <c r="X33" t="n">
        <v>0</v>
      </c>
      <c r="Y33" t="inlineStr">
        <is>
          <t>The student's submission failed to complete several key tasks, including loading and preparing the data, loading a pretrained model, and adapting it for the task. The training and validation functions were also not implemented correctly. While the student did attempt to train the model and implement test time augmentation, their code contained significant errors and did not run end-to-end. As a result, the student earned a score of 6.0, with the majority of the points coming from the training task. The bonus task was not completed correctly, so the student did not earn any bonus points.
Breakdown:
- Part 1: Load and Prepare Data: 0.0/?
- Part 2: Load Pretrained Model and Adapt: 0.0/?
- Part 3: Training and Validation Functions: 0.0/?
- Part 4: Training: 2.5/?
- Part 5: Bonus — Test Time Augmentation: 0.0/?</t>
        </is>
      </c>
      <c r="Z33" t="n">
        <v>4</v>
      </c>
      <c r="AA33" t="n">
        <v>0</v>
      </c>
      <c r="AB33" t="inlineStr">
        <is>
          <t>The submission failed to load and prepare the data correctly, build the CNN model, define the training and validation functions, train the model, and implement the residual connection. The code attempted some tasks but contained syntax and logic mistakes. The student did not provide any code for the bonus task, and the residual connection was not implemented correctly.
Breakdown:
- Part 1: Load and Prepare Data: 0.0/?
- Part 2: Build the CNN Model: 0.0/?
- Part 3: Training and Validation Functions: 0.0/?
- Part 4: Training: 0.0/?
- Part 5: Bonus — Residual Connection: 0.0/?</t>
        </is>
      </c>
      <c r="AC33" t="n">
        <v>6</v>
      </c>
      <c r="AD33"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3" t="n">
        <v>0</v>
      </c>
      <c r="AF33" t="n">
        <v>0</v>
      </c>
      <c r="AG33" t="inlineStr">
        <is>
          <t>The student's submission has several issues. The `ColorizationDataset` class is not implemented correctly, with syntax errors and incorrect formulas. Additionally, the `__getitem__` method does not return the correct values. As a result, the student does not receive any points for this task.
Breakdown:
- Correctly implemented `ColorizationDataset` class:: 0.0/?
- Any mistake in implementation: 0.0/?</t>
        </is>
      </c>
      <c r="AH33" t="n">
        <v>16</v>
      </c>
      <c r="AI33" t="n">
        <v>0</v>
      </c>
    </row>
    <row r="34">
      <c r="A34" t="n">
        <v>33</v>
      </c>
      <c r="B34" t="inlineStr">
        <is>
          <t>TA_1</t>
        </is>
      </c>
      <c r="C34" t="inlineStr">
        <is>
          <t>TA_11</t>
        </is>
      </c>
      <c r="D34" t="n">
        <v>9</v>
      </c>
      <c r="E34" t="n">
        <v>0</v>
      </c>
      <c r="F34" t="n">
        <v>8.5</v>
      </c>
      <c r="G34" t="n">
        <v>0</v>
      </c>
      <c r="H34" t="n">
        <v>4.5</v>
      </c>
      <c r="I34" t="n">
        <v>0</v>
      </c>
      <c r="J34" t="n">
        <v>8.75</v>
      </c>
      <c r="K34" t="n">
        <v>0</v>
      </c>
      <c r="L34" t="n">
        <v>6</v>
      </c>
      <c r="M34" t="n">
        <v>0</v>
      </c>
      <c r="N34" t="n">
        <v>-1</v>
      </c>
      <c r="O34" t="n">
        <v>0</v>
      </c>
      <c r="P34">
        <f>Table1[[#This Row],[TA 1 - Q1 Score]]+Table1[[#This Row],[TA 1 - Q2 Score]]+Table1[[#This Row],[TA 1 - Q3 Score]]</f>
        <v/>
      </c>
      <c r="Q34">
        <f>Table1[[#This Row],[TA 1 - Q1 Bonus]]+Table1[[#This Row],[TA 1 - Q2 Bonus]]+Table1[[#This Row],[TA 1 - Q4 Bonus]]</f>
        <v/>
      </c>
      <c r="R34">
        <f>Table1[[#This Row],[TA 2 - Q1 Score]]+Table1[[#This Row],[TA 2 - Q2 Score]]+Table1[[#This Row],[TA 2 - Q3 Score]]</f>
        <v/>
      </c>
      <c r="S34">
        <f>Table1[[#This Row],[TA 2 - Q1 Bonus]]+Table1[[#This Row],[TA 2 - Q2 Bonus]]+Table1[[#This Row],[TA 2 - Q4 Bonus]]</f>
        <v/>
      </c>
      <c r="T34">
        <f>(Table1[[#This Row],[TA 1 - Total Score (out of 35)]]+Table1[[#This Row],[TA 2 - Total Score (out of 35)]])/2</f>
        <v/>
      </c>
      <c r="U34">
        <f>(Table1[[#This Row],[TA 1 - Total Bonus (out of 13)]]+Table1[[#This Row],[TA 2 - Total Bonus (out of 13)]])/2</f>
        <v/>
      </c>
      <c r="V34">
        <f>Table1[[#This Row],[Average Questions]]/35*20+Table1[[#This Row],[Average Bonus]]/13*5</f>
        <v/>
      </c>
      <c r="W34" t="n">
        <v>6</v>
      </c>
      <c r="X34" t="n">
        <v>0</v>
      </c>
      <c r="Y34"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syntax and logic mistakes. The bonus task of implementing test time augmentation was not attempted. Overall, the student's submission demonstrates a lack of understanding of the required tasks and concepts.
Breakdown:
- Part 1: Load and Prepare Data: 0.0/?
- Part 2: Load Pretrained Model and Adapt: 0.0/?
- Part 3: Training and Validation Functions: 0.0/?
- Part 4: Training: 2.0/?
- Part 5: Bonus — Test Time Augmentation: 0.0/?</t>
        </is>
      </c>
      <c r="Z34" t="n">
        <v>4</v>
      </c>
      <c r="AA34" t="n">
        <v>0</v>
      </c>
      <c r="AB3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34" t="n">
        <v>6</v>
      </c>
      <c r="AD34"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34" t="n">
        <v>0</v>
      </c>
      <c r="AF34" t="n">
        <v>0</v>
      </c>
      <c r="AG34" t="inlineStr">
        <is>
          <t>The student's submission does not meet the requirements of the task. The `ColorizationDataset` class is not implemented correctly, and the code does not run end-to-end. The student attempted to implement the class, but made several mistakes, including not storing the dataset, not returning the correct length, and not implementing the `rgb_to_grayscale` method. As a result, the student did not earn any points for this task.
Breakdown:
- Correctly implemented `ColorizationDataset` class:: 0.0/?
- Any mistake in implementation: 0.0/?</t>
        </is>
      </c>
      <c r="AH34" t="n">
        <v>16</v>
      </c>
      <c r="AI34" t="n">
        <v>0</v>
      </c>
    </row>
    <row r="35">
      <c r="A35" t="n">
        <v>34</v>
      </c>
      <c r="B35" t="inlineStr">
        <is>
          <t>TA_1</t>
        </is>
      </c>
      <c r="C35" t="inlineStr">
        <is>
          <t>TA_11</t>
        </is>
      </c>
      <c r="D35" t="n">
        <v>12</v>
      </c>
      <c r="E35" t="n">
        <v>0</v>
      </c>
      <c r="F35" t="n">
        <v>11</v>
      </c>
      <c r="G35" t="n">
        <v>0</v>
      </c>
      <c r="H35" t="n">
        <v>3</v>
      </c>
      <c r="I35" t="n">
        <v>0</v>
      </c>
      <c r="J35" t="n">
        <v>11</v>
      </c>
      <c r="K35" t="n">
        <v>0</v>
      </c>
      <c r="L35" t="n">
        <v>9.75</v>
      </c>
      <c r="M35" t="n">
        <v>0</v>
      </c>
      <c r="N35" t="n">
        <v>1.5</v>
      </c>
      <c r="O35" t="n">
        <v>0</v>
      </c>
      <c r="P35">
        <f>Table1[[#This Row],[TA 1 - Q1 Score]]+Table1[[#This Row],[TA 1 - Q2 Score]]+Table1[[#This Row],[TA 1 - Q3 Score]]</f>
        <v/>
      </c>
      <c r="Q35">
        <f>Table1[[#This Row],[TA 1 - Q1 Bonus]]+Table1[[#This Row],[TA 1 - Q2 Bonus]]+Table1[[#This Row],[TA 1 - Q4 Bonus]]</f>
        <v/>
      </c>
      <c r="R35">
        <f>Table1[[#This Row],[TA 2 - Q1 Score]]+Table1[[#This Row],[TA 2 - Q2 Score]]+Table1[[#This Row],[TA 2 - Q3 Score]]</f>
        <v/>
      </c>
      <c r="S35">
        <f>Table1[[#This Row],[TA 2 - Q1 Bonus]]+Table1[[#This Row],[TA 2 - Q2 Bonus]]+Table1[[#This Row],[TA 2 - Q4 Bonus]]</f>
        <v/>
      </c>
      <c r="T35">
        <f>(Table1[[#This Row],[TA 1 - Total Score (out of 35)]]+Table1[[#This Row],[TA 2 - Total Score (out of 35)]])/2</f>
        <v/>
      </c>
      <c r="U35">
        <f>(Table1[[#This Row],[TA 1 - Total Bonus (out of 13)]]+Table1[[#This Row],[TA 2 - Total Bonus (out of 13)]])/2</f>
        <v/>
      </c>
      <c r="V35">
        <f>Table1[[#This Row],[Average Questions]]/35*20+Table1[[#This Row],[Average Bonus]]/13*5</f>
        <v/>
      </c>
      <c r="W35" t="n">
        <v>6</v>
      </c>
      <c r="X35" t="n">
        <v>0</v>
      </c>
      <c r="Y35" t="inlineStr">
        <is>
          <t>The student's submission failed to complete several key tasks, including loading and preparing the data, loading a pretrained model and adapting it, and implementing training and validation functions. While the student made an attempt at training the model, their code contained several syntax and logic mistakes. The bonus task of implementing test time augmentation was also not completed. Overall, the student's submission demonstrated a lack of understanding of the required tasks and concepts.
Breakdown:
- Part 1: Load and Prepare Data: 0.0/?
- Part 2: Load Pretrained Model and Adapt: 0.0/?
- Part 3: Training and Validation Functions: 0.0/?
- Part 4: Training: 2.0/?
- Part 5: Bonus — Test Time Augmentation: 0.0/?</t>
        </is>
      </c>
      <c r="Z35" t="n">
        <v>6</v>
      </c>
      <c r="AA35" t="n">
        <v>0</v>
      </c>
      <c r="AB35" t="inlineStr">
        <is>
          <t>The student's submission failed to complete several key tasks, including loading and preparing the data, building the CNN model, and implementing the training and validation functions. While the student made an attempt at training the model, their implementation was incomplete and did not follow the reference solution. The bonus task of adding a residual connection was not attempted. Overall, the submission demonstrates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35" t="n">
        <v>6</v>
      </c>
      <c r="AD35"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
Breakdown:
- Task 1: Dataset Class: 0.0/?
- Task 2: Model Class: 0.0/?
- Task 3: Training and Validation Loops: 0.0/?
- Task 4: Running Training: 0.0/?
- Task 5: Visualizing Predictions: 6.0/?</t>
        </is>
      </c>
      <c r="AE35" t="n">
        <v>0</v>
      </c>
      <c r="AF35" t="n">
        <v>0</v>
      </c>
      <c r="AG35" t="inlineStr">
        <is>
          <t>The student's submission did not implement the `ColorizationDataset` class correctly, resulting in a score of 0.0 for the base task. Since the student did not implement the class correctly, they did not attempt the bonus task, resulting in a score of 0.0 for the bonus task.
Breakdown:
- Correctly implemented `ColorizationDataset` class:: 0.0/?
- Any mistake in implementation: 0.0/?</t>
        </is>
      </c>
      <c r="AH35" t="n">
        <v>18</v>
      </c>
      <c r="AI35" t="n">
        <v>0</v>
      </c>
    </row>
    <row r="36">
      <c r="A36" t="n">
        <v>35</v>
      </c>
      <c r="B36" t="inlineStr">
        <is>
          <t>TA_1</t>
        </is>
      </c>
      <c r="C36" t="inlineStr">
        <is>
          <t>TA_11</t>
        </is>
      </c>
      <c r="D36" t="n">
        <v>10.5</v>
      </c>
      <c r="E36" t="n">
        <v>2</v>
      </c>
      <c r="F36" t="n">
        <v>11</v>
      </c>
      <c r="G36" t="n">
        <v>0</v>
      </c>
      <c r="H36" t="n">
        <v>12</v>
      </c>
      <c r="I36" t="n">
        <v>0</v>
      </c>
      <c r="J36" t="n">
        <v>7</v>
      </c>
      <c r="K36" t="n">
        <v>0</v>
      </c>
      <c r="L36" t="n">
        <v>10.25</v>
      </c>
      <c r="M36" t="n">
        <v>0</v>
      </c>
      <c r="N36" t="n">
        <v>12</v>
      </c>
      <c r="O36" t="n">
        <v>0</v>
      </c>
      <c r="P36">
        <f>Table1[[#This Row],[TA 1 - Q1 Score]]+Table1[[#This Row],[TA 1 - Q2 Score]]+Table1[[#This Row],[TA 1 - Q3 Score]]</f>
        <v/>
      </c>
      <c r="Q36">
        <f>Table1[[#This Row],[TA 1 - Q1 Bonus]]+Table1[[#This Row],[TA 1 - Q2 Bonus]]+Table1[[#This Row],[TA 1 - Q4 Bonus]]</f>
        <v/>
      </c>
      <c r="R36">
        <f>Table1[[#This Row],[TA 2 - Q1 Score]]+Table1[[#This Row],[TA 2 - Q2 Score]]+Table1[[#This Row],[TA 2 - Q3 Score]]</f>
        <v/>
      </c>
      <c r="S36">
        <f>Table1[[#This Row],[TA 2 - Q1 Bonus]]+Table1[[#This Row],[TA 2 - Q2 Bonus]]+Table1[[#This Row],[TA 2 - Q4 Bonus]]</f>
        <v/>
      </c>
      <c r="T36">
        <f>(Table1[[#This Row],[TA 1 - Total Score (out of 35)]]+Table1[[#This Row],[TA 2 - Total Score (out of 35)]])/2</f>
        <v/>
      </c>
      <c r="U36">
        <f>(Table1[[#This Row],[TA 1 - Total Bonus (out of 13)]]+Table1[[#This Row],[TA 2 - Total Bonus (out of 13)]])/2</f>
        <v/>
      </c>
      <c r="V36">
        <f>Table1[[#This Row],[Average Questions]]/35*20+Table1[[#This Row],[Average Bonus]]/13*5</f>
        <v/>
      </c>
      <c r="W36" t="n">
        <v>6</v>
      </c>
      <c r="X36" t="n">
        <v>0</v>
      </c>
      <c r="Y36" t="inlineStr">
        <is>
          <t>The student's submission failed to complete several key tasks, including loading and preparing the data, loading a pretrained model, and training the model. The code for the training and validation functions was partially correct, but the student failed to fix the labels, resulting in a penalty.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36" t="n">
        <v>4</v>
      </c>
      <c r="AA36" t="n">
        <v>0</v>
      </c>
      <c r="AB36" t="inlineStr">
        <is>
          <t>The student's submission failed to meet the requirements of the task. The code is disorganized and does not follow the structure of the reference solution. The student attempted to load and prepare the data, but the code is incomplete and does not display sample images with labels. The CNN model is not built correctly, and the training and validation functions are not implemented. The training process is also not completed. The bonus task of adding a residual connection is not attempted. Overall, the submission lacks a clear understanding of the task requirements and does not demonstrate a working solution.
Breakdown:
- Part 1: Load and Prepare Data: 0.0/?
- Part 2: Build the CNN Model: 0.0/?
- Part 3: Training and Validation Functions: 0.0/?
- Part 4: Training: 0.0/?
- Part 5: Bonus — Residual Connection: 0.0/?</t>
        </is>
      </c>
      <c r="AC36" t="n">
        <v>6</v>
      </c>
      <c r="AD36" t="inlineStr">
        <is>
          <t>The student's submission is incomplete and lacks code for several tasks. While they attempted to visualize predictions, their code is not fully functional and does not meet the requirements of the task. As a result, the student earns 0 points for the majority of the tasks and 6 points for the task of visualizing predictions.
Breakdown:
- Task 1: Dataset Class: 0.0/?
- Task 2: Model Class: 0.0/?
- Task 3: Training and Validation Loops: 0.0/?
- Task 4: Running Training: 0.0/?
- Task 5: Visualizing Predictions: 6.0/?</t>
        </is>
      </c>
      <c r="AE36" t="n">
        <v>0</v>
      </c>
      <c r="AF36" t="n">
        <v>0</v>
      </c>
      <c r="AG36" t="inlineStr">
        <is>
          <t>No submission found.</t>
        </is>
      </c>
      <c r="AH36" t="n">
        <v>16</v>
      </c>
      <c r="AI36" t="n">
        <v>0</v>
      </c>
    </row>
    <row r="37">
      <c r="A37" t="n">
        <v>36</v>
      </c>
      <c r="B37" t="inlineStr">
        <is>
          <t>TA_1</t>
        </is>
      </c>
      <c r="C37" t="inlineStr">
        <is>
          <t>TA_11</t>
        </is>
      </c>
      <c r="D37" t="n">
        <v>6</v>
      </c>
      <c r="E37" t="n">
        <v>0</v>
      </c>
      <c r="F37" t="n">
        <v>7</v>
      </c>
      <c r="G37" t="n">
        <v>0</v>
      </c>
      <c r="H37" t="n">
        <v>10.5</v>
      </c>
      <c r="I37" t="n">
        <v>0</v>
      </c>
      <c r="J37" t="n">
        <v>5.75</v>
      </c>
      <c r="K37" t="n">
        <v>0</v>
      </c>
      <c r="L37" t="n">
        <v>7</v>
      </c>
      <c r="M37" t="n">
        <v>0</v>
      </c>
      <c r="N37" t="n">
        <v>11</v>
      </c>
      <c r="O37" t="n">
        <v>0</v>
      </c>
      <c r="P37">
        <f>Table1[[#This Row],[TA 1 - Q1 Score]]+Table1[[#This Row],[TA 1 - Q2 Score]]+Table1[[#This Row],[TA 1 - Q3 Score]]</f>
        <v/>
      </c>
      <c r="Q37">
        <f>Table1[[#This Row],[TA 1 - Q1 Bonus]]+Table1[[#This Row],[TA 1 - Q2 Bonus]]+Table1[[#This Row],[TA 1 - Q4 Bonus]]</f>
        <v/>
      </c>
      <c r="R37">
        <f>Table1[[#This Row],[TA 2 - Q1 Score]]+Table1[[#This Row],[TA 2 - Q2 Score]]+Table1[[#This Row],[TA 2 - Q3 Score]]</f>
        <v/>
      </c>
      <c r="S37">
        <f>Table1[[#This Row],[TA 2 - Q1 Bonus]]+Table1[[#This Row],[TA 2 - Q2 Bonus]]+Table1[[#This Row],[TA 2 - Q4 Bonus]]</f>
        <v/>
      </c>
      <c r="T37">
        <f>(Table1[[#This Row],[TA 1 - Total Score (out of 35)]]+Table1[[#This Row],[TA 2 - Total Score (out of 35)]])/2</f>
        <v/>
      </c>
      <c r="U37">
        <f>(Table1[[#This Row],[TA 1 - Total Bonus (out of 13)]]+Table1[[#This Row],[TA 2 - Total Bonus (out of 13)]])/2</f>
        <v/>
      </c>
      <c r="V37">
        <f>Table1[[#This Row],[Average Questions]]/35*20+Table1[[#This Row],[Average Bonus]]/13*5</f>
        <v/>
      </c>
      <c r="W37" t="n">
        <v>6</v>
      </c>
      <c r="X37" t="n">
        <v>0</v>
      </c>
      <c r="Y37" t="inlineStr">
        <is>
          <t>The student's submission failed to address several key tasks, including loading and preparing data, loading a pretrained model, and implementing training and validation functions. While the student did write some code for training, it was incomplete and did not run end-to-end. The bonus task of implementing test time augmentation was also not addressed. Overall, the submission demonstrates a lack of understanding of the required tasks and a failure to execute the code correctly.
Breakdown:
- Part 1: Load and Prepare Data: 0.0/?
- Part 2: Load Pretrained Model and Adapt: 0.0/?
- Part 3: Training and Validation Functions: 0.0/?
- Part 4: Training: 2.5/?
- Part 5: Bonus — Test Time Augmentation: 0.0/?</t>
        </is>
      </c>
      <c r="Z37" t="n">
        <v>4</v>
      </c>
      <c r="AA37" t="n">
        <v>0</v>
      </c>
      <c r="AB37"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7" t="n">
        <v>6</v>
      </c>
      <c r="AD37" t="inlineStr">
        <is>
          <t>The student's submission failed to meet the requirements of the task. The code was not organized in a way that allowed it to run end-to-end, and several key components were missing or incorrect. The student attempted to implement some tasks, but the code contained syntax and logic mistakes. As a result, the student did not meet the requirements of the task and did not earn any points.
Breakdown:
- Task 1: Dataset Class: 0.0/?
- Task 2: Model Class: 0.0/?
- Task 3: Training and Validation Loops: 0.0/?
- Task 4: Running Training: 0.0/?
- Task 5: Visualizing Predictions: 0.0/?</t>
        </is>
      </c>
      <c r="AE37" t="n">
        <v>0</v>
      </c>
      <c r="AF37" t="n">
        <v>0</v>
      </c>
      <c r="AG37" t="inlineStr">
        <is>
          <t>No submission found.</t>
        </is>
      </c>
      <c r="AH37" t="n">
        <v>16</v>
      </c>
      <c r="AI37" t="n">
        <v>0</v>
      </c>
    </row>
    <row r="38">
      <c r="A38" t="n">
        <v>37</v>
      </c>
      <c r="B38" t="inlineStr">
        <is>
          <t>TA_1</t>
        </is>
      </c>
      <c r="C38" t="inlineStr">
        <is>
          <t>TA_11</t>
        </is>
      </c>
      <c r="D38" t="n">
        <v>7</v>
      </c>
      <c r="E38" t="n">
        <v>0</v>
      </c>
      <c r="F38" t="n">
        <v>6</v>
      </c>
      <c r="G38" t="n">
        <v>0</v>
      </c>
      <c r="H38" t="n">
        <v>2</v>
      </c>
      <c r="I38" t="n">
        <v>0</v>
      </c>
      <c r="J38" t="n">
        <v>5.75</v>
      </c>
      <c r="K38" t="n">
        <v>0</v>
      </c>
      <c r="L38" t="n">
        <v>6</v>
      </c>
      <c r="M38" t="n">
        <v>0</v>
      </c>
      <c r="N38" t="n">
        <v>1.75</v>
      </c>
      <c r="O38" t="n">
        <v>0</v>
      </c>
      <c r="P38">
        <f>Table1[[#This Row],[TA 1 - Q1 Score]]+Table1[[#This Row],[TA 1 - Q2 Score]]+Table1[[#This Row],[TA 1 - Q3 Score]]</f>
        <v/>
      </c>
      <c r="Q38">
        <f>Table1[[#This Row],[TA 1 - Q1 Bonus]]+Table1[[#This Row],[TA 1 - Q2 Bonus]]+Table1[[#This Row],[TA 1 - Q4 Bonus]]</f>
        <v/>
      </c>
      <c r="R38">
        <f>Table1[[#This Row],[TA 2 - Q1 Score]]+Table1[[#This Row],[TA 2 - Q2 Score]]+Table1[[#This Row],[TA 2 - Q3 Score]]</f>
        <v/>
      </c>
      <c r="S38">
        <f>Table1[[#This Row],[TA 2 - Q1 Bonus]]+Table1[[#This Row],[TA 2 - Q2 Bonus]]+Table1[[#This Row],[TA 2 - Q4 Bonus]]</f>
        <v/>
      </c>
      <c r="T38">
        <f>(Table1[[#This Row],[TA 1 - Total Score (out of 35)]]+Table1[[#This Row],[TA 2 - Total Score (out of 35)]])/2</f>
        <v/>
      </c>
      <c r="U38">
        <f>(Table1[[#This Row],[TA 1 - Total Bonus (out of 13)]]+Table1[[#This Row],[TA 2 - Total Bonus (out of 13)]])/2</f>
        <v/>
      </c>
      <c r="V38">
        <f>Table1[[#This Row],[Average Questions]]/35*20+Table1[[#This Row],[Average Bonus]]/13*5</f>
        <v/>
      </c>
      <c r="W38" t="n">
        <v>6</v>
      </c>
      <c r="X38" t="n">
        <v>0</v>
      </c>
      <c r="Y3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correctly.
Breakdown:
- Part 1: Load and Prepare Data: 0.0/?
- Part 2: Load Pretrained Model and Adapt: 0.0/?
- Part 3: Training and Validation Functions: 0.0/?
- Part 4: Training: 2.0/?
- Part 5: Bonus — Test Time Augmentation: 0.0/?</t>
        </is>
      </c>
      <c r="Z38" t="n">
        <v>4</v>
      </c>
      <c r="AA38" t="n">
        <v>0</v>
      </c>
      <c r="AB38"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8" t="n">
        <v>6</v>
      </c>
      <c r="AD38"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8" t="n">
        <v>0</v>
      </c>
      <c r="AF38" t="n">
        <v>0</v>
      </c>
      <c r="AG38" t="inlineStr">
        <is>
          <t>No submission found.</t>
        </is>
      </c>
      <c r="AH38" t="n">
        <v>16</v>
      </c>
      <c r="AI38" t="n">
        <v>0</v>
      </c>
    </row>
    <row r="39">
      <c r="A39" t="n">
        <v>38</v>
      </c>
      <c r="B39" t="inlineStr">
        <is>
          <t>TA_1</t>
        </is>
      </c>
      <c r="C39" t="inlineStr">
        <is>
          <t>TA_11</t>
        </is>
      </c>
      <c r="D39" t="n">
        <v>12</v>
      </c>
      <c r="E39" t="n">
        <v>4</v>
      </c>
      <c r="F39" t="n">
        <v>11</v>
      </c>
      <c r="G39" t="n">
        <v>0</v>
      </c>
      <c r="H39" t="n">
        <v>12</v>
      </c>
      <c r="I39" t="n">
        <v>0</v>
      </c>
      <c r="J39" t="n">
        <v>12</v>
      </c>
      <c r="K39" t="n">
        <v>4</v>
      </c>
      <c r="L39" t="n">
        <v>10.75</v>
      </c>
      <c r="M39" t="n">
        <v>0</v>
      </c>
      <c r="N39" t="n">
        <v>12</v>
      </c>
      <c r="O39" t="n">
        <v>0</v>
      </c>
      <c r="P39">
        <f>Table1[[#This Row],[TA 1 - Q1 Score]]+Table1[[#This Row],[TA 1 - Q2 Score]]+Table1[[#This Row],[TA 1 - Q3 Score]]</f>
        <v/>
      </c>
      <c r="Q39">
        <f>Table1[[#This Row],[TA 1 - Q1 Bonus]]+Table1[[#This Row],[TA 1 - Q2 Bonus]]+Table1[[#This Row],[TA 1 - Q4 Bonus]]</f>
        <v/>
      </c>
      <c r="R39">
        <f>Table1[[#This Row],[TA 2 - Q1 Score]]+Table1[[#This Row],[TA 2 - Q2 Score]]+Table1[[#This Row],[TA 2 - Q3 Score]]</f>
        <v/>
      </c>
      <c r="S39">
        <f>Table1[[#This Row],[TA 2 - Q1 Bonus]]+Table1[[#This Row],[TA 2 - Q2 Bonus]]+Table1[[#This Row],[TA 2 - Q4 Bonus]]</f>
        <v/>
      </c>
      <c r="T39">
        <f>(Table1[[#This Row],[TA 1 - Total Score (out of 35)]]+Table1[[#This Row],[TA 2 - Total Score (out of 35)]])/2</f>
        <v/>
      </c>
      <c r="U39">
        <f>(Table1[[#This Row],[TA 1 - Total Bonus (out of 13)]]+Table1[[#This Row],[TA 2 - Total Bonus (out of 13)]])/2</f>
        <v/>
      </c>
      <c r="V39">
        <f>Table1[[#This Row],[Average Questions]]/35*20+Table1[[#This Row],[Average Bonus]]/13*5</f>
        <v/>
      </c>
      <c r="W39" t="n">
        <v>8</v>
      </c>
      <c r="X39" t="n">
        <v>0</v>
      </c>
      <c r="Y39" t="inlineStr">
        <is>
          <t>The student's submission failed to meet the requirements for several tasks. Specifically, the student did not submit code for Part 1, Part 2, and Part 3. For Part 4, the student's code is incomplete, but it does attempt the task. For the bonus task, the student's code is incorrect and does not run. As a result, the student's score is 8.0, which is the sum of the awarded points for Part 4.
Breakdown:
- Part 1: Load and Prepare Data: 0.0/?
- Part 2: Load Pretrained Model and Adapt: 0.0/?
- Part 3: Training and Validation Functions: 0.0/?
- Part 4: Training: 2.5/?
- Part 5: Bonus — Test Time Augmentation: 0.0/?</t>
        </is>
      </c>
      <c r="Z39" t="n">
        <v>6</v>
      </c>
      <c r="AA39" t="n">
        <v>0</v>
      </c>
      <c r="AB39" t="inlineStr">
        <is>
          <t>The student's submission failed to complete several key tasks, including loading and preparing the data, building the CNN model, and implementing the training and validation functions. Although the student attempted to train the model, their implementation was incomplete and did not follow the reference solution. The bonus task, which involved adding a residual connection to the model, was not attempted at all. As a result, the student's submission was awarded a score of 2.0 for the training task and 0.0 for all other tasks.
Breakdown:
- Part 1: Load and Prepare Data: 0.0/?
- Part 2: Build the CNN Model: 0.0/?
- Part 3: Training and Validation Functions: 0.0/?
- Part 4: Training: 2.0/?
- Part 5: Bonus — Residual Connection: 0.0/?</t>
        </is>
      </c>
      <c r="AC39" t="n">
        <v>6</v>
      </c>
      <c r="AD39" t="inlineStr">
        <is>
          <t>The student's submission was incomplete, with no code submitted for Tasks 1-4. However, the code for Task 5 was mostly correct, with the student successfully visualizing the predictions. The only issue was that the ground truth masks were not displayed correctly.
Breakdown:
- Task 1: Dataset Class: 0.0/?
- Task 2: Model Class: 0.0/?
- Task 3: Training and Validation Loops: 0.0/?
- Task 4: Running Training: 0.0/?
- Task 5: Visualizing Predictions: 6.0/?</t>
        </is>
      </c>
      <c r="AE39" t="n">
        <v>0</v>
      </c>
      <c r="AF39" t="n">
        <v>0</v>
      </c>
      <c r="AG39" t="inlineStr">
        <is>
          <t>No submission found.</t>
        </is>
      </c>
      <c r="AH39" t="n">
        <v>20</v>
      </c>
      <c r="AI39" t="n">
        <v>0</v>
      </c>
    </row>
    <row r="40">
      <c r="A40" t="n">
        <v>39</v>
      </c>
      <c r="B40" t="inlineStr">
        <is>
          <t>TA_1</t>
        </is>
      </c>
      <c r="C40" t="inlineStr">
        <is>
          <t>TA_11</t>
        </is>
      </c>
      <c r="D40" t="n">
        <v>12</v>
      </c>
      <c r="E40" t="n">
        <v>4</v>
      </c>
      <c r="F40" t="n">
        <v>11</v>
      </c>
      <c r="G40" t="n">
        <v>4</v>
      </c>
      <c r="H40" t="n">
        <v>12</v>
      </c>
      <c r="I40" t="n">
        <v>5</v>
      </c>
      <c r="J40" t="n">
        <v>12</v>
      </c>
      <c r="K40" t="n">
        <v>4</v>
      </c>
      <c r="L40" t="n">
        <v>11</v>
      </c>
      <c r="M40" t="n">
        <v>4</v>
      </c>
      <c r="N40" t="n">
        <v>12</v>
      </c>
      <c r="O40" t="n">
        <v>5</v>
      </c>
      <c r="P40">
        <f>Table1[[#This Row],[TA 1 - Q1 Score]]+Table1[[#This Row],[TA 1 - Q2 Score]]+Table1[[#This Row],[TA 1 - Q3 Score]]</f>
        <v/>
      </c>
      <c r="Q40">
        <f>Table1[[#This Row],[TA 1 - Q1 Bonus]]+Table1[[#This Row],[TA 1 - Q2 Bonus]]+Table1[[#This Row],[TA 1 - Q4 Bonus]]</f>
        <v/>
      </c>
      <c r="R40">
        <f>Table1[[#This Row],[TA 2 - Q1 Score]]+Table1[[#This Row],[TA 2 - Q2 Score]]+Table1[[#This Row],[TA 2 - Q3 Score]]</f>
        <v/>
      </c>
      <c r="S40">
        <f>Table1[[#This Row],[TA 2 - Q1 Bonus]]+Table1[[#This Row],[TA 2 - Q2 Bonus]]+Table1[[#This Row],[TA 2 - Q4 Bonus]]</f>
        <v/>
      </c>
      <c r="T40">
        <f>(Table1[[#This Row],[TA 1 - Total Score (out of 35)]]+Table1[[#This Row],[TA 2 - Total Score (out of 35)]])/2</f>
        <v/>
      </c>
      <c r="U40">
        <f>(Table1[[#This Row],[TA 1 - Total Bonus (out of 13)]]+Table1[[#This Row],[TA 2 - Total Bonus (out of 13)]])/2</f>
        <v/>
      </c>
      <c r="V40">
        <f>Table1[[#This Row],[Average Questions]]/35*20+Table1[[#This Row],[Average Bonus]]/13*5</f>
        <v/>
      </c>
      <c r="W40" t="n">
        <v>9</v>
      </c>
      <c r="X40" t="n">
        <v>0</v>
      </c>
      <c r="Y40"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As a result, the student was unable to achieve the full score for this question.
Breakdown:
- Part 1: Load and Prepare Data: 0.0/?
- Part 2: Load Pretrained Model and Adapt: 0.0/?
- Part 3: Training and Validation Functions: 3.5/?
- Part 4: Training: 2.5/?
- Part 5: Bonus — Test Time Augmentation: 0.0/?</t>
        </is>
      </c>
      <c r="Z40" t="n">
        <v>6</v>
      </c>
      <c r="AA40" t="n">
        <v>0</v>
      </c>
      <c r="AB40" t="inlineStr">
        <is>
          <t>The student's submission failed to meet the requirements for most tasks. In Part 1, the student incorrectly used the ImageFolder class and failed to apply the specified transforms. In Part 2, the student did not implement the CNN model with the required architecture. In Part 3, the student did not define the training and validation loop functions. In Part 4, the student only partially completed the training task, but the code was mostly correct. The student did not attempt the bonus task in Part 5.
Breakdown:
- Part 1: Load and Prepare Data: 0.0/?
- Part 2: Build the CNN Model: 0.0/?
- Part 3: Training and Validation Functions: 0.0/?
- Part 4: Training: 2.0/?
- Part 5: Bonus — Residual Connection: 0.0/?</t>
        </is>
      </c>
      <c r="AC40" t="n">
        <v>6</v>
      </c>
      <c r="AD40" t="inlineStr">
        <is>
          <t>The student's submission is incomplete and lacks code for several tasks. While they attempted to visualize predictions, their code is not fully functional and does not meet the requirements of the task.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40" t="n">
        <v>0</v>
      </c>
      <c r="AF40" t="n">
        <v>0</v>
      </c>
      <c r="AG40" t="inlineStr">
        <is>
          <t>The student's submission does not meet the requirements of the task. The `ColorizationDataset` class is not implemented correctly, and the code does not run end-to-end. The student attempted to implement the `rgb_to_grayscale` method, but it does not correctly calculate the grayscale value. Additionally, the `__getitem__` method does not return the correct grayscale and color images. As a result, the student did not earn any points for this task.
Breakdown:
- Correctly implemented `ColorizationDataset` class:: 0.0/?</t>
        </is>
      </c>
      <c r="AH40" t="n">
        <v>21</v>
      </c>
      <c r="AI40" t="n">
        <v>0</v>
      </c>
    </row>
    <row r="41">
      <c r="A41" t="n">
        <v>40</v>
      </c>
      <c r="B41" t="inlineStr">
        <is>
          <t>TA_1</t>
        </is>
      </c>
      <c r="C41" t="inlineStr">
        <is>
          <t>TA_11</t>
        </is>
      </c>
      <c r="D41" t="n">
        <v>8.5</v>
      </c>
      <c r="E41" t="n">
        <v>3</v>
      </c>
      <c r="F41" t="n">
        <v>9</v>
      </c>
      <c r="G41" t="n">
        <v>4</v>
      </c>
      <c r="H41" t="n">
        <v>10.5</v>
      </c>
      <c r="I41" t="n">
        <v>0</v>
      </c>
      <c r="J41" t="n">
        <v>11</v>
      </c>
      <c r="K41" t="n">
        <v>1</v>
      </c>
      <c r="L41" t="n">
        <v>9</v>
      </c>
      <c r="M41" t="n">
        <v>1</v>
      </c>
      <c r="N41" t="n">
        <v>4</v>
      </c>
      <c r="O41" t="n">
        <v>0</v>
      </c>
      <c r="P41">
        <f>Table1[[#This Row],[TA 1 - Q1 Score]]+Table1[[#This Row],[TA 1 - Q2 Score]]+Table1[[#This Row],[TA 1 - Q3 Score]]</f>
        <v/>
      </c>
      <c r="Q41">
        <f>Table1[[#This Row],[TA 1 - Q1 Bonus]]+Table1[[#This Row],[TA 1 - Q2 Bonus]]+Table1[[#This Row],[TA 1 - Q4 Bonus]]</f>
        <v/>
      </c>
      <c r="R41">
        <f>Table1[[#This Row],[TA 2 - Q1 Score]]+Table1[[#This Row],[TA 2 - Q2 Score]]+Table1[[#This Row],[TA 2 - Q3 Score]]</f>
        <v/>
      </c>
      <c r="S41">
        <f>Table1[[#This Row],[TA 2 - Q1 Bonus]]+Table1[[#This Row],[TA 2 - Q2 Bonus]]+Table1[[#This Row],[TA 2 - Q4 Bonus]]</f>
        <v/>
      </c>
      <c r="T41">
        <f>(Table1[[#This Row],[TA 1 - Total Score (out of 35)]]+Table1[[#This Row],[TA 2 - Total Score (out of 35)]])/2</f>
        <v/>
      </c>
      <c r="U41">
        <f>(Table1[[#This Row],[TA 1 - Total Bonus (out of 13)]]+Table1[[#This Row],[TA 2 - Total Bonus (out of 13)]])/2</f>
        <v/>
      </c>
      <c r="V41">
        <f>Table1[[#This Row],[Average Questions]]/35*20+Table1[[#This Row],[Average Bonus]]/13*5</f>
        <v/>
      </c>
      <c r="W41" t="n">
        <v>6</v>
      </c>
      <c r="X41" t="n">
        <v>0</v>
      </c>
      <c r="Y4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3.0/?
- Part 5: Bonus — Test Time Augmentation: 0.0/?</t>
        </is>
      </c>
      <c r="Z41" t="n">
        <v>4</v>
      </c>
      <c r="AA41" t="n">
        <v>0</v>
      </c>
      <c r="AB41"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1" t="n">
        <v>6</v>
      </c>
      <c r="AD41"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41" t="n">
        <v>0</v>
      </c>
      <c r="AF41" t="n">
        <v>0</v>
      </c>
      <c r="AG41" t="inlineStr">
        <is>
          <t>The student's submission has multiple mistakes in the implementation of the `ColorizationDataset` class. The `rgb_to_grayscale` method is not correctly implemented and the `__getitem__` method is not correctly implemented. As a result, the student does not receive any points for this task.
Breakdown:
- Correctly implemented `ColorizationDataset` class:: 0.0/?
- Any mistake in implementation: 0.0/?</t>
        </is>
      </c>
      <c r="AH41" t="n">
        <v>16</v>
      </c>
      <c r="AI41" t="n">
        <v>0</v>
      </c>
    </row>
    <row r="42">
      <c r="A42" t="n">
        <v>41</v>
      </c>
      <c r="B42" t="inlineStr">
        <is>
          <t>TA_1</t>
        </is>
      </c>
      <c r="C42" t="inlineStr">
        <is>
          <t>TA_11</t>
        </is>
      </c>
      <c r="D42" t="n">
        <v>12</v>
      </c>
      <c r="E42" t="n">
        <v>0</v>
      </c>
      <c r="F42" t="n">
        <v>11</v>
      </c>
      <c r="G42" t="n">
        <v>0</v>
      </c>
      <c r="H42" t="n">
        <v>12.5</v>
      </c>
      <c r="I42" t="n">
        <v>0</v>
      </c>
      <c r="J42" t="n">
        <v>11</v>
      </c>
      <c r="K42" t="n">
        <v>0</v>
      </c>
      <c r="L42" t="n">
        <v>9.25</v>
      </c>
      <c r="M42" t="n">
        <v>0</v>
      </c>
      <c r="N42" t="n">
        <v>12</v>
      </c>
      <c r="O42" t="n">
        <v>0</v>
      </c>
      <c r="P42">
        <f>Table1[[#This Row],[TA 1 - Q1 Score]]+Table1[[#This Row],[TA 1 - Q2 Score]]+Table1[[#This Row],[TA 1 - Q3 Score]]</f>
        <v/>
      </c>
      <c r="Q42">
        <f>Table1[[#This Row],[TA 1 - Q1 Bonus]]+Table1[[#This Row],[TA 1 - Q2 Bonus]]+Table1[[#This Row],[TA 1 - Q4 Bonus]]</f>
        <v/>
      </c>
      <c r="R42">
        <f>Table1[[#This Row],[TA 2 - Q1 Score]]+Table1[[#This Row],[TA 2 - Q2 Score]]+Table1[[#This Row],[TA 2 - Q3 Score]]</f>
        <v/>
      </c>
      <c r="S42">
        <f>Table1[[#This Row],[TA 2 - Q1 Bonus]]+Table1[[#This Row],[TA 2 - Q2 Bonus]]+Table1[[#This Row],[TA 2 - Q4 Bonus]]</f>
        <v/>
      </c>
      <c r="T42">
        <f>(Table1[[#This Row],[TA 1 - Total Score (out of 35)]]+Table1[[#This Row],[TA 2 - Total Score (out of 35)]])/2</f>
        <v/>
      </c>
      <c r="U42">
        <f>(Table1[[#This Row],[TA 1 - Total Bonus (out of 13)]]+Table1[[#This Row],[TA 2 - Total Bonus (out of 13)]])/2</f>
        <v/>
      </c>
      <c r="V42">
        <f>Table1[[#This Row],[Average Questions]]/35*20+Table1[[#This Row],[Average Bonus]]/13*5</f>
        <v/>
      </c>
      <c r="W42" t="n">
        <v>6</v>
      </c>
      <c r="X42" t="n">
        <v>0</v>
      </c>
      <c r="Y42" t="inlineStr">
        <is>
          <t>The student's submission failed to complete several key tasks, including loading and preparing the data, loading a pretrained model, and implementing training and validation functions. While the student did attempt to train the model, their implementation was incomplete and did not follow the reference solution. As a result, the student did not earn any points for the base tasks. The bonus task was also not completed, resulting in a score of 0 for the bonus.
Breakdown:
- Part 1: Load and Prepare Data: 0.0/?
- Part 2: Load Pretrained Model and Adapt: 0.0/?
- Part 3: Training and Validation Functions: 0.0/?
- Part 4: Training: 2.0/?
- Part 5: Bonus — Test Time Augmentation: 0.0/?</t>
        </is>
      </c>
      <c r="Z42" t="n">
        <v>4</v>
      </c>
      <c r="AA42" t="n">
        <v>0</v>
      </c>
      <c r="AB42"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2" t="n">
        <v>6</v>
      </c>
      <c r="AD42" t="inlineStr">
        <is>
          <t>The student's submission was incomplete and lacked code for most tasks. The only task that was attempted was Task 5: Visualizing Predictions, where the student's code was mostly correct but did not meet all the requirements.
Breakdown:
- Task 1: Dataset Class: 0.0/?
- Task 2: Model Class: 0.0/?
- Task 3: Training and Validation Loops: 0.0/?
- Task 4: Running Training: 0.0/?
- Task 5: Visualizing Predictions: 6.0/?</t>
        </is>
      </c>
      <c r="AE42" t="n">
        <v>0</v>
      </c>
      <c r="AF42" t="n">
        <v>0</v>
      </c>
      <c r="AG42" t="inlineStr">
        <is>
          <t>No submission found.</t>
        </is>
      </c>
      <c r="AH42" t="n">
        <v>16</v>
      </c>
      <c r="AI42" t="n">
        <v>0</v>
      </c>
    </row>
    <row r="43">
      <c r="A43" t="n">
        <v>42</v>
      </c>
      <c r="B43" t="inlineStr">
        <is>
          <t>TA_1</t>
        </is>
      </c>
      <c r="C43" t="inlineStr">
        <is>
          <t>TA_11</t>
        </is>
      </c>
      <c r="D43" t="n">
        <v>7</v>
      </c>
      <c r="E43" t="n">
        <v>0</v>
      </c>
      <c r="F43" t="n">
        <v>11</v>
      </c>
      <c r="G43" t="n">
        <v>0</v>
      </c>
      <c r="H43" t="n">
        <v>12</v>
      </c>
      <c r="I43" t="n">
        <v>0</v>
      </c>
      <c r="J43" t="n">
        <v>5.75</v>
      </c>
      <c r="K43" t="n">
        <v>0</v>
      </c>
      <c r="L43" t="n">
        <v>11</v>
      </c>
      <c r="M43" t="n">
        <v>0</v>
      </c>
      <c r="N43" t="n">
        <v>11</v>
      </c>
      <c r="O43" t="n">
        <v>0</v>
      </c>
      <c r="P43">
        <f>Table1[[#This Row],[TA 1 - Q1 Score]]+Table1[[#This Row],[TA 1 - Q2 Score]]+Table1[[#This Row],[TA 1 - Q3 Score]]</f>
        <v/>
      </c>
      <c r="Q43">
        <f>Table1[[#This Row],[TA 1 - Q1 Bonus]]+Table1[[#This Row],[TA 1 - Q2 Bonus]]+Table1[[#This Row],[TA 1 - Q4 Bonus]]</f>
        <v/>
      </c>
      <c r="R43">
        <f>Table1[[#This Row],[TA 2 - Q1 Score]]+Table1[[#This Row],[TA 2 - Q2 Score]]+Table1[[#This Row],[TA 2 - Q3 Score]]</f>
        <v/>
      </c>
      <c r="S43">
        <f>Table1[[#This Row],[TA 2 - Q1 Bonus]]+Table1[[#This Row],[TA 2 - Q2 Bonus]]+Table1[[#This Row],[TA 2 - Q4 Bonus]]</f>
        <v/>
      </c>
      <c r="T43">
        <f>(Table1[[#This Row],[TA 1 - Total Score (out of 35)]]+Table1[[#This Row],[TA 2 - Total Score (out of 35)]])/2</f>
        <v/>
      </c>
      <c r="U43">
        <f>(Table1[[#This Row],[TA 1 - Total Bonus (out of 13)]]+Table1[[#This Row],[TA 2 - Total Bonus (out of 13)]])/2</f>
        <v/>
      </c>
      <c r="V43">
        <f>Table1[[#This Row],[Average Questions]]/35*20+Table1[[#This Row],[Average Bonus]]/13*5</f>
        <v/>
      </c>
      <c r="W43" t="n">
        <v>6</v>
      </c>
      <c r="X43" t="n">
        <v>0</v>
      </c>
      <c r="Y43"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failed to run end-to-end. The bonus task of implementing test time augmentation was also not completed. As a result, the student's score is significantly lower than the maximum possible score.
Breakdown:
- Part 1: Load and Prepare Data: 0.0/?
- Part 2: Load Pretrained Model and Adapt: 0.0/?
- Part 3: Training and Validation Functions: 1.5/?
- Part 4: Training: 0.0/?
- Part 5: Bonus — Test Time Augmentation: 0.0/?</t>
        </is>
      </c>
      <c r="Z43" t="n">
        <v>6</v>
      </c>
      <c r="AA43" t="n">
        <v>0</v>
      </c>
      <c r="AB4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demonstrate the full range of skills required for this question.
Breakdown:
- Part 1: Load and Prepare Data: 0.0/?
- Part 2: Build the CNN Model: 0.0/?
- Part 3: Training and Validation Functions: 0.0/?
- Part 4: Training: 2.0/?
- Part 5: Bonus — Residual Connection: 0.0/?</t>
        </is>
      </c>
      <c r="AC43" t="n">
        <v>6</v>
      </c>
      <c r="AD43" t="inlineStr">
        <is>
          <t>The student's submission was incomplete and contained several errors. They failed to complete tasks 1, 2, 3, and 4, and their implementation of task 5 was not entirely correct. The student's code was not well-organized and did not follow the provided structure. As a result, they were unable to complete the majority of the tasks and were only able to receive partial credit for task 5.
Breakdown:
- Task 1: Dataset Class: 0.0/?
- Task 2: Model Class: 0.0/?
- Task 3: Training and Validation Loops: 0.0/?
- Task 4: Running Training: 0.0/?
- Task 5: Visualizing Predictions: 6.0/?</t>
        </is>
      </c>
      <c r="AE43" t="n">
        <v>0</v>
      </c>
      <c r="AF43" t="n">
        <v>0</v>
      </c>
      <c r="AG43" t="inlineStr">
        <is>
          <t>No submission found.</t>
        </is>
      </c>
      <c r="AH43" t="n">
        <v>18</v>
      </c>
      <c r="AI43" t="n">
        <v>0</v>
      </c>
    </row>
    <row r="44">
      <c r="A44" t="n">
        <v>43</v>
      </c>
      <c r="B44" t="inlineStr">
        <is>
          <t>TA_1</t>
        </is>
      </c>
      <c r="C44" t="inlineStr">
        <is>
          <t>TA_11</t>
        </is>
      </c>
      <c r="D44" t="n">
        <v>4.5</v>
      </c>
      <c r="E44" t="n">
        <v>0</v>
      </c>
      <c r="F44" t="n">
        <v>8</v>
      </c>
      <c r="G44" t="n">
        <v>0</v>
      </c>
      <c r="H44" t="n">
        <v>7.5</v>
      </c>
      <c r="I44" t="n">
        <v>0</v>
      </c>
      <c r="J44" t="n">
        <v>5.25</v>
      </c>
      <c r="K44" t="n">
        <v>0</v>
      </c>
      <c r="L44" t="n">
        <v>7.75</v>
      </c>
      <c r="M44" t="n">
        <v>0</v>
      </c>
      <c r="N44" t="n">
        <v>6</v>
      </c>
      <c r="O44" t="n">
        <v>0</v>
      </c>
      <c r="P44">
        <f>Table1[[#This Row],[TA 1 - Q1 Score]]+Table1[[#This Row],[TA 1 - Q2 Score]]+Table1[[#This Row],[TA 1 - Q3 Score]]</f>
        <v/>
      </c>
      <c r="Q44">
        <f>Table1[[#This Row],[TA 1 - Q1 Bonus]]+Table1[[#This Row],[TA 1 - Q2 Bonus]]+Table1[[#This Row],[TA 1 - Q4 Bonus]]</f>
        <v/>
      </c>
      <c r="R44">
        <f>Table1[[#This Row],[TA 2 - Q1 Score]]+Table1[[#This Row],[TA 2 - Q2 Score]]+Table1[[#This Row],[TA 2 - Q3 Score]]</f>
        <v/>
      </c>
      <c r="S44">
        <f>Table1[[#This Row],[TA 2 - Q1 Bonus]]+Table1[[#This Row],[TA 2 - Q2 Bonus]]+Table1[[#This Row],[TA 2 - Q4 Bonus]]</f>
        <v/>
      </c>
      <c r="T44">
        <f>(Table1[[#This Row],[TA 1 - Total Score (out of 35)]]+Table1[[#This Row],[TA 2 - Total Score (out of 35)]])/2</f>
        <v/>
      </c>
      <c r="U44">
        <f>(Table1[[#This Row],[TA 1 - Total Bonus (out of 13)]]+Table1[[#This Row],[TA 2 - Total Bonus (out of 13)]])/2</f>
        <v/>
      </c>
      <c r="V44">
        <f>Table1[[#This Row],[Average Questions]]/35*20+Table1[[#This Row],[Average Bonus]]/13*5</f>
        <v/>
      </c>
      <c r="W44" t="n">
        <v>6</v>
      </c>
      <c r="X44" t="n">
        <v>0</v>
      </c>
      <c r="Y44" t="inlineStr">
        <is>
          <t>The student's submission failed to complete several key tasks, including loading and preparing the data, loading a pretrained model and adapting it, and training the model. While the student made an attempt at defining the training and validation functions, the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44" t="n">
        <v>4</v>
      </c>
      <c r="AA44" t="n">
        <v>0</v>
      </c>
      <c r="AB44"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4" t="n">
        <v>6</v>
      </c>
      <c r="AD44" t="inlineStr">
        <is>
          <t>The student's submission was incomplete, with no code submitted for Tasks 1-4. However, the code for Task 5: Visualizing Predictions was correct and ran, earning 6 points. The student's approach to the other tasks was not attempted, resulting in a score of 0 for each of those tasks.
Breakdown:
- Task 1: Dataset Class: 0.0/?
- Task 2: Model Class: 0.0/?
- Task 3: Training and Validation Loops: 0.0/?
- Task 4: Running Training: 0.0/?
- Task 5: Visualizing Predictions: 6.0/?</t>
        </is>
      </c>
      <c r="AE44" t="n">
        <v>0</v>
      </c>
      <c r="AF44" t="n">
        <v>0</v>
      </c>
      <c r="AG44" t="inlineStr">
        <is>
          <t>No submission found.</t>
        </is>
      </c>
      <c r="AH44" t="n">
        <v>16</v>
      </c>
      <c r="AI44" t="n">
        <v>0</v>
      </c>
    </row>
    <row r="45">
      <c r="A45" t="n">
        <v>44</v>
      </c>
      <c r="B45" t="inlineStr">
        <is>
          <t>TA_1</t>
        </is>
      </c>
      <c r="C45" t="inlineStr">
        <is>
          <t>TA_11</t>
        </is>
      </c>
      <c r="D45" t="n">
        <v>12</v>
      </c>
      <c r="E45" t="n">
        <v>0</v>
      </c>
      <c r="F45" t="n">
        <v>11</v>
      </c>
      <c r="G45" t="n">
        <v>0</v>
      </c>
      <c r="H45" t="n">
        <v>12</v>
      </c>
      <c r="I45" t="n">
        <v>0</v>
      </c>
      <c r="J45" t="n">
        <v>12</v>
      </c>
      <c r="K45" t="n">
        <v>0</v>
      </c>
      <c r="L45" t="n">
        <v>11</v>
      </c>
      <c r="M45" t="n">
        <v>0</v>
      </c>
      <c r="N45" t="n">
        <v>11</v>
      </c>
      <c r="O45" t="n">
        <v>0</v>
      </c>
      <c r="P45">
        <f>Table1[[#This Row],[TA 1 - Q1 Score]]+Table1[[#This Row],[TA 1 - Q2 Score]]+Table1[[#This Row],[TA 1 - Q3 Score]]</f>
        <v/>
      </c>
      <c r="Q45">
        <f>Table1[[#This Row],[TA 1 - Q1 Bonus]]+Table1[[#This Row],[TA 1 - Q2 Bonus]]+Table1[[#This Row],[TA 1 - Q4 Bonus]]</f>
        <v/>
      </c>
      <c r="R45">
        <f>Table1[[#This Row],[TA 2 - Q1 Score]]+Table1[[#This Row],[TA 2 - Q2 Score]]+Table1[[#This Row],[TA 2 - Q3 Score]]</f>
        <v/>
      </c>
      <c r="S45">
        <f>Table1[[#This Row],[TA 2 - Q1 Bonus]]+Table1[[#This Row],[TA 2 - Q2 Bonus]]+Table1[[#This Row],[TA 2 - Q4 Bonus]]</f>
        <v/>
      </c>
      <c r="T45">
        <f>(Table1[[#This Row],[TA 1 - Total Score (out of 35)]]+Table1[[#This Row],[TA 2 - Total Score (out of 35)]])/2</f>
        <v/>
      </c>
      <c r="U45">
        <f>(Table1[[#This Row],[TA 1 - Total Bonus (out of 13)]]+Table1[[#This Row],[TA 2 - Total Bonus (out of 13)]])/2</f>
        <v/>
      </c>
      <c r="V45">
        <f>Table1[[#This Row],[Average Questions]]/35*20+Table1[[#This Row],[Average Bonus]]/13*5</f>
        <v/>
      </c>
      <c r="W45" t="n">
        <v>6</v>
      </c>
      <c r="X45" t="n">
        <v>0</v>
      </c>
      <c r="Y45"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45" t="n">
        <v>4</v>
      </c>
      <c r="AA45" t="n">
        <v>0</v>
      </c>
      <c r="AB4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each task, resulting in a total score of 0.
Breakdown:
- Part 1: Load and Prepare Data: 0.0/?
- Part 2: Build the CNN Model: 0.0/?
- Part 3: Training and Validation Functions: 0.0/?
- Part 4: Training: 0.0/?
- Part 5: Bonus — Residual Connection: 0.0/?</t>
        </is>
      </c>
      <c r="AC45" t="n">
        <v>6</v>
      </c>
      <c r="AD45" t="inlineStr">
        <is>
          <t>The student's submission was incomplete and lacked code for several tasks. While the code for visualizing predictions was mostly correct, it did not meet the requirements of the task. As a result, the student received a score of 6.0 out of 12.0 for the base tasks and 0.0 out of 0.0 for the bonus tasks.
Breakdown:
- Task 1: Dataset Class: 0.0/?
- Task 2: Model Class: 0.0/?
- Task 3: Training and Validation Loops: 0.0/?
- Task 4: Running Training: 0.0/?
- Task 5: Visualizing Predictions: 6.0/?</t>
        </is>
      </c>
      <c r="AE45" t="n">
        <v>0</v>
      </c>
      <c r="AF45" t="n">
        <v>0</v>
      </c>
      <c r="AG45" t="inlineStr">
        <is>
          <t>No submission found.</t>
        </is>
      </c>
      <c r="AH45" t="n">
        <v>16</v>
      </c>
      <c r="AI45" t="n">
        <v>0</v>
      </c>
    </row>
    <row r="46">
      <c r="A46" t="n">
        <v>45</v>
      </c>
      <c r="B46" t="inlineStr">
        <is>
          <t>TA_1</t>
        </is>
      </c>
      <c r="C46" t="inlineStr">
        <is>
          <t>TA_11</t>
        </is>
      </c>
      <c r="D46" t="n">
        <v>7.5</v>
      </c>
      <c r="E46" t="n">
        <v>0</v>
      </c>
      <c r="F46" t="n">
        <v>7</v>
      </c>
      <c r="G46" t="n">
        <v>3</v>
      </c>
      <c r="H46" t="n">
        <v>7</v>
      </c>
      <c r="I46" t="n">
        <v>0</v>
      </c>
      <c r="J46" t="n">
        <v>8</v>
      </c>
      <c r="K46" t="n">
        <v>2</v>
      </c>
      <c r="L46" t="n">
        <v>8</v>
      </c>
      <c r="M46" t="n">
        <v>0</v>
      </c>
      <c r="N46" t="n">
        <v>5</v>
      </c>
      <c r="O46" t="n">
        <v>0</v>
      </c>
      <c r="P46">
        <f>Table1[[#This Row],[TA 1 - Q1 Score]]+Table1[[#This Row],[TA 1 - Q2 Score]]+Table1[[#This Row],[TA 1 - Q3 Score]]</f>
        <v/>
      </c>
      <c r="Q46">
        <f>Table1[[#This Row],[TA 1 - Q1 Bonus]]+Table1[[#This Row],[TA 1 - Q2 Bonus]]+Table1[[#This Row],[TA 1 - Q4 Bonus]]</f>
        <v/>
      </c>
      <c r="R46">
        <f>Table1[[#This Row],[TA 2 - Q1 Score]]+Table1[[#This Row],[TA 2 - Q2 Score]]+Table1[[#This Row],[TA 2 - Q3 Score]]</f>
        <v/>
      </c>
      <c r="S46">
        <f>Table1[[#This Row],[TA 2 - Q1 Bonus]]+Table1[[#This Row],[TA 2 - Q2 Bonus]]+Table1[[#This Row],[TA 2 - Q4 Bonus]]</f>
        <v/>
      </c>
      <c r="T46">
        <f>(Table1[[#This Row],[TA 1 - Total Score (out of 35)]]+Table1[[#This Row],[TA 2 - Total Score (out of 35)]])/2</f>
        <v/>
      </c>
      <c r="U46">
        <f>(Table1[[#This Row],[TA 1 - Total Bonus (out of 13)]]+Table1[[#This Row],[TA 2 - Total Bonus (out of 13)]])/2</f>
        <v/>
      </c>
      <c r="V46">
        <f>Table1[[#This Row],[Average Questions]]/35*20+Table1[[#This Row],[Average Bonus]]/13*5</f>
        <v/>
      </c>
      <c r="W46" t="n">
        <v>6</v>
      </c>
      <c r="X46" t="n">
        <v>0</v>
      </c>
      <c r="Y46"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46" t="n">
        <v>4</v>
      </c>
      <c r="AA46" t="n">
        <v>0</v>
      </c>
      <c r="AB46"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46" t="n">
        <v>6</v>
      </c>
      <c r="AD46"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6" t="n">
        <v>0</v>
      </c>
      <c r="AF46" t="n">
        <v>0</v>
      </c>
      <c r="AG46" t="inlineStr">
        <is>
          <t>No submission found.</t>
        </is>
      </c>
      <c r="AH46" t="n">
        <v>16</v>
      </c>
      <c r="AI46" t="n">
        <v>0</v>
      </c>
    </row>
    <row r="47">
      <c r="A47" t="n">
        <v>46</v>
      </c>
      <c r="B47" t="inlineStr">
        <is>
          <t>TA_1</t>
        </is>
      </c>
      <c r="C47" t="inlineStr">
        <is>
          <t>TA_11</t>
        </is>
      </c>
      <c r="D47" t="n">
        <v>6</v>
      </c>
      <c r="E47" t="n">
        <v>0</v>
      </c>
      <c r="F47" t="n">
        <v>10</v>
      </c>
      <c r="G47" t="n">
        <v>0</v>
      </c>
      <c r="H47" t="n">
        <v>4</v>
      </c>
      <c r="I47" t="n">
        <v>0</v>
      </c>
      <c r="J47" t="n">
        <v>6.75</v>
      </c>
      <c r="K47" t="n">
        <v>0</v>
      </c>
      <c r="L47" t="n">
        <v>8.5</v>
      </c>
      <c r="M47" t="n">
        <v>0</v>
      </c>
      <c r="N47" t="n">
        <v>5.25</v>
      </c>
      <c r="O47" t="n">
        <v>0</v>
      </c>
      <c r="P47">
        <f>Table1[[#This Row],[TA 1 - Q1 Score]]+Table1[[#This Row],[TA 1 - Q2 Score]]+Table1[[#This Row],[TA 1 - Q3 Score]]</f>
        <v/>
      </c>
      <c r="Q47">
        <f>Table1[[#This Row],[TA 1 - Q1 Bonus]]+Table1[[#This Row],[TA 1 - Q2 Bonus]]+Table1[[#This Row],[TA 1 - Q4 Bonus]]</f>
        <v/>
      </c>
      <c r="R47">
        <f>Table1[[#This Row],[TA 2 - Q1 Score]]+Table1[[#This Row],[TA 2 - Q2 Score]]+Table1[[#This Row],[TA 2 - Q3 Score]]</f>
        <v/>
      </c>
      <c r="S47">
        <f>Table1[[#This Row],[TA 2 - Q1 Bonus]]+Table1[[#This Row],[TA 2 - Q2 Bonus]]+Table1[[#This Row],[TA 2 - Q4 Bonus]]</f>
        <v/>
      </c>
      <c r="T47">
        <f>(Table1[[#This Row],[TA 1 - Total Score (out of 35)]]+Table1[[#This Row],[TA 2 - Total Score (out of 35)]])/2</f>
        <v/>
      </c>
      <c r="U47">
        <f>(Table1[[#This Row],[TA 1 - Total Bonus (out of 13)]]+Table1[[#This Row],[TA 2 - Total Bonus (out of 13)]])/2</f>
        <v/>
      </c>
      <c r="V47">
        <f>Table1[[#This Row],[Average Questions]]/35*20+Table1[[#This Row],[Average Bonus]]/13*5</f>
        <v/>
      </c>
      <c r="W47" t="n">
        <v>6</v>
      </c>
      <c r="X47" t="n">
        <v>0</v>
      </c>
      <c r="Y47" t="inlineStr">
        <is>
          <t>The student's submission failed to complete several key tasks, including loading and preparing the data, loading a pretrained model and adapting it, and implementing training and validation functions. While the student made an attempt at training the model, their code contained several errors and did not run end-to-end. The bonus task of implementing test time augmentation was also not completed. Overall, the student's submission demonstrated a lack of understanding of the key concepts and failed to execute the tasks correctly.
Breakdown:
- Part 1: Load and Prepare Data: 0.0/?
- Part 2: Load Pretrained Model and Adapt: 0.0/?
- Part 3: Training and Validation Functions: 0.0/?
- Part 4: Training: 2.0/?
- Part 5: Bonus — Test Time Augmentation: 0.0/?</t>
        </is>
      </c>
      <c r="Z47" t="n">
        <v>6</v>
      </c>
      <c r="AA47" t="n">
        <v>0</v>
      </c>
      <c r="AB47" t="inlineStr">
        <is>
          <t>The student's submission failed to complete several key tasks, including loading and preparing the data, building the CNN model, and implementing the training and validation functions. Although the student attempted to train the model, their implementation was incomplete and did not follow the reference solution. As a result, the student did not earn any points for the base tasks. The bonus task was also not completed, resulting in a score of 0 for the bonus.
Breakdown:
- Part 1: Load and Prepare Data: 0.0/?
- Part 2: Build the CNN Model: 0.0/?
- Part 3: Training and Validation Functions: 0.0/?
- Part 4: Training: 2.0/?
- Part 5: Bonus — Residual Connection: 0.0/?</t>
        </is>
      </c>
      <c r="AC47" t="n">
        <v>6</v>
      </c>
      <c r="AD47" t="inlineStr">
        <is>
          <t>The student's submission failed to address any of the tasks in Question 3. The code provided does not attempt to build a custom dataset class, define a model class, implement training and validation loops, run training, or visualize predictions. As a result, the student earns 0 points for each task, resulting in a total score of 6.0.
Breakdown:
- Task 1: Dataset Class: 0.0/?
- Task 2: Model Class: 0.0/?
- Task 3: Training and Validation Loops: 0.0/?
- Task 4: Running Training: 0.0/?
- Task 5: Visualizing Predictions: 0.0/?</t>
        </is>
      </c>
      <c r="AE47" t="n">
        <v>0</v>
      </c>
      <c r="AF47" t="n">
        <v>0</v>
      </c>
      <c r="AG47" t="inlineStr">
        <is>
          <t>No submission found.</t>
        </is>
      </c>
      <c r="AH47" t="n">
        <v>18</v>
      </c>
      <c r="AI47" t="n">
        <v>0</v>
      </c>
    </row>
    <row r="48">
      <c r="A48" t="n">
        <v>47</v>
      </c>
      <c r="B48" t="inlineStr">
        <is>
          <t>TA_1</t>
        </is>
      </c>
      <c r="C48" t="inlineStr">
        <is>
          <t>TA_11</t>
        </is>
      </c>
      <c r="D48" t="n">
        <v>12</v>
      </c>
      <c r="E48" t="n">
        <v>0</v>
      </c>
      <c r="F48" t="n">
        <v>11</v>
      </c>
      <c r="G48" t="n">
        <v>0</v>
      </c>
      <c r="H48" t="n">
        <v>6</v>
      </c>
      <c r="I48" t="n">
        <v>0</v>
      </c>
      <c r="J48" t="n">
        <v>9.25</v>
      </c>
      <c r="K48" t="n">
        <v>0</v>
      </c>
      <c r="L48" t="n">
        <v>11</v>
      </c>
      <c r="M48" t="n">
        <v>0</v>
      </c>
      <c r="N48" t="n">
        <v>1</v>
      </c>
      <c r="O48" t="n">
        <v>0</v>
      </c>
      <c r="P48">
        <f>Table1[[#This Row],[TA 1 - Q1 Score]]+Table1[[#This Row],[TA 1 - Q2 Score]]+Table1[[#This Row],[TA 1 - Q3 Score]]</f>
        <v/>
      </c>
      <c r="Q48">
        <f>Table1[[#This Row],[TA 1 - Q1 Bonus]]+Table1[[#This Row],[TA 1 - Q2 Bonus]]+Table1[[#This Row],[TA 1 - Q4 Bonus]]</f>
        <v/>
      </c>
      <c r="R48">
        <f>Table1[[#This Row],[TA 2 - Q1 Score]]+Table1[[#This Row],[TA 2 - Q2 Score]]+Table1[[#This Row],[TA 2 - Q3 Score]]</f>
        <v/>
      </c>
      <c r="S48">
        <f>Table1[[#This Row],[TA 2 - Q1 Bonus]]+Table1[[#This Row],[TA 2 - Q2 Bonus]]+Table1[[#This Row],[TA 2 - Q4 Bonus]]</f>
        <v/>
      </c>
      <c r="T48">
        <f>(Table1[[#This Row],[TA 1 - Total Score (out of 35)]]+Table1[[#This Row],[TA 2 - Total Score (out of 35)]])/2</f>
        <v/>
      </c>
      <c r="U48">
        <f>(Table1[[#This Row],[TA 1 - Total Bonus (out of 13)]]+Table1[[#This Row],[TA 2 - Total Bonus (out of 13)]])/2</f>
        <v/>
      </c>
      <c r="V48">
        <f>Table1[[#This Row],[Average Questions]]/35*20+Table1[[#This Row],[Average Bonus]]/13*5</f>
        <v/>
      </c>
      <c r="W48" t="n">
        <v>6</v>
      </c>
      <c r="X48" t="n">
        <v>0</v>
      </c>
      <c r="Y4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6.0/?
- Part 5: Bonus — Test Time Augmentation: 0.0/?</t>
        </is>
      </c>
      <c r="Z48" t="n">
        <v>6</v>
      </c>
      <c r="AA48" t="n">
        <v>0</v>
      </c>
      <c r="AB48" t="inlineStr">
        <is>
          <t>The student's submission does not meet the requirements of the task. The CNN model class does not have 5 convolutional layers, and batch normalization is not added. The training and validation functions are incomplete, and the device, model, loss function, and optimizer are not set up correctly. The model is not trained, and the losses and accuracy are not plotted. The residual connection is not defined correctly, and the model is not retrained with the residual connection. The losses and accuracy are not plotted after retraining the model.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8" t="n">
        <v>6</v>
      </c>
      <c r="AD48" t="inlineStr">
        <is>
          <t>The student's submission is incomplete and lacks code for most tasks. While they attempted to visualize predictions, the code is not fully implemented and does not run end-to-end. As a result, the student earns 0 points for most tasks and 6 points for the incomplete visualization task.
Breakdown:
- Task 1: Dataset Class: 0.0/?
- Task 2: Model Class: 0.0/?
- Task 3: Training and Validation Loops: 0.0/?
- Task 4: Running Training: 0.0/?
- Task 5: Visualizing Predictions: 6.0/?</t>
        </is>
      </c>
      <c r="AE48" t="n">
        <v>0</v>
      </c>
      <c r="AF48" t="n">
        <v>0</v>
      </c>
      <c r="AG48" t="inlineStr">
        <is>
          <t>No submission found.</t>
        </is>
      </c>
      <c r="AH48" t="n">
        <v>18</v>
      </c>
      <c r="AI48" t="n">
        <v>0</v>
      </c>
    </row>
    <row r="49">
      <c r="A49" t="n">
        <v>48</v>
      </c>
      <c r="B49" t="inlineStr">
        <is>
          <t>TA_1</t>
        </is>
      </c>
      <c r="C49" t="inlineStr">
        <is>
          <t>TA_11</t>
        </is>
      </c>
      <c r="D49" t="n">
        <v>12</v>
      </c>
      <c r="E49" t="n">
        <v>3</v>
      </c>
      <c r="F49" t="n">
        <v>11</v>
      </c>
      <c r="G49" t="n">
        <v>0</v>
      </c>
      <c r="H49" t="n">
        <v>12</v>
      </c>
      <c r="I49" t="n">
        <v>0</v>
      </c>
      <c r="J49" t="n">
        <v>12</v>
      </c>
      <c r="K49" t="n">
        <v>3</v>
      </c>
      <c r="L49" t="n">
        <v>9.5</v>
      </c>
      <c r="M49" t="n">
        <v>0</v>
      </c>
      <c r="N49" t="n">
        <v>12</v>
      </c>
      <c r="O49" t="n">
        <v>0</v>
      </c>
      <c r="P49">
        <f>Table1[[#This Row],[TA 1 - Q1 Score]]+Table1[[#This Row],[TA 1 - Q2 Score]]+Table1[[#This Row],[TA 1 - Q3 Score]]</f>
        <v/>
      </c>
      <c r="Q49">
        <f>Table1[[#This Row],[TA 1 - Q1 Bonus]]+Table1[[#This Row],[TA 1 - Q2 Bonus]]+Table1[[#This Row],[TA 1 - Q4 Bonus]]</f>
        <v/>
      </c>
      <c r="R49">
        <f>Table1[[#This Row],[TA 2 - Q1 Score]]+Table1[[#This Row],[TA 2 - Q2 Score]]+Table1[[#This Row],[TA 2 - Q3 Score]]</f>
        <v/>
      </c>
      <c r="S49">
        <f>Table1[[#This Row],[TA 2 - Q1 Bonus]]+Table1[[#This Row],[TA 2 - Q2 Bonus]]+Table1[[#This Row],[TA 2 - Q4 Bonus]]</f>
        <v/>
      </c>
      <c r="T49">
        <f>(Table1[[#This Row],[TA 1 - Total Score (out of 35)]]+Table1[[#This Row],[TA 2 - Total Score (out of 35)]])/2</f>
        <v/>
      </c>
      <c r="U49">
        <f>(Table1[[#This Row],[TA 1 - Total Bonus (out of 13)]]+Table1[[#This Row],[TA 2 - Total Bonus (out of 13)]])/2</f>
        <v/>
      </c>
      <c r="V49">
        <f>Table1[[#This Row],[Average Questions]]/35*20+Table1[[#This Row],[Average Bonus]]/13*5</f>
        <v/>
      </c>
      <c r="W49" t="n">
        <v>6</v>
      </c>
      <c r="X49" t="n">
        <v>0</v>
      </c>
      <c r="Y49" t="inlineStr">
        <is>
          <t>The student's submission failed to complete several key tasks, including loading and preparing the data, loading a pretrained model, and training the model. The code for the training and validation functions was partially correct, but the student failed to fix the labels, resulting in a penalty.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49" t="n">
        <v>4</v>
      </c>
      <c r="AA49" t="n">
        <v>0</v>
      </c>
      <c r="AB49" t="inlineStr">
        <is>
          <t>The submission failed to load and prepare the data correctly, build the CNN model, define the training and validation functions, train the model, and implement the residual connection. The code attempted some tasks but contained syntax and logic mistakes. The student did not provide any code for the bonus task.
Breakdown:
- Part 1: Load and Prepare Data: 0.0/?
- Part 2: Build the CNN Model: 0.0/?
- Part 3: Training and Validation Functions: 0.0/?
- Part 4: Training: 0.0/?
- Part 5: Bonus — Residual Connection: 0.0/?</t>
        </is>
      </c>
      <c r="AC49" t="n">
        <v>6</v>
      </c>
      <c r="AD49" t="inlineStr">
        <is>
          <t>The student's submission is incomplete and lacks code for several tasks. While they attempted to visualize predictions, their code is not fully functional and does not meet the requirements of the task.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49" t="n">
        <v>0</v>
      </c>
      <c r="AF49" t="n">
        <v>0</v>
      </c>
      <c r="AG49" t="inlineStr">
        <is>
          <t>No submission found.</t>
        </is>
      </c>
      <c r="AH49" t="n">
        <v>16</v>
      </c>
      <c r="AI49" t="n">
        <v>0</v>
      </c>
    </row>
    <row r="50">
      <c r="A50" t="n">
        <v>49</v>
      </c>
      <c r="B50" t="inlineStr">
        <is>
          <t>TA_1</t>
        </is>
      </c>
      <c r="C50" t="inlineStr">
        <is>
          <t>TA_11</t>
        </is>
      </c>
      <c r="D50" t="n">
        <v>6</v>
      </c>
      <c r="E50" t="n">
        <v>0</v>
      </c>
      <c r="F50" t="n">
        <v>2</v>
      </c>
      <c r="G50" t="n">
        <v>0</v>
      </c>
      <c r="H50" t="n">
        <v>5</v>
      </c>
      <c r="I50" t="n">
        <v>0</v>
      </c>
      <c r="J50" t="n">
        <v>5</v>
      </c>
      <c r="K50" t="n">
        <v>0</v>
      </c>
      <c r="L50" t="n">
        <v>0.5</v>
      </c>
      <c r="M50" t="n">
        <v>0</v>
      </c>
      <c r="N50" t="n">
        <v>-2</v>
      </c>
      <c r="O50" t="n">
        <v>0</v>
      </c>
      <c r="P50">
        <f>Table1[[#This Row],[TA 1 - Q1 Score]]+Table1[[#This Row],[TA 1 - Q2 Score]]+Table1[[#This Row],[TA 1 - Q3 Score]]</f>
        <v/>
      </c>
      <c r="Q50">
        <f>Table1[[#This Row],[TA 1 - Q1 Bonus]]+Table1[[#This Row],[TA 1 - Q2 Bonus]]+Table1[[#This Row],[TA 1 - Q4 Bonus]]</f>
        <v/>
      </c>
      <c r="R50">
        <f>Table1[[#This Row],[TA 2 - Q1 Score]]+Table1[[#This Row],[TA 2 - Q2 Score]]+Table1[[#This Row],[TA 2 - Q3 Score]]</f>
        <v/>
      </c>
      <c r="S50">
        <f>Table1[[#This Row],[TA 2 - Q1 Bonus]]+Table1[[#This Row],[TA 2 - Q2 Bonus]]+Table1[[#This Row],[TA 2 - Q4 Bonus]]</f>
        <v/>
      </c>
      <c r="T50">
        <f>(Table1[[#This Row],[TA 1 - Total Score (out of 35)]]+Table1[[#This Row],[TA 2 - Total Score (out of 35)]])/2</f>
        <v/>
      </c>
      <c r="U50">
        <f>(Table1[[#This Row],[TA 1 - Total Bonus (out of 13)]]+Table1[[#This Row],[TA 2 - Total Bonus (out of 13)]])/2</f>
        <v/>
      </c>
      <c r="V50">
        <f>Table1[[#This Row],[Average Questions]]/35*20+Table1[[#This Row],[Average Bonus]]/13*5</f>
        <v/>
      </c>
      <c r="W50" t="n">
        <v>6</v>
      </c>
      <c r="X50" t="n">
        <v>0</v>
      </c>
      <c r="Y50" t="inlineStr">
        <is>
          <t>The student's submission failed to complete several key tasks, including loading and preparing the data, loading a pretrained model and adapting it, and implementing training and validation functions. While the student did attempt to train the model, their implementation was incomplete and did not follow the reference solution. As a result, the student was unable to achieve the full potential of the model and their submission was not evaluated for bonus points.
Breakdown:
- Part 1: Load and Prepare Data: 0.0/?
- Part 2: Load Pretrained Model and Adapt: 0.0/?
- Part 3: Training and Validation Functions: 0.0/?
- Part 4: Training: 2.0/?
- Part 5: Bonus — Test Time Augmentation: 0.0/?</t>
        </is>
      </c>
      <c r="Z50" t="n">
        <v>4</v>
      </c>
      <c r="AA50" t="n">
        <v>0</v>
      </c>
      <c r="AB50" t="inlineStr">
        <is>
          <t>The student's submission failed to address the majority of the tasks in the rubric. The code provided does not load and prepare the data, build the CNN model, define the training and validation functions, or train the model. The bonus task of adding a residual connection was also not attempted. The code is disorganized and does not run end-to-end. As a result, the student received 0% for each task, resulting in a total score of 0.
Breakdown:
- Part 1: Load and Prepare Data: 0.0/?
- Part 2: Build the CNN Model: 0.0/?
- Part 3: Training and Validation Functions: 0.0/?
- Part 4: Training: 0.0/?
- Part 5: Bonus — Residual Connection: 0.0/?</t>
        </is>
      </c>
      <c r="AC50" t="n">
        <v>6</v>
      </c>
      <c r="AD50" t="inlineStr">
        <is>
          <t>The student's submission failed to meet the requirements of the task, with several critical components missing or implemented incorrectly. The dataset class was not defined, the model class was not correctly implemented, the training and validation loops were not implemented correctly, the training process was not implemented correctly, and the predictions were not visualized correctly. As a result, the student's submission was awarded 0 points for each task.
Breakdown:
- Task 1: Dataset Class: 0.0/?
- Task 2: Model Class: 0.0/?
- Task 3: Training and Validation Loops: 0.0/?
- Task 4: Running Training: 0.0/?
- Task 5: Visualizing Predictions: 0.0/?</t>
        </is>
      </c>
      <c r="AE50" t="n">
        <v>0</v>
      </c>
      <c r="AF50" t="n">
        <v>0</v>
      </c>
      <c r="AG50" t="inlineStr">
        <is>
          <t>No submission found.</t>
        </is>
      </c>
      <c r="AH50" t="n">
        <v>16</v>
      </c>
      <c r="AI50" t="n">
        <v>0</v>
      </c>
    </row>
    <row r="51">
      <c r="A51" t="n">
        <v>50</v>
      </c>
      <c r="B51" t="inlineStr">
        <is>
          <t>TA_1</t>
        </is>
      </c>
      <c r="C51" t="inlineStr">
        <is>
          <t>TA_11</t>
        </is>
      </c>
      <c r="D51" t="n">
        <v>12</v>
      </c>
      <c r="E51" t="n">
        <v>4</v>
      </c>
      <c r="F51" t="n">
        <v>11</v>
      </c>
      <c r="G51" t="n">
        <v>0</v>
      </c>
      <c r="H51" t="n">
        <v>11</v>
      </c>
      <c r="I51" t="n">
        <v>0</v>
      </c>
      <c r="J51" t="n">
        <v>9.5</v>
      </c>
      <c r="K51" t="n">
        <v>0</v>
      </c>
      <c r="L51" t="n">
        <v>5</v>
      </c>
      <c r="M51" t="n">
        <v>0</v>
      </c>
      <c r="N51" t="n">
        <v>11.5</v>
      </c>
      <c r="O51" t="n">
        <v>0</v>
      </c>
      <c r="P51">
        <f>Table1[[#This Row],[TA 1 - Q1 Score]]+Table1[[#This Row],[TA 1 - Q2 Score]]+Table1[[#This Row],[TA 1 - Q3 Score]]</f>
        <v/>
      </c>
      <c r="Q51">
        <f>Table1[[#This Row],[TA 1 - Q1 Bonus]]+Table1[[#This Row],[TA 1 - Q2 Bonus]]+Table1[[#This Row],[TA 1 - Q4 Bonus]]</f>
        <v/>
      </c>
      <c r="R51">
        <f>Table1[[#This Row],[TA 2 - Q1 Score]]+Table1[[#This Row],[TA 2 - Q2 Score]]+Table1[[#This Row],[TA 2 - Q3 Score]]</f>
        <v/>
      </c>
      <c r="S51">
        <f>Table1[[#This Row],[TA 2 - Q1 Bonus]]+Table1[[#This Row],[TA 2 - Q2 Bonus]]+Table1[[#This Row],[TA 2 - Q4 Bonus]]</f>
        <v/>
      </c>
      <c r="T51">
        <f>(Table1[[#This Row],[TA 1 - Total Score (out of 35)]]+Table1[[#This Row],[TA 2 - Total Score (out of 35)]])/2</f>
        <v/>
      </c>
      <c r="U51">
        <f>(Table1[[#This Row],[TA 1 - Total Bonus (out of 13)]]+Table1[[#This Row],[TA 2 - Total Bonus (out of 13)]])/2</f>
        <v/>
      </c>
      <c r="V51">
        <f>Table1[[#This Row],[Average Questions]]/35*20+Table1[[#This Row],[Average Bonus]]/13*5</f>
        <v/>
      </c>
      <c r="W51" t="n">
        <v>6</v>
      </c>
      <c r="X51" t="n">
        <v>0</v>
      </c>
      <c r="Y51" t="inlineStr">
        <is>
          <t>The student's submission failed to complete several key tasks, including loading and preparing the data, loading a pretrained model and adapting it, and implementing training and validation functions. While the student made an attempt at training the model, their code contained several errors and did not run end-to-end. The bonus task of implementing test time augmentation was also not completed. As a result, the student's score is significantly lower than the maximum possible score.
Breakdown:
- Part 1: Load and Prepare Data: 0.0/?
- Part 2: Load Pretrained Model and Adapt: 0.0/?
- Part 3: Training and Validation Functions: 0.0/?
- Part 4: Training: 2.0/?
- Part 5: Bonus — Test Time Augmentation: 0.0/?</t>
        </is>
      </c>
      <c r="Z51" t="n">
        <v>4</v>
      </c>
      <c r="AA51" t="n">
        <v>0</v>
      </c>
      <c r="AB51" t="inlineStr">
        <is>
          <t>The student's submission failed to load and prepare the data correctly, as evident from the missing code for Part 1. Furthermore, the CNN model was not built as per the specifications in Part 2. The training and validation functions were also not implemented correctly in Part 3. The training process was not executed as per the requirements in Part 4. Lastly, the bonus task of adding a residual connection was not attempted. As a result, the student scored 0% for all tasks, with no bonus points awarded.
Breakdown:
- Part 1: Load and Prepare Data: 0.0/?
- Part 2: Build the CNN Model: 0.0/?
- Part 3: Training and Validation Functions: 0.0/?
- Part 4: Training: 0.0/?
- Part 5: Bonus — Residual Connection: 0.0/?</t>
        </is>
      </c>
      <c r="AC51" t="n">
        <v>6</v>
      </c>
      <c r="AD51" t="inlineStr">
        <is>
          <t>The student's submission was incomplete, with no code submitted for Tasks 1-4. However, the code for Task 5 was mostly correct, with the student successfully visualizing the predictions. Unfortunately, the student did not display the ground truth masks correctly, which resulted in a partial score for this task.
Breakdown:
- Task 1: Dataset Class: 0.0/?
- Task 2: Model Class: 0.0/?
- Task 3: Training and Validation Loops: 0.0/?
- Task 4: Running Training: 0.0/?
- Task 5: Visualizing Predictions: 6.0/?</t>
        </is>
      </c>
      <c r="AE51" t="n">
        <v>0</v>
      </c>
      <c r="AF51" t="n">
        <v>0</v>
      </c>
      <c r="AG51" t="inlineStr">
        <is>
          <t>No submission found.</t>
        </is>
      </c>
      <c r="AH51" t="n">
        <v>16</v>
      </c>
      <c r="AI51" t="n">
        <v>0</v>
      </c>
    </row>
    <row r="52">
      <c r="A52" t="n">
        <v>51</v>
      </c>
      <c r="B52" t="inlineStr">
        <is>
          <t>TA_1</t>
        </is>
      </c>
      <c r="C52" t="inlineStr">
        <is>
          <t>TA_11</t>
        </is>
      </c>
      <c r="D52" t="n">
        <v>10.5</v>
      </c>
      <c r="E52" t="n">
        <v>0</v>
      </c>
      <c r="F52" t="n">
        <v>9</v>
      </c>
      <c r="G52" t="n">
        <v>0</v>
      </c>
      <c r="H52" t="n">
        <v>12</v>
      </c>
      <c r="I52" t="n">
        <v>0</v>
      </c>
      <c r="J52" t="n">
        <v>11</v>
      </c>
      <c r="K52" t="n">
        <v>0</v>
      </c>
      <c r="L52" t="n">
        <v>8.5</v>
      </c>
      <c r="M52" t="n">
        <v>0</v>
      </c>
      <c r="N52" t="n">
        <v>11</v>
      </c>
      <c r="O52" t="n">
        <v>0</v>
      </c>
      <c r="P52">
        <f>Table1[[#This Row],[TA 1 - Q1 Score]]+Table1[[#This Row],[TA 1 - Q2 Score]]+Table1[[#This Row],[TA 1 - Q3 Score]]</f>
        <v/>
      </c>
      <c r="Q52">
        <f>Table1[[#This Row],[TA 1 - Q1 Bonus]]+Table1[[#This Row],[TA 1 - Q2 Bonus]]+Table1[[#This Row],[TA 1 - Q4 Bonus]]</f>
        <v/>
      </c>
      <c r="R52">
        <f>Table1[[#This Row],[TA 2 - Q1 Score]]+Table1[[#This Row],[TA 2 - Q2 Score]]+Table1[[#This Row],[TA 2 - Q3 Score]]</f>
        <v/>
      </c>
      <c r="S52">
        <f>Table1[[#This Row],[TA 2 - Q1 Bonus]]+Table1[[#This Row],[TA 2 - Q2 Bonus]]+Table1[[#This Row],[TA 2 - Q4 Bonus]]</f>
        <v/>
      </c>
      <c r="T52">
        <f>(Table1[[#This Row],[TA 1 - Total Score (out of 35)]]+Table1[[#This Row],[TA 2 - Total Score (out of 35)]])/2</f>
        <v/>
      </c>
      <c r="U52">
        <f>(Table1[[#This Row],[TA 1 - Total Bonus (out of 13)]]+Table1[[#This Row],[TA 2 - Total Bonus (out of 13)]])/2</f>
        <v/>
      </c>
      <c r="V52">
        <f>Table1[[#This Row],[Average Questions]]/35*20+Table1[[#This Row],[Average Bonus]]/13*5</f>
        <v/>
      </c>
      <c r="W52" t="n">
        <v>6</v>
      </c>
      <c r="X52" t="n">
        <v>0</v>
      </c>
      <c r="Y52"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resulting in a low overall score.
Breakdown:
- Part 1: Load and Prepare Data: 0.0/?
- Part 2: Load Pretrained Model and Adapt: 0.0/?
- Part 3: Training and Validation Functions: 0.0/?
- Part 4: Training: 2.0/?
- Part 5: Bonus — Test Time Augmentation: 0.0/?</t>
        </is>
      </c>
      <c r="Z52" t="n">
        <v>4</v>
      </c>
      <c r="AA52" t="n">
        <v>0</v>
      </c>
      <c r="AB52" t="inlineStr">
        <is>
          <t>The student's submission failed to meet the requirements of the task. The code was not organized in a way that followed the reference solution, and it did not run end-to-end. The student attempted to load and prepare the data, but the code was not correct and did not produce the expected output. The CNN model was not built correctly, and the training and validation functions were not implemented. The training process was not executed, and the residual connection was not added to the model. The student's submission did not demonstrate a clear understanding of the task and the required code structure.
Breakdown:
- Part 1: Load and Prepare Data: 0.0/?
- Part 2: Build the CNN Model: 0.0/?
- Part 3: Training and Validation Functions: 0.0/?
- Part 4: Training: 0.0/?
- Part 5: Bonus — Residual Connection: 0.0/?</t>
        </is>
      </c>
      <c r="AC52" t="n">
        <v>6</v>
      </c>
      <c r="AD52"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52" t="n">
        <v>0</v>
      </c>
      <c r="AF52" t="n">
        <v>0</v>
      </c>
      <c r="AG52" t="inlineStr">
        <is>
          <t>No submission found.</t>
        </is>
      </c>
      <c r="AH52" t="n">
        <v>16</v>
      </c>
      <c r="AI52" t="n">
        <v>0</v>
      </c>
    </row>
    <row r="53">
      <c r="A53" t="n">
        <v>52</v>
      </c>
      <c r="B53" t="inlineStr">
        <is>
          <t>TA_1</t>
        </is>
      </c>
      <c r="C53" t="inlineStr">
        <is>
          <t>TA_11</t>
        </is>
      </c>
      <c r="D53" t="n">
        <v>8</v>
      </c>
      <c r="E53" t="n">
        <v>0</v>
      </c>
      <c r="F53" t="n">
        <v>9</v>
      </c>
      <c r="G53" t="n">
        <v>0</v>
      </c>
      <c r="H53" t="n">
        <v>4</v>
      </c>
      <c r="I53" t="n">
        <v>0</v>
      </c>
      <c r="J53" t="n">
        <v>8.5</v>
      </c>
      <c r="K53" t="n">
        <v>0</v>
      </c>
      <c r="L53" t="n">
        <v>9</v>
      </c>
      <c r="M53" t="n">
        <v>0</v>
      </c>
      <c r="N53" t="n">
        <v>6.5</v>
      </c>
      <c r="O53" t="n">
        <v>0</v>
      </c>
      <c r="P53">
        <f>Table1[[#This Row],[TA 1 - Q1 Score]]+Table1[[#This Row],[TA 1 - Q2 Score]]+Table1[[#This Row],[TA 1 - Q3 Score]]</f>
        <v/>
      </c>
      <c r="Q53">
        <f>Table1[[#This Row],[TA 1 - Q1 Bonus]]+Table1[[#This Row],[TA 1 - Q2 Bonus]]+Table1[[#This Row],[TA 1 - Q4 Bonus]]</f>
        <v/>
      </c>
      <c r="R53">
        <f>Table1[[#This Row],[TA 2 - Q1 Score]]+Table1[[#This Row],[TA 2 - Q2 Score]]+Table1[[#This Row],[TA 2 - Q3 Score]]</f>
        <v/>
      </c>
      <c r="S53">
        <f>Table1[[#This Row],[TA 2 - Q1 Bonus]]+Table1[[#This Row],[TA 2 - Q2 Bonus]]+Table1[[#This Row],[TA 2 - Q4 Bonus]]</f>
        <v/>
      </c>
      <c r="T53">
        <f>(Table1[[#This Row],[TA 1 - Total Score (out of 35)]]+Table1[[#This Row],[TA 2 - Total Score (out of 35)]])/2</f>
        <v/>
      </c>
      <c r="U53">
        <f>(Table1[[#This Row],[TA 1 - Total Bonus (out of 13)]]+Table1[[#This Row],[TA 2 - Total Bonus (out of 13)]])/2</f>
        <v/>
      </c>
      <c r="V53">
        <f>Table1[[#This Row],[Average Questions]]/35*20+Table1[[#This Row],[Average Bonus]]/13*5</f>
        <v/>
      </c>
      <c r="W53" t="n">
        <v>6</v>
      </c>
      <c r="X53" t="n">
        <v>0</v>
      </c>
      <c r="Y53" t="inlineStr">
        <is>
          <t>The student's submission failed to complete several key tasks, including loading and preparing the data, loading the pretrained model and adapting it, and implementing the training and validation functions. Although the student attempted to train the model, their implementation was incomplete and did not follow the reference solution. As a result, the student did not earn any points for the base tasks. The bonus task was also not completed, resulting in a score of 0 for the bonus.
Breakdown:
- Part 1: Load and Prepare Data: 0.0/?
- Part 2: Load Pretrained Model and Adapt: 0.0/?
- Part 3: Training and Validation Functions: 0.0/?
- Part 4: Training: 2.0/?
- Part 5: Bonus — Test Time Augmentation: 0.0/?</t>
        </is>
      </c>
      <c r="Z53" t="n">
        <v>4</v>
      </c>
      <c r="AA53" t="n">
        <v>0</v>
      </c>
      <c r="AB53" t="inlineStr">
        <is>
          <t>The student's submission failed to meet the requirements of the task. The code did not load and prepare the data correctly, and the CNN model was not built as specified. The training and validation functions were not implemented, and the model was not trained. The bonus task of adding a residual connection was not attempted. The code was disorganized and failed to run end-to-end.
Breakdown:
- Part 1: Load and Prepare Data: 0.0/?
- Part 2: Build the CNN Model: 0.0/?
- Part 3: Training and Validation Functions: 0.0/?
- Part 4: Training: 0.0/?
- Part 5: Bonus — Residual Connection: 0.0/?</t>
        </is>
      </c>
      <c r="AC53" t="n">
        <v>6</v>
      </c>
      <c r="AD53"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53" t="n">
        <v>0</v>
      </c>
      <c r="AF53" t="n">
        <v>0</v>
      </c>
      <c r="AG53" t="inlineStr">
        <is>
          <t>No submission found.</t>
        </is>
      </c>
      <c r="AH53" t="n">
        <v>16</v>
      </c>
      <c r="AI53" t="n">
        <v>0</v>
      </c>
    </row>
    <row r="54">
      <c r="A54" t="n">
        <v>53</v>
      </c>
      <c r="B54" t="inlineStr">
        <is>
          <t>TA_1</t>
        </is>
      </c>
      <c r="C54" t="inlineStr">
        <is>
          <t>TA_11</t>
        </is>
      </c>
      <c r="D54" t="n">
        <v>4.5</v>
      </c>
      <c r="E54" t="n">
        <v>0</v>
      </c>
      <c r="F54" t="n">
        <v>9.5</v>
      </c>
      <c r="G54" t="n">
        <v>0</v>
      </c>
      <c r="H54" t="n">
        <v>7</v>
      </c>
      <c r="I54" t="n">
        <v>0</v>
      </c>
      <c r="J54" t="n">
        <v>2.75</v>
      </c>
      <c r="K54" t="n">
        <v>0</v>
      </c>
      <c r="L54" t="n">
        <v>8.25</v>
      </c>
      <c r="M54" t="n">
        <v>0</v>
      </c>
      <c r="N54" t="n">
        <v>7.25</v>
      </c>
      <c r="O54" t="n">
        <v>0</v>
      </c>
      <c r="P54">
        <f>Table1[[#This Row],[TA 1 - Q1 Score]]+Table1[[#This Row],[TA 1 - Q2 Score]]+Table1[[#This Row],[TA 1 - Q3 Score]]</f>
        <v/>
      </c>
      <c r="Q54">
        <f>Table1[[#This Row],[TA 1 - Q1 Bonus]]+Table1[[#This Row],[TA 1 - Q2 Bonus]]+Table1[[#This Row],[TA 1 - Q4 Bonus]]</f>
        <v/>
      </c>
      <c r="R54">
        <f>Table1[[#This Row],[TA 2 - Q1 Score]]+Table1[[#This Row],[TA 2 - Q2 Score]]+Table1[[#This Row],[TA 2 - Q3 Score]]</f>
        <v/>
      </c>
      <c r="S54">
        <f>Table1[[#This Row],[TA 2 - Q1 Bonus]]+Table1[[#This Row],[TA 2 - Q2 Bonus]]+Table1[[#This Row],[TA 2 - Q4 Bonus]]</f>
        <v/>
      </c>
      <c r="T54">
        <f>(Table1[[#This Row],[TA 1 - Total Score (out of 35)]]+Table1[[#This Row],[TA 2 - Total Score (out of 35)]])/2</f>
        <v/>
      </c>
      <c r="U54">
        <f>(Table1[[#This Row],[TA 1 - Total Bonus (out of 13)]]+Table1[[#This Row],[TA 2 - Total Bonus (out of 13)]])/2</f>
        <v/>
      </c>
      <c r="V54">
        <f>Table1[[#This Row],[Average Questions]]/35*20+Table1[[#This Row],[Average Bonus]]/13*5</f>
        <v/>
      </c>
      <c r="W54" t="n">
        <v>6</v>
      </c>
      <c r="X54" t="n">
        <v>0</v>
      </c>
      <c r="Y54" t="inlineStr">
        <is>
          <t>The student's submission failed to address any of the tasks outlined in the rubric. Each part of the question was left unattempted, resulting in a score of 0 for each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54" t="n">
        <v>4</v>
      </c>
      <c r="AA54" t="n">
        <v>0</v>
      </c>
      <c r="AB54" t="inlineStr">
        <is>
          <t>The student's submission failed to meet the requirements of the task. The code did not load and prepare the data correctly, and the CNN model was not built as specified. The training and validation functions were not implemented, and the model was not trained. The bonus task of adding a residual connection was also not attempted. As a result, the student received 0 points for each task.
Breakdown:
- Part 1: Load and Prepare Data: 0.0/?
- Part 2: Build the CNN Model: 0.0/?
- Part 3: Training and Validation Functions: 0.0/?
- Part 4: Training: 0.0/?
- Part 5: Bonus — Residual Connection: 0.0/?</t>
        </is>
      </c>
      <c r="AC54" t="n">
        <v>6</v>
      </c>
      <c r="AD5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54" t="n">
        <v>0</v>
      </c>
      <c r="AF54" t="n">
        <v>0</v>
      </c>
      <c r="AG54" t="inlineStr">
        <is>
          <t>No submission found.</t>
        </is>
      </c>
      <c r="AH54" t="n">
        <v>16</v>
      </c>
      <c r="AI54" t="n">
        <v>0</v>
      </c>
    </row>
    <row r="55">
      <c r="A55" t="n">
        <v>54</v>
      </c>
      <c r="B55" t="inlineStr">
        <is>
          <t>TA_1</t>
        </is>
      </c>
      <c r="C55" t="inlineStr">
        <is>
          <t>TA_11</t>
        </is>
      </c>
      <c r="D55" t="n">
        <v>12</v>
      </c>
      <c r="E55" t="n">
        <v>0</v>
      </c>
      <c r="F55" t="n">
        <v>11</v>
      </c>
      <c r="G55" t="n">
        <v>0</v>
      </c>
      <c r="H55" t="n">
        <v>12</v>
      </c>
      <c r="I55" t="n">
        <v>0</v>
      </c>
      <c r="J55" t="n">
        <v>12</v>
      </c>
      <c r="K55" t="n">
        <v>0</v>
      </c>
      <c r="L55" t="n">
        <v>8</v>
      </c>
      <c r="M55" t="n">
        <v>0</v>
      </c>
      <c r="N55" t="n">
        <v>11.5</v>
      </c>
      <c r="O55" t="n">
        <v>0</v>
      </c>
      <c r="P55">
        <f>Table1[[#This Row],[TA 1 - Q1 Score]]+Table1[[#This Row],[TA 1 - Q2 Score]]+Table1[[#This Row],[TA 1 - Q3 Score]]</f>
        <v/>
      </c>
      <c r="Q55">
        <f>Table1[[#This Row],[TA 1 - Q1 Bonus]]+Table1[[#This Row],[TA 1 - Q2 Bonus]]+Table1[[#This Row],[TA 1 - Q4 Bonus]]</f>
        <v/>
      </c>
      <c r="R55">
        <f>Table1[[#This Row],[TA 2 - Q1 Score]]+Table1[[#This Row],[TA 2 - Q2 Score]]+Table1[[#This Row],[TA 2 - Q3 Score]]</f>
        <v/>
      </c>
      <c r="S55">
        <f>Table1[[#This Row],[TA 2 - Q1 Bonus]]+Table1[[#This Row],[TA 2 - Q2 Bonus]]+Table1[[#This Row],[TA 2 - Q4 Bonus]]</f>
        <v/>
      </c>
      <c r="T55">
        <f>(Table1[[#This Row],[TA 1 - Total Score (out of 35)]]+Table1[[#This Row],[TA 2 - Total Score (out of 35)]])/2</f>
        <v/>
      </c>
      <c r="U55">
        <f>(Table1[[#This Row],[TA 1 - Total Bonus (out of 13)]]+Table1[[#This Row],[TA 2 - Total Bonus (out of 13)]])/2</f>
        <v/>
      </c>
      <c r="V55">
        <f>Table1[[#This Row],[Average Questions]]/35*20+Table1[[#This Row],[Average Bonus]]/13*5</f>
        <v/>
      </c>
      <c r="W55" t="n">
        <v>6</v>
      </c>
      <c r="X55" t="n">
        <v>0</v>
      </c>
      <c r="Y55"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2.5/?
- Part 5: Bonus — Test Time Augmentation: 0.0/?</t>
        </is>
      </c>
      <c r="Z55" t="n">
        <v>4</v>
      </c>
      <c r="AA55" t="n">
        <v>0</v>
      </c>
      <c r="AB55" t="inlineStr">
        <is>
          <t>The student's submission failed to complete any of the required tasks. The code is disorganized and does not follow the reference solution's structure. The student attempted to load and prepare the data, but the code is incomplete and does not create the necessary datasets or data loaders. The CNN model is not built, and the training and validation functions are not defined. The training process is also not implemented. The bonus task, which involves adding a residual connection to the CNN model, is not attempted. Overall, the submission lacks a clear understanding of the required tasks and does not demonstrate any significant progress towards completing the question.
Breakdown:
- Part 1: Load and Prepare Data: 0.0/?
- Part 2: Build the CNN Model: 0.0/?
- Part 3: Training and Validation Functions: 0.0/?
- Part 4: Training: 0.0/?
- Part 5: Bonus — Residual Connection: 0.0/?</t>
        </is>
      </c>
      <c r="AC55" t="n">
        <v>6</v>
      </c>
      <c r="AD55" t="inlineStr">
        <is>
          <t>The student's submission failed to address several key tasks, including building a custom dataset class, defining a model class, and implementing training and validation loops. While the student did attempt to visualize predictions, their code did not meet the full requirements of the task.
Breakdown:
- Task 1: Dataset Class: 0.0/?
- Task 2: Model Class: 0.0/?
- Task 3: Training and Validation Loops: 0.0/?
- Task 4: Running Training: 0.0/?
- Task 5: Visualizing Predictions: 6.0/?</t>
        </is>
      </c>
      <c r="AE55" t="n">
        <v>0</v>
      </c>
      <c r="AF55" t="n">
        <v>0</v>
      </c>
      <c r="AG55" t="inlineStr">
        <is>
          <t>No submission found.</t>
        </is>
      </c>
      <c r="AH55" t="n">
        <v>16</v>
      </c>
      <c r="AI55" t="n">
        <v>0</v>
      </c>
    </row>
    <row r="56">
      <c r="A56" t="n">
        <v>55</v>
      </c>
      <c r="B56" t="inlineStr">
        <is>
          <t>TA_1</t>
        </is>
      </c>
      <c r="C56" t="inlineStr">
        <is>
          <t>TA_11</t>
        </is>
      </c>
      <c r="D56" t="n">
        <v>10.5</v>
      </c>
      <c r="E56" t="n">
        <v>0</v>
      </c>
      <c r="F56" t="n">
        <v>10</v>
      </c>
      <c r="G56" t="n">
        <v>0</v>
      </c>
      <c r="H56" t="n">
        <v>12</v>
      </c>
      <c r="I56" t="n">
        <v>0</v>
      </c>
      <c r="J56" t="n">
        <v>12</v>
      </c>
      <c r="K56" t="n">
        <v>0</v>
      </c>
      <c r="L56" t="n">
        <v>9.5</v>
      </c>
      <c r="M56" t="n">
        <v>0</v>
      </c>
      <c r="N56" t="n">
        <v>12</v>
      </c>
      <c r="O56" t="n">
        <v>0</v>
      </c>
      <c r="P56">
        <f>Table1[[#This Row],[TA 1 - Q1 Score]]+Table1[[#This Row],[TA 1 - Q2 Score]]+Table1[[#This Row],[TA 1 - Q3 Score]]</f>
        <v/>
      </c>
      <c r="Q56">
        <f>Table1[[#This Row],[TA 1 - Q1 Bonus]]+Table1[[#This Row],[TA 1 - Q2 Bonus]]+Table1[[#This Row],[TA 1 - Q4 Bonus]]</f>
        <v/>
      </c>
      <c r="R56">
        <f>Table1[[#This Row],[TA 2 - Q1 Score]]+Table1[[#This Row],[TA 2 - Q2 Score]]+Table1[[#This Row],[TA 2 - Q3 Score]]</f>
        <v/>
      </c>
      <c r="S56">
        <f>Table1[[#This Row],[TA 2 - Q1 Bonus]]+Table1[[#This Row],[TA 2 - Q2 Bonus]]+Table1[[#This Row],[TA 2 - Q4 Bonus]]</f>
        <v/>
      </c>
      <c r="T56">
        <f>(Table1[[#This Row],[TA 1 - Total Score (out of 35)]]+Table1[[#This Row],[TA 2 - Total Score (out of 35)]])/2</f>
        <v/>
      </c>
      <c r="U56">
        <f>(Table1[[#This Row],[TA 1 - Total Bonus (out of 13)]]+Table1[[#This Row],[TA 2 - Total Bonus (out of 13)]])/2</f>
        <v/>
      </c>
      <c r="V56">
        <f>Table1[[#This Row],[Average Questions]]/35*20+Table1[[#This Row],[Average Bonus]]/13*5</f>
        <v/>
      </c>
      <c r="W56" t="n">
        <v>6</v>
      </c>
      <c r="X56" t="n">
        <v>0</v>
      </c>
      <c r="Y56"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2.0/?
- Part 5: Bonus — Test Time Augmentation: 0.0/?</t>
        </is>
      </c>
      <c r="Z56" t="n">
        <v>6</v>
      </c>
      <c r="AA56" t="n">
        <v>0</v>
      </c>
      <c r="AB56"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and the training process was not executed, resulting in a score of 0 for Parts 3 and 4. The bonus task of adding a residual connection was not attempted, earning 0 points for Part 5. Overall, the student's submission demonstrated a lack of understanding of the required tasks and concepts, resulting in a low score.
Breakdown:
- Part 1: Load and Prepare Data: 0.0/?
- Part 2: Build the CNN Model: 2.0/?
- Part 3: Training and Validation Functions: 0.0/?
- Part 4: Training: 0.0/?
- Part 5: Bonus — Residual Connection: 0.0/?</t>
        </is>
      </c>
      <c r="AC56" t="n">
        <v>6</v>
      </c>
      <c r="AD56" t="inlineStr">
        <is>
          <t>The student's submission failed to address several key tasks, including building a custom dataset class, defining a model class, and implementing training and validation loops. While the student did attempt to visualize predictions, their code did not meet the requirements of the task, which included displaying the ground truth and predicted masks for multiple images.
Breakdown:
- Task 1: Dataset Class: 0.0/?
- Task 2: Model Class: 0.0/?
- Task 3: Training and Validation Loops: 0.0/?
- Task 4: Running Training: 0.0/?
- Task 5: Visualizing Predictions: 6.0/?</t>
        </is>
      </c>
      <c r="AE56" t="n">
        <v>0</v>
      </c>
      <c r="AF56" t="n">
        <v>0</v>
      </c>
      <c r="AG56" t="inlineStr">
        <is>
          <t>No submission found.</t>
        </is>
      </c>
      <c r="AH56" t="n">
        <v>18</v>
      </c>
      <c r="AI56" t="n">
        <v>0</v>
      </c>
    </row>
    <row r="57">
      <c r="A57" t="n">
        <v>56</v>
      </c>
      <c r="B57" t="inlineStr">
        <is>
          <t>TA_1</t>
        </is>
      </c>
      <c r="C57" t="inlineStr">
        <is>
          <t>TA_11</t>
        </is>
      </c>
      <c r="D57" t="n">
        <v>6</v>
      </c>
      <c r="E57" t="n">
        <v>0</v>
      </c>
      <c r="F57" t="n">
        <v>7.5</v>
      </c>
      <c r="G57" t="n">
        <v>0</v>
      </c>
      <c r="H57" t="n">
        <v>11</v>
      </c>
      <c r="I57" t="n">
        <v>0</v>
      </c>
      <c r="J57" t="n">
        <v>4.5</v>
      </c>
      <c r="K57" t="n">
        <v>0</v>
      </c>
      <c r="L57" t="n">
        <v>6.75</v>
      </c>
      <c r="M57" t="n">
        <v>0</v>
      </c>
      <c r="N57" t="n">
        <v>4.5</v>
      </c>
      <c r="O57" t="n">
        <v>0</v>
      </c>
      <c r="P57">
        <f>Table1[[#This Row],[TA 1 - Q1 Score]]+Table1[[#This Row],[TA 1 - Q2 Score]]+Table1[[#This Row],[TA 1 - Q3 Score]]</f>
        <v/>
      </c>
      <c r="Q57">
        <f>Table1[[#This Row],[TA 1 - Q1 Bonus]]+Table1[[#This Row],[TA 1 - Q2 Bonus]]+Table1[[#This Row],[TA 1 - Q4 Bonus]]</f>
        <v/>
      </c>
      <c r="R57">
        <f>Table1[[#This Row],[TA 2 - Q1 Score]]+Table1[[#This Row],[TA 2 - Q2 Score]]+Table1[[#This Row],[TA 2 - Q3 Score]]</f>
        <v/>
      </c>
      <c r="S57">
        <f>Table1[[#This Row],[TA 2 - Q1 Bonus]]+Table1[[#This Row],[TA 2 - Q2 Bonus]]+Table1[[#This Row],[TA 2 - Q4 Bonus]]</f>
        <v/>
      </c>
      <c r="T57">
        <f>(Table1[[#This Row],[TA 1 - Total Score (out of 35)]]+Table1[[#This Row],[TA 2 - Total Score (out of 35)]])/2</f>
        <v/>
      </c>
      <c r="U57">
        <f>(Table1[[#This Row],[TA 1 - Total Bonus (out of 13)]]+Table1[[#This Row],[TA 2 - Total Bonus (out of 13)]])/2</f>
        <v/>
      </c>
      <c r="V57">
        <f>Table1[[#This Row],[Average Questions]]/35*20+Table1[[#This Row],[Average Bonus]]/13*5</f>
        <v/>
      </c>
      <c r="W57" t="n">
        <v>6</v>
      </c>
      <c r="X57" t="n">
        <v>0</v>
      </c>
      <c r="Y57"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code contained several syntax errors and logical mistakes. The bonus task of implementing test time augmentation was not attempted at all.
Breakdown:
- Part 1: Load and Prepare Data: 0.0/?
- Part 2: Load Pretrained Model and Adapt: 0.0/?
- Part 3: Training and Validation Functions: 0.0/?
- Part 4: Training: 2.0/?
- Part 5: Bonus — Test Time Augmentation: 0.0/?</t>
        </is>
      </c>
      <c r="Z57" t="n">
        <v>4</v>
      </c>
      <c r="AA57" t="n">
        <v>0</v>
      </c>
      <c r="AB5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57" t="n">
        <v>6</v>
      </c>
      <c r="AD5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7" t="n">
        <v>0</v>
      </c>
      <c r="AF57" t="n">
        <v>0</v>
      </c>
      <c r="AG57" t="inlineStr">
        <is>
          <t>No submission found.</t>
        </is>
      </c>
      <c r="AH57" t="n">
        <v>16</v>
      </c>
      <c r="AI57" t="n">
        <v>0</v>
      </c>
    </row>
    <row r="58">
      <c r="A58" t="n">
        <v>57</v>
      </c>
      <c r="B58" t="inlineStr">
        <is>
          <t>TA_1</t>
        </is>
      </c>
      <c r="C58" t="inlineStr">
        <is>
          <t>TA_11</t>
        </is>
      </c>
      <c r="D58" t="n">
        <v>7</v>
      </c>
      <c r="E58" t="n">
        <v>0</v>
      </c>
      <c r="F58" t="n">
        <v>7</v>
      </c>
      <c r="G58" t="n">
        <v>0</v>
      </c>
      <c r="H58" t="n">
        <v>7</v>
      </c>
      <c r="I58" t="n">
        <v>0</v>
      </c>
      <c r="J58" t="n">
        <v>5.25</v>
      </c>
      <c r="K58" t="n">
        <v>0</v>
      </c>
      <c r="L58" t="n">
        <v>4.25</v>
      </c>
      <c r="M58" t="n">
        <v>0</v>
      </c>
      <c r="N58" t="n">
        <v>7</v>
      </c>
      <c r="O58" t="n">
        <v>0</v>
      </c>
      <c r="P58">
        <f>Table1[[#This Row],[TA 1 - Q1 Score]]+Table1[[#This Row],[TA 1 - Q2 Score]]+Table1[[#This Row],[TA 1 - Q3 Score]]</f>
        <v/>
      </c>
      <c r="Q58">
        <f>Table1[[#This Row],[TA 1 - Q1 Bonus]]+Table1[[#This Row],[TA 1 - Q2 Bonus]]+Table1[[#This Row],[TA 1 - Q4 Bonus]]</f>
        <v/>
      </c>
      <c r="R58">
        <f>Table1[[#This Row],[TA 2 - Q1 Score]]+Table1[[#This Row],[TA 2 - Q2 Score]]+Table1[[#This Row],[TA 2 - Q3 Score]]</f>
        <v/>
      </c>
      <c r="S58">
        <f>Table1[[#This Row],[TA 2 - Q1 Bonus]]+Table1[[#This Row],[TA 2 - Q2 Bonus]]+Table1[[#This Row],[TA 2 - Q4 Bonus]]</f>
        <v/>
      </c>
      <c r="T58">
        <f>(Table1[[#This Row],[TA 1 - Total Score (out of 35)]]+Table1[[#This Row],[TA 2 - Total Score (out of 35)]])/2</f>
        <v/>
      </c>
      <c r="U58">
        <f>(Table1[[#This Row],[TA 1 - Total Bonus (out of 13)]]+Table1[[#This Row],[TA 2 - Total Bonus (out of 13)]])/2</f>
        <v/>
      </c>
      <c r="V58">
        <f>Table1[[#This Row],[Average Questions]]/35*20+Table1[[#This Row],[Average Bonus]]/13*5</f>
        <v/>
      </c>
      <c r="W58" t="n">
        <v>6</v>
      </c>
      <c r="X58" t="n">
        <v>0</v>
      </c>
      <c r="Y58"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 was unable to complete the task and was awarded 0 points for several key tasks.
Breakdown:
- Part 1: Load and Prepare Data: 0.0/?
- Part 2: Load Pretrained Model and Adapt: 0.0/?
- Part 3: Training and Validation Functions: 0.0/?
- Part 4: Training: 2.0/?
- Part 5: Bonus — Test Time Augmentation: 0.0/?</t>
        </is>
      </c>
      <c r="Z58" t="n">
        <v>4</v>
      </c>
      <c r="AA58" t="n">
        <v>0</v>
      </c>
      <c r="AB5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points for each task, resulting in a total score of 0.
Breakdown:
- Part 1: Load and Prepare Data: 0.0/?
- Part 2: Build the CNN Model: 0.0/?
- Part 3: Training and Validation Functions: 0.0/?
- Part 4: Training: 0.0/?
- Part 5: Bonus — Residual Connection: 0.0/?</t>
        </is>
      </c>
      <c r="AC58" t="n">
        <v>6</v>
      </c>
      <c r="AD58"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58" t="n">
        <v>0</v>
      </c>
      <c r="AF58" t="n">
        <v>0</v>
      </c>
      <c r="AG58" t="inlineStr">
        <is>
          <t>No submission found.</t>
        </is>
      </c>
      <c r="AH58" t="n">
        <v>16</v>
      </c>
      <c r="AI58" t="n">
        <v>0</v>
      </c>
    </row>
    <row r="59">
      <c r="A59" t="n">
        <v>58</v>
      </c>
      <c r="B59" t="inlineStr">
        <is>
          <t>TA_2</t>
        </is>
      </c>
      <c r="C59" t="inlineStr">
        <is>
          <t>TA_12</t>
        </is>
      </c>
      <c r="D59" t="n">
        <v>12</v>
      </c>
      <c r="E59" t="n">
        <v>0</v>
      </c>
      <c r="F59" t="n">
        <v>11</v>
      </c>
      <c r="G59" t="n">
        <v>0</v>
      </c>
      <c r="H59" t="n">
        <v>12</v>
      </c>
      <c r="I59" t="n">
        <v>0</v>
      </c>
      <c r="J59" t="n">
        <v>12</v>
      </c>
      <c r="K59" t="n">
        <v>0</v>
      </c>
      <c r="L59" t="n">
        <v>10.25</v>
      </c>
      <c r="M59" t="n">
        <v>0</v>
      </c>
      <c r="N59" t="n">
        <v>8.75</v>
      </c>
      <c r="O59" t="n">
        <v>0</v>
      </c>
      <c r="P59">
        <f>Table1[[#This Row],[TA 1 - Q1 Score]]+Table1[[#This Row],[TA 1 - Q2 Score]]+Table1[[#This Row],[TA 1 - Q3 Score]]</f>
        <v/>
      </c>
      <c r="Q59">
        <f>Table1[[#This Row],[TA 1 - Q1 Bonus]]+Table1[[#This Row],[TA 1 - Q2 Bonus]]+Table1[[#This Row],[TA 1 - Q4 Bonus]]</f>
        <v/>
      </c>
      <c r="R59">
        <f>Table1[[#This Row],[TA 2 - Q1 Score]]+Table1[[#This Row],[TA 2 - Q2 Score]]+Table1[[#This Row],[TA 2 - Q3 Score]]</f>
        <v/>
      </c>
      <c r="S59">
        <f>Table1[[#This Row],[TA 2 - Q1 Bonus]]+Table1[[#This Row],[TA 2 - Q2 Bonus]]+Table1[[#This Row],[TA 2 - Q4 Bonus]]</f>
        <v/>
      </c>
      <c r="T59">
        <f>(Table1[[#This Row],[TA 1 - Total Score (out of 35)]]+Table1[[#This Row],[TA 2 - Total Score (out of 35)]])/2</f>
        <v/>
      </c>
      <c r="U59">
        <f>(Table1[[#This Row],[TA 1 - Total Bonus (out of 13)]]+Table1[[#This Row],[TA 2 - Total Bonus (out of 13)]])/2</f>
        <v/>
      </c>
      <c r="V59">
        <f>Table1[[#This Row],[Average Questions]]/35*20+Table1[[#This Row],[Average Bonus]]/13*5</f>
        <v/>
      </c>
      <c r="W59" t="n">
        <v>6</v>
      </c>
      <c r="X59" t="n">
        <v>0</v>
      </c>
      <c r="Y59" t="inlineStr">
        <is>
          <t>The student's submission failed to address any of the tasks outlined in the rubric. Each task was left unattempted, resulting in a score of 0 for each. The student's code did not run end-to-end, and no effort was made to complete the required tasks. As a result, the student's final score is 0 for the base tasks and 0 for the bonus task.
Breakdown:
- Part 1: Load and Prepare Data: 0.0/?
- Part 2: Load Pretrained Model and Adapt: 0.0/?
- Part 3: Training and Validation Functions: 0.0/?
- Part 4: Training: 0.0/?
- Part 5: Bonus — Test Time Augmentation: 0.0/?</t>
        </is>
      </c>
      <c r="Z59" t="n">
        <v>6</v>
      </c>
      <c r="AA59" t="n">
        <v>0</v>
      </c>
      <c r="AB5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full credit for the base tasks, and their bonus task was not attempted.
Breakdown:
- Part 1: Load and Prepare Data: 0.0/?
- Part 2: Build the CNN Model: 0.0/?
- Part 3: Training and Validation Functions: 0.0/?
- Part 4: Training: 2.0/?
- Part 5: Bonus — Residual Connection: 0.0/?</t>
        </is>
      </c>
      <c r="AC59" t="n">
        <v>6</v>
      </c>
      <c r="AD59" t="inlineStr">
        <is>
          <t>The student's submission failed to meet the requirements of the task. The code is disorganized, and the student failed to create a custom dataset class, define a pretrained U-Net with efficientnet-b1 encoder, define the training and validation loops, define the loss and the optimizer, and visualize the predictions against the ground truth for several images. The student's approach is not correct and does not follow the reference solution.
Breakdown:
- Task 1: Dataset Class: 0.0/?
- Task 2: Model Class: 0.0/?
- Task 3: Training and Validation Loops: 0.0/?
- Task 4: Running Training: 0.0/?
- Task 5: Visualizing Predictions: 0.0/?</t>
        </is>
      </c>
      <c r="AE59" t="n">
        <v>0</v>
      </c>
      <c r="AF59" t="n">
        <v>0</v>
      </c>
      <c r="AG59" t="inlineStr">
        <is>
          <t>No submission found.</t>
        </is>
      </c>
      <c r="AH59" t="n">
        <v>18</v>
      </c>
      <c r="AI59" t="n">
        <v>0</v>
      </c>
    </row>
    <row r="60">
      <c r="A60" t="n">
        <v>59</v>
      </c>
      <c r="B60" t="inlineStr">
        <is>
          <t>TA_2</t>
        </is>
      </c>
      <c r="C60" t="inlineStr">
        <is>
          <t>TA_12</t>
        </is>
      </c>
      <c r="D60" t="n">
        <v>11</v>
      </c>
      <c r="E60" t="n">
        <v>0</v>
      </c>
      <c r="F60" t="n">
        <v>9.5</v>
      </c>
      <c r="G60" t="n">
        <v>0</v>
      </c>
      <c r="H60" t="n">
        <v>2</v>
      </c>
      <c r="I60" t="n">
        <v>0</v>
      </c>
      <c r="J60" t="n">
        <v>10.5</v>
      </c>
      <c r="K60" t="n">
        <v>3</v>
      </c>
      <c r="L60" t="n">
        <v>7</v>
      </c>
      <c r="M60" t="n">
        <v>0</v>
      </c>
      <c r="N60" t="n">
        <v>1</v>
      </c>
      <c r="O60" t="n">
        <v>0</v>
      </c>
      <c r="P60">
        <f>Table1[[#This Row],[TA 1 - Q1 Score]]+Table1[[#This Row],[TA 1 - Q2 Score]]+Table1[[#This Row],[TA 1 - Q3 Score]]</f>
        <v/>
      </c>
      <c r="Q60">
        <f>Table1[[#This Row],[TA 1 - Q1 Bonus]]+Table1[[#This Row],[TA 1 - Q2 Bonus]]+Table1[[#This Row],[TA 1 - Q4 Bonus]]</f>
        <v/>
      </c>
      <c r="R60">
        <f>Table1[[#This Row],[TA 2 - Q1 Score]]+Table1[[#This Row],[TA 2 - Q2 Score]]+Table1[[#This Row],[TA 2 - Q3 Score]]</f>
        <v/>
      </c>
      <c r="S60">
        <f>Table1[[#This Row],[TA 2 - Q1 Bonus]]+Table1[[#This Row],[TA 2 - Q2 Bonus]]+Table1[[#This Row],[TA 2 - Q4 Bonus]]</f>
        <v/>
      </c>
      <c r="T60">
        <f>(Table1[[#This Row],[TA 1 - Total Score (out of 35)]]+Table1[[#This Row],[TA 2 - Total Score (out of 35)]])/2</f>
        <v/>
      </c>
      <c r="U60">
        <f>(Table1[[#This Row],[TA 1 - Total Bonus (out of 13)]]+Table1[[#This Row],[TA 2 - Total Bonus (out of 13)]])/2</f>
        <v/>
      </c>
      <c r="V60">
        <f>Table1[[#This Row],[Average Questions]]/35*20+Table1[[#This Row],[Average Bonus]]/13*5</f>
        <v/>
      </c>
      <c r="W60" t="n">
        <v>6</v>
      </c>
      <c r="X60" t="n">
        <v>0</v>
      </c>
      <c r="Y6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60" t="n">
        <v>4</v>
      </c>
      <c r="AA60" t="n">
        <v>0</v>
      </c>
      <c r="AB60"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add a residual connection to the model. As a result, the student did not earn any points for this task.
Breakdown:
- Part 1: Load and Prepare Data: 0.0/?
- Part 2: Build the CNN Model: 0.0/?
- Part 3: Training and Validation Functions: 0.0/?
- Part 4: Training: 0.0/?
- Part 5: Bonus — Residual Connection: 0.0/?</t>
        </is>
      </c>
      <c r="AC60" t="n">
        <v>6</v>
      </c>
      <c r="AD6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60" t="n">
        <v>0</v>
      </c>
      <c r="AF60" t="n">
        <v>0</v>
      </c>
      <c r="AG60" t="inlineStr">
        <is>
          <t>The student's submission did not implement the `ColorizationDataset` class correctly, resulting in a score of 0.0 for the base task. Since the student did not implement the class correctly, they did not attempt the bonus task, resulting in a score of 0.0 for the bonus task.
Breakdown:
- Correctly implemented `ColorizationDataset` class:: 0.0/?
- Any mistake in implementation: 0.0/?</t>
        </is>
      </c>
      <c r="AH60" t="n">
        <v>16</v>
      </c>
      <c r="AI60" t="n">
        <v>0</v>
      </c>
    </row>
    <row r="61">
      <c r="A61" t="n">
        <v>60</v>
      </c>
      <c r="B61" t="inlineStr">
        <is>
          <t>TA_2</t>
        </is>
      </c>
      <c r="C61" t="inlineStr">
        <is>
          <t>TA_12</t>
        </is>
      </c>
      <c r="D61" t="n">
        <v>5</v>
      </c>
      <c r="E61" t="n">
        <v>0</v>
      </c>
      <c r="F61" t="n">
        <v>3</v>
      </c>
      <c r="G61" t="n">
        <v>0</v>
      </c>
      <c r="H61" t="n">
        <v>11.5</v>
      </c>
      <c r="I61" t="n">
        <v>0</v>
      </c>
      <c r="J61" t="n">
        <v>5</v>
      </c>
      <c r="K61" t="n">
        <v>0</v>
      </c>
      <c r="L61" t="n">
        <v>2</v>
      </c>
      <c r="M61" t="n">
        <v>0</v>
      </c>
      <c r="N61" t="n">
        <v>6.05</v>
      </c>
      <c r="O61" t="n">
        <v>0</v>
      </c>
      <c r="P61">
        <f>Table1[[#This Row],[TA 1 - Q1 Score]]+Table1[[#This Row],[TA 1 - Q2 Score]]+Table1[[#This Row],[TA 1 - Q3 Score]]</f>
        <v/>
      </c>
      <c r="Q61">
        <f>Table1[[#This Row],[TA 1 - Q1 Bonus]]+Table1[[#This Row],[TA 1 - Q2 Bonus]]+Table1[[#This Row],[TA 1 - Q4 Bonus]]</f>
        <v/>
      </c>
      <c r="R61">
        <f>Table1[[#This Row],[TA 2 - Q1 Score]]+Table1[[#This Row],[TA 2 - Q2 Score]]+Table1[[#This Row],[TA 2 - Q3 Score]]</f>
        <v/>
      </c>
      <c r="S61">
        <f>Table1[[#This Row],[TA 2 - Q1 Bonus]]+Table1[[#This Row],[TA 2 - Q2 Bonus]]+Table1[[#This Row],[TA 2 - Q4 Bonus]]</f>
        <v/>
      </c>
      <c r="T61">
        <f>(Table1[[#This Row],[TA 1 - Total Score (out of 35)]]+Table1[[#This Row],[TA 2 - Total Score (out of 35)]])/2</f>
        <v/>
      </c>
      <c r="U61">
        <f>(Table1[[#This Row],[TA 1 - Total Bonus (out of 13)]]+Table1[[#This Row],[TA 2 - Total Bonus (out of 13)]])/2</f>
        <v/>
      </c>
      <c r="V61">
        <f>Table1[[#This Row],[Average Questions]]/35*20+Table1[[#This Row],[Average Bonus]]/13*5</f>
        <v/>
      </c>
      <c r="W61" t="n">
        <v>6</v>
      </c>
      <c r="X61" t="n">
        <v>0</v>
      </c>
      <c r="Y61"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61" t="n">
        <v>4</v>
      </c>
      <c r="AA61" t="n">
        <v>0</v>
      </c>
      <c r="AB61" t="inlineStr">
        <is>
          <t>The student's submission failed to address several key aspects of the task. The code for loading and preparing the data was not provided, and the CNN model was not built correctly. The training and validation functions were also not implemented. Furthermore, the student did not attempt to add a residual connection to the model, which was a key requirement of the bonus task. As a result, the student did not earn any points for these tasks. The code that was provided had syntax errors and did not run end-to-end.
Breakdown:
- Part 1: Load and Prepare Data: 0.0/?
- Part 2: Build the CNN Model: 0.0/?
- Part 3: Training and Validation Functions: 0.0/?
- Part 4: Training: 0.0/?
- Part 5: Bonus — Residual Connection: 0.0/?</t>
        </is>
      </c>
      <c r="AC61" t="n">
        <v>6</v>
      </c>
      <c r="AD61"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61" t="n">
        <v>0</v>
      </c>
      <c r="AF61" t="n">
        <v>0</v>
      </c>
      <c r="AG61" t="inlineStr">
        <is>
          <t>No submission found.</t>
        </is>
      </c>
      <c r="AH61" t="n">
        <v>16</v>
      </c>
      <c r="AI61" t="n">
        <v>0</v>
      </c>
    </row>
    <row r="62">
      <c r="A62" t="n">
        <v>61</v>
      </c>
      <c r="B62" t="inlineStr">
        <is>
          <t>TA_2</t>
        </is>
      </c>
      <c r="C62" t="inlineStr">
        <is>
          <t>TA_12</t>
        </is>
      </c>
      <c r="D62" t="n">
        <v>11.5</v>
      </c>
      <c r="E62" t="n">
        <v>4</v>
      </c>
      <c r="F62" t="n">
        <v>9</v>
      </c>
      <c r="G62" t="n">
        <v>1</v>
      </c>
      <c r="H62" t="n">
        <v>12</v>
      </c>
      <c r="I62" t="n">
        <v>5</v>
      </c>
      <c r="J62" t="n">
        <v>12</v>
      </c>
      <c r="K62" t="n">
        <v>4</v>
      </c>
      <c r="L62" t="n">
        <v>10</v>
      </c>
      <c r="M62" t="n">
        <v>2</v>
      </c>
      <c r="N62" t="n">
        <v>12</v>
      </c>
      <c r="O62" t="n">
        <v>5</v>
      </c>
      <c r="P62">
        <f>Table1[[#This Row],[TA 1 - Q1 Score]]+Table1[[#This Row],[TA 1 - Q2 Score]]+Table1[[#This Row],[TA 1 - Q3 Score]]</f>
        <v/>
      </c>
      <c r="Q62">
        <f>Table1[[#This Row],[TA 1 - Q1 Bonus]]+Table1[[#This Row],[TA 1 - Q2 Bonus]]+Table1[[#This Row],[TA 1 - Q4 Bonus]]</f>
        <v/>
      </c>
      <c r="R62">
        <f>Table1[[#This Row],[TA 2 - Q1 Score]]+Table1[[#This Row],[TA 2 - Q2 Score]]+Table1[[#This Row],[TA 2 - Q3 Score]]</f>
        <v/>
      </c>
      <c r="S62">
        <f>Table1[[#This Row],[TA 2 - Q1 Bonus]]+Table1[[#This Row],[TA 2 - Q2 Bonus]]+Table1[[#This Row],[TA 2 - Q4 Bonus]]</f>
        <v/>
      </c>
      <c r="T62">
        <f>(Table1[[#This Row],[TA 1 - Total Score (out of 35)]]+Table1[[#This Row],[TA 2 - Total Score (out of 35)]])/2</f>
        <v/>
      </c>
      <c r="U62">
        <f>(Table1[[#This Row],[TA 1 - Total Bonus (out of 13)]]+Table1[[#This Row],[TA 2 - Total Bonus (out of 13)]])/2</f>
        <v/>
      </c>
      <c r="V62">
        <f>Table1[[#This Row],[Average Questions]]/35*20+Table1[[#This Row],[Average Bonus]]/13*5</f>
        <v/>
      </c>
      <c r="W62" t="n">
        <v>6</v>
      </c>
      <c r="X62" t="n">
        <v>0</v>
      </c>
      <c r="Y62"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62" t="n">
        <v>6</v>
      </c>
      <c r="AA62" t="n">
        <v>0</v>
      </c>
      <c r="AB62" t="inlineStr">
        <is>
          <t>The student's submission failed to load and prepare the data correctly, as evidenced by the missing code for Part 1. The CNN model in Part 2 was partially correct, but the student did not implement the training and validation functions in Part 3, nor did they train the model in Part 4. The bonus task in Part 5 was not attempted. Overall, the submission demonstrates a lack of understanding of the required tasks and a failure to implement the necessary code.
Breakdown:
- Part 1: Load and Prepare Data: 0.0/?
- Part 2: Build the CNN Model: 2.0/?
- Part 3: Training and Validation Functions: 0.0/?
- Part 4: Training: 0.0/?
- Part 5: Bonus — Residual Connection: 0.0/?</t>
        </is>
      </c>
      <c r="AC62" t="n">
        <v>6</v>
      </c>
      <c r="AD62" t="inlineStr">
        <is>
          <t>The student's submission was incomplete and lacked code for most tasks. However, the code for visualizing predictions was mostly correct and attempted to run the task, but it had some issues with imports and model usage. As a result, the student received partial credit for this task.
Breakdown:
- Task 1: Dataset Class: 0.0/?
- Task 2: Model Class: 0.0/?
- Task 3: Training and Validation Loops: 0.0/?
- Task 4: Running Training: 0.0/?
- Task 5: Visualizing Predictions: 6.0/?</t>
        </is>
      </c>
      <c r="AE62" t="n">
        <v>0</v>
      </c>
      <c r="AF62" t="n">
        <v>0</v>
      </c>
      <c r="AG62" t="inlineStr">
        <is>
          <t>The student's submission does not meet the requirements of the task. The `ColorizationDataset` class is not implemented correctly, and the code does not run end-to-end. The student attempted to implement the `rgb_to_grayscale` method, but it is missing the channel dimension. Additionally, the `__getitem__` method is not correctly returning the grayscale and color images. As a result, the student did not receive any points for this task.
Breakdown:
- Correctly implemented `ColorizationDataset` class:: 0.0/?</t>
        </is>
      </c>
      <c r="AH62" t="n">
        <v>18</v>
      </c>
      <c r="AI62" t="n">
        <v>0</v>
      </c>
    </row>
    <row r="63">
      <c r="A63" t="n">
        <v>62</v>
      </c>
      <c r="B63" t="inlineStr">
        <is>
          <t>TA_2</t>
        </is>
      </c>
      <c r="C63" t="inlineStr">
        <is>
          <t>TA_12</t>
        </is>
      </c>
      <c r="D63" t="n">
        <v>11</v>
      </c>
      <c r="E63" t="n">
        <v>3</v>
      </c>
      <c r="F63" t="n">
        <v>11</v>
      </c>
      <c r="G63" t="n">
        <v>0</v>
      </c>
      <c r="H63" t="n">
        <v>12</v>
      </c>
      <c r="I63" t="n">
        <v>5</v>
      </c>
      <c r="J63" t="n">
        <v>11</v>
      </c>
      <c r="K63" t="n">
        <v>4</v>
      </c>
      <c r="L63" t="n">
        <v>11</v>
      </c>
      <c r="M63" t="n">
        <v>4</v>
      </c>
      <c r="N63" t="n">
        <v>12</v>
      </c>
      <c r="O63" t="n">
        <v>5</v>
      </c>
      <c r="P63">
        <f>Table1[[#This Row],[TA 1 - Q1 Score]]+Table1[[#This Row],[TA 1 - Q2 Score]]+Table1[[#This Row],[TA 1 - Q3 Score]]</f>
        <v/>
      </c>
      <c r="Q63">
        <f>Table1[[#This Row],[TA 1 - Q1 Bonus]]+Table1[[#This Row],[TA 1 - Q2 Bonus]]+Table1[[#This Row],[TA 1 - Q4 Bonus]]</f>
        <v/>
      </c>
      <c r="R63">
        <f>Table1[[#This Row],[TA 2 - Q1 Score]]+Table1[[#This Row],[TA 2 - Q2 Score]]+Table1[[#This Row],[TA 2 - Q3 Score]]</f>
        <v/>
      </c>
      <c r="S63">
        <f>Table1[[#This Row],[TA 2 - Q1 Bonus]]+Table1[[#This Row],[TA 2 - Q2 Bonus]]+Table1[[#This Row],[TA 2 - Q4 Bonus]]</f>
        <v/>
      </c>
      <c r="T63">
        <f>(Table1[[#This Row],[TA 1 - Total Score (out of 35)]]+Table1[[#This Row],[TA 2 - Total Score (out of 35)]])/2</f>
        <v/>
      </c>
      <c r="U63">
        <f>(Table1[[#This Row],[TA 1 - Total Bonus (out of 13)]]+Table1[[#This Row],[TA 2 - Total Bonus (out of 13)]])/2</f>
        <v/>
      </c>
      <c r="V63">
        <f>Table1[[#This Row],[Average Questions]]/35*20+Table1[[#This Row],[Average Bonus]]/13*5</f>
        <v/>
      </c>
      <c r="W63" t="n">
        <v>6</v>
      </c>
      <c r="X63" t="n">
        <v>0</v>
      </c>
      <c r="Y63" t="inlineStr">
        <is>
          <t>The student's submission failed to complete several key tasks, including loading and preparing the data, loading a pretrained model and adapting it, and training the model. While they did attempt to implement the training and validation functions, their code contained syntax errors and did not run correctly. Additionally, they did not implement test time augmentation as required for the bonus task. As a result, the student's score is low, reflecting the incomplete and incorrect nature of their submission.
Breakdown:
- Part 1: Load and Prepare Data: 0.0/?
- Part 2: Load Pretrained Model and Adapt: 0.0/?
- Part 3: Training and Validation Functions: 1.5/?
- Part 4: Training: 0.0/?
- Part 5: Bonus — Test Time Augmentation: 0.0/?</t>
        </is>
      </c>
      <c r="Z63" t="n">
        <v>6</v>
      </c>
      <c r="AA63" t="n">
        <v>0</v>
      </c>
      <c r="AB63"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63" t="n">
        <v>6</v>
      </c>
      <c r="AD63" t="inlineStr">
        <is>
          <t>The student's submission is incomplete and lacks code for several tasks. While they attempted to visualize predictions, their code is not fully functional and does not meet the requirements of the task. As a result, the student earns 0 points for the majority of the tasks and 6 points for the task of visualizing predictions.
Breakdown:
- Task 1: Dataset Class: 0.0/?
- Task 2: Model Class: 0.0/?
- Task 3: Training and Validation Loops: 0.0/?
- Task 4: Running Training: 0.0/?
- Task 5: Visualizing Predictions: 6.0/?</t>
        </is>
      </c>
      <c r="AE63" t="n">
        <v>0</v>
      </c>
      <c r="AF63" t="n">
        <v>0</v>
      </c>
      <c r="AG63" t="inlineStr">
        <is>
          <t>The student's submission does not meet the requirements of the task. The `ColorizationDataset` class is not implemented correctly, and the `rgb_to_grayscale` method does not return a tensor of shape (1, H, W) as required. Additionally, the `__getitem__` method does not return a tuple of (grayscale_image, color_image) as required. As a result, the student does not receive any points for this task.
Breakdown:
- Correctly implemented `ColorizationDataset` class:: 0.0/?
- Any mistake in implementation: 0.0/?</t>
        </is>
      </c>
      <c r="AH63" t="n">
        <v>18</v>
      </c>
      <c r="AI63" t="n">
        <v>0</v>
      </c>
    </row>
    <row r="64">
      <c r="A64" t="n">
        <v>63</v>
      </c>
      <c r="B64" t="inlineStr">
        <is>
          <t>TA_2</t>
        </is>
      </c>
      <c r="C64" t="inlineStr">
        <is>
          <t>TA_12</t>
        </is>
      </c>
      <c r="D64" t="n">
        <v>6.5</v>
      </c>
      <c r="E64" t="n">
        <v>0</v>
      </c>
      <c r="F64" t="n">
        <v>9.5</v>
      </c>
      <c r="G64" t="n">
        <v>0</v>
      </c>
      <c r="H64" t="n">
        <v>12</v>
      </c>
      <c r="I64" t="n">
        <v>0</v>
      </c>
      <c r="J64" t="n">
        <v>5</v>
      </c>
      <c r="K64" t="n">
        <v>0</v>
      </c>
      <c r="L64" t="n">
        <v>8.5</v>
      </c>
      <c r="M64" t="n">
        <v>0</v>
      </c>
      <c r="N64" t="n">
        <v>12</v>
      </c>
      <c r="O64" t="n">
        <v>0</v>
      </c>
      <c r="P64">
        <f>Table1[[#This Row],[TA 1 - Q1 Score]]+Table1[[#This Row],[TA 1 - Q2 Score]]+Table1[[#This Row],[TA 1 - Q3 Score]]</f>
        <v/>
      </c>
      <c r="Q64">
        <f>Table1[[#This Row],[TA 1 - Q1 Bonus]]+Table1[[#This Row],[TA 1 - Q2 Bonus]]+Table1[[#This Row],[TA 1 - Q4 Bonus]]</f>
        <v/>
      </c>
      <c r="R64">
        <f>Table1[[#This Row],[TA 2 - Q1 Score]]+Table1[[#This Row],[TA 2 - Q2 Score]]+Table1[[#This Row],[TA 2 - Q3 Score]]</f>
        <v/>
      </c>
      <c r="S64">
        <f>Table1[[#This Row],[TA 2 - Q1 Bonus]]+Table1[[#This Row],[TA 2 - Q2 Bonus]]+Table1[[#This Row],[TA 2 - Q4 Bonus]]</f>
        <v/>
      </c>
      <c r="T64">
        <f>(Table1[[#This Row],[TA 1 - Total Score (out of 35)]]+Table1[[#This Row],[TA 2 - Total Score (out of 35)]])/2</f>
        <v/>
      </c>
      <c r="U64">
        <f>(Table1[[#This Row],[TA 1 - Total Bonus (out of 13)]]+Table1[[#This Row],[TA 2 - Total Bonus (out of 13)]])/2</f>
        <v/>
      </c>
      <c r="V64">
        <f>Table1[[#This Row],[Average Questions]]/35*20+Table1[[#This Row],[Average Bonus]]/13*5</f>
        <v/>
      </c>
      <c r="W64" t="n">
        <v>6</v>
      </c>
      <c r="X64" t="n">
        <v>0</v>
      </c>
      <c r="Y64"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the correct implementation of the training loop and the validation function. As a result, the student was unable to complete the bonus task of implementing test time augmentation.
Breakdown:
- Part 1: Load and Prepare Data: 0.0/?
- Part 2: Load Pretrained Model and Adapt: 0.0/?
- Part 3: Training and Validation Functions: 0.0/?
- Part 4: Training: 2.5/?
- Part 5: Bonus — Test Time Augmentation: 0.0/?</t>
        </is>
      </c>
      <c r="Z64" t="n">
        <v>4</v>
      </c>
      <c r="AA64" t="n">
        <v>0</v>
      </c>
      <c r="AB64"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64" t="n">
        <v>6</v>
      </c>
      <c r="AD64" t="inlineStr">
        <is>
          <t>The student's submission failed to address several key tasks, including building a custom dataset class, defining a model class, and implementing training and validation loops. While the student did attempt to visualize predictions, their code did not meet the requirements of the task, which included displaying the ground truth and predicted masks for multiple images.
Breakdown:
- Task 1: Dataset Class: 0.0/?
- Task 2: Model Class: 0.0/?
- Task 3: Training and Validation Loops: 0.0/?
- Task 4: Running Training: 0.0/?
- Task 5: Visualizing Predictions: 6.0/?</t>
        </is>
      </c>
      <c r="AE64" t="n">
        <v>0</v>
      </c>
      <c r="AF64" t="n">
        <v>0</v>
      </c>
      <c r="AG64" t="inlineStr">
        <is>
          <t>No submission found.</t>
        </is>
      </c>
      <c r="AH64" t="n">
        <v>16</v>
      </c>
      <c r="AI64" t="n">
        <v>0</v>
      </c>
    </row>
    <row r="65">
      <c r="A65" t="n">
        <v>64</v>
      </c>
      <c r="B65" t="inlineStr">
        <is>
          <t>TA_2</t>
        </is>
      </c>
      <c r="C65" t="inlineStr">
        <is>
          <t>TA_12</t>
        </is>
      </c>
      <c r="D65" t="n">
        <v>5.75</v>
      </c>
      <c r="E65" t="n">
        <v>0</v>
      </c>
      <c r="F65" t="n">
        <v>10</v>
      </c>
      <c r="G65" t="n">
        <v>0</v>
      </c>
      <c r="H65" t="n">
        <v>10</v>
      </c>
      <c r="I65" t="n">
        <v>0</v>
      </c>
      <c r="J65" t="n">
        <v>4.4</v>
      </c>
      <c r="K65" t="n">
        <v>0</v>
      </c>
      <c r="L65" t="n">
        <v>8.5</v>
      </c>
      <c r="M65" t="n">
        <v>0</v>
      </c>
      <c r="N65" t="n">
        <v>5</v>
      </c>
      <c r="O65" t="n">
        <v>0</v>
      </c>
      <c r="P65">
        <f>Table1[[#This Row],[TA 1 - Q1 Score]]+Table1[[#This Row],[TA 1 - Q2 Score]]+Table1[[#This Row],[TA 1 - Q3 Score]]</f>
        <v/>
      </c>
      <c r="Q65">
        <f>Table1[[#This Row],[TA 1 - Q1 Bonus]]+Table1[[#This Row],[TA 1 - Q2 Bonus]]+Table1[[#This Row],[TA 1 - Q4 Bonus]]</f>
        <v/>
      </c>
      <c r="R65">
        <f>Table1[[#This Row],[TA 2 - Q1 Score]]+Table1[[#This Row],[TA 2 - Q2 Score]]+Table1[[#This Row],[TA 2 - Q3 Score]]</f>
        <v/>
      </c>
      <c r="S65">
        <f>Table1[[#This Row],[TA 2 - Q1 Bonus]]+Table1[[#This Row],[TA 2 - Q2 Bonus]]+Table1[[#This Row],[TA 2 - Q4 Bonus]]</f>
        <v/>
      </c>
      <c r="T65">
        <f>(Table1[[#This Row],[TA 1 - Total Score (out of 35)]]+Table1[[#This Row],[TA 2 - Total Score (out of 35)]])/2</f>
        <v/>
      </c>
      <c r="U65">
        <f>(Table1[[#This Row],[TA 1 - Total Bonus (out of 13)]]+Table1[[#This Row],[TA 2 - Total Bonus (out of 13)]])/2</f>
        <v/>
      </c>
      <c r="V65">
        <f>Table1[[#This Row],[Average Questions]]/35*20+Table1[[#This Row],[Average Bonus]]/13*5</f>
        <v/>
      </c>
      <c r="W65" t="n">
        <v>6</v>
      </c>
      <c r="X65" t="n">
        <v>0</v>
      </c>
      <c r="Y65" t="inlineStr">
        <is>
          <t>The student's submission failed to address any of the tasks outlined in the rubric. Each task was left unattempted, resulting in a score of 0 for each. The student's code did not run end-to-end, and no effort was made to complete the required tasks. As a result, the student's score is 0 for the base tasks and 0 for the bonus task.
Breakdown:
- Part 1: Load and Prepare Data: 0.0/?
- Part 2: Load Pretrained Model and Adapt: 0.0/?
- Part 3: Training and Validation Functions: 0.0/?
- Part 4: Training: 0.0/?
- Part 5: Bonus — Test Time Augmentation: 0.0/?</t>
        </is>
      </c>
      <c r="Z65" t="n">
        <v>4</v>
      </c>
      <c r="AA65" t="n">
        <v>0</v>
      </c>
      <c r="AB65"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65" t="n">
        <v>6</v>
      </c>
      <c r="AD65" t="inlineStr">
        <is>
          <t>The student's submission failed to meet the requirements of the task. The code was not organized in a way that allowed it to run end-to-end, and several tasks were not completed correctly. The student attempted to implement the dataset class, but it was not defined correctly. The model class was also not defined correctly, and the training and validation loops were not implemented correctly. The training process was not completed correctly, and the predictions were not visualized correctly. Overall, the student's submission did not demonstrate a clear understanding of the task requirements.
Breakdown:
- Task 1: Dataset Class: 0.0/?
- Task 2: Model Class: 0.0/?
- Task 3: Training and Validation Loops: 0.0/?
- Task 4: Running Training: 0.0/?
- Task 5: Visualizing Predictions: 0.0/?</t>
        </is>
      </c>
      <c r="AE65" t="n">
        <v>0</v>
      </c>
      <c r="AF65" t="n">
        <v>0</v>
      </c>
      <c r="AG65" t="inlineStr">
        <is>
          <t>No submission found.</t>
        </is>
      </c>
      <c r="AH65" t="n">
        <v>16</v>
      </c>
      <c r="AI65" t="n">
        <v>0</v>
      </c>
    </row>
    <row r="66">
      <c r="A66" t="n">
        <v>65</v>
      </c>
      <c r="B66" t="inlineStr">
        <is>
          <t>TA_2</t>
        </is>
      </c>
      <c r="C66" t="inlineStr">
        <is>
          <t>TA_12</t>
        </is>
      </c>
      <c r="D66" t="n">
        <v>11.5</v>
      </c>
      <c r="E66" t="n">
        <v>0</v>
      </c>
      <c r="F66" t="n">
        <v>9</v>
      </c>
      <c r="G66" t="n">
        <v>0</v>
      </c>
      <c r="H66" t="n">
        <v>12</v>
      </c>
      <c r="I66" t="n">
        <v>0</v>
      </c>
      <c r="J66" t="n">
        <v>12</v>
      </c>
      <c r="K66" t="n">
        <v>0</v>
      </c>
      <c r="L66" t="n">
        <v>9</v>
      </c>
      <c r="M66" t="n">
        <v>0</v>
      </c>
      <c r="N66" t="n">
        <v>11.5</v>
      </c>
      <c r="O66" t="n">
        <v>0</v>
      </c>
      <c r="P66">
        <f>Table1[[#This Row],[TA 1 - Q1 Score]]+Table1[[#This Row],[TA 1 - Q2 Score]]+Table1[[#This Row],[TA 1 - Q3 Score]]</f>
        <v/>
      </c>
      <c r="Q66">
        <f>Table1[[#This Row],[TA 1 - Q1 Bonus]]+Table1[[#This Row],[TA 1 - Q2 Bonus]]+Table1[[#This Row],[TA 1 - Q4 Bonus]]</f>
        <v/>
      </c>
      <c r="R66">
        <f>Table1[[#This Row],[TA 2 - Q1 Score]]+Table1[[#This Row],[TA 2 - Q2 Score]]+Table1[[#This Row],[TA 2 - Q3 Score]]</f>
        <v/>
      </c>
      <c r="S66">
        <f>Table1[[#This Row],[TA 2 - Q1 Bonus]]+Table1[[#This Row],[TA 2 - Q2 Bonus]]+Table1[[#This Row],[TA 2 - Q4 Bonus]]</f>
        <v/>
      </c>
      <c r="T66">
        <f>(Table1[[#This Row],[TA 1 - Total Score (out of 35)]]+Table1[[#This Row],[TA 2 - Total Score (out of 35)]])/2</f>
        <v/>
      </c>
      <c r="U66">
        <f>(Table1[[#This Row],[TA 1 - Total Bonus (out of 13)]]+Table1[[#This Row],[TA 2 - Total Bonus (out of 13)]])/2</f>
        <v/>
      </c>
      <c r="V66">
        <f>Table1[[#This Row],[Average Questions]]/35*20+Table1[[#This Row],[Average Bonus]]/13*5</f>
        <v/>
      </c>
      <c r="W66" t="n">
        <v>6</v>
      </c>
      <c r="X66" t="n">
        <v>0</v>
      </c>
      <c r="Y66" t="inlineStr">
        <is>
          <t>The student's submission failed to complete several key tasks, including loading and preparing the data, loading a pretrained model and adapting it, and training the model. While the student made an attempt at the training and validation functions, the code contained syntax errors and did not run correctly. The bonus task of implementing test time augmentation was also not completed. Overall, the submission demonstrated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66" t="n">
        <v>4</v>
      </c>
      <c r="AA66" t="n">
        <v>0</v>
      </c>
      <c r="AB66" t="inlineStr">
        <is>
          <t>The student's submission failed to meet the requirements of the task. The code was not organized in a way that follows the reference solution, and it did not run end-to-end. The student attempted to load and prepare the data, but the code was not correct. The CNN model was not built correctly, and the training and validation functions were not implemented. The training process was not executed, and the residual connection was not added to the model. The student did not attempt to retrain the model with the residual connection. Overall, the submission did not demonstrate a clear understanding of the task and the requirements.
Breakdown:
- Part 1: Load and Prepare Data: 0.0/?
- Part 2: Build the CNN Model: 0.0/?
- Part 3: Training and Validation Functions: 0.0/?
- Part 4: Training: 0.0/?
- Part 5: Bonus — Residual Connection: 0.0/?</t>
        </is>
      </c>
      <c r="AC66" t="n">
        <v>6</v>
      </c>
      <c r="AD66" t="inlineStr">
        <is>
          <t>The student's submission was incomplete, with no code submitted for Tasks 1-4. However, the code for Task 5: Visualizing Predictions was correct and ran, earning 6 points. Unfortunately, the student did not attempt the other tasks, resulting in a total score of 6 points.
Breakdown:
- Task 1: Dataset Class: 0.0/?
- Task 2: Model Class: 0.0/?
- Task 3: Training and Validation Loops: 0.0/?
- Task 4: Running Training: 0.0/?
- Task 5: Visualizing Predictions: 6.0/?</t>
        </is>
      </c>
      <c r="AE66" t="n">
        <v>0</v>
      </c>
      <c r="AF66" t="n">
        <v>0</v>
      </c>
      <c r="AG66" t="inlineStr">
        <is>
          <t>No submission found.</t>
        </is>
      </c>
      <c r="AH66" t="n">
        <v>16</v>
      </c>
      <c r="AI66" t="n">
        <v>0</v>
      </c>
    </row>
    <row r="67">
      <c r="A67" t="n">
        <v>66</v>
      </c>
      <c r="B67" t="inlineStr">
        <is>
          <t>TA_2</t>
        </is>
      </c>
      <c r="C67" t="inlineStr">
        <is>
          <t>TA_12</t>
        </is>
      </c>
      <c r="D67" t="n">
        <v>11</v>
      </c>
      <c r="E67" t="n">
        <v>0</v>
      </c>
      <c r="F67" t="n">
        <v>8</v>
      </c>
      <c r="G67" t="n">
        <v>0</v>
      </c>
      <c r="H67" t="n">
        <v>6</v>
      </c>
      <c r="I67" t="n">
        <v>0</v>
      </c>
      <c r="J67" t="n">
        <v>10</v>
      </c>
      <c r="K67" t="n">
        <v>0</v>
      </c>
      <c r="L67" t="n">
        <v>8</v>
      </c>
      <c r="M67" t="n">
        <v>0</v>
      </c>
      <c r="N67" t="n">
        <v>1.95</v>
      </c>
      <c r="O67" t="n">
        <v>0</v>
      </c>
      <c r="P67">
        <f>Table1[[#This Row],[TA 1 - Q1 Score]]+Table1[[#This Row],[TA 1 - Q2 Score]]+Table1[[#This Row],[TA 1 - Q3 Score]]</f>
        <v/>
      </c>
      <c r="Q67">
        <f>Table1[[#This Row],[TA 1 - Q1 Bonus]]+Table1[[#This Row],[TA 1 - Q2 Bonus]]+Table1[[#This Row],[TA 1 - Q4 Bonus]]</f>
        <v/>
      </c>
      <c r="R67">
        <f>Table1[[#This Row],[TA 2 - Q1 Score]]+Table1[[#This Row],[TA 2 - Q2 Score]]+Table1[[#This Row],[TA 2 - Q3 Score]]</f>
        <v/>
      </c>
      <c r="S67">
        <f>Table1[[#This Row],[TA 2 - Q1 Bonus]]+Table1[[#This Row],[TA 2 - Q2 Bonus]]+Table1[[#This Row],[TA 2 - Q4 Bonus]]</f>
        <v/>
      </c>
      <c r="T67">
        <f>(Table1[[#This Row],[TA 1 - Total Score (out of 35)]]+Table1[[#This Row],[TA 2 - Total Score (out of 35)]])/2</f>
        <v/>
      </c>
      <c r="U67">
        <f>(Table1[[#This Row],[TA 1 - Total Bonus (out of 13)]]+Table1[[#This Row],[TA 2 - Total Bonus (out of 13)]])/2</f>
        <v/>
      </c>
      <c r="V67">
        <f>Table1[[#This Row],[Average Questions]]/35*20+Table1[[#This Row],[Average Bonus]]/13*5</f>
        <v/>
      </c>
      <c r="W67" t="n">
        <v>6</v>
      </c>
      <c r="X67" t="n">
        <v>0</v>
      </c>
      <c r="Y67"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failed to run end-to-end. The bonus task was not attempted.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67" t="n">
        <v>6</v>
      </c>
      <c r="AA67" t="n">
        <v>0</v>
      </c>
      <c r="AB67" t="inlineStr">
        <is>
          <t>The student's submission failed to load and prepare the data correctly, resulting in a score of 0 for Part 1. The CNN model was partially implemented, but it lacked the necessary layers and functionality, earning 2 points for Part 2. The training and validation functions were not implemented, resulting in a score of 0 for Part 3. The training process was also not implemented, earning 0 points for Part 4. The bonus task of adding a residual connection was not attempted, resulting in a score of 0 for Part 5. Overall, the student's submission demonstrated a lack of understanding of the required tasks and functionality.
Breakdown:
- Part 1: Load and Prepare Data: 0.0/?
- Part 2: Build the CNN Model: 2.0/?
- Part 3: Training and Validation Functions: 0.0/?
- Part 4: Training: 0.0/?
- Part 5: Bonus — Residual Connection: 0.0/?</t>
        </is>
      </c>
      <c r="AC67" t="n">
        <v>6</v>
      </c>
      <c r="AD67" t="inlineStr">
        <is>
          <t>The student's submission is incomplete and lacks code for several tasks. While they attempted to visualize predictions, their code is not fully functional and does not meet the requirements of the task. As a result, the student earns 0 points for Tasks 1-4 and 6 points for Task 5, for a total score of 6.0.
Breakdown:
- Task 1: Dataset Class: 0.0/?
- Task 2: Model Class: 0.0/?
- Task 3: Training and Validation Loops: 0.0/?
- Task 4: Running Training: 0.0/?
- Task 5: Visualizing Predictions: 6.0/?</t>
        </is>
      </c>
      <c r="AE67" t="n">
        <v>0</v>
      </c>
      <c r="AF67" t="n">
        <v>0</v>
      </c>
      <c r="AG67" t="inlineStr">
        <is>
          <t>No submission found.</t>
        </is>
      </c>
      <c r="AH67" t="n">
        <v>18</v>
      </c>
      <c r="AI67" t="n">
        <v>0</v>
      </c>
    </row>
    <row r="68">
      <c r="A68" t="n">
        <v>67</v>
      </c>
      <c r="B68" t="inlineStr">
        <is>
          <t>TA_2</t>
        </is>
      </c>
      <c r="C68" t="inlineStr">
        <is>
          <t>TA_12</t>
        </is>
      </c>
      <c r="D68" t="n">
        <v>7.5</v>
      </c>
      <c r="E68" t="n">
        <v>0</v>
      </c>
      <c r="F68" t="n">
        <v>8.5</v>
      </c>
      <c r="G68" t="n">
        <v>0</v>
      </c>
      <c r="H68" t="n">
        <v>12</v>
      </c>
      <c r="I68" t="n">
        <v>0</v>
      </c>
      <c r="J68" t="n">
        <v>7.5</v>
      </c>
      <c r="K68" t="n">
        <v>0</v>
      </c>
      <c r="L68" t="n">
        <v>8.25</v>
      </c>
      <c r="M68" t="n">
        <v>0</v>
      </c>
      <c r="N68" t="n">
        <v>12</v>
      </c>
      <c r="O68" t="n">
        <v>0</v>
      </c>
      <c r="P68">
        <f>Table1[[#This Row],[TA 1 - Q1 Score]]+Table1[[#This Row],[TA 1 - Q2 Score]]+Table1[[#This Row],[TA 1 - Q3 Score]]</f>
        <v/>
      </c>
      <c r="Q68">
        <f>Table1[[#This Row],[TA 1 - Q1 Bonus]]+Table1[[#This Row],[TA 1 - Q2 Bonus]]+Table1[[#This Row],[TA 1 - Q4 Bonus]]</f>
        <v/>
      </c>
      <c r="R68">
        <f>Table1[[#This Row],[TA 2 - Q1 Score]]+Table1[[#This Row],[TA 2 - Q2 Score]]+Table1[[#This Row],[TA 2 - Q3 Score]]</f>
        <v/>
      </c>
      <c r="S68">
        <f>Table1[[#This Row],[TA 2 - Q1 Bonus]]+Table1[[#This Row],[TA 2 - Q2 Bonus]]+Table1[[#This Row],[TA 2 - Q4 Bonus]]</f>
        <v/>
      </c>
      <c r="T68">
        <f>(Table1[[#This Row],[TA 1 - Total Score (out of 35)]]+Table1[[#This Row],[TA 2 - Total Score (out of 35)]])/2</f>
        <v/>
      </c>
      <c r="U68">
        <f>(Table1[[#This Row],[TA 1 - Total Bonus (out of 13)]]+Table1[[#This Row],[TA 2 - Total Bonus (out of 13)]])/2</f>
        <v/>
      </c>
      <c r="V68">
        <f>Table1[[#This Row],[Average Questions]]/35*20+Table1[[#This Row],[Average Bonus]]/13*5</f>
        <v/>
      </c>
      <c r="W68" t="n">
        <v>6</v>
      </c>
      <c r="X68" t="n">
        <v>0</v>
      </c>
      <c r="Y6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disregarding the explicit instructions provided in the reference solution.
Breakdown:
- Part 1: Load and Prepare Data: 0.0/?
- Part 2: Load Pretrained Model and Adapt: 0.0/?
- Part 3: Training and Validation Functions: 0.0/?
- Part 4: Training: 3.0/?
- Part 5: Bonus — Test Time Augmentation: 0.0/?</t>
        </is>
      </c>
      <c r="Z68" t="n">
        <v>4</v>
      </c>
      <c r="AA68" t="n">
        <v>0</v>
      </c>
      <c r="AB68"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add a residual connection to the model. As a result, the student did not earn any points for this task.
Breakdown:
- Part 1: Load and Prepare Data: 0.0/?
- Part 2: Build the CNN Model: 0.0/?
- Part 3: Training and Validation Functions: 0.0/?
- Part 4: Training: 0.0/?
- Part 5: Bonus — Residual Connection: 0.0/?</t>
        </is>
      </c>
      <c r="AC68" t="n">
        <v>6</v>
      </c>
      <c r="AD68" t="inlineStr">
        <is>
          <t>The student's submission failed to meet the requirements of the task. The code is disorganized and does not follow the reference solution. The student failed to create a custom dataset class, define the model class correctly, define the training and validation loops correctly, train the model for the correct number of epochs, and visualize the predictions against the ground truth.
Breakdown:
- Task 1: Dataset Class: 0.0/?
- Task 2: Model Class: 0.0/?
- Task 3: Training and Validation Loops: 0.0/?
- Task 4: Running Training: 0.0/?
- Task 5: Visualizing Predictions: 0.0/?</t>
        </is>
      </c>
      <c r="AE68" t="n">
        <v>0</v>
      </c>
      <c r="AF68" t="n">
        <v>0</v>
      </c>
      <c r="AG68" t="inlineStr">
        <is>
          <t>No submission found.</t>
        </is>
      </c>
      <c r="AH68" t="n">
        <v>16</v>
      </c>
      <c r="AI68" t="n">
        <v>0</v>
      </c>
    </row>
    <row r="69">
      <c r="A69" t="n">
        <v>68</v>
      </c>
      <c r="B69" t="inlineStr">
        <is>
          <t>TA_2</t>
        </is>
      </c>
      <c r="C69" t="inlineStr">
        <is>
          <t>TA_12</t>
        </is>
      </c>
      <c r="D69" t="n">
        <v>7.5</v>
      </c>
      <c r="E69" t="n">
        <v>0</v>
      </c>
      <c r="F69" t="n">
        <v>8.5</v>
      </c>
      <c r="G69" t="n">
        <v>0</v>
      </c>
      <c r="H69" t="n">
        <v>11</v>
      </c>
      <c r="I69" t="n">
        <v>0</v>
      </c>
      <c r="J69" t="n">
        <v>7.5</v>
      </c>
      <c r="K69" t="n">
        <v>0</v>
      </c>
      <c r="L69" t="n">
        <v>6.5</v>
      </c>
      <c r="M69" t="n">
        <v>1</v>
      </c>
      <c r="N69" t="n">
        <v>7</v>
      </c>
      <c r="O69" t="n">
        <v>0</v>
      </c>
      <c r="P69">
        <f>Table1[[#This Row],[TA 1 - Q1 Score]]+Table1[[#This Row],[TA 1 - Q2 Score]]+Table1[[#This Row],[TA 1 - Q3 Score]]</f>
        <v/>
      </c>
      <c r="Q69">
        <f>Table1[[#This Row],[TA 1 - Q1 Bonus]]+Table1[[#This Row],[TA 1 - Q2 Bonus]]+Table1[[#This Row],[TA 1 - Q4 Bonus]]</f>
        <v/>
      </c>
      <c r="R69">
        <f>Table1[[#This Row],[TA 2 - Q1 Score]]+Table1[[#This Row],[TA 2 - Q2 Score]]+Table1[[#This Row],[TA 2 - Q3 Score]]</f>
        <v/>
      </c>
      <c r="S69">
        <f>Table1[[#This Row],[TA 2 - Q1 Bonus]]+Table1[[#This Row],[TA 2 - Q2 Bonus]]+Table1[[#This Row],[TA 2 - Q4 Bonus]]</f>
        <v/>
      </c>
      <c r="T69">
        <f>(Table1[[#This Row],[TA 1 - Total Score (out of 35)]]+Table1[[#This Row],[TA 2 - Total Score (out of 35)]])/2</f>
        <v/>
      </c>
      <c r="U69">
        <f>(Table1[[#This Row],[TA 1 - Total Bonus (out of 13)]]+Table1[[#This Row],[TA 2 - Total Bonus (out of 13)]])/2</f>
        <v/>
      </c>
      <c r="V69">
        <f>Table1[[#This Row],[Average Questions]]/35*20+Table1[[#This Row],[Average Bonus]]/13*5</f>
        <v/>
      </c>
      <c r="W69" t="n">
        <v>6</v>
      </c>
      <c r="X69" t="n">
        <v>0</v>
      </c>
      <c r="Y6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disregarding the explicit instructions provided in the reference solution.
Breakdown:
- Part 1: Load and Prepare Data: 0.0/?
- Part 2: Load Pretrained Model and Adapt: 0.0/?
- Part 3: Training and Validation Functions: 0.0/?
- Part 4: Training: 2.0/?
- Part 5: Bonus — Test Time Augmentation: 0.0/?</t>
        </is>
      </c>
      <c r="Z69" t="n">
        <v>4</v>
      </c>
      <c r="AA69" t="n">
        <v>4</v>
      </c>
      <c r="AB69" t="inlineStr">
        <is>
          <t>The student's submission failed to complete the majority of the tasks. Part 1: Load and Prepare Data was not attempted, and the code for Part 2: Build the CNN Model was incomplete and incorrect. Part 3: Training and Validation Functions and Part 4: Training were not implemented. However, the student did attempt the bonus task, Part 5: Bonus — Residual Connection, and received full credit for it.
Breakdown:
- Part 1: Load and Prepare Data: 0.0/?
- Part 2: Build the CNN Model: 0.0/?
- Part 3: Training and Validation Functions: 0.0/?
- Part 4: Training: 0.0/?
- Part 5: Bonus — Residual Connection: 4.0/?</t>
        </is>
      </c>
      <c r="AC69" t="n">
        <v>6</v>
      </c>
      <c r="AD69" t="inlineStr">
        <is>
          <t>The student's submission failed to meet the requirements of the task. The code is incomplete, disorganized, and does not follow the reference solution. The student failed to create a custom dataset class, define a pretrained U-Net, define the training and validation loops, and visualize the model's predictions. As a result, the student did not earn any points for this task.
Breakdown:
- Task 1: Dataset Class: 0.0/?
- Task 2: Model Class: 0.0/?
- Task 3: Training and Validation Loops: 0.0/?
- Task 4: Running Training: 0.0/?
- Task 5: Visualizing Predictions: 0.0/?</t>
        </is>
      </c>
      <c r="AE69" t="n">
        <v>0</v>
      </c>
      <c r="AF69" t="n">
        <v>0</v>
      </c>
      <c r="AG69" t="inlineStr">
        <is>
          <t>No submission found.</t>
        </is>
      </c>
      <c r="AH69" t="n">
        <v>16</v>
      </c>
      <c r="AI69" t="n">
        <v>4</v>
      </c>
    </row>
    <row r="70">
      <c r="A70" t="n">
        <v>69</v>
      </c>
      <c r="B70" t="inlineStr">
        <is>
          <t>TA_2</t>
        </is>
      </c>
      <c r="C70" t="inlineStr">
        <is>
          <t>TA_12</t>
        </is>
      </c>
      <c r="D70" t="n">
        <v>11.5</v>
      </c>
      <c r="E70" t="n">
        <v>0</v>
      </c>
      <c r="F70" t="n">
        <v>9</v>
      </c>
      <c r="G70" t="n">
        <v>0</v>
      </c>
      <c r="H70" t="n">
        <v>12</v>
      </c>
      <c r="I70" t="n">
        <v>0</v>
      </c>
      <c r="J70" t="n">
        <v>12</v>
      </c>
      <c r="K70" t="n">
        <v>0</v>
      </c>
      <c r="L70" t="n">
        <v>9</v>
      </c>
      <c r="M70" t="n">
        <v>0</v>
      </c>
      <c r="N70" t="n">
        <v>9.5</v>
      </c>
      <c r="O70" t="n">
        <v>0</v>
      </c>
      <c r="P70">
        <f>Table1[[#This Row],[TA 1 - Q1 Score]]+Table1[[#This Row],[TA 1 - Q2 Score]]+Table1[[#This Row],[TA 1 - Q3 Score]]</f>
        <v/>
      </c>
      <c r="Q70">
        <f>Table1[[#This Row],[TA 1 - Q1 Bonus]]+Table1[[#This Row],[TA 1 - Q2 Bonus]]+Table1[[#This Row],[TA 1 - Q4 Bonus]]</f>
        <v/>
      </c>
      <c r="R70">
        <f>Table1[[#This Row],[TA 2 - Q1 Score]]+Table1[[#This Row],[TA 2 - Q2 Score]]+Table1[[#This Row],[TA 2 - Q3 Score]]</f>
        <v/>
      </c>
      <c r="S70">
        <f>Table1[[#This Row],[TA 2 - Q1 Bonus]]+Table1[[#This Row],[TA 2 - Q2 Bonus]]+Table1[[#This Row],[TA 2 - Q4 Bonus]]</f>
        <v/>
      </c>
      <c r="T70">
        <f>(Table1[[#This Row],[TA 1 - Total Score (out of 35)]]+Table1[[#This Row],[TA 2 - Total Score (out of 35)]])/2</f>
        <v/>
      </c>
      <c r="U70">
        <f>(Table1[[#This Row],[TA 1 - Total Bonus (out of 13)]]+Table1[[#This Row],[TA 2 - Total Bonus (out of 13)]])/2</f>
        <v/>
      </c>
      <c r="V70">
        <f>Table1[[#This Row],[Average Questions]]/35*20+Table1[[#This Row],[Average Bonus]]/13*5</f>
        <v/>
      </c>
      <c r="W70" t="n">
        <v>6</v>
      </c>
      <c r="X70" t="n">
        <v>0</v>
      </c>
      <c r="Y7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correctly.
Breakdown:
- Part 1: Load and Prepare Data: 0.0/?
- Part 2: Load Pretrained Model and Adapt: 0.0/?
- Part 3: Training and Validation Functions: 0.0/?
- Part 4: Training: 3.0/?
- Part 5: Bonus — Test Time Augmentation: 0.0/?</t>
        </is>
      </c>
      <c r="Z70" t="n">
        <v>4</v>
      </c>
      <c r="AA70" t="n">
        <v>0</v>
      </c>
      <c r="AB70"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70" t="n">
        <v>6</v>
      </c>
      <c r="AD70" t="inlineStr">
        <is>
          <t>The student's submission is incomplete and lacks code for several tasks. While they attempted to visualize predictions, their code is not fully functional and does not meet the requirements of the task. As a result, the student earns 0 points for Tasks 1-4 and 6 points for Task 5, for a total score of 6.0.
Breakdown:
- Task 1: Dataset Class: 0.0/?
- Task 2: Model Class: 0.0/?
- Task 3: Training and Validation Loops: 0.0/?
- Task 4: Running Training: 0.0/?
- Task 5: Visualizing Predictions: 6.0/?</t>
        </is>
      </c>
      <c r="AE70" t="n">
        <v>0</v>
      </c>
      <c r="AF70" t="n">
        <v>0</v>
      </c>
      <c r="AG70" t="inlineStr">
        <is>
          <t>No submission found.</t>
        </is>
      </c>
      <c r="AH70" t="n">
        <v>16</v>
      </c>
      <c r="AI70" t="n">
        <v>0</v>
      </c>
    </row>
    <row r="71">
      <c r="A71" t="n">
        <v>70</v>
      </c>
      <c r="B71" t="inlineStr">
        <is>
          <t>TA_2</t>
        </is>
      </c>
      <c r="C71" t="inlineStr">
        <is>
          <t>TA_12</t>
        </is>
      </c>
      <c r="D71" t="n">
        <v>10.75</v>
      </c>
      <c r="E71" t="n">
        <v>0</v>
      </c>
      <c r="F71" t="n">
        <v>9</v>
      </c>
      <c r="G71" t="n">
        <v>0</v>
      </c>
      <c r="H71" t="n">
        <v>12</v>
      </c>
      <c r="I71" t="n">
        <v>0</v>
      </c>
      <c r="J71" t="n">
        <v>8.600000000000001</v>
      </c>
      <c r="K71" t="n">
        <v>0</v>
      </c>
      <c r="L71" t="n">
        <v>9</v>
      </c>
      <c r="M71" t="n">
        <v>0</v>
      </c>
      <c r="N71" t="n">
        <v>4.95</v>
      </c>
      <c r="O71" t="n">
        <v>0</v>
      </c>
      <c r="P71">
        <f>Table1[[#This Row],[TA 1 - Q1 Score]]+Table1[[#This Row],[TA 1 - Q2 Score]]+Table1[[#This Row],[TA 1 - Q3 Score]]</f>
        <v/>
      </c>
      <c r="Q71">
        <f>Table1[[#This Row],[TA 1 - Q1 Bonus]]+Table1[[#This Row],[TA 1 - Q2 Bonus]]+Table1[[#This Row],[TA 1 - Q4 Bonus]]</f>
        <v/>
      </c>
      <c r="R71">
        <f>Table1[[#This Row],[TA 2 - Q1 Score]]+Table1[[#This Row],[TA 2 - Q2 Score]]+Table1[[#This Row],[TA 2 - Q3 Score]]</f>
        <v/>
      </c>
      <c r="S71">
        <f>Table1[[#This Row],[TA 2 - Q1 Bonus]]+Table1[[#This Row],[TA 2 - Q2 Bonus]]+Table1[[#This Row],[TA 2 - Q4 Bonus]]</f>
        <v/>
      </c>
      <c r="T71">
        <f>(Table1[[#This Row],[TA 1 - Total Score (out of 35)]]+Table1[[#This Row],[TA 2 - Total Score (out of 35)]])/2</f>
        <v/>
      </c>
      <c r="U71">
        <f>(Table1[[#This Row],[TA 1 - Total Bonus (out of 13)]]+Table1[[#This Row],[TA 2 - Total Bonus (out of 13)]])/2</f>
        <v/>
      </c>
      <c r="V71">
        <f>Table1[[#This Row],[Average Questions]]/35*20+Table1[[#This Row],[Average Bonus]]/13*5</f>
        <v/>
      </c>
      <c r="W71" t="n">
        <v>6</v>
      </c>
      <c r="X71" t="n">
        <v>0</v>
      </c>
      <c r="Y7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71" t="n">
        <v>6</v>
      </c>
      <c r="AA71" t="n">
        <v>0</v>
      </c>
      <c r="AB71" t="inlineStr">
        <is>
          <t>The student's submission failed to meet the requirements for most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was able to train the model, but the submission lacked the validation loop function. The student did not attempt the bonus task in Part 5. As a result, the student received 0 points for most tasks, with only 2 points awarded for Part 4: Training.
Breakdown:
- Part 1: Load and Prepare Data: 0.0/?
- Part 2: Build the CNN Model: 0.0/?
- Part 3: Training and Validation Functions: 0.0/?
- Part 4: Training: 2.0/?
- Part 5: Bonus — Residual Connection: 0.0/?</t>
        </is>
      </c>
      <c r="AC71" t="n">
        <v>6</v>
      </c>
      <c r="AD71" t="inlineStr">
        <is>
          <t>The student's submission had several issues. The dataset class was not defined correctly, and no code was submitted for this task. The model class was also not defined correctly, and the model was not a U-Net with efficientnet-b1 encoder. The training and validation loops were not defined correctly, and the loss function was BCEWithLogitsLoss instead of CrossEntropyLoss. However, the student did attempt to run the training and visualize the predictions, and they were able to show the model's predictions against the ground truth for several images.
Breakdown:
- Task 1: Dataset Class: 0.0/?
- Task 2: Model Class: 0.0/?
- Task 3: Training and Validation Loops: 0.0/?
- Task 4: Running Training: 0.0/?
- Task 5: Visualizing Predictions: 6.0/?</t>
        </is>
      </c>
      <c r="AE71" t="n">
        <v>0</v>
      </c>
      <c r="AF71" t="n">
        <v>0</v>
      </c>
      <c r="AG71" t="inlineStr">
        <is>
          <t>No submission found.</t>
        </is>
      </c>
      <c r="AH71" t="n">
        <v>18</v>
      </c>
      <c r="AI71" t="n">
        <v>0</v>
      </c>
    </row>
    <row r="72">
      <c r="A72" t="n">
        <v>71</v>
      </c>
      <c r="B72" t="inlineStr">
        <is>
          <t>TA_2</t>
        </is>
      </c>
      <c r="C72" t="inlineStr">
        <is>
          <t>TA_12</t>
        </is>
      </c>
      <c r="D72" t="n">
        <v>11</v>
      </c>
      <c r="E72" t="n">
        <v>0</v>
      </c>
      <c r="F72" t="n">
        <v>11</v>
      </c>
      <c r="G72" t="n">
        <v>0</v>
      </c>
      <c r="H72" t="n">
        <v>12</v>
      </c>
      <c r="I72" t="n">
        <v>5</v>
      </c>
      <c r="J72" t="n">
        <v>12</v>
      </c>
      <c r="K72" t="n">
        <v>0</v>
      </c>
      <c r="L72" t="n">
        <v>11</v>
      </c>
      <c r="M72" t="n">
        <v>0</v>
      </c>
      <c r="N72" t="n">
        <v>12</v>
      </c>
      <c r="O72" t="n">
        <v>0</v>
      </c>
      <c r="P72">
        <f>Table1[[#This Row],[TA 1 - Q1 Score]]+Table1[[#This Row],[TA 1 - Q2 Score]]+Table1[[#This Row],[TA 1 - Q3 Score]]</f>
        <v/>
      </c>
      <c r="Q72">
        <f>Table1[[#This Row],[TA 1 - Q1 Bonus]]+Table1[[#This Row],[TA 1 - Q2 Bonus]]+Table1[[#This Row],[TA 1 - Q4 Bonus]]</f>
        <v/>
      </c>
      <c r="R72">
        <f>Table1[[#This Row],[TA 2 - Q1 Score]]+Table1[[#This Row],[TA 2 - Q2 Score]]+Table1[[#This Row],[TA 2 - Q3 Score]]</f>
        <v/>
      </c>
      <c r="S72">
        <f>Table1[[#This Row],[TA 2 - Q1 Bonus]]+Table1[[#This Row],[TA 2 - Q2 Bonus]]+Table1[[#This Row],[TA 2 - Q4 Bonus]]</f>
        <v/>
      </c>
      <c r="T72">
        <f>(Table1[[#This Row],[TA 1 - Total Score (out of 35)]]+Table1[[#This Row],[TA 2 - Total Score (out of 35)]])/2</f>
        <v/>
      </c>
      <c r="U72">
        <f>(Table1[[#This Row],[TA 1 - Total Bonus (out of 13)]]+Table1[[#This Row],[TA 2 - Total Bonus (out of 13)]])/2</f>
        <v/>
      </c>
      <c r="V72">
        <f>Table1[[#This Row],[Average Questions]]/35*20+Table1[[#This Row],[Average Bonus]]/13*5</f>
        <v/>
      </c>
      <c r="W72" t="n">
        <v>6</v>
      </c>
      <c r="X72" t="n">
        <v>0</v>
      </c>
      <c r="Y72" t="inlineStr">
        <is>
          <t>The student's submission failed to complete several key tasks, including loading and preparing the data, loading a pretrained model and adapting it, and training the model. While the student made an attempt at the training and validation functions, the code contained syntax errors and did not run correctly. The student also failed to implement test time augmentation, a key bonus task. As a result, the student's score is low, reflecting the incomplete and incorrect nature of their submission.
Breakdown:
- Part 1: Load and Prepare Data: 0.0/?
- Part 2: Load Pretrained Model and Adapt: 0.0/?
- Part 3: Training and Validation Functions: 1.5/?
- Part 4: Training: 0.0/?
- Part 5: Bonus — Test Time Augmentation: 0.0/?</t>
        </is>
      </c>
      <c r="Z72" t="n">
        <v>6</v>
      </c>
      <c r="AA72" t="n">
        <v>0</v>
      </c>
      <c r="AB7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any points for the base tasks. The bonus task was also not completed, resulting in a score of 0 for the bonus.
Breakdown:
- Part 1: Load and Prepare Data: 0.0/?
- Part 2: Build the CNN Model: 0.0/?
- Part 3: Training and Validation Functions: 0.0/?
- Part 4: Training: 2.0/?
- Part 5: Bonus — Residual Connection: 0.0/?</t>
        </is>
      </c>
      <c r="AC72" t="n">
        <v>6</v>
      </c>
      <c r="AD72" t="inlineStr">
        <is>
          <t>The student's submission is incomplete and does not follow the reference solution. They failed to create a custom dataset class, define a pretrained U-Net model, implement the training and validation loops, and visualize their model's predictions. As a result, they did not earn any points for these tasks.
Breakdown:
- Task 1: Dataset Class: 0.0/?
- Task 2: Model Class: 0.0/?
- Task 3: Training and Validation Loops: 0.0/?
- Task 4: Running Training: 0.0/?
- Task 5: Visualizing Predictions: 0.0/?</t>
        </is>
      </c>
      <c r="AE72" t="n">
        <v>0</v>
      </c>
      <c r="AF72" t="n">
        <v>0</v>
      </c>
      <c r="AG72" t="inlineStr">
        <is>
          <t>The student's submission did not implement the `ColorizationDataset` class correctly, resulting in a score of 0.0 for the base task. Since the student did not implement the class correctly, they did not attempt the bonus task, resulting in a score of 0.0 for the bonus task.
Breakdown:
- Correctly implemented `ColorizationDataset` class:: 0.0/?
- Any mistake in implementation: 0.0/?</t>
        </is>
      </c>
      <c r="AH72" t="n">
        <v>18</v>
      </c>
      <c r="AI72" t="n">
        <v>0</v>
      </c>
    </row>
    <row r="73">
      <c r="A73" t="n">
        <v>72</v>
      </c>
      <c r="B73" t="inlineStr">
        <is>
          <t>TA_2</t>
        </is>
      </c>
      <c r="C73" t="inlineStr">
        <is>
          <t>TA_12</t>
        </is>
      </c>
      <c r="D73" t="n">
        <v>10.75</v>
      </c>
      <c r="E73" t="n">
        <v>1</v>
      </c>
      <c r="F73" t="n">
        <v>10.5</v>
      </c>
      <c r="G73" t="n">
        <v>0</v>
      </c>
      <c r="H73" t="n">
        <v>11.5</v>
      </c>
      <c r="I73" t="n">
        <v>0</v>
      </c>
      <c r="J73" t="n">
        <v>10.2</v>
      </c>
      <c r="K73" t="n">
        <v>3</v>
      </c>
      <c r="L73" t="n">
        <v>10.25</v>
      </c>
      <c r="M73" t="n">
        <v>0</v>
      </c>
      <c r="N73" t="n">
        <v>7.5</v>
      </c>
      <c r="O73" t="n">
        <v>0</v>
      </c>
      <c r="P73">
        <f>Table1[[#This Row],[TA 1 - Q1 Score]]+Table1[[#This Row],[TA 1 - Q2 Score]]+Table1[[#This Row],[TA 1 - Q3 Score]]</f>
        <v/>
      </c>
      <c r="Q73">
        <f>Table1[[#This Row],[TA 1 - Q1 Bonus]]+Table1[[#This Row],[TA 1 - Q2 Bonus]]+Table1[[#This Row],[TA 1 - Q4 Bonus]]</f>
        <v/>
      </c>
      <c r="R73">
        <f>Table1[[#This Row],[TA 2 - Q1 Score]]+Table1[[#This Row],[TA 2 - Q2 Score]]+Table1[[#This Row],[TA 2 - Q3 Score]]</f>
        <v/>
      </c>
      <c r="S73">
        <f>Table1[[#This Row],[TA 2 - Q1 Bonus]]+Table1[[#This Row],[TA 2 - Q2 Bonus]]+Table1[[#This Row],[TA 2 - Q4 Bonus]]</f>
        <v/>
      </c>
      <c r="T73">
        <f>(Table1[[#This Row],[TA 1 - Total Score (out of 35)]]+Table1[[#This Row],[TA 2 - Total Score (out of 35)]])/2</f>
        <v/>
      </c>
      <c r="U73">
        <f>(Table1[[#This Row],[TA 1 - Total Bonus (out of 13)]]+Table1[[#This Row],[TA 2 - Total Bonus (out of 13)]])/2</f>
        <v/>
      </c>
      <c r="V73">
        <f>Table1[[#This Row],[Average Questions]]/35*20+Table1[[#This Row],[Average Bonus]]/13*5</f>
        <v/>
      </c>
      <c r="W73" t="n">
        <v>6</v>
      </c>
      <c r="X73" t="n">
        <v>0</v>
      </c>
      <c r="Y7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6.0/?
- Part 5: Bonus — Test Time Augmentation: 0.0/?</t>
        </is>
      </c>
      <c r="Z73" t="n">
        <v>4</v>
      </c>
      <c r="AA73" t="n">
        <v>0</v>
      </c>
      <c r="AB7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73" t="n">
        <v>6</v>
      </c>
      <c r="AD73" t="inlineStr">
        <is>
          <t>The student's submission failed to address any of the tasks in Question 3. The code provided does not attempt to build a custom dataset class, define a model class, implement training and validation loops, run training, or visualize predictions. As a result, the student earned 0 points for each task, resulting in a total score of 6.0.
Breakdown:
- Task 1: Dataset Class: 0.0/?
- Task 2: Model Class: 0.0/?
- Task 3: Training and Validation Loops: 0.0/?
- Task 4: Running Training: 0.0/?
- Task 5: Visualizing Predictions: 0.0/?</t>
        </is>
      </c>
      <c r="AE73" t="n">
        <v>0</v>
      </c>
      <c r="AF73" t="n">
        <v>0</v>
      </c>
      <c r="AG73" t="inlineStr">
        <is>
          <t>No submission found.</t>
        </is>
      </c>
      <c r="AH73" t="n">
        <v>16</v>
      </c>
      <c r="AI73" t="n">
        <v>0</v>
      </c>
    </row>
    <row r="74">
      <c r="A74" t="n">
        <v>73</v>
      </c>
      <c r="B74" t="inlineStr">
        <is>
          <t>TA_2</t>
        </is>
      </c>
      <c r="C74" t="inlineStr">
        <is>
          <t>TA_12</t>
        </is>
      </c>
      <c r="D74" t="n">
        <v>5</v>
      </c>
      <c r="E74" t="n">
        <v>0</v>
      </c>
      <c r="F74" t="n">
        <v>7.8</v>
      </c>
      <c r="G74" t="n">
        <v>0.5</v>
      </c>
      <c r="H74" t="n">
        <v>10</v>
      </c>
      <c r="I74" t="n">
        <v>0</v>
      </c>
      <c r="J74" t="n">
        <v>5.1</v>
      </c>
      <c r="K74" t="n">
        <v>0</v>
      </c>
      <c r="L74" t="n">
        <v>3</v>
      </c>
      <c r="M74" t="n">
        <v>0.5</v>
      </c>
      <c r="N74" t="n">
        <v>3.7</v>
      </c>
      <c r="O74" t="n">
        <v>0</v>
      </c>
      <c r="P74">
        <f>Table1[[#This Row],[TA 1 - Q1 Score]]+Table1[[#This Row],[TA 1 - Q2 Score]]+Table1[[#This Row],[TA 1 - Q3 Score]]</f>
        <v/>
      </c>
      <c r="Q74">
        <f>Table1[[#This Row],[TA 1 - Q1 Bonus]]+Table1[[#This Row],[TA 1 - Q2 Bonus]]+Table1[[#This Row],[TA 1 - Q4 Bonus]]</f>
        <v/>
      </c>
      <c r="R74">
        <f>Table1[[#This Row],[TA 2 - Q1 Score]]+Table1[[#This Row],[TA 2 - Q2 Score]]+Table1[[#This Row],[TA 2 - Q3 Score]]</f>
        <v/>
      </c>
      <c r="S74">
        <f>Table1[[#This Row],[TA 2 - Q1 Bonus]]+Table1[[#This Row],[TA 2 - Q2 Bonus]]+Table1[[#This Row],[TA 2 - Q4 Bonus]]</f>
        <v/>
      </c>
      <c r="T74">
        <f>(Table1[[#This Row],[TA 1 - Total Score (out of 35)]]+Table1[[#This Row],[TA 2 - Total Score (out of 35)]])/2</f>
        <v/>
      </c>
      <c r="U74">
        <f>(Table1[[#This Row],[TA 1 - Total Bonus (out of 13)]]+Table1[[#This Row],[TA 2 - Total Bonus (out of 13)]])/2</f>
        <v/>
      </c>
      <c r="V74">
        <f>Table1[[#This Row],[Average Questions]]/35*20+Table1[[#This Row],[Average Bonus]]/13*5</f>
        <v/>
      </c>
      <c r="W74" t="n">
        <v>6</v>
      </c>
      <c r="X74" t="n">
        <v>0</v>
      </c>
      <c r="Y74" t="inlineStr">
        <is>
          <t>The student's submission failed to complete several key tasks, including loading and preparing the data, loading a pretrained model, and implementing training and validation functions. While the student did attempt to train the model, their implementation was incomplete and did not follow the reference solution. As a result, the student was unable to achieve the full potential of the model and their submission was not evaluated for bonus tasks.
Breakdown:
- Part 1: Load and Prepare Data: 0.0/?
- Part 2: Load Pretrained Model and Adapt: 0.0/?
- Part 3: Training and Validation Functions: 0.0/?
- Part 4: Training: 3.0/?
- Part 5: Bonus — Test Time Augmentation: 0.0/?</t>
        </is>
      </c>
      <c r="Z74" t="n">
        <v>4</v>
      </c>
      <c r="AA74" t="n">
        <v>0</v>
      </c>
      <c r="AB7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each task.
Breakdown:
- Part 1: Load and Prepare Data: 0.0/?
- Part 2: Build the CNN Model: 0.0/?
- Part 3: Training and Validation Functions: 0.0/?
- Part 4: Training: 0.0/?
- Part 5: Bonus — Residual Connection: 0.0/?</t>
        </is>
      </c>
      <c r="AC74" t="n">
        <v>6</v>
      </c>
      <c r="AD74" t="inlineStr">
        <is>
          <t>The student's submission failed to meet the requirements of the task. The code was not organized in a way that was easy to follow, and many tasks were not completed correctly. The student used a pre-trained EfficientNet-B1 model instead of a U-Net model with an efficientnet-b1 encoder, and the training and validation loops were not defined correctly. The training process was not implemented correctly, and the predictions were not visualized correctly. Overall, the student's submission did not demonstrate a clear understanding of the task requirements.
Breakdown:
- Task 1: Dataset Class: 0.0/?
- Task 2: Model Class: 0.0/?
- Task 3: Training and Validation Loops: 0.0/?
- Task 4: Running Training: 0.0/?
- Task 5: Visualizing Predictions: 0.0/?</t>
        </is>
      </c>
      <c r="AE74" t="n">
        <v>0</v>
      </c>
      <c r="AF74" t="n">
        <v>0</v>
      </c>
      <c r="AG74" t="inlineStr">
        <is>
          <t>No submission found.</t>
        </is>
      </c>
      <c r="AH74" t="n">
        <v>16</v>
      </c>
      <c r="AI74" t="n">
        <v>0</v>
      </c>
    </row>
    <row r="75">
      <c r="A75" t="n">
        <v>74</v>
      </c>
      <c r="B75" t="inlineStr">
        <is>
          <t>TA_2</t>
        </is>
      </c>
      <c r="C75" t="inlineStr">
        <is>
          <t>TA_12</t>
        </is>
      </c>
      <c r="D75" t="n">
        <v>6.7</v>
      </c>
      <c r="E75" t="n">
        <v>0</v>
      </c>
      <c r="F75" t="n">
        <v>10.5</v>
      </c>
      <c r="G75" t="n">
        <v>0.5</v>
      </c>
      <c r="H75" t="n">
        <v>8</v>
      </c>
      <c r="I75" t="n">
        <v>0</v>
      </c>
      <c r="J75" t="n">
        <v>2.5</v>
      </c>
      <c r="K75" t="n">
        <v>0</v>
      </c>
      <c r="L75" t="n">
        <v>9</v>
      </c>
      <c r="M75" t="n">
        <v>1.5</v>
      </c>
      <c r="N75" t="n">
        <v>1.75</v>
      </c>
      <c r="O75" t="n">
        <v>5</v>
      </c>
      <c r="P75">
        <f>Table1[[#This Row],[TA 1 - Q1 Score]]+Table1[[#This Row],[TA 1 - Q2 Score]]+Table1[[#This Row],[TA 1 - Q3 Score]]</f>
        <v/>
      </c>
      <c r="Q75">
        <f>Table1[[#This Row],[TA 1 - Q1 Bonus]]+Table1[[#This Row],[TA 1 - Q2 Bonus]]+Table1[[#This Row],[TA 1 - Q4 Bonus]]</f>
        <v/>
      </c>
      <c r="R75">
        <f>Table1[[#This Row],[TA 2 - Q1 Score]]+Table1[[#This Row],[TA 2 - Q2 Score]]+Table1[[#This Row],[TA 2 - Q3 Score]]</f>
        <v/>
      </c>
      <c r="S75">
        <f>Table1[[#This Row],[TA 2 - Q1 Bonus]]+Table1[[#This Row],[TA 2 - Q2 Bonus]]+Table1[[#This Row],[TA 2 - Q4 Bonus]]</f>
        <v/>
      </c>
      <c r="T75">
        <f>(Table1[[#This Row],[TA 1 - Total Score (out of 35)]]+Table1[[#This Row],[TA 2 - Total Score (out of 35)]])/2</f>
        <v/>
      </c>
      <c r="U75">
        <f>(Table1[[#This Row],[TA 1 - Total Bonus (out of 13)]]+Table1[[#This Row],[TA 2 - Total Bonus (out of 13)]])/2</f>
        <v/>
      </c>
      <c r="V75">
        <f>Table1[[#This Row],[Average Questions]]/35*20+Table1[[#This Row],[Average Bonus]]/13*5</f>
        <v/>
      </c>
      <c r="W75" t="n">
        <v>6</v>
      </c>
      <c r="X75" t="n">
        <v>0</v>
      </c>
      <c r="Y75"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loss function and optimizer. The bonus task of implementing test time augmentation was also not completed. Overall, the submission demonstrated a lack of understanding of the task requirements and failed to execute several key components.
Breakdown:
- Part 1: Load and Prepare Data: 0.0/?
- Part 2: Load Pretrained Model and Adapt: 0.0/?
- Part 3: Training and Validation Functions: 0.0/?
- Part 4: Training: 2.5/?
- Part 5: Bonus — Test Time Augmentation: 0.0/?</t>
        </is>
      </c>
      <c r="Z75" t="n">
        <v>4</v>
      </c>
      <c r="AA75" t="n">
        <v>0</v>
      </c>
      <c r="AB75" t="inlineStr">
        <is>
          <t>The submission failed to load and prepare the data, build the CNN model, define the training and validation functions, set up the training process, and implement the residual connection. The code is disorganized and does not run end-to-end. The student attempted to load the dataset but failed to create the necessary DataLoaders and transforms. The CNN model was not built, and the training and validation functions were not defined. The training process was not set up, and the residual connection was not implemented. The student's code does not meet the requirements of the task, and therefore, no points were awarded for any of the tasks.
Breakdown:
- Part 1: Load and Prepare Data: 0.0/?
- Part 2: Build the CNN Model: 0.0/?
- Part 3: Training and Validation Functions: 0.0/?
- Part 4: Training: 0.0/?
- Part 5: Bonus — Residual Connection: 0.0/?</t>
        </is>
      </c>
      <c r="AC75" t="n">
        <v>6</v>
      </c>
      <c r="AD75" t="inlineStr">
        <is>
          <t>The student's submission failed to meet the requirements of several tasks. The dataset class was not implemented, and the model class was defined incorrectly. The training and validation loops were not implemented, and the training process was not specified. The visualization of predictions was also not implemented correctly. As a result, the student did not earn any points for these tasks. The bonus task was not attempted, so no bonus points were awarded.
Breakdown:
- Task 1: Dataset Class: 0.0/?
- Task 2: Model Class: 0.0/?
- Task 3: Training and Validation Loops: 0.0/?
- Task 4: Running Training: 0.0/?
- Task 5: Visualizing Predictions: 0.0/?
- Bonus Task: 0.0/?</t>
        </is>
      </c>
      <c r="AE75" t="n">
        <v>0</v>
      </c>
      <c r="AF75" t="n">
        <v>1</v>
      </c>
      <c r="AG75" t="inlineStr">
        <is>
          <t>The student's submission demonstrates a good understanding of the ColorizationDataset class. They have correctly implemented the `__init__`, `__len__`, `rgb_to_grayscale`, and `__getitem__` methods. However, they have not fully implemented the `rgb_to_grayscale` method, which is why they only receive 4.0 out of 5.0 for this task. The student's code also runs end-to-end and produces the correct output, which is why they receive a bonus of 1.0.
Breakdown:
- Correctly implemented `ColorizationDataset` class: 4.0/?
- Any mistake in implementation: 0.0/?</t>
        </is>
      </c>
      <c r="AH75" t="n">
        <v>16</v>
      </c>
      <c r="AI75" t="n">
        <v>1</v>
      </c>
    </row>
    <row r="76">
      <c r="A76" t="n">
        <v>75</v>
      </c>
      <c r="B76" t="inlineStr">
        <is>
          <t>TA_2</t>
        </is>
      </c>
      <c r="C76" t="inlineStr">
        <is>
          <t>TA_12</t>
        </is>
      </c>
      <c r="D76" t="n">
        <v>9.5</v>
      </c>
      <c r="E76" t="n">
        <v>0</v>
      </c>
      <c r="F76" t="n">
        <v>11</v>
      </c>
      <c r="G76" t="n">
        <v>4</v>
      </c>
      <c r="H76" t="n">
        <v>12</v>
      </c>
      <c r="I76" t="n">
        <v>0</v>
      </c>
      <c r="J76" t="n">
        <v>9.5</v>
      </c>
      <c r="K76" t="n">
        <v>0</v>
      </c>
      <c r="L76" t="n">
        <v>9.75</v>
      </c>
      <c r="M76" t="n">
        <v>4</v>
      </c>
      <c r="N76" t="n">
        <v>12</v>
      </c>
      <c r="O76" t="n">
        <v>0</v>
      </c>
      <c r="P76">
        <f>Table1[[#This Row],[TA 1 - Q1 Score]]+Table1[[#This Row],[TA 1 - Q2 Score]]+Table1[[#This Row],[TA 1 - Q3 Score]]</f>
        <v/>
      </c>
      <c r="Q76">
        <f>Table1[[#This Row],[TA 1 - Q1 Bonus]]+Table1[[#This Row],[TA 1 - Q2 Bonus]]+Table1[[#This Row],[TA 1 - Q4 Bonus]]</f>
        <v/>
      </c>
      <c r="R76">
        <f>Table1[[#This Row],[TA 2 - Q1 Score]]+Table1[[#This Row],[TA 2 - Q2 Score]]+Table1[[#This Row],[TA 2 - Q3 Score]]</f>
        <v/>
      </c>
      <c r="S76">
        <f>Table1[[#This Row],[TA 2 - Q1 Bonus]]+Table1[[#This Row],[TA 2 - Q2 Bonus]]+Table1[[#This Row],[TA 2 - Q4 Bonus]]</f>
        <v/>
      </c>
      <c r="T76">
        <f>(Table1[[#This Row],[TA 1 - Total Score (out of 35)]]+Table1[[#This Row],[TA 2 - Total Score (out of 35)]])/2</f>
        <v/>
      </c>
      <c r="U76">
        <f>(Table1[[#This Row],[TA 1 - Total Bonus (out of 13)]]+Table1[[#This Row],[TA 2 - Total Bonus (out of 13)]])/2</f>
        <v/>
      </c>
      <c r="V76">
        <f>Table1[[#This Row],[Average Questions]]/35*20+Table1[[#This Row],[Average Bonus]]/13*5</f>
        <v/>
      </c>
      <c r="W76" t="n">
        <v>6</v>
      </c>
      <c r="X76" t="n">
        <v>0</v>
      </c>
      <c r="Y76"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resulting in a low overall score.
Breakdown:
- Part 1: Load and Prepare Data: 0.0/?
- Part 2: Load Pretrained Model and Adapt: 0.0/?
- Part 3: Training and Validation Functions: 0.0/?
- Part 4: Training: 3.0/?
- Part 5: Bonus — Test Time Augmentation: 0.0/?</t>
        </is>
      </c>
      <c r="Z76" t="n">
        <v>4</v>
      </c>
      <c r="AA76" t="n">
        <v>0</v>
      </c>
      <c r="AB76" t="inlineStr">
        <is>
          <t>The submission failed to load and prepare the data correctly, and did not build the CNN model as specified. The training and validation functions were not implemented, and the training process was not executed. The bonus task of adding a residual connection was not attempted. The code is disorganized and does not run end-to-end.
Breakdown:
- Part 1: Load and Prepare Data (4 points): 0.0/?
- Part 2: Build the CNN Model (4 points): 0.0/?
- Part 3: Training and Validation Functions (1 point): 0.0/?
- Part 4: Training (2 points): 0.0/?
- Part 5: Bonus — Residual Connection (4 points): 0.0/?</t>
        </is>
      </c>
      <c r="AC76" t="n">
        <v>6</v>
      </c>
      <c r="AD76" t="inlineStr">
        <is>
          <t>The student's submission failed to meet the requirements of the task. The code was not organized in a way that allowed it to run end-to-end, and several key components were missing or incorrect. The student attempted to define a dataset class, but it was not used correctly. The model class was not defined correctly, and the training and validation loops were not implemented. The loss and optimizer were not defined correctly, and the model was not trained. Finally, the predictions were not visualized correctly. Overall, the submission demonstrated a lack of understanding of the task requirements and a failure to implement key components.
Breakdown:
- Task 1: Dataset Class: 0.0/?
- Task 2: Model Class: 0.0/?
- Task 3: Training and Validation Loops: 0.0/?
- Task 4: Running Training: 0.0/?
- Task 5: Visualizing Predictions: 0.0/?</t>
        </is>
      </c>
      <c r="AE76" t="n">
        <v>0</v>
      </c>
      <c r="AF76" t="n">
        <v>0</v>
      </c>
      <c r="AG76" t="inlineStr">
        <is>
          <t>No submission found.</t>
        </is>
      </c>
      <c r="AH76" t="n">
        <v>16</v>
      </c>
      <c r="AI76" t="n">
        <v>0</v>
      </c>
    </row>
    <row r="77">
      <c r="A77" t="n">
        <v>76</v>
      </c>
      <c r="B77" t="inlineStr">
        <is>
          <t>TA_2</t>
        </is>
      </c>
      <c r="C77" t="inlineStr">
        <is>
          <t>TA_12</t>
        </is>
      </c>
      <c r="D77" t="n">
        <v>11.5</v>
      </c>
      <c r="E77" t="n">
        <v>4</v>
      </c>
      <c r="F77" t="n">
        <v>10</v>
      </c>
      <c r="G77" t="n">
        <v>0</v>
      </c>
      <c r="H77" t="n">
        <v>12</v>
      </c>
      <c r="I77" t="n">
        <v>5</v>
      </c>
      <c r="J77" t="n">
        <v>12</v>
      </c>
      <c r="K77" t="n">
        <v>4</v>
      </c>
      <c r="L77" t="n">
        <v>9.25</v>
      </c>
      <c r="M77" t="n">
        <v>4</v>
      </c>
      <c r="N77" t="n">
        <v>12</v>
      </c>
      <c r="O77" t="n">
        <v>5</v>
      </c>
      <c r="P77">
        <f>Table1[[#This Row],[TA 1 - Q1 Score]]+Table1[[#This Row],[TA 1 - Q2 Score]]+Table1[[#This Row],[TA 1 - Q3 Score]]</f>
        <v/>
      </c>
      <c r="Q77">
        <f>Table1[[#This Row],[TA 1 - Q1 Bonus]]+Table1[[#This Row],[TA 1 - Q2 Bonus]]+Table1[[#This Row],[TA 1 - Q4 Bonus]]</f>
        <v/>
      </c>
      <c r="R77">
        <f>Table1[[#This Row],[TA 2 - Q1 Score]]+Table1[[#This Row],[TA 2 - Q2 Score]]+Table1[[#This Row],[TA 2 - Q3 Score]]</f>
        <v/>
      </c>
      <c r="S77">
        <f>Table1[[#This Row],[TA 2 - Q1 Bonus]]+Table1[[#This Row],[TA 2 - Q2 Bonus]]+Table1[[#This Row],[TA 2 - Q4 Bonus]]</f>
        <v/>
      </c>
      <c r="T77">
        <f>(Table1[[#This Row],[TA 1 - Total Score (out of 35)]]+Table1[[#This Row],[TA 2 - Total Score (out of 35)]])/2</f>
        <v/>
      </c>
      <c r="U77">
        <f>(Table1[[#This Row],[TA 1 - Total Bonus (out of 13)]]+Table1[[#This Row],[TA 2 - Total Bonus (out of 13)]])/2</f>
        <v/>
      </c>
      <c r="V77">
        <f>Table1[[#This Row],[Average Questions]]/35*20+Table1[[#This Row],[Average Bonus]]/13*5</f>
        <v/>
      </c>
      <c r="W77" t="n">
        <v>6</v>
      </c>
      <c r="X77" t="n">
        <v>0</v>
      </c>
      <c r="Y7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2.0/?
- Part 5: Bonus — Test Time Augmentation: 0.0/?</t>
        </is>
      </c>
      <c r="Z77" t="n">
        <v>6</v>
      </c>
      <c r="AA77" t="n">
        <v>0</v>
      </c>
      <c r="AB7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completed. As a result, the student's submission was awarded a score of 2.0 for the training task and 0.0 for all other tasks.
Breakdown:
- Part 1: Load and Prepare Data: 0.0/?
- Part 2: Build the CNN Model: 0.0/?
- Part 3: Training and Validation Functions: 0.0/?
- Part 4: Training: 2.0/?
- Part 5: Bonus — Residual Connection: 0.0/?</t>
        </is>
      </c>
      <c r="AC77" t="n">
        <v>6</v>
      </c>
      <c r="AD77" t="inlineStr">
        <is>
          <t>The student's submission did not meet the requirements of the task. The code was not organized correctly, and the student did not follow the provided structure. The student attempted to implement some tasks, but the code was not correct, and the student did not use the provided functions. As a result, the student did not receive any points for this task.
Breakdown:
- Task 1: Dataset Class: 0.0/?
- Task 2: Model Class: 0.0/?
- Task 3: Training and Validation Loops: 0.0/?
- Task 4: Running Training: 0.0/?
- Task 5: Visualizing Predictions: 0.0/?</t>
        </is>
      </c>
      <c r="AE77" t="n">
        <v>0</v>
      </c>
      <c r="AF77" t="n">
        <v>0</v>
      </c>
      <c r="AG77" t="inlineStr">
        <is>
          <t>The student's submission does not meet the requirements of the task. The `ColorizationDataset` class is missing the `rgb_to_grayscale` method implementation, which is a crucial part of the class. The method is only partially implemented, and the code does not run end-to-end. As a result, the student did not receive any points for this task.
Breakdown:
- Correctly implemented `ColorizationDataset` class:: 0.0/?
- Any mistake in implementation: 0.0/?</t>
        </is>
      </c>
      <c r="AH77" t="n">
        <v>18</v>
      </c>
      <c r="AI77" t="n">
        <v>0</v>
      </c>
    </row>
    <row r="78">
      <c r="A78" t="n">
        <v>77</v>
      </c>
      <c r="B78" t="inlineStr">
        <is>
          <t>TA_2</t>
        </is>
      </c>
      <c r="C78" t="inlineStr">
        <is>
          <t>TA_12</t>
        </is>
      </c>
      <c r="D78" t="n">
        <v>10.5</v>
      </c>
      <c r="E78" t="n">
        <v>0</v>
      </c>
      <c r="F78" t="n">
        <v>8.5</v>
      </c>
      <c r="G78" t="n">
        <v>0</v>
      </c>
      <c r="H78" t="n">
        <v>12</v>
      </c>
      <c r="I78" t="n">
        <v>0</v>
      </c>
      <c r="J78" t="n">
        <v>9.5</v>
      </c>
      <c r="K78" t="n">
        <v>0</v>
      </c>
      <c r="L78" t="n">
        <v>8.5</v>
      </c>
      <c r="M78" t="n">
        <v>0</v>
      </c>
      <c r="N78" t="n">
        <v>12</v>
      </c>
      <c r="O78" t="n">
        <v>0</v>
      </c>
      <c r="P78">
        <f>Table1[[#This Row],[TA 1 - Q1 Score]]+Table1[[#This Row],[TA 1 - Q2 Score]]+Table1[[#This Row],[TA 1 - Q3 Score]]</f>
        <v/>
      </c>
      <c r="Q78">
        <f>Table1[[#This Row],[TA 1 - Q1 Bonus]]+Table1[[#This Row],[TA 1 - Q2 Bonus]]+Table1[[#This Row],[TA 1 - Q4 Bonus]]</f>
        <v/>
      </c>
      <c r="R78">
        <f>Table1[[#This Row],[TA 2 - Q1 Score]]+Table1[[#This Row],[TA 2 - Q2 Score]]+Table1[[#This Row],[TA 2 - Q3 Score]]</f>
        <v/>
      </c>
      <c r="S78">
        <f>Table1[[#This Row],[TA 2 - Q1 Bonus]]+Table1[[#This Row],[TA 2 - Q2 Bonus]]+Table1[[#This Row],[TA 2 - Q4 Bonus]]</f>
        <v/>
      </c>
      <c r="T78">
        <f>(Table1[[#This Row],[TA 1 - Total Score (out of 35)]]+Table1[[#This Row],[TA 2 - Total Score (out of 35)]])/2</f>
        <v/>
      </c>
      <c r="U78">
        <f>(Table1[[#This Row],[TA 1 - Total Bonus (out of 13)]]+Table1[[#This Row],[TA 2 - Total Bonus (out of 13)]])/2</f>
        <v/>
      </c>
      <c r="V78">
        <f>Table1[[#This Row],[Average Questions]]/35*20+Table1[[#This Row],[Average Bonus]]/13*5</f>
        <v/>
      </c>
      <c r="W78" t="n">
        <v>6</v>
      </c>
      <c r="X78" t="n">
        <v>0</v>
      </c>
      <c r="Y78" t="inlineStr">
        <is>
          <t>The student's submission failed to meet the requirements of the task. They did not complete the transforms, create DataLoaders, or display sample images in Part 1. In Part 2, they did not load the pretrained model or adapt it for the EMNIST dataset. In Part 3, they did not define the training and validation functions. In Part 4, they wrote some code for training, but it is incomplete. In Part 5, they did not implement Test Time Augmentation. As a result, the student's submission does not meet the requirements of the task and does not demonstrate a clear understanding of the concepts.
Breakdown:
- Part 1: Load and Prepare Data: 0.0/?
- Part 2: Load Pretrained Model and Adapt: 0.0/?
- Part 3: Training and Validation Functions: 0.0/?
- Part 4: Training: 2.5/?
- Part 5: Bonus — Test Time Augmentation: 0.0/?</t>
        </is>
      </c>
      <c r="Z78" t="n">
        <v>4</v>
      </c>
      <c r="AA78" t="n">
        <v>0</v>
      </c>
      <c r="AB78"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with a total score of 0.0 for the base tasks and 0.0 for the bonus task.
Breakdown:
- Part 1: Load and Prepare Data: 0.0/?
- Part 2: Build the CNN Model: 0.0/?
- Part 3: Training and Validation Functions: 0.0/?
- Part 4: Training: 0.0/?
- Part 5: Bonus — Residual Connection: 0.0/?</t>
        </is>
      </c>
      <c r="AC78" t="n">
        <v>6</v>
      </c>
      <c r="AD78" t="inlineStr">
        <is>
          <t>The student's submission was incomplete, with no code submitted for Tasks 1-4. However, they did attempt Task 5, visualizing predictions vs ground truth for multiple images, and received partial credit for that task.
Breakdown:
- Task 1: Dataset Class: 0.0/?
- Task 2: Model Class: 0.0/?
- Task 3: Training and Validation Loops: 0.0/?
- Task 4: Running Training: 0.0/?
- Task 5: Visualizing Predictions: 3.0/?</t>
        </is>
      </c>
      <c r="AE78" t="n">
        <v>0</v>
      </c>
      <c r="AF78" t="n">
        <v>0</v>
      </c>
      <c r="AG78" t="inlineStr">
        <is>
          <t>No submission found.</t>
        </is>
      </c>
      <c r="AH78" t="n">
        <v>16</v>
      </c>
      <c r="AI78" t="n">
        <v>0</v>
      </c>
    </row>
    <row r="79">
      <c r="A79" t="n">
        <v>78</v>
      </c>
      <c r="B79" t="inlineStr">
        <is>
          <t>TA_2</t>
        </is>
      </c>
      <c r="C79" t="inlineStr">
        <is>
          <t>TA_12</t>
        </is>
      </c>
      <c r="D79" t="n">
        <v>10</v>
      </c>
      <c r="E79" t="n">
        <v>0</v>
      </c>
      <c r="F79" t="n">
        <v>11</v>
      </c>
      <c r="G79" t="n">
        <v>1</v>
      </c>
      <c r="H79" t="n">
        <v>12</v>
      </c>
      <c r="I79" t="n">
        <v>0</v>
      </c>
      <c r="J79" t="n">
        <v>9.25</v>
      </c>
      <c r="K79" t="n">
        <v>0</v>
      </c>
      <c r="L79" t="n">
        <v>11</v>
      </c>
      <c r="M79" t="n">
        <v>0</v>
      </c>
      <c r="N79" t="n">
        <v>7.25</v>
      </c>
      <c r="O79" t="n">
        <v>0</v>
      </c>
      <c r="P79">
        <f>Table1[[#This Row],[TA 1 - Q1 Score]]+Table1[[#This Row],[TA 1 - Q2 Score]]+Table1[[#This Row],[TA 1 - Q3 Score]]</f>
        <v/>
      </c>
      <c r="Q79">
        <f>Table1[[#This Row],[TA 1 - Q1 Bonus]]+Table1[[#This Row],[TA 1 - Q2 Bonus]]+Table1[[#This Row],[TA 1 - Q4 Bonus]]</f>
        <v/>
      </c>
      <c r="R79">
        <f>Table1[[#This Row],[TA 2 - Q1 Score]]+Table1[[#This Row],[TA 2 - Q2 Score]]+Table1[[#This Row],[TA 2 - Q3 Score]]</f>
        <v/>
      </c>
      <c r="S79">
        <f>Table1[[#This Row],[TA 2 - Q1 Bonus]]+Table1[[#This Row],[TA 2 - Q2 Bonus]]+Table1[[#This Row],[TA 2 - Q4 Bonus]]</f>
        <v/>
      </c>
      <c r="T79">
        <f>(Table1[[#This Row],[TA 1 - Total Score (out of 35)]]+Table1[[#This Row],[TA 2 - Total Score (out of 35)]])/2</f>
        <v/>
      </c>
      <c r="U79">
        <f>(Table1[[#This Row],[TA 1 - Total Bonus (out of 13)]]+Table1[[#This Row],[TA 2 - Total Bonus (out of 13)]])/2</f>
        <v/>
      </c>
      <c r="V79">
        <f>Table1[[#This Row],[Average Questions]]/35*20+Table1[[#This Row],[Average Bonus]]/13*5</f>
        <v/>
      </c>
      <c r="W79" t="n">
        <v>6</v>
      </c>
      <c r="X79" t="n">
        <v>0</v>
      </c>
      <c r="Y79" t="inlineStr">
        <is>
          <t>The student's submission failed to complete several key tasks, including loading and preparing the data, loading a pretrained model and adapting it, and implementing training and validation functions. While the student made an attempt at training the model, their code contained several syntax and logic mistakes, resulting in a score of 6.0 for this task. Unfortunately, the student did not complete the bonus task, resulting in a score of 0.0 for this task. Overall, the student's submission demonstrates a lack of understanding of the key concepts and requirements of the task.
Breakdown:
- Part 1: Load and Prepare Data: 0.0/?
- Part 2: Load Pretrained Model and Adapt: 0.0/?
- Part 3: Training and Validation Functions: 0.0/?
- Part 4: Training: 6.0/?
- Part 5: Bonus — Test Time Augmentation: 0.0/?</t>
        </is>
      </c>
      <c r="Z79" t="n">
        <v>6</v>
      </c>
      <c r="AA79" t="n">
        <v>0</v>
      </c>
      <c r="AB79" t="inlineStr">
        <is>
          <t>The student's submission failed to meet the requirements for most tasks. In Part 1, the student incorrectly used ImageFolder and failed to implement transforms. In Part 2, the student did not implement the CNN model with the correct architecture. In Part 3, the student did not define the training and validation functions. In Part 4, the student only partially implemented the training function. In Part 5, the student did not implement the residual connection correctly. The student's submission did not demonstrate a clear understanding of the required tasks and concepts.
Breakdown:
- Part 1: Load and Prepare Data: 0.0/?
- Part 2: Build the CNN Model: 0.0/?
- Part 3: Training and Validation Functions: 0.0/?
- Part 4: Training: 2.0/?
- Part 5: Bonus — Residual Connection: 0.0/?</t>
        </is>
      </c>
      <c r="AC79" t="n">
        <v>6</v>
      </c>
      <c r="AD79"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79" t="n">
        <v>0</v>
      </c>
      <c r="AF79" t="n">
        <v>0</v>
      </c>
      <c r="AG79" t="inlineStr">
        <is>
          <t>No submission found.</t>
        </is>
      </c>
      <c r="AH79" t="n">
        <v>18</v>
      </c>
      <c r="AI79" t="n">
        <v>0</v>
      </c>
    </row>
    <row r="80">
      <c r="A80" t="n">
        <v>79</v>
      </c>
      <c r="B80" t="inlineStr">
        <is>
          <t>TA_2</t>
        </is>
      </c>
      <c r="C80" t="inlineStr">
        <is>
          <t>TA_12</t>
        </is>
      </c>
      <c r="D80" t="n">
        <v>11</v>
      </c>
      <c r="E80" t="n">
        <v>4</v>
      </c>
      <c r="F80" t="n">
        <v>11</v>
      </c>
      <c r="G80" t="n">
        <v>4</v>
      </c>
      <c r="H80" t="n">
        <v>12</v>
      </c>
      <c r="I80" t="n">
        <v>5</v>
      </c>
      <c r="J80" t="n">
        <v>11</v>
      </c>
      <c r="K80" t="n">
        <v>4</v>
      </c>
      <c r="L80" t="n">
        <v>10.25</v>
      </c>
      <c r="M80" t="n">
        <v>4</v>
      </c>
      <c r="N80" t="n">
        <v>12</v>
      </c>
      <c r="O80" t="n">
        <v>5</v>
      </c>
      <c r="P80">
        <f>Table1[[#This Row],[TA 1 - Q1 Score]]+Table1[[#This Row],[TA 1 - Q2 Score]]+Table1[[#This Row],[TA 1 - Q3 Score]]</f>
        <v/>
      </c>
      <c r="Q80">
        <f>Table1[[#This Row],[TA 1 - Q1 Bonus]]+Table1[[#This Row],[TA 1 - Q2 Bonus]]+Table1[[#This Row],[TA 1 - Q4 Bonus]]</f>
        <v/>
      </c>
      <c r="R80">
        <f>Table1[[#This Row],[TA 2 - Q1 Score]]+Table1[[#This Row],[TA 2 - Q2 Score]]+Table1[[#This Row],[TA 2 - Q3 Score]]</f>
        <v/>
      </c>
      <c r="S80">
        <f>Table1[[#This Row],[TA 2 - Q1 Bonus]]+Table1[[#This Row],[TA 2 - Q2 Bonus]]+Table1[[#This Row],[TA 2 - Q4 Bonus]]</f>
        <v/>
      </c>
      <c r="T80">
        <f>(Table1[[#This Row],[TA 1 - Total Score (out of 35)]]+Table1[[#This Row],[TA 2 - Total Score (out of 35)]])/2</f>
        <v/>
      </c>
      <c r="U80">
        <f>(Table1[[#This Row],[TA 1 - Total Bonus (out of 13)]]+Table1[[#This Row],[TA 2 - Total Bonus (out of 13)]])/2</f>
        <v/>
      </c>
      <c r="V80">
        <f>Table1[[#This Row],[Average Questions]]/35*20+Table1[[#This Row],[Average Bonus]]/13*5</f>
        <v/>
      </c>
      <c r="W80" t="n">
        <v>8.5</v>
      </c>
      <c r="X80" t="n">
        <v>0</v>
      </c>
      <c r="Y80" t="inlineStr">
        <is>
          <t>The student's submission demonstrates a good understanding of the task requirements but lacks attention to detail and proper implementation. In Part 1, the student failed to complete the transforms, and in Part 2, they incorrectly loaded the pretrained model and adapted it. In Part 3, the student correctly defined the training and validation functions but failed to fix the labels. In Part 4, they set up the device, model, loss, and optimizer but failed to plot the training and validation losses and accuracy. In Part 5, the student failed to implement Test Time Augmentation correctly. Overall, the student's submission shows potential but requires significant improvement in implementation and attention to detail.
Breakdown:
- Part 1: Load and Prepare Data: 0.0/?
- Part 2: Load Pretrained Model and Adapt: 0.0/?
- Part 3: Training and Validation Functions: 1.75/?
- Part 4: Training: 2.5/?
- Part 5: Bonus — Test Time Augmentation: 0.0/?</t>
        </is>
      </c>
      <c r="Z80" t="n">
        <v>6</v>
      </c>
      <c r="AA80" t="n">
        <v>0</v>
      </c>
      <c r="AB80"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completed. As a result, the student's submission was awarded a score of 2.0 for the training task and 0.0 for all other tasks.
Breakdown:
- Part 1: Load and Prepare Data: 0.0/?
- Part 2: Build the CNN Model: 0.0/?
- Part 3: Training and Validation Functions: 0.0/?
- Part 4: Training: 2.0/?
- Part 5: Bonus — Residual Connection: 0.0/?</t>
        </is>
      </c>
      <c r="AC80" t="n">
        <v>6</v>
      </c>
      <c r="AD80" t="inlineStr">
        <is>
          <t>The student's submission was incomplete and lacked code for several tasks. While the code for visualizing predictions was mostly correct, it did not run end-to-end due to missing imports and incorrect usage of the model. As a result, the student was awarded 0 points for the first four tasks and 6 points for the fifth task.
Breakdown:
- Task 1: Dataset Class: 0.0/?
- Task 2: Model Class: 0.0/?
- Task 3: Training and Validation Loops: 0.0/?
- Task 4: Running Training: 0.0/?
- Task 5: Visualizing Predictions: 6.0/?</t>
        </is>
      </c>
      <c r="AE80" t="n">
        <v>0</v>
      </c>
      <c r="AF80" t="n">
        <v>0</v>
      </c>
      <c r="AG80" t="inlineStr">
        <is>
          <t>The student's submission fails to implement the `ColorizationDataset` class correctly. The `__init__` method does not store the dataset, the `rgb_to_grayscale` method has a logical error, and the `__getitem__` method does not return the correct (grayscale, color) tuple. As a result, the submission does not meet the requirements of the task and does not award any points.
Breakdown:
- Correctly implemented `ColorizationDataset` class:: 0.0/?</t>
        </is>
      </c>
      <c r="AH80" t="n">
        <v>20.5</v>
      </c>
      <c r="AI80" t="n">
        <v>0</v>
      </c>
    </row>
    <row r="81">
      <c r="A81" t="n">
        <v>80</v>
      </c>
      <c r="B81" t="inlineStr">
        <is>
          <t>TA_2</t>
        </is>
      </c>
      <c r="C81" t="inlineStr">
        <is>
          <t>TA_12</t>
        </is>
      </c>
      <c r="D81" t="n">
        <v>12</v>
      </c>
      <c r="E81" t="n">
        <v>2</v>
      </c>
      <c r="F81" t="n">
        <v>11</v>
      </c>
      <c r="G81" t="n">
        <v>0</v>
      </c>
      <c r="H81" t="n">
        <v>12</v>
      </c>
      <c r="I81" t="n">
        <v>5</v>
      </c>
      <c r="J81" t="n">
        <v>12</v>
      </c>
      <c r="K81" t="n">
        <v>4</v>
      </c>
      <c r="L81" t="n">
        <v>11</v>
      </c>
      <c r="M81" t="n">
        <v>0</v>
      </c>
      <c r="N81" t="n">
        <v>12</v>
      </c>
      <c r="O81" t="n">
        <v>5</v>
      </c>
      <c r="P81">
        <f>Table1[[#This Row],[TA 1 - Q1 Score]]+Table1[[#This Row],[TA 1 - Q2 Score]]+Table1[[#This Row],[TA 1 - Q3 Score]]</f>
        <v/>
      </c>
      <c r="Q81">
        <f>Table1[[#This Row],[TA 1 - Q1 Bonus]]+Table1[[#This Row],[TA 1 - Q2 Bonus]]+Table1[[#This Row],[TA 1 - Q4 Bonus]]</f>
        <v/>
      </c>
      <c r="R81">
        <f>Table1[[#This Row],[TA 2 - Q1 Score]]+Table1[[#This Row],[TA 2 - Q2 Score]]+Table1[[#This Row],[TA 2 - Q3 Score]]</f>
        <v/>
      </c>
      <c r="S81">
        <f>Table1[[#This Row],[TA 2 - Q1 Bonus]]+Table1[[#This Row],[TA 2 - Q2 Bonus]]+Table1[[#This Row],[TA 2 - Q4 Bonus]]</f>
        <v/>
      </c>
      <c r="T81">
        <f>(Table1[[#This Row],[TA 1 - Total Score (out of 35)]]+Table1[[#This Row],[TA 2 - Total Score (out of 35)]])/2</f>
        <v/>
      </c>
      <c r="U81">
        <f>(Table1[[#This Row],[TA 1 - Total Bonus (out of 13)]]+Table1[[#This Row],[TA 2 - Total Bonus (out of 13)]])/2</f>
        <v/>
      </c>
      <c r="V81">
        <f>Table1[[#This Row],[Average Questions]]/35*20+Table1[[#This Row],[Average Bonus]]/13*5</f>
        <v/>
      </c>
      <c r="W81" t="n">
        <v>6</v>
      </c>
      <c r="X81" t="n">
        <v>0</v>
      </c>
      <c r="Y8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81" t="n">
        <v>4</v>
      </c>
      <c r="AA81" t="n">
        <v>0</v>
      </c>
      <c r="AB81"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81" t="n">
        <v>6</v>
      </c>
      <c r="AD81" t="inlineStr">
        <is>
          <t>The student's submission does not demonstrate a clear understanding of the task requirements. The code is disorganized and fails to address several key aspects of the problem, including dataset class creation, model definition, training and validation loops, and visualization of predictions. As a result, the student earns 0 points for each task, with a total score of 6.0.
Breakdown:
- Task 1: Dataset Class: 0.0/?
- Task 2: Model Class: 0.0/?
- Task 3: Training and Validation Loops: 0.0/?
- Task 4: Running Training: 0.0/?
- Task 5: Visualizing Predictions: 0.0/?</t>
        </is>
      </c>
      <c r="AE81" t="n">
        <v>0</v>
      </c>
      <c r="AF81" t="n">
        <v>0</v>
      </c>
      <c r="AG81" t="inlineStr">
        <is>
          <t>The student's submission does not meet the requirements of the task. The `ColorizationDataset` class is not fully implemented, and the code contains several syntax and logic mistakes. As a result, the student does not receive any points for this task.
Breakdown:
- Correctly implemented `ColorizationDataset` class:: 0.0/?
- Any mistake in implementation: 0.0/?</t>
        </is>
      </c>
      <c r="AH81" t="n">
        <v>16</v>
      </c>
      <c r="AI81" t="n">
        <v>0</v>
      </c>
    </row>
    <row r="82">
      <c r="A82" t="n">
        <v>81</v>
      </c>
      <c r="B82" t="inlineStr">
        <is>
          <t>TA_2</t>
        </is>
      </c>
      <c r="C82" t="inlineStr">
        <is>
          <t>TA_12</t>
        </is>
      </c>
      <c r="D82" t="n">
        <v>11</v>
      </c>
      <c r="E82" t="n">
        <v>4</v>
      </c>
      <c r="F82" t="n">
        <v>11</v>
      </c>
      <c r="G82" t="n">
        <v>4</v>
      </c>
      <c r="H82" t="n">
        <v>11.5</v>
      </c>
      <c r="I82" t="n">
        <v>5</v>
      </c>
      <c r="J82" t="n">
        <v>11</v>
      </c>
      <c r="K82" t="n">
        <v>4</v>
      </c>
      <c r="L82" t="n">
        <v>11</v>
      </c>
      <c r="M82" t="n">
        <v>4</v>
      </c>
      <c r="N82" t="n">
        <v>11.5</v>
      </c>
      <c r="O82" t="n">
        <v>5</v>
      </c>
      <c r="P82">
        <f>Table1[[#This Row],[TA 1 - Q1 Score]]+Table1[[#This Row],[TA 1 - Q2 Score]]+Table1[[#This Row],[TA 1 - Q3 Score]]</f>
        <v/>
      </c>
      <c r="Q82">
        <f>Table1[[#This Row],[TA 1 - Q1 Bonus]]+Table1[[#This Row],[TA 1 - Q2 Bonus]]+Table1[[#This Row],[TA 1 - Q4 Bonus]]</f>
        <v/>
      </c>
      <c r="R82">
        <f>Table1[[#This Row],[TA 2 - Q1 Score]]+Table1[[#This Row],[TA 2 - Q2 Score]]+Table1[[#This Row],[TA 2 - Q3 Score]]</f>
        <v/>
      </c>
      <c r="S82">
        <f>Table1[[#This Row],[TA 2 - Q1 Bonus]]+Table1[[#This Row],[TA 2 - Q2 Bonus]]+Table1[[#This Row],[TA 2 - Q4 Bonus]]</f>
        <v/>
      </c>
      <c r="T82">
        <f>(Table1[[#This Row],[TA 1 - Total Score (out of 35)]]+Table1[[#This Row],[TA 2 - Total Score (out of 35)]])/2</f>
        <v/>
      </c>
      <c r="U82">
        <f>(Table1[[#This Row],[TA 1 - Total Bonus (out of 13)]]+Table1[[#This Row],[TA 2 - Total Bonus (out of 13)]])/2</f>
        <v/>
      </c>
      <c r="V82">
        <f>Table1[[#This Row],[Average Questions]]/35*20+Table1[[#This Row],[Average Bonus]]/13*5</f>
        <v/>
      </c>
      <c r="W82" t="n">
        <v>9</v>
      </c>
      <c r="X82" t="n">
        <v>0</v>
      </c>
      <c r="Y82" t="inlineStr">
        <is>
          <t>The student's submission failed to complete several key tasks, including loading and preparing data, loading a pretrained model, and adapting it for the task. The training and validation functions were partially implemented, but the student failed to fix the labels, resulting in a penalty. The training process was also incomplete, and the bonus task of test time augmentation was not implemented correctly. Overall, the submission demonstrates a lack of understanding of the task requirements and incomplete implementation of key concepts.
Breakdown:
- Part 1: Load and Prepare Data: 0.0/?
- Part 2: Load Pretrained Model and Adapt: 0.0/?
- Part 3: Training and Validation Functions: 1.5/?
- Part 4: Training: 2.5/?
- Part 5: Bonus — Test Time Augmentation: 0.0/?</t>
        </is>
      </c>
      <c r="Z82" t="n">
        <v>6</v>
      </c>
      <c r="AA82" t="n">
        <v>0</v>
      </c>
      <c r="AB8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82" t="n">
        <v>6</v>
      </c>
      <c r="AD82" t="inlineStr">
        <is>
          <t>The student's submission was incomplete and contained several errors. They failed to complete tasks 1, 2, 3, and 4, and their implementation of task 5 was not entirely correct. Despite this, they were able to visualize the predictions against the ground truth for several images, which is why they received partial credit for task 5.
Breakdown:
- Task 1: Dataset Class: 0.0/?
- Task 2: Model Class: 0.0/?
- Task 3: Training and Validation Loops: 0.0/?
- Task 4: Running Training: 0.0/?
- Task 5: Visualizing Predictions: 6.0/?</t>
        </is>
      </c>
      <c r="AE82" t="n">
        <v>0</v>
      </c>
      <c r="AF82" t="n">
        <v>0</v>
      </c>
      <c r="AG82" t="inlineStr">
        <is>
          <t>The student's submission does not meet the requirements of the task. The `ColorizationDataset` class is not fully implemented, and the code contains several syntax and logic mistakes. As a result, the student does not receive any points for this task.
Breakdown:
- Correctly implemented `ColorizationDataset` class: 0.0/?</t>
        </is>
      </c>
      <c r="AH82" t="n">
        <v>21</v>
      </c>
      <c r="AI82" t="n">
        <v>0</v>
      </c>
    </row>
    <row r="83">
      <c r="A83" t="n">
        <v>82</v>
      </c>
      <c r="B83" t="inlineStr">
        <is>
          <t>TA_2</t>
        </is>
      </c>
      <c r="C83" t="inlineStr">
        <is>
          <t>TA_12</t>
        </is>
      </c>
      <c r="D83" t="n">
        <v>11</v>
      </c>
      <c r="E83" t="n">
        <v>0</v>
      </c>
      <c r="F83" t="n">
        <v>8</v>
      </c>
      <c r="G83" t="n">
        <v>0</v>
      </c>
      <c r="H83" t="n">
        <v>12</v>
      </c>
      <c r="I83" t="n">
        <v>0</v>
      </c>
      <c r="J83" t="n">
        <v>10</v>
      </c>
      <c r="K83" t="n">
        <v>0</v>
      </c>
      <c r="L83" t="n">
        <v>8.5</v>
      </c>
      <c r="M83" t="n">
        <v>0</v>
      </c>
      <c r="N83" t="n">
        <v>12</v>
      </c>
      <c r="O83" t="n">
        <v>0</v>
      </c>
      <c r="P83">
        <f>Table1[[#This Row],[TA 1 - Q1 Score]]+Table1[[#This Row],[TA 1 - Q2 Score]]+Table1[[#This Row],[TA 1 - Q3 Score]]</f>
        <v/>
      </c>
      <c r="Q83">
        <f>Table1[[#This Row],[TA 1 - Q1 Bonus]]+Table1[[#This Row],[TA 1 - Q2 Bonus]]+Table1[[#This Row],[TA 1 - Q4 Bonus]]</f>
        <v/>
      </c>
      <c r="R83">
        <f>Table1[[#This Row],[TA 2 - Q1 Score]]+Table1[[#This Row],[TA 2 - Q2 Score]]+Table1[[#This Row],[TA 2 - Q3 Score]]</f>
        <v/>
      </c>
      <c r="S83">
        <f>Table1[[#This Row],[TA 2 - Q1 Bonus]]+Table1[[#This Row],[TA 2 - Q2 Bonus]]+Table1[[#This Row],[TA 2 - Q4 Bonus]]</f>
        <v/>
      </c>
      <c r="T83">
        <f>(Table1[[#This Row],[TA 1 - Total Score (out of 35)]]+Table1[[#This Row],[TA 2 - Total Score (out of 35)]])/2</f>
        <v/>
      </c>
      <c r="U83">
        <f>(Table1[[#This Row],[TA 1 - Total Bonus (out of 13)]]+Table1[[#This Row],[TA 2 - Total Bonus (out of 13)]])/2</f>
        <v/>
      </c>
      <c r="V83">
        <f>Table1[[#This Row],[Average Questions]]/35*20+Table1[[#This Row],[Average Bonus]]/13*5</f>
        <v/>
      </c>
      <c r="W83" t="n">
        <v>6</v>
      </c>
      <c r="X83" t="n">
        <v>0</v>
      </c>
      <c r="Y83" t="inlineStr">
        <is>
          <t>The student's submission failed to complete several key tasks, including loading and preparing the data, loading the pretrained model and adapting it, and implementing the training and validation functions. While the student did attempt to train the model, their code contained several syntax and logic mistakes, resulting in a score of 2.0 for this task. Unfortunately, the student did not complete the bonus task, resulting in a score of 0.0 for this task. Overall, the student's submission demonstrates a lack of understanding of the key concepts and requirements of the task.
Breakdown:
- Part 1: Load and Prepare Data: 0.0/?
- Part 2: Load Pretrained Model and Adapt: 0.0/?
- Part 3: Training and Validation Functions: 0.0/?
- Part 4: Training: 2.0/?
- Part 5: Bonus — Test Time Augmentation: 0.0/?</t>
        </is>
      </c>
      <c r="Z83" t="n">
        <v>4</v>
      </c>
      <c r="AA83" t="n">
        <v>0</v>
      </c>
      <c r="AB83"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disorganized and does not run end-to-end. As a result, the student receives 0% for each task.
Breakdown:
- Part 1: Load and Prepare Data: 0.0/?
- Part 2: Build the CNN Model: 0.0/?
- Part 3: Training and Validation Functions: 0.0/?
- Part 4: Training: 0.0/?
- Part 5: Bonus — Residual Connection: 0.0/?</t>
        </is>
      </c>
      <c r="AC83" t="n">
        <v>6</v>
      </c>
      <c r="AD83" t="inlineStr">
        <is>
          <t>The student's submission was incomplete, with no code submitted for Tasks 1-4. However, the code for Task 5 was mostly correct, with the student successfully visualizing the predictions. The only issue was that the ground truth masks were not displayed correctly.
Breakdown:
- Task 1: Dataset Class: 0.0/?
- Task 2: Model Class: 0.0/?
- Task 3: Training and Validation Loops: 0.0/?
- Task 4: Running Training: 0.0/?
- Task 5: Visualizing Predictions: 6.0/?</t>
        </is>
      </c>
      <c r="AE83" t="n">
        <v>0</v>
      </c>
      <c r="AF83" t="n">
        <v>0</v>
      </c>
      <c r="AG83" t="inlineStr">
        <is>
          <t>No submission found.</t>
        </is>
      </c>
      <c r="AH83" t="n">
        <v>16</v>
      </c>
      <c r="AI83" t="n">
        <v>0</v>
      </c>
    </row>
    <row r="84">
      <c r="A84" t="n">
        <v>83</v>
      </c>
      <c r="B84" t="inlineStr">
        <is>
          <t>TA_2</t>
        </is>
      </c>
      <c r="C84" t="inlineStr">
        <is>
          <t>TA_12</t>
        </is>
      </c>
      <c r="D84" t="n">
        <v>12</v>
      </c>
      <c r="E84" t="n">
        <v>0</v>
      </c>
      <c r="F84" t="n">
        <v>11</v>
      </c>
      <c r="G84" t="n">
        <v>0</v>
      </c>
      <c r="H84" t="n">
        <v>12</v>
      </c>
      <c r="I84" t="n">
        <v>0</v>
      </c>
      <c r="J84" t="n">
        <v>11</v>
      </c>
      <c r="K84" t="n">
        <v>0</v>
      </c>
      <c r="L84" t="n">
        <v>8</v>
      </c>
      <c r="M84" t="n">
        <v>0</v>
      </c>
      <c r="N84" t="n">
        <v>11.8</v>
      </c>
      <c r="O84" t="n">
        <v>0</v>
      </c>
      <c r="P84">
        <f>Table1[[#This Row],[TA 1 - Q1 Score]]+Table1[[#This Row],[TA 1 - Q2 Score]]+Table1[[#This Row],[TA 1 - Q3 Score]]</f>
        <v/>
      </c>
      <c r="Q84">
        <f>Table1[[#This Row],[TA 1 - Q1 Bonus]]+Table1[[#This Row],[TA 1 - Q2 Bonus]]+Table1[[#This Row],[TA 1 - Q4 Bonus]]</f>
        <v/>
      </c>
      <c r="R84">
        <f>Table1[[#This Row],[TA 2 - Q1 Score]]+Table1[[#This Row],[TA 2 - Q2 Score]]+Table1[[#This Row],[TA 2 - Q3 Score]]</f>
        <v/>
      </c>
      <c r="S84">
        <f>Table1[[#This Row],[TA 2 - Q1 Bonus]]+Table1[[#This Row],[TA 2 - Q2 Bonus]]+Table1[[#This Row],[TA 2 - Q4 Bonus]]</f>
        <v/>
      </c>
      <c r="T84">
        <f>(Table1[[#This Row],[TA 1 - Total Score (out of 35)]]+Table1[[#This Row],[TA 2 - Total Score (out of 35)]])/2</f>
        <v/>
      </c>
      <c r="U84">
        <f>(Table1[[#This Row],[TA 1 - Total Bonus (out of 13)]]+Table1[[#This Row],[TA 2 - Total Bonus (out of 13)]])/2</f>
        <v/>
      </c>
      <c r="V84">
        <f>Table1[[#This Row],[Average Questions]]/35*20+Table1[[#This Row],[Average Bonus]]/13*5</f>
        <v/>
      </c>
      <c r="W84" t="n">
        <v>9</v>
      </c>
      <c r="X84" t="n">
        <v>0</v>
      </c>
      <c r="Y84"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their implementation was incomplete and did not follow the reference solution. As a result, the student's submission was unable to run end-to-end and failed to produce the expected output.
Breakdown:
- Part 1: Load and Prepare Data: 0.0/?
- Part 2: Load Pretrained Model and Adapt: 0.0/?
- Part 3: Training and Validation Functions: 3.5/?
- Part 4: Training: 2.5/?
- Part 5: Bonus — Test Time Augmentation: 0.0/?</t>
        </is>
      </c>
      <c r="Z84" t="n">
        <v>4</v>
      </c>
      <c r="AA84" t="n">
        <v>0</v>
      </c>
      <c r="AB84"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84" t="n">
        <v>6</v>
      </c>
      <c r="AD8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84" t="n">
        <v>0</v>
      </c>
      <c r="AF84" t="n">
        <v>0</v>
      </c>
      <c r="AG84" t="inlineStr">
        <is>
          <t>The student's submission contains several errors in the implementation of the `ColorizationDataset` class. The `rgb_to_grayscale` method uses the `transforms.Grayscale(3)` function, which is incorrect. Additionally, the `__getitem__` method returns the image path instead of the grayscale and color images. As a result, the submission does not meet the requirements of the task and does not award any points.
Breakdown:
- Correctly implemented `ColorizationDataset` class:: 0.0/?
- Any mistake in implementation: 0.0/?</t>
        </is>
      </c>
      <c r="AH84" t="n">
        <v>19</v>
      </c>
      <c r="AI84" t="n">
        <v>0</v>
      </c>
    </row>
    <row r="85">
      <c r="A85" t="n">
        <v>84</v>
      </c>
      <c r="B85" t="inlineStr">
        <is>
          <t>TA_2</t>
        </is>
      </c>
      <c r="C85" t="inlineStr">
        <is>
          <t>TA_12</t>
        </is>
      </c>
      <c r="D85" t="n">
        <v>12</v>
      </c>
      <c r="E85" t="n">
        <v>0</v>
      </c>
      <c r="F85" t="n">
        <v>10.5</v>
      </c>
      <c r="G85" t="n">
        <v>0</v>
      </c>
      <c r="H85" t="n">
        <v>12</v>
      </c>
      <c r="I85" t="n">
        <v>5</v>
      </c>
      <c r="J85" t="n">
        <v>12</v>
      </c>
      <c r="K85" t="n">
        <v>0</v>
      </c>
      <c r="L85" t="n">
        <v>11</v>
      </c>
      <c r="M85" t="n">
        <v>0</v>
      </c>
      <c r="N85" t="n">
        <v>11.7</v>
      </c>
      <c r="O85" t="n">
        <v>5</v>
      </c>
      <c r="P85">
        <f>Table1[[#This Row],[TA 1 - Q1 Score]]+Table1[[#This Row],[TA 1 - Q2 Score]]+Table1[[#This Row],[TA 1 - Q3 Score]]</f>
        <v/>
      </c>
      <c r="Q85">
        <f>Table1[[#This Row],[TA 1 - Q1 Bonus]]+Table1[[#This Row],[TA 1 - Q2 Bonus]]+Table1[[#This Row],[TA 1 - Q4 Bonus]]</f>
        <v/>
      </c>
      <c r="R85">
        <f>Table1[[#This Row],[TA 2 - Q1 Score]]+Table1[[#This Row],[TA 2 - Q2 Score]]+Table1[[#This Row],[TA 2 - Q3 Score]]</f>
        <v/>
      </c>
      <c r="S85">
        <f>Table1[[#This Row],[TA 2 - Q1 Bonus]]+Table1[[#This Row],[TA 2 - Q2 Bonus]]+Table1[[#This Row],[TA 2 - Q4 Bonus]]</f>
        <v/>
      </c>
      <c r="T85">
        <f>(Table1[[#This Row],[TA 1 - Total Score (out of 35)]]+Table1[[#This Row],[TA 2 - Total Score (out of 35)]])/2</f>
        <v/>
      </c>
      <c r="U85">
        <f>(Table1[[#This Row],[TA 1 - Total Bonus (out of 13)]]+Table1[[#This Row],[TA 2 - Total Bonus (out of 13)]])/2</f>
        <v/>
      </c>
      <c r="V85">
        <f>Table1[[#This Row],[Average Questions]]/35*20+Table1[[#This Row],[Average Bonus]]/13*5</f>
        <v/>
      </c>
      <c r="W85" t="n">
        <v>6</v>
      </c>
      <c r="X85" t="n">
        <v>0</v>
      </c>
      <c r="Y85"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2.0/?
- Part 5: Bonus — Test Time Augmentation: 0.0/?</t>
        </is>
      </c>
      <c r="Z85" t="n">
        <v>4</v>
      </c>
      <c r="AA85" t="n">
        <v>0</v>
      </c>
      <c r="AB85" t="inlineStr">
        <is>
          <t>The student's submission failed to meet the requirements of the task. The code was not organized in a way that allowed it to run end-to-end, and several key components were missing. The student attempted to load and prepare the data, but the code was not correct and did not run. The CNN model was not built, and the training and validation functions were not implemented. The student did not attempt to train the model, and the residual connection bonus task was not addressed. Overall, the submission did not demonstrate a clear understanding of the task requirements and did not produce a working solution.
Breakdown:
- Part 1: Load and Prepare Data: 0.0/?
- Part 2: Build the CNN Model: 0.0/?
- Part 3: Training and Validation Functions: 0.0/?
- Part 4: Training: 0.0/?
- Part 5: Bonus — Residual Connection: 0.0/?</t>
        </is>
      </c>
      <c r="AC85" t="n">
        <v>6</v>
      </c>
      <c r="AD85"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85" t="n">
        <v>0</v>
      </c>
      <c r="AF85" t="n">
        <v>0</v>
      </c>
      <c r="AG85" t="inlineStr">
        <is>
          <t>The student's submission failed to implement the `ColorizationDataset` class correctly, resulting in a score of 0.0 for the base task. The bonus task was not attempted, resulting in a score of 0.0 for the bonus. The student's code had several syntax and logic mistakes, but the most significant issue was the lack of implementation of the required methods in the `ColorizationDataset` class.
Breakdown:
- Correctly implemented `ColorizationDataset` class:: 0.0/?</t>
        </is>
      </c>
      <c r="AH85" t="n">
        <v>16</v>
      </c>
      <c r="AI85" t="n">
        <v>0</v>
      </c>
    </row>
    <row r="86">
      <c r="A86" t="n">
        <v>85</v>
      </c>
      <c r="B86" t="inlineStr">
        <is>
          <t>TA_2</t>
        </is>
      </c>
      <c r="C86" t="inlineStr">
        <is>
          <t>TA_12</t>
        </is>
      </c>
      <c r="D86" t="n">
        <v>12</v>
      </c>
      <c r="E86" t="n">
        <v>0.5</v>
      </c>
      <c r="F86" t="n">
        <v>10.5</v>
      </c>
      <c r="G86" t="n">
        <v>0</v>
      </c>
      <c r="H86" t="n">
        <v>12</v>
      </c>
      <c r="I86" t="n">
        <v>0</v>
      </c>
      <c r="J86" t="n">
        <v>12</v>
      </c>
      <c r="K86" t="n">
        <v>4</v>
      </c>
      <c r="L86" t="n">
        <v>11</v>
      </c>
      <c r="M86" t="n">
        <v>4</v>
      </c>
      <c r="N86" t="n">
        <v>9.300000000000001</v>
      </c>
      <c r="O86" t="n">
        <v>0</v>
      </c>
      <c r="P86">
        <f>Table1[[#This Row],[TA 1 - Q1 Score]]+Table1[[#This Row],[TA 1 - Q2 Score]]+Table1[[#This Row],[TA 1 - Q3 Score]]</f>
        <v/>
      </c>
      <c r="Q86">
        <f>Table1[[#This Row],[TA 1 - Q1 Bonus]]+Table1[[#This Row],[TA 1 - Q2 Bonus]]+Table1[[#This Row],[TA 1 - Q4 Bonus]]</f>
        <v/>
      </c>
      <c r="R86">
        <f>Table1[[#This Row],[TA 2 - Q1 Score]]+Table1[[#This Row],[TA 2 - Q2 Score]]+Table1[[#This Row],[TA 2 - Q3 Score]]</f>
        <v/>
      </c>
      <c r="S86">
        <f>Table1[[#This Row],[TA 2 - Q1 Bonus]]+Table1[[#This Row],[TA 2 - Q2 Bonus]]+Table1[[#This Row],[TA 2 - Q4 Bonus]]</f>
        <v/>
      </c>
      <c r="T86">
        <f>(Table1[[#This Row],[TA 1 - Total Score (out of 35)]]+Table1[[#This Row],[TA 2 - Total Score (out of 35)]])/2</f>
        <v/>
      </c>
      <c r="U86">
        <f>(Table1[[#This Row],[TA 1 - Total Bonus (out of 13)]]+Table1[[#This Row],[TA 2 - Total Bonus (out of 13)]])/2</f>
        <v/>
      </c>
      <c r="V86">
        <f>Table1[[#This Row],[Average Questions]]/35*20+Table1[[#This Row],[Average Bonus]]/13*5</f>
        <v/>
      </c>
      <c r="W86" t="n">
        <v>6</v>
      </c>
      <c r="X86" t="n">
        <v>0</v>
      </c>
      <c r="Y86" t="inlineStr">
        <is>
          <t>The student's submission failed to address several key tasks, including loading and preparing data, loading a pretrained model and adapting it, and implementing training and validation functions. While the student did write some code for the training task, it is incomplete and does not run end-to-end. As a result, the student's submission does not meet the requirements of the question and earns a score of 6.0.
Breakdown:
- Part 1: Load and Prepare Data: 0.0/?
- Part 2: Load Pretrained Model and Adapt: 0.0/?
- Part 3: Training and Validation Functions: 0.0/?
- Part 4: Training: 2.5/?
- Part 5: Bonus — Test Time Augmentation: 0.0/?</t>
        </is>
      </c>
      <c r="Z86" t="n">
        <v>6</v>
      </c>
      <c r="AA86" t="n">
        <v>0</v>
      </c>
      <c r="AB86" t="inlineStr">
        <is>
          <t>The student's submission failed to meet the requirements for several tasks. In Part 1, the student did not create a custom Dataset class or use ImageFolder, and did not display sample images with labels. In Part 2, the student did not build a CNN model with 5 convolutional layers. In Part 3, the student did not define the training loop function. In Part 4, the student did not plot the training and validation losses and training and validation accuracy. In Part 5, the student did not redefine the CNN model with a residual connection. The student's code had several syntax and logic mistakes, and failed to run end-to-end.
Breakdown:
- Part 1: Load and Prepare Data: 0.0/?
- Part 2: Build the CNN Model: 0.0/?
- Part 3: Training and Validation Functions: 0.0/?
- Part 4: Training: 2.0/?
- Part 5: Bonus — Residual Connection: 0.0/?</t>
        </is>
      </c>
      <c r="AC86" t="n">
        <v>6</v>
      </c>
      <c r="AD86" t="inlineStr">
        <is>
          <t>The student's submission was incomplete, with no code submitted for Tasks 1-4. However, the code for Task 5 was mostly correct, with the student successfully visualizing the predictions. The only issue was that the ground truth masks were not displayed correctly. Overall, the student demonstrated some understanding of the task, but their submission was not comprehensive.
Breakdown:
- Task 1: Dataset Class: 0.0/?
- Task 2: Model Class: 0.0/?
- Task 3: Training and Validation Loops: 0.0/?
- Task 4: Running Training: 0.0/?
- Task 5: Visualizing Predictions: 6.0/?</t>
        </is>
      </c>
      <c r="AE86" t="n">
        <v>0</v>
      </c>
      <c r="AF86" t="n">
        <v>0</v>
      </c>
      <c r="AG86" t="inlineStr">
        <is>
          <t>No submission found.</t>
        </is>
      </c>
      <c r="AH86" t="n">
        <v>18</v>
      </c>
      <c r="AI86" t="n">
        <v>0</v>
      </c>
    </row>
    <row r="87">
      <c r="A87" t="n">
        <v>86</v>
      </c>
      <c r="B87" t="inlineStr">
        <is>
          <t>TA_2</t>
        </is>
      </c>
      <c r="C87" t="inlineStr">
        <is>
          <t>TA_12</t>
        </is>
      </c>
      <c r="D87" t="n">
        <v>6.25</v>
      </c>
      <c r="E87" t="n">
        <v>0</v>
      </c>
      <c r="F87" t="n">
        <v>11</v>
      </c>
      <c r="G87" t="n">
        <v>0</v>
      </c>
      <c r="H87" t="n">
        <v>12</v>
      </c>
      <c r="I87" t="n">
        <v>0</v>
      </c>
      <c r="J87" t="n">
        <v>11</v>
      </c>
      <c r="K87" t="n">
        <v>4</v>
      </c>
      <c r="L87" t="n">
        <v>9.5</v>
      </c>
      <c r="M87" t="n">
        <v>0</v>
      </c>
      <c r="N87" t="n">
        <v>10.9</v>
      </c>
      <c r="O87" t="n">
        <v>0</v>
      </c>
      <c r="P87">
        <f>Table1[[#This Row],[TA 1 - Q1 Score]]+Table1[[#This Row],[TA 1 - Q2 Score]]+Table1[[#This Row],[TA 1 - Q3 Score]]</f>
        <v/>
      </c>
      <c r="Q87">
        <f>Table1[[#This Row],[TA 1 - Q1 Bonus]]+Table1[[#This Row],[TA 1 - Q2 Bonus]]+Table1[[#This Row],[TA 1 - Q4 Bonus]]</f>
        <v/>
      </c>
      <c r="R87">
        <f>Table1[[#This Row],[TA 2 - Q1 Score]]+Table1[[#This Row],[TA 2 - Q2 Score]]+Table1[[#This Row],[TA 2 - Q3 Score]]</f>
        <v/>
      </c>
      <c r="S87">
        <f>Table1[[#This Row],[TA 2 - Q1 Bonus]]+Table1[[#This Row],[TA 2 - Q2 Bonus]]+Table1[[#This Row],[TA 2 - Q4 Bonus]]</f>
        <v/>
      </c>
      <c r="T87">
        <f>(Table1[[#This Row],[TA 1 - Total Score (out of 35)]]+Table1[[#This Row],[TA 2 - Total Score (out of 35)]])/2</f>
        <v/>
      </c>
      <c r="U87">
        <f>(Table1[[#This Row],[TA 1 - Total Bonus (out of 13)]]+Table1[[#This Row],[TA 2 - Total Bonus (out of 13)]])/2</f>
        <v/>
      </c>
      <c r="V87">
        <f>Table1[[#This Row],[Average Questions]]/35*20+Table1[[#This Row],[Average Bonus]]/13*5</f>
        <v/>
      </c>
      <c r="W87" t="n">
        <v>6</v>
      </c>
      <c r="X87" t="n">
        <v>0</v>
      </c>
      <c r="Y87"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 also failed to implement test time augmentation, which was the bonus task. Overall, the student's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87" t="n">
        <v>4</v>
      </c>
      <c r="AA87" t="n">
        <v>0</v>
      </c>
      <c r="AB87"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87" t="n">
        <v>6</v>
      </c>
      <c r="AD8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87" t="n">
        <v>0</v>
      </c>
      <c r="AF87" t="n">
        <v>0</v>
      </c>
      <c r="AG87" t="inlineStr">
        <is>
          <t>No submission found.</t>
        </is>
      </c>
      <c r="AH87" t="n">
        <v>16</v>
      </c>
      <c r="AI87" t="n">
        <v>0</v>
      </c>
    </row>
    <row r="88">
      <c r="A88" t="n">
        <v>87</v>
      </c>
      <c r="B88" t="inlineStr">
        <is>
          <t>TA_2</t>
        </is>
      </c>
      <c r="C88" t="inlineStr">
        <is>
          <t>TA_12</t>
        </is>
      </c>
      <c r="D88" t="n">
        <v>11</v>
      </c>
      <c r="E88" t="n">
        <v>0</v>
      </c>
      <c r="F88" t="n">
        <v>11</v>
      </c>
      <c r="G88" t="n">
        <v>0</v>
      </c>
      <c r="H88" t="n">
        <v>12</v>
      </c>
      <c r="I88" t="n">
        <v>5</v>
      </c>
      <c r="J88" t="n">
        <v>11</v>
      </c>
      <c r="K88" t="n">
        <v>4</v>
      </c>
      <c r="L88" t="n">
        <v>8.75</v>
      </c>
      <c r="M88" t="n">
        <v>3.5</v>
      </c>
      <c r="N88" t="n">
        <v>11.3</v>
      </c>
      <c r="O88" t="n">
        <v>5</v>
      </c>
      <c r="P88">
        <f>Table1[[#This Row],[TA 1 - Q1 Score]]+Table1[[#This Row],[TA 1 - Q2 Score]]+Table1[[#This Row],[TA 1 - Q3 Score]]</f>
        <v/>
      </c>
      <c r="Q88">
        <f>Table1[[#This Row],[TA 1 - Q1 Bonus]]+Table1[[#This Row],[TA 1 - Q2 Bonus]]+Table1[[#This Row],[TA 1 - Q4 Bonus]]</f>
        <v/>
      </c>
      <c r="R88">
        <f>Table1[[#This Row],[TA 2 - Q1 Score]]+Table1[[#This Row],[TA 2 - Q2 Score]]+Table1[[#This Row],[TA 2 - Q3 Score]]</f>
        <v/>
      </c>
      <c r="S88">
        <f>Table1[[#This Row],[TA 2 - Q1 Bonus]]+Table1[[#This Row],[TA 2 - Q2 Bonus]]+Table1[[#This Row],[TA 2 - Q4 Bonus]]</f>
        <v/>
      </c>
      <c r="T88">
        <f>(Table1[[#This Row],[TA 1 - Total Score (out of 35)]]+Table1[[#This Row],[TA 2 - Total Score (out of 35)]])/2</f>
        <v/>
      </c>
      <c r="U88">
        <f>(Table1[[#This Row],[TA 1 - Total Bonus (out of 13)]]+Table1[[#This Row],[TA 2 - Total Bonus (out of 13)]])/2</f>
        <v/>
      </c>
      <c r="V88">
        <f>Table1[[#This Row],[Average Questions]]/35*20+Table1[[#This Row],[Average Bonus]]/13*5</f>
        <v/>
      </c>
      <c r="W88" t="n">
        <v>6</v>
      </c>
      <c r="X88" t="n">
        <v>0</v>
      </c>
      <c r="Y88" t="inlineStr">
        <is>
          <t>The student's submission failed to complete several key tasks, including loading and preparing the data, loading the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88" t="n">
        <v>4</v>
      </c>
      <c r="AA88" t="n">
        <v>0</v>
      </c>
      <c r="AB88" t="inlineStr">
        <is>
          <t>The submission failed to load and prepare the data correctly, as it did not use the provided dataset folder and instead attempted to use a different directory. The CNN model was not built correctly, as it did not include the required number of convolutional layers. The training and validation functions were not implemented correctly, as they did not include the necessary logic for training and validation. The training process was not executed correctly, as the model was not trained for the specified number of epochs. The bonus task of adding a residual connection was not attempted.
Breakdown:
- Part 1: Load and Prepare Data: 0.0/?
- Part 2: Build the CNN Model: 0.0/?
- Part 3: Training and Validation Functions: 0.0/?
- Part 4: Training: 0.0/?
- Part 5: Bonus — Residual Connection: 0.0/?</t>
        </is>
      </c>
      <c r="AC88" t="n">
        <v>6</v>
      </c>
      <c r="AD88" t="inlineStr">
        <is>
          <t>The student's submission failed to meet the requirements of the task. The code was not organized in a way that allowed it to run end-to-end, and several key components were missing or incorrect. The student attempted to define a dataset class, but it was not used correctly. The model class was not defined correctly, and the training and validation loops were not implemented. The loss and optimizer were not defined correctly, and the model was not trained. Finally, the predictions were not visualized correctly. As a result, the student earned 0 points for each task.
Breakdown:
- Task 1: Dataset Class: 0.0/?
- Task 2: Model Class: 0.0/?
- Task 3: Training and Validation Loops: 0.0/?
- Task 4: Running Training: 0.0/?
- Task 5: Visualizing Predictions: 0.0/?</t>
        </is>
      </c>
      <c r="AE88" t="n">
        <v>0</v>
      </c>
      <c r="AF88" t="n">
        <v>1</v>
      </c>
      <c r="AG88" t="inlineStr">
        <is>
          <t>The student's submission demonstrates a good understanding of the ColorizationDataset class. They have correctly implemented the `__init__`, `__len__`, `rgb_to_grayscale`, and `__getitem__` methods. However, the `rgb_to_grayscale` method does not correctly handle the channel dimension, resulting in a 0% award for that task. The student's code also does not include a visualization of the grayscale and color images, which is a required part of the task. Overall, the student's submission shows a good effort, but with some mistakes and omissions.
Breakdown:
- Correctly implemented `ColorizationDataset` class: 4.0/?
- Any mistake in implementation: 0.0/?</t>
        </is>
      </c>
      <c r="AH88" t="n">
        <v>16</v>
      </c>
      <c r="AI88" t="n">
        <v>1</v>
      </c>
    </row>
    <row r="89">
      <c r="A89" t="n">
        <v>88</v>
      </c>
      <c r="B89" t="inlineStr">
        <is>
          <t>TA_2</t>
        </is>
      </c>
      <c r="C89" t="inlineStr">
        <is>
          <t>TA_12</t>
        </is>
      </c>
      <c r="D89" t="n">
        <v>12</v>
      </c>
      <c r="E89" t="n">
        <v>0</v>
      </c>
      <c r="F89" t="n">
        <v>11</v>
      </c>
      <c r="G89" t="n">
        <v>0</v>
      </c>
      <c r="H89" t="n">
        <v>12</v>
      </c>
      <c r="I89" t="n">
        <v>0</v>
      </c>
      <c r="J89" t="n">
        <v>12</v>
      </c>
      <c r="K89" t="n">
        <v>0</v>
      </c>
      <c r="L89" t="n">
        <v>11</v>
      </c>
      <c r="M89" t="n">
        <v>0</v>
      </c>
      <c r="N89" t="n">
        <v>12</v>
      </c>
      <c r="O89" t="n">
        <v>0</v>
      </c>
      <c r="P89">
        <f>Table1[[#This Row],[TA 1 - Q1 Score]]+Table1[[#This Row],[TA 1 - Q2 Score]]+Table1[[#This Row],[TA 1 - Q3 Score]]</f>
        <v/>
      </c>
      <c r="Q89">
        <f>Table1[[#This Row],[TA 1 - Q1 Bonus]]+Table1[[#This Row],[TA 1 - Q2 Bonus]]+Table1[[#This Row],[TA 1 - Q4 Bonus]]</f>
        <v/>
      </c>
      <c r="R89">
        <f>Table1[[#This Row],[TA 2 - Q1 Score]]+Table1[[#This Row],[TA 2 - Q2 Score]]+Table1[[#This Row],[TA 2 - Q3 Score]]</f>
        <v/>
      </c>
      <c r="S89">
        <f>Table1[[#This Row],[TA 2 - Q1 Bonus]]+Table1[[#This Row],[TA 2 - Q2 Bonus]]+Table1[[#This Row],[TA 2 - Q4 Bonus]]</f>
        <v/>
      </c>
      <c r="T89">
        <f>(Table1[[#This Row],[TA 1 - Total Score (out of 35)]]+Table1[[#This Row],[TA 2 - Total Score (out of 35)]])/2</f>
        <v/>
      </c>
      <c r="U89">
        <f>(Table1[[#This Row],[TA 1 - Total Bonus (out of 13)]]+Table1[[#This Row],[TA 2 - Total Bonus (out of 13)]])/2</f>
        <v/>
      </c>
      <c r="V89">
        <f>Table1[[#This Row],[Average Questions]]/35*20+Table1[[#This Row],[Average Bonus]]/13*5</f>
        <v/>
      </c>
      <c r="W89" t="n">
        <v>6</v>
      </c>
      <c r="X89" t="n">
        <v>0</v>
      </c>
      <c r="Y89"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errors and did not run end-to-end. The bonus task of implementing test time augmentation was also not completed. Overall, the student's submission demonstrated a lack of understanding of the key concepts and failed to execute the tasks correctly.
Breakdown:
- Part 1: Load and Prepare Data: 0.0/?
- Part 2: Load Pretrained Model and Adapt: 0.0/?
- Part 3: Training and Validation Functions: 0.0/?
- Part 4: Training: 3.0/?
- Part 5: Bonus — Test Time Augmentation: 0.0/?</t>
        </is>
      </c>
      <c r="Z89" t="n">
        <v>4</v>
      </c>
      <c r="AA89" t="n">
        <v>0</v>
      </c>
      <c r="AB89" t="inlineStr">
        <is>
          <t>The student's submission failed to implement several key components of the CNN model, including the correct number of convolutional layers and batch normalization. Additionally, the training and validation functions were not implemented correctly, and the model was not trained or retrained with the residual connection. As a result, the student's submission did not meet the requirements of the task and was awarded 0 points for each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89" t="n">
        <v>6</v>
      </c>
      <c r="AD89"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
Breakdown:
- Task 1: Dataset Class: 0.0/?
- Task 2: Model Class: 0.0/?
- Task 3: Training and Validation Loops: 0.0/?
- Task 4: Running Training: 0.0/?
- Task 5: Visualizing Predictions: 6.0/?</t>
        </is>
      </c>
      <c r="AE89" t="n">
        <v>0</v>
      </c>
      <c r="AF89" t="n">
        <v>0</v>
      </c>
      <c r="AG89" t="inlineStr">
        <is>
          <t>No submission found.</t>
        </is>
      </c>
      <c r="AH89" t="n">
        <v>16</v>
      </c>
      <c r="AI89" t="n">
        <v>0</v>
      </c>
    </row>
    <row r="90">
      <c r="A90" t="n">
        <v>89</v>
      </c>
      <c r="B90" t="inlineStr">
        <is>
          <t>TA_2</t>
        </is>
      </c>
      <c r="C90" t="inlineStr">
        <is>
          <t>TA_12</t>
        </is>
      </c>
      <c r="D90" t="n">
        <v>6.5</v>
      </c>
      <c r="E90" t="n">
        <v>0</v>
      </c>
      <c r="F90" t="n">
        <v>10</v>
      </c>
      <c r="G90" t="n">
        <v>0</v>
      </c>
      <c r="H90" t="n">
        <v>12</v>
      </c>
      <c r="I90" t="n">
        <v>0</v>
      </c>
      <c r="J90" t="n">
        <v>6.5</v>
      </c>
      <c r="K90" t="n">
        <v>0</v>
      </c>
      <c r="L90" t="n">
        <v>8.5</v>
      </c>
      <c r="M90" t="n">
        <v>0</v>
      </c>
      <c r="N90" t="n">
        <v>8</v>
      </c>
      <c r="O90" t="n">
        <v>0</v>
      </c>
      <c r="P90">
        <f>Table1[[#This Row],[TA 1 - Q1 Score]]+Table1[[#This Row],[TA 1 - Q2 Score]]+Table1[[#This Row],[TA 1 - Q3 Score]]</f>
        <v/>
      </c>
      <c r="Q90">
        <f>Table1[[#This Row],[TA 1 - Q1 Bonus]]+Table1[[#This Row],[TA 1 - Q2 Bonus]]+Table1[[#This Row],[TA 1 - Q4 Bonus]]</f>
        <v/>
      </c>
      <c r="R90">
        <f>Table1[[#This Row],[TA 2 - Q1 Score]]+Table1[[#This Row],[TA 2 - Q2 Score]]+Table1[[#This Row],[TA 2 - Q3 Score]]</f>
        <v/>
      </c>
      <c r="S90">
        <f>Table1[[#This Row],[TA 2 - Q1 Bonus]]+Table1[[#This Row],[TA 2 - Q2 Bonus]]+Table1[[#This Row],[TA 2 - Q4 Bonus]]</f>
        <v/>
      </c>
      <c r="T90">
        <f>(Table1[[#This Row],[TA 1 - Total Score (out of 35)]]+Table1[[#This Row],[TA 2 - Total Score (out of 35)]])/2</f>
        <v/>
      </c>
      <c r="U90">
        <f>(Table1[[#This Row],[TA 1 - Total Bonus (out of 13)]]+Table1[[#This Row],[TA 2 - Total Bonus (out of 13)]])/2</f>
        <v/>
      </c>
      <c r="V90">
        <f>Table1[[#This Row],[Average Questions]]/35*20+Table1[[#This Row],[Average Bonus]]/13*5</f>
        <v/>
      </c>
      <c r="W90" t="n">
        <v>6</v>
      </c>
      <c r="X90" t="n">
        <v>0</v>
      </c>
      <c r="Y90" t="inlineStr">
        <is>
          <t>The student's submission failed to complete several key tasks, including loading and preparing the data, loading a pretrained model and adapting it, and training the model. While the student made an attempt at the training and validation functions, the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90" t="n">
        <v>6</v>
      </c>
      <c r="AA90" t="n">
        <v>0</v>
      </c>
      <c r="AB90" t="inlineStr">
        <is>
          <t>The student's submission failed to load and prepare the data correctly, as evidenced by the incorrect dataset class and transforms. The CNN model was partially built, but the student incorrectly defined the number of output channels for the convolutional layers.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90" t="n">
        <v>6</v>
      </c>
      <c r="AD90" t="inlineStr">
        <is>
          <t>The student's submission was incomplete and lacked code for most tasks. The only task that was attempted was Task 5: Visualizing Predictions, where the student's code was mostly correct but had a minor issue with displaying the ground truth masks. As a result, the student scored 6.0 out of 12.0 for the base tasks and 0.0 for the bonus tasks.
Breakdown:
- Task 1: Dataset Class: 0.0/?
- Task 2: Model Class: 0.0/?
- Task 3: Training and Validation Loops: 0.0/?
- Task 4: Running Training: 0.0/?
- Task 5: Visualizing Predictions: 6.0/?</t>
        </is>
      </c>
      <c r="AE90" t="n">
        <v>0</v>
      </c>
      <c r="AF90" t="n">
        <v>0</v>
      </c>
      <c r="AG90" t="inlineStr">
        <is>
          <t>No submission found.</t>
        </is>
      </c>
      <c r="AH90" t="n">
        <v>18</v>
      </c>
      <c r="AI90" t="n">
        <v>0</v>
      </c>
    </row>
    <row r="91">
      <c r="A91" t="n">
        <v>90</v>
      </c>
      <c r="B91" t="inlineStr">
        <is>
          <t>TA_2</t>
        </is>
      </c>
      <c r="C91" t="inlineStr">
        <is>
          <t>TA_12</t>
        </is>
      </c>
      <c r="D91" t="n">
        <v>12</v>
      </c>
      <c r="E91" t="n">
        <v>4</v>
      </c>
      <c r="F91" t="n">
        <v>11</v>
      </c>
      <c r="G91" t="n">
        <v>4</v>
      </c>
      <c r="H91" t="n">
        <v>10</v>
      </c>
      <c r="I91" t="n">
        <v>5</v>
      </c>
      <c r="J91" t="n">
        <v>12</v>
      </c>
      <c r="K91" t="n">
        <v>4</v>
      </c>
      <c r="L91" t="n">
        <v>8.75</v>
      </c>
      <c r="M91" t="n">
        <v>3.75</v>
      </c>
      <c r="N91" t="n">
        <v>12</v>
      </c>
      <c r="O91" t="n">
        <v>5</v>
      </c>
      <c r="P91">
        <f>Table1[[#This Row],[TA 1 - Q1 Score]]+Table1[[#This Row],[TA 1 - Q2 Score]]+Table1[[#This Row],[TA 1 - Q3 Score]]</f>
        <v/>
      </c>
      <c r="Q91">
        <f>Table1[[#This Row],[TA 1 - Q1 Bonus]]+Table1[[#This Row],[TA 1 - Q2 Bonus]]+Table1[[#This Row],[TA 1 - Q4 Bonus]]</f>
        <v/>
      </c>
      <c r="R91">
        <f>Table1[[#This Row],[TA 2 - Q1 Score]]+Table1[[#This Row],[TA 2 - Q2 Score]]+Table1[[#This Row],[TA 2 - Q3 Score]]</f>
        <v/>
      </c>
      <c r="S91">
        <f>Table1[[#This Row],[TA 2 - Q1 Bonus]]+Table1[[#This Row],[TA 2 - Q2 Bonus]]+Table1[[#This Row],[TA 2 - Q4 Bonus]]</f>
        <v/>
      </c>
      <c r="T91">
        <f>(Table1[[#This Row],[TA 1 - Total Score (out of 35)]]+Table1[[#This Row],[TA 2 - Total Score (out of 35)]])/2</f>
        <v/>
      </c>
      <c r="U91">
        <f>(Table1[[#This Row],[TA 1 - Total Bonus (out of 13)]]+Table1[[#This Row],[TA 2 - Total Bonus (out of 13)]])/2</f>
        <v/>
      </c>
      <c r="V91">
        <f>Table1[[#This Row],[Average Questions]]/35*20+Table1[[#This Row],[Average Bonus]]/13*5</f>
        <v/>
      </c>
      <c r="W91" t="n">
        <v>6</v>
      </c>
      <c r="X91" t="n">
        <v>0</v>
      </c>
      <c r="Y91"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run end-to-end. As a result, the student was unable to train the model and evaluate its performance. The submission did not demonstrate a clear understanding of the task requirements and failed to produce a working solution.
Breakdown:
- Part 1: Load and Prepare Data: 0.0/?
- Part 2: Load Pretrained Model and Adapt: 0.0/?
- Part 3: Training and Validation Functions: 1.75/?
- Part 4: Training: 2.5/?
- Part 5: Bonus — Test Time Augmentation: 0.0/?</t>
        </is>
      </c>
      <c r="Z91" t="n">
        <v>4</v>
      </c>
      <c r="AA91" t="n">
        <v>0</v>
      </c>
      <c r="AB91"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disorganized and does not run end-to-end. As a result, the student receives 0 points for each task.
Breakdown:
- Part 1: Load and Prepare Data: 0.0/?
- Part 2: Build the CNN Model: 0.0/?
- Part 3: Training and Validation Functions: 0.0/?
- Part 4: Training: 0.0/?
- Part 5: Bonus — Residual Connection: 0.0/?</t>
        </is>
      </c>
      <c r="AC91" t="n">
        <v>6</v>
      </c>
      <c r="AD91" t="inlineStr">
        <is>
          <t>The student's submission was incomplete and lacked code for most tasks. The only task that was attempted was Task 5: Visualizing Predictions, where the student's code was mostly correct but did not meet all the requirements. As a result, the student scored 6.0 out of 12.0 for the base tasks and 0.0 out of 0.0 for the bonus tasks.
Breakdown:
- Task 1: Dataset Class: 0.0/?
- Task 2: Model Class: 0.0/?
- Task 3: Training and Validation Loops: 0.0/?
- Task 4: Running Training: 0.0/?
- Task 5: Visualizing Predictions: 6.0/?</t>
        </is>
      </c>
      <c r="AE91" t="n">
        <v>0</v>
      </c>
      <c r="AF91" t="n">
        <v>0</v>
      </c>
      <c r="AG91" t="inlineStr">
        <is>
          <t>The student's submission does not meet the requirements of the task. The `ColorizationDataset` class is not implemented correctly, and the code does not run end-to-end. The `rgb_to_grayscale` method is incorrect, and the `__getitem__` method returns the color image instead of the grayscale image. As a result, the student does not receive any points for this task.
Breakdown:
- Correctly implemented `ColorizationDataset` class:: 0.0/?</t>
        </is>
      </c>
      <c r="AH91" t="n">
        <v>16</v>
      </c>
      <c r="AI91" t="n">
        <v>0</v>
      </c>
    </row>
    <row r="92">
      <c r="A92" t="n">
        <v>91</v>
      </c>
      <c r="B92" t="inlineStr">
        <is>
          <t>TA_2</t>
        </is>
      </c>
      <c r="C92" t="inlineStr">
        <is>
          <t>TA_12</t>
        </is>
      </c>
      <c r="D92" t="n">
        <v>12</v>
      </c>
      <c r="E92" t="n">
        <v>4</v>
      </c>
      <c r="F92" t="n">
        <v>11</v>
      </c>
      <c r="G92" t="n">
        <v>1</v>
      </c>
      <c r="H92" t="n">
        <v>11.5</v>
      </c>
      <c r="I92" t="n">
        <v>5</v>
      </c>
      <c r="J92" t="n">
        <v>12</v>
      </c>
      <c r="K92" t="n">
        <v>1.5</v>
      </c>
      <c r="L92" t="n">
        <v>9</v>
      </c>
      <c r="M92" t="n">
        <v>3</v>
      </c>
      <c r="N92" t="n">
        <v>6.5</v>
      </c>
      <c r="O92" t="n">
        <v>5</v>
      </c>
      <c r="P92">
        <f>Table1[[#This Row],[TA 1 - Q1 Score]]+Table1[[#This Row],[TA 1 - Q2 Score]]+Table1[[#This Row],[TA 1 - Q3 Score]]</f>
        <v/>
      </c>
      <c r="Q92">
        <f>Table1[[#This Row],[TA 1 - Q1 Bonus]]+Table1[[#This Row],[TA 1 - Q2 Bonus]]+Table1[[#This Row],[TA 1 - Q4 Bonus]]</f>
        <v/>
      </c>
      <c r="R92">
        <f>Table1[[#This Row],[TA 2 - Q1 Score]]+Table1[[#This Row],[TA 2 - Q2 Score]]+Table1[[#This Row],[TA 2 - Q3 Score]]</f>
        <v/>
      </c>
      <c r="S92">
        <f>Table1[[#This Row],[TA 2 - Q1 Bonus]]+Table1[[#This Row],[TA 2 - Q2 Bonus]]+Table1[[#This Row],[TA 2 - Q4 Bonus]]</f>
        <v/>
      </c>
      <c r="T92">
        <f>(Table1[[#This Row],[TA 1 - Total Score (out of 35)]]+Table1[[#This Row],[TA 2 - Total Score (out of 35)]])/2</f>
        <v/>
      </c>
      <c r="U92">
        <f>(Table1[[#This Row],[TA 1 - Total Bonus (out of 13)]]+Table1[[#This Row],[TA 2 - Total Bonus (out of 13)]])/2</f>
        <v/>
      </c>
      <c r="V92">
        <f>Table1[[#This Row],[Average Questions]]/35*20+Table1[[#This Row],[Average Bonus]]/13*5</f>
        <v/>
      </c>
      <c r="W92" t="n">
        <v>6</v>
      </c>
      <c r="X92" t="n">
        <v>0</v>
      </c>
      <c r="Y92"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end-to-end.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92" t="n">
        <v>6</v>
      </c>
      <c r="AA92" t="n">
        <v>0</v>
      </c>
      <c r="AB92" t="inlineStr">
        <is>
          <t>The student's submission failed to meet the requirements for most tasks. In Part 1, the code did not create the train/test datasets and DataLoaders correctly. In Part 2, the CNN model class did not have 5 convolutional layers. In Part 3, the training and validation loop functions were not defined. In Part 4, the student was able to train the model and plot the losses and accuracy. However, the student did not attempt the bonus task in Part 5.
Breakdown:
- Part 1: Load and Prepare Data: 0.0/?
- Part 2: Build the CNN Model: 0.0/?
- Part 3: Training and Validation Functions: 0.0/?
- Part 4: Training: 2.0/?
- Part 5: Bonus — Residual Connection: 0.0/?</t>
        </is>
      </c>
      <c r="AC92" t="n">
        <v>6</v>
      </c>
      <c r="AD92"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92" t="n">
        <v>0</v>
      </c>
      <c r="AF92" t="n">
        <v>0</v>
      </c>
      <c r="AG92" t="inlineStr">
        <is>
          <t>The student's submission does not meet the requirements of the task. The implementation of the `ColorizationDataset` class is incomplete and does not follow the reference solution. As a result, the student does not receive any points for this task.
Breakdown:
- Correctly implemented `ColorizationDataset` class: 0.0/?</t>
        </is>
      </c>
      <c r="AH92" t="n">
        <v>18</v>
      </c>
      <c r="AI92" t="n">
        <v>0</v>
      </c>
    </row>
    <row r="93">
      <c r="A93" t="n">
        <v>92</v>
      </c>
      <c r="B93" t="inlineStr">
        <is>
          <t>TA_2</t>
        </is>
      </c>
      <c r="C93" t="inlineStr">
        <is>
          <t>TA_12</t>
        </is>
      </c>
      <c r="D93" t="n">
        <v>6.5</v>
      </c>
      <c r="E93" t="n">
        <v>0</v>
      </c>
      <c r="F93" t="n">
        <v>11</v>
      </c>
      <c r="G93" t="n">
        <v>0</v>
      </c>
      <c r="H93" t="n">
        <v>10</v>
      </c>
      <c r="I93" t="n">
        <v>0</v>
      </c>
      <c r="J93" t="n">
        <v>6.5</v>
      </c>
      <c r="K93" t="n">
        <v>0</v>
      </c>
      <c r="L93" t="n">
        <v>11</v>
      </c>
      <c r="M93" t="n">
        <v>0</v>
      </c>
      <c r="N93" t="n">
        <v>12</v>
      </c>
      <c r="O93" t="n">
        <v>0</v>
      </c>
      <c r="P93">
        <f>Table1[[#This Row],[TA 1 - Q1 Score]]+Table1[[#This Row],[TA 1 - Q2 Score]]+Table1[[#This Row],[TA 1 - Q3 Score]]</f>
        <v/>
      </c>
      <c r="Q93">
        <f>Table1[[#This Row],[TA 1 - Q1 Bonus]]+Table1[[#This Row],[TA 1 - Q2 Bonus]]+Table1[[#This Row],[TA 1 - Q4 Bonus]]</f>
        <v/>
      </c>
      <c r="R93">
        <f>Table1[[#This Row],[TA 2 - Q1 Score]]+Table1[[#This Row],[TA 2 - Q2 Score]]+Table1[[#This Row],[TA 2 - Q3 Score]]</f>
        <v/>
      </c>
      <c r="S93">
        <f>Table1[[#This Row],[TA 2 - Q1 Bonus]]+Table1[[#This Row],[TA 2 - Q2 Bonus]]+Table1[[#This Row],[TA 2 - Q4 Bonus]]</f>
        <v/>
      </c>
      <c r="T93">
        <f>(Table1[[#This Row],[TA 1 - Total Score (out of 35)]]+Table1[[#This Row],[TA 2 - Total Score (out of 35)]])/2</f>
        <v/>
      </c>
      <c r="U93">
        <f>(Table1[[#This Row],[TA 1 - Total Bonus (out of 13)]]+Table1[[#This Row],[TA 2 - Total Bonus (out of 13)]])/2</f>
        <v/>
      </c>
      <c r="V93">
        <f>Table1[[#This Row],[Average Questions]]/35*20+Table1[[#This Row],[Average Bonus]]/13*5</f>
        <v/>
      </c>
      <c r="W93" t="n">
        <v>6</v>
      </c>
      <c r="X93" t="n">
        <v>0</v>
      </c>
      <c r="Y93"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93" t="n">
        <v>6</v>
      </c>
      <c r="AA93" t="n">
        <v>0</v>
      </c>
      <c r="AB93" t="inlineStr">
        <is>
          <t>The student's submission failed to address several key tasks, including loading and preparing the data, building the CNN model, and implementing training and validation functions. While the student did write some code for the training process, it was incomplete and did not demonstrate a clear understanding of the task. The bonus task, which involved adding a residual connection to the CNN model, was also not attempted. Overall, the submission demonstrates a lack of understanding of the key concepts and tasks required for the question.
Breakdown:
- Part 1: Load and Prepare Data: 0.0/?
- Part 2: Build the CNN Model: 0.0/?
- Part 3: Training and Validation Functions: 0.0/?
- Part 4: Training: 2.0/?
- Part 5: Bonus — Residual Connection: 0.0/?</t>
        </is>
      </c>
      <c r="AC93" t="n">
        <v>6</v>
      </c>
      <c r="AD93" t="inlineStr">
        <is>
          <t>The student's submission had several issues. They failed to submit code for Tasks 1-4, which resulted in a score of 0 for each of these tasks. However, they did submit code for Task 5, which was mostly correct but had some minor issues. As a result, they received a score of 6.0 for Task 5. Overall, the student's submission was incomplete and had some errors, but they did attempt to complete Task 5.
Breakdown:
- Task 1: Dataset Class: 0.0/?
- Task 2: Model Class: 0.0/?
- Task 3: Training and Validation Loops: 0.0/?
- Task 4: Running Training: 0.0/?
- Task 5: Visualizing Predictions: 6.0/?</t>
        </is>
      </c>
      <c r="AE93" t="n">
        <v>0</v>
      </c>
      <c r="AF93" t="n">
        <v>0</v>
      </c>
      <c r="AG93" t="inlineStr">
        <is>
          <t>No submission found.</t>
        </is>
      </c>
      <c r="AH93" t="n">
        <v>18</v>
      </c>
      <c r="AI93" t="n">
        <v>0</v>
      </c>
    </row>
    <row r="94">
      <c r="A94" t="n">
        <v>93</v>
      </c>
      <c r="B94" t="inlineStr">
        <is>
          <t>TA_2</t>
        </is>
      </c>
      <c r="C94" t="inlineStr">
        <is>
          <t>TA_12</t>
        </is>
      </c>
      <c r="D94" t="n">
        <v>11.5</v>
      </c>
      <c r="E94" t="n">
        <v>0</v>
      </c>
      <c r="F94" t="n">
        <v>11</v>
      </c>
      <c r="G94" t="n">
        <v>0</v>
      </c>
      <c r="H94" t="n">
        <v>12</v>
      </c>
      <c r="I94" t="n">
        <v>0</v>
      </c>
      <c r="J94" t="n">
        <v>11</v>
      </c>
      <c r="K94" t="n">
        <v>0</v>
      </c>
      <c r="L94" t="n">
        <v>7.25</v>
      </c>
      <c r="M94" t="n">
        <v>0</v>
      </c>
      <c r="N94" t="n">
        <v>12</v>
      </c>
      <c r="O94" t="n">
        <v>0</v>
      </c>
      <c r="P94">
        <f>Table1[[#This Row],[TA 1 - Q1 Score]]+Table1[[#This Row],[TA 1 - Q2 Score]]+Table1[[#This Row],[TA 1 - Q3 Score]]</f>
        <v/>
      </c>
      <c r="Q94">
        <f>Table1[[#This Row],[TA 1 - Q1 Bonus]]+Table1[[#This Row],[TA 1 - Q2 Bonus]]+Table1[[#This Row],[TA 1 - Q4 Bonus]]</f>
        <v/>
      </c>
      <c r="R94">
        <f>Table1[[#This Row],[TA 2 - Q1 Score]]+Table1[[#This Row],[TA 2 - Q2 Score]]+Table1[[#This Row],[TA 2 - Q3 Score]]</f>
        <v/>
      </c>
      <c r="S94">
        <f>Table1[[#This Row],[TA 2 - Q1 Bonus]]+Table1[[#This Row],[TA 2 - Q2 Bonus]]+Table1[[#This Row],[TA 2 - Q4 Bonus]]</f>
        <v/>
      </c>
      <c r="T94">
        <f>(Table1[[#This Row],[TA 1 - Total Score (out of 35)]]+Table1[[#This Row],[TA 2 - Total Score (out of 35)]])/2</f>
        <v/>
      </c>
      <c r="U94">
        <f>(Table1[[#This Row],[TA 1 - Total Bonus (out of 13)]]+Table1[[#This Row],[TA 2 - Total Bonus (out of 13)]])/2</f>
        <v/>
      </c>
      <c r="V94">
        <f>Table1[[#This Row],[Average Questions]]/35*20+Table1[[#This Row],[Average Bonus]]/13*5</f>
        <v/>
      </c>
      <c r="W94" t="n">
        <v>6</v>
      </c>
      <c r="X94" t="n">
        <v>0</v>
      </c>
      <c r="Y9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disregarding the explicit instructions provided in the reference solution.
Breakdown:
- Part 1: Load and Prepare Data: 0.0/?
- Part 2: Load Pretrained Model and Adapt: 0.0/?
- Part 3: Training and Validation Functions: 0.0/?
- Part 4: Training: 6.0/?
- Part 5: Bonus — Test Time Augmentation: 0.0/?</t>
        </is>
      </c>
      <c r="Z94" t="n">
        <v>4</v>
      </c>
      <c r="AA94" t="n">
        <v>0</v>
      </c>
      <c r="AB94" t="inlineStr">
        <is>
          <t>The student's submission failed to load and prepare the data correctly, as evident from the missing code in Cell 2 and the incorrect transforms in Cell 3. The CNN model was not built as per the reference solution, and the training and validation functions were not implemented. The training process was also not executed correctly. The bonus task of adding a residual connection was not attempted. Overall, the submission lacks a clear understanding of the problem and the necessary code to solve it.
Breakdown:
- Part 1: Load and Prepare Data: 0.0/?
- Part 2: Build the CNN Model: 0.0/?
- Part 3: Training and Validation Functions: 0.0/?
- Part 4: Training: 0.0/?
- Part 5: Bonus — Residual Connection: 0.0/?</t>
        </is>
      </c>
      <c r="AC94" t="n">
        <v>6</v>
      </c>
      <c r="AD9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94" t="n">
        <v>0</v>
      </c>
      <c r="AF94" t="n">
        <v>0</v>
      </c>
      <c r="AG94" t="inlineStr">
        <is>
          <t>No submission found.</t>
        </is>
      </c>
      <c r="AH94" t="n">
        <v>16</v>
      </c>
      <c r="AI94" t="n">
        <v>0</v>
      </c>
    </row>
    <row r="95">
      <c r="A95" t="n">
        <v>94</v>
      </c>
      <c r="B95" t="inlineStr">
        <is>
          <t>TA_2</t>
        </is>
      </c>
      <c r="C95" t="inlineStr">
        <is>
          <t>TA_12</t>
        </is>
      </c>
      <c r="D95" t="n">
        <v>12</v>
      </c>
      <c r="E95" t="n">
        <v>0</v>
      </c>
      <c r="F95" t="n">
        <v>10.5</v>
      </c>
      <c r="G95" t="n">
        <v>0</v>
      </c>
      <c r="H95" t="n">
        <v>12</v>
      </c>
      <c r="I95" t="n">
        <v>0</v>
      </c>
      <c r="J95" t="n">
        <v>12</v>
      </c>
      <c r="K95" t="n">
        <v>0</v>
      </c>
      <c r="L95" t="n">
        <v>11</v>
      </c>
      <c r="M95" t="n">
        <v>0</v>
      </c>
      <c r="N95" t="n">
        <v>12</v>
      </c>
      <c r="O95" t="n">
        <v>0</v>
      </c>
      <c r="P95">
        <f>Table1[[#This Row],[TA 1 - Q1 Score]]+Table1[[#This Row],[TA 1 - Q2 Score]]+Table1[[#This Row],[TA 1 - Q3 Score]]</f>
        <v/>
      </c>
      <c r="Q95">
        <f>Table1[[#This Row],[TA 1 - Q1 Bonus]]+Table1[[#This Row],[TA 1 - Q2 Bonus]]+Table1[[#This Row],[TA 1 - Q4 Bonus]]</f>
        <v/>
      </c>
      <c r="R95">
        <f>Table1[[#This Row],[TA 2 - Q1 Score]]+Table1[[#This Row],[TA 2 - Q2 Score]]+Table1[[#This Row],[TA 2 - Q3 Score]]</f>
        <v/>
      </c>
      <c r="S95">
        <f>Table1[[#This Row],[TA 2 - Q1 Bonus]]+Table1[[#This Row],[TA 2 - Q2 Bonus]]+Table1[[#This Row],[TA 2 - Q4 Bonus]]</f>
        <v/>
      </c>
      <c r="T95">
        <f>(Table1[[#This Row],[TA 1 - Total Score (out of 35)]]+Table1[[#This Row],[TA 2 - Total Score (out of 35)]])/2</f>
        <v/>
      </c>
      <c r="U95">
        <f>(Table1[[#This Row],[TA 1 - Total Bonus (out of 13)]]+Table1[[#This Row],[TA 2 - Total Bonus (out of 13)]])/2</f>
        <v/>
      </c>
      <c r="V95">
        <f>Table1[[#This Row],[Average Questions]]/35*20+Table1[[#This Row],[Average Bonus]]/13*5</f>
        <v/>
      </c>
      <c r="W95" t="n">
        <v>6</v>
      </c>
      <c r="X95" t="n">
        <v>0</v>
      </c>
      <c r="Y95"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2.0/?
- Part 5: Bonus — Test Time Augmentation: 0.0/?</t>
        </is>
      </c>
      <c r="Z95" t="n">
        <v>4</v>
      </c>
      <c r="AA95" t="n">
        <v>0</v>
      </c>
      <c r="AB95" t="inlineStr">
        <is>
          <t>The submission failed to load and prepare the data correctly, as it used the wrong dataset for training and testing. The CNN model was not built as per the reference solution, and the training and validation functions were not implemented. The training process was also not executed. The bonus task of adding a residual connection was not attempted.
Breakdown:
- Part 1: Load and Prepare Data: 0.0/?
- Part 2: Build the CNN Model: 0.0/?
- Part 3: Training and Validation Functions: 0.0/?
- Part 4: Training: 0.0/?
- Part 5: Bonus — Residual Connection: 0.0/?</t>
        </is>
      </c>
      <c r="AC95" t="n">
        <v>6</v>
      </c>
      <c r="AD95" t="inlineStr">
        <is>
          <t>The student's submission is incomplete and lacks code for several tasks. While they attempted to visualize predictions, their code is not fully functional and does not meet the requirements of the task. As a result, the student earns 0 points for Tasks 1-4 and 6 points for Task 5, for a total score of 6.0.
Breakdown:
- Task 1: Dataset Class: 0.0/?
- Task 2: Model Class: 0.0/?
- Task 3: Training and Validation Loops: 0.0/?
- Task 4: Running Training: 0.0/?
- Task 5: Visualizing Predictions: 6.0/?</t>
        </is>
      </c>
      <c r="AE95" t="n">
        <v>0</v>
      </c>
      <c r="AF95" t="n">
        <v>0</v>
      </c>
      <c r="AG95" t="inlineStr">
        <is>
          <t>No submission found.</t>
        </is>
      </c>
      <c r="AH95" t="n">
        <v>16</v>
      </c>
      <c r="AI95" t="n">
        <v>0</v>
      </c>
    </row>
    <row r="96">
      <c r="A96" t="n">
        <v>95</v>
      </c>
      <c r="B96" t="inlineStr">
        <is>
          <t>TA_2</t>
        </is>
      </c>
      <c r="C96" t="inlineStr">
        <is>
          <t>TA_12</t>
        </is>
      </c>
      <c r="D96" t="n">
        <v>12</v>
      </c>
      <c r="E96" t="n">
        <v>0</v>
      </c>
      <c r="F96" t="n">
        <v>11</v>
      </c>
      <c r="G96" t="n">
        <v>4</v>
      </c>
      <c r="H96" t="n">
        <v>12</v>
      </c>
      <c r="I96" t="n">
        <v>0</v>
      </c>
      <c r="J96" t="n">
        <v>11</v>
      </c>
      <c r="K96" t="n">
        <v>4</v>
      </c>
      <c r="L96" t="n">
        <v>10.65</v>
      </c>
      <c r="M96" t="n">
        <v>2.25</v>
      </c>
      <c r="N96" t="n">
        <v>12</v>
      </c>
      <c r="O96" t="n">
        <v>0</v>
      </c>
      <c r="P96">
        <f>Table1[[#This Row],[TA 1 - Q1 Score]]+Table1[[#This Row],[TA 1 - Q2 Score]]+Table1[[#This Row],[TA 1 - Q3 Score]]</f>
        <v/>
      </c>
      <c r="Q96">
        <f>Table1[[#This Row],[TA 1 - Q1 Bonus]]+Table1[[#This Row],[TA 1 - Q2 Bonus]]+Table1[[#This Row],[TA 1 - Q4 Bonus]]</f>
        <v/>
      </c>
      <c r="R96">
        <f>Table1[[#This Row],[TA 2 - Q1 Score]]+Table1[[#This Row],[TA 2 - Q2 Score]]+Table1[[#This Row],[TA 2 - Q3 Score]]</f>
        <v/>
      </c>
      <c r="S96">
        <f>Table1[[#This Row],[TA 2 - Q1 Bonus]]+Table1[[#This Row],[TA 2 - Q2 Bonus]]+Table1[[#This Row],[TA 2 - Q4 Bonus]]</f>
        <v/>
      </c>
      <c r="T96">
        <f>(Table1[[#This Row],[TA 1 - Total Score (out of 35)]]+Table1[[#This Row],[TA 2 - Total Score (out of 35)]])/2</f>
        <v/>
      </c>
      <c r="U96">
        <f>(Table1[[#This Row],[TA 1 - Total Bonus (out of 13)]]+Table1[[#This Row],[TA 2 - Total Bonus (out of 13)]])/2</f>
        <v/>
      </c>
      <c r="V96">
        <f>Table1[[#This Row],[Average Questions]]/35*20+Table1[[#This Row],[Average Bonus]]/13*5</f>
        <v/>
      </c>
      <c r="W96" t="n">
        <v>6</v>
      </c>
      <c r="X96" t="n">
        <v>0</v>
      </c>
      <c r="Y96"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96" t="n">
        <v>4</v>
      </c>
      <c r="AA96" t="n">
        <v>0</v>
      </c>
      <c r="AB96"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96" t="n">
        <v>6</v>
      </c>
      <c r="AD96" t="inlineStr">
        <is>
          <t>The student's submission was incomplete and lacked code for several tasks. While the code for visualizing predictions was partially correct, it did not run end-to-end due to missing imports and incorrect usage of the model. As a result, the student was awarded 0 points for the first four tasks and 6 points for the fifth task.
Breakdown:
- Task 1: Dataset Class: 0.0/?
- Task 2: Model Class: 0.0/?
- Task 3: Training and Validation Loops: 0.0/?
- Task 4: Running Training: 0.0/?
- Task 5: Visualizing Predictions: 6.0/?</t>
        </is>
      </c>
      <c r="AE96" t="n">
        <v>0</v>
      </c>
      <c r="AF96" t="n">
        <v>0</v>
      </c>
      <c r="AG96" t="inlineStr">
        <is>
          <t>The student's submission fails to implement the `ColorizationDataset` class correctly, resulting in a score of 0.0 for the base task. The bonus task is not attempted, so the bonus score is also 0.0. The student's code attempts to use a convolutional layer to convert RGB images to grayscale, which is an entirely wrong approach. Additionally, the `__getitem__` method does not correctly return the grayscale and color images. Overall, the student's submission does not demonstrate a clear understanding of the task and does not produce the correct output.
Breakdown:
- Correctly implemented `ColorizationDataset` class:: 0.0/?</t>
        </is>
      </c>
      <c r="AH96" t="n">
        <v>16</v>
      </c>
      <c r="AI96" t="n">
        <v>0</v>
      </c>
    </row>
    <row r="97">
      <c r="A97" t="n">
        <v>96</v>
      </c>
      <c r="B97" t="inlineStr">
        <is>
          <t>TA_2</t>
        </is>
      </c>
      <c r="C97" t="inlineStr">
        <is>
          <t>TA_12</t>
        </is>
      </c>
      <c r="D97" t="n">
        <v>6.5</v>
      </c>
      <c r="E97" t="n">
        <v>0</v>
      </c>
      <c r="F97" t="n">
        <v>6.65</v>
      </c>
      <c r="G97" t="n">
        <v>0</v>
      </c>
      <c r="H97" t="n">
        <v>7</v>
      </c>
      <c r="I97" t="n">
        <v>0</v>
      </c>
      <c r="J97" t="n">
        <v>2.75</v>
      </c>
      <c r="K97" t="n">
        <v>0</v>
      </c>
      <c r="L97" t="n">
        <v>6.75</v>
      </c>
      <c r="M97" t="n">
        <v>0</v>
      </c>
      <c r="N97" t="n">
        <v>3.9</v>
      </c>
      <c r="O97" t="n">
        <v>0</v>
      </c>
      <c r="P97">
        <f>Table1[[#This Row],[TA 1 - Q1 Score]]+Table1[[#This Row],[TA 1 - Q2 Score]]+Table1[[#This Row],[TA 1 - Q3 Score]]</f>
        <v/>
      </c>
      <c r="Q97">
        <f>Table1[[#This Row],[TA 1 - Q1 Bonus]]+Table1[[#This Row],[TA 1 - Q2 Bonus]]+Table1[[#This Row],[TA 1 - Q4 Bonus]]</f>
        <v/>
      </c>
      <c r="R97">
        <f>Table1[[#This Row],[TA 2 - Q1 Score]]+Table1[[#This Row],[TA 2 - Q2 Score]]+Table1[[#This Row],[TA 2 - Q3 Score]]</f>
        <v/>
      </c>
      <c r="S97">
        <f>Table1[[#This Row],[TA 2 - Q1 Bonus]]+Table1[[#This Row],[TA 2 - Q2 Bonus]]+Table1[[#This Row],[TA 2 - Q4 Bonus]]</f>
        <v/>
      </c>
      <c r="T97">
        <f>(Table1[[#This Row],[TA 1 - Total Score (out of 35)]]+Table1[[#This Row],[TA 2 - Total Score (out of 35)]])/2</f>
        <v/>
      </c>
      <c r="U97">
        <f>(Table1[[#This Row],[TA 1 - Total Bonus (out of 13)]]+Table1[[#This Row],[TA 2 - Total Bonus (out of 13)]])/2</f>
        <v/>
      </c>
      <c r="V97">
        <f>Table1[[#This Row],[Average Questions]]/35*20+Table1[[#This Row],[Average Bonus]]/13*5</f>
        <v/>
      </c>
      <c r="W97" t="n">
        <v>6</v>
      </c>
      <c r="X97" t="n">
        <v>0</v>
      </c>
      <c r="Y9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correctly.
Breakdown:
- Part 1: Load and Prepare Data: 0.0/?
- Part 2: Load Pretrained Model and Adapt: 0.0/?
- Part 3: Training and Validation Functions: 0.0/?
- Part 4: Training: 2.0/?
- Part 5: Bonus — Test Time Augmentation: 0.0/?</t>
        </is>
      </c>
      <c r="Z97" t="n">
        <v>4</v>
      </c>
      <c r="AA97" t="n">
        <v>0</v>
      </c>
      <c r="AB97"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97" t="n">
        <v>6</v>
      </c>
      <c r="AD97" t="inlineStr">
        <is>
          <t>The student's submission failed to meet the requirements of the task. The code was not organized in a way that allowed it to run end-to-end, and several tasks were not implemented correctly. As a result, the student did not demonstrate a clear understanding of the concepts and did not meet the requirements of the task.
Breakdown:
- Task 1: Dataset Class: 0.0/?
- Task 2: Model Class: 0.0/?
- Task 3: Training and Validation Loops: 0.0/?
- Task 4: Running Training: 0.0/?
- Task 5: Visualizing Predictions: 0.0/?</t>
        </is>
      </c>
      <c r="AE97" t="n">
        <v>0</v>
      </c>
      <c r="AF97" t="n">
        <v>0</v>
      </c>
      <c r="AG97" t="inlineStr">
        <is>
          <t>No submission found.</t>
        </is>
      </c>
      <c r="AH97" t="n">
        <v>16</v>
      </c>
      <c r="AI97" t="n">
        <v>0</v>
      </c>
    </row>
    <row r="98">
      <c r="A98" t="n">
        <v>97</v>
      </c>
      <c r="B98" t="inlineStr">
        <is>
          <t>TA_2</t>
        </is>
      </c>
      <c r="C98" t="inlineStr">
        <is>
          <t>TA_12</t>
        </is>
      </c>
      <c r="D98" t="n">
        <v>12</v>
      </c>
      <c r="E98" t="n">
        <v>3</v>
      </c>
      <c r="F98" t="n">
        <v>11</v>
      </c>
      <c r="G98" t="n">
        <v>1</v>
      </c>
      <c r="H98" t="n">
        <v>11.5</v>
      </c>
      <c r="I98" t="n">
        <v>0</v>
      </c>
      <c r="J98" t="n">
        <v>12</v>
      </c>
      <c r="K98" t="n">
        <v>3.5</v>
      </c>
      <c r="L98" t="n">
        <v>10.5</v>
      </c>
      <c r="M98" t="n">
        <v>0</v>
      </c>
      <c r="N98" t="n">
        <v>11</v>
      </c>
      <c r="O98" t="n">
        <v>0</v>
      </c>
      <c r="P98">
        <f>Table1[[#This Row],[TA 1 - Q1 Score]]+Table1[[#This Row],[TA 1 - Q2 Score]]+Table1[[#This Row],[TA 1 - Q3 Score]]</f>
        <v/>
      </c>
      <c r="Q98">
        <f>Table1[[#This Row],[TA 1 - Q1 Bonus]]+Table1[[#This Row],[TA 1 - Q2 Bonus]]+Table1[[#This Row],[TA 1 - Q4 Bonus]]</f>
        <v/>
      </c>
      <c r="R98">
        <f>Table1[[#This Row],[TA 2 - Q1 Score]]+Table1[[#This Row],[TA 2 - Q2 Score]]+Table1[[#This Row],[TA 2 - Q3 Score]]</f>
        <v/>
      </c>
      <c r="S98">
        <f>Table1[[#This Row],[TA 2 - Q1 Bonus]]+Table1[[#This Row],[TA 2 - Q2 Bonus]]+Table1[[#This Row],[TA 2 - Q4 Bonus]]</f>
        <v/>
      </c>
      <c r="T98">
        <f>(Table1[[#This Row],[TA 1 - Total Score (out of 35)]]+Table1[[#This Row],[TA 2 - Total Score (out of 35)]])/2</f>
        <v/>
      </c>
      <c r="U98">
        <f>(Table1[[#This Row],[TA 1 - Total Bonus (out of 13)]]+Table1[[#This Row],[TA 2 - Total Bonus (out of 13)]])/2</f>
        <v/>
      </c>
      <c r="V98">
        <f>Table1[[#This Row],[Average Questions]]/35*20+Table1[[#This Row],[Average Bonus]]/13*5</f>
        <v/>
      </c>
      <c r="W98" t="n">
        <v>6</v>
      </c>
      <c r="X98" t="n">
        <v>0</v>
      </c>
      <c r="Y98" t="inlineStr">
        <is>
          <t>The student's submission failed to complete several key tasks, including loading and preparing the data, loading a pretrained model, and training the model. While they did attempt to implement the training and validation functions, their code contained significant errors. The bonus task of implementing test time augmentation was also not completed.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98" t="n">
        <v>4</v>
      </c>
      <c r="AA98" t="n">
        <v>4</v>
      </c>
      <c r="AB98" t="inlineStr">
        <is>
          <t>The student's submission failed to complete the majority of the tasks, including loading and preparing the data, building the CNN model, and implementing the training and validation functions. However, they did attempt the bonus task of adding a residual connection to the CNN model, which they successfully implemented and retrained. As a result, they earned the full 4 points for the bonus task, but zero points for the remaining tasks.
Breakdown:
- Part 1: Load and Prepare Data: 0.0/?
- Part 2: Build the CNN Model: 0.0/?
- Part 3: Training and Validation Functions: 0.0/?
- Part 4: Training: 0.0/?
- Part 5: Bonus — Residual Connection: 4.0/?</t>
        </is>
      </c>
      <c r="AC98" t="n">
        <v>6</v>
      </c>
      <c r="AD98" t="inlineStr">
        <is>
          <t>The student's submission failed to meet the requirements of the task. The code was not organized, and several tasks were not completed correctly. The model class was not defined correctly, and the training and validation loops were not defined correctly.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98" t="n">
        <v>0</v>
      </c>
      <c r="AF98" t="n">
        <v>0</v>
      </c>
      <c r="AG98" t="inlineStr">
        <is>
          <t>No submission found.</t>
        </is>
      </c>
      <c r="AH98" t="n">
        <v>16</v>
      </c>
      <c r="AI98" t="n">
        <v>4</v>
      </c>
    </row>
    <row r="99">
      <c r="A99" t="n">
        <v>98</v>
      </c>
      <c r="B99" t="inlineStr">
        <is>
          <t>TA_2</t>
        </is>
      </c>
      <c r="C99" t="inlineStr">
        <is>
          <t>TA_12</t>
        </is>
      </c>
      <c r="D99" t="n">
        <v>6</v>
      </c>
      <c r="E99" t="n">
        <v>0</v>
      </c>
      <c r="F99" t="n">
        <v>4.5</v>
      </c>
      <c r="G99" t="n">
        <v>0</v>
      </c>
      <c r="H99" t="n">
        <v>3.5</v>
      </c>
      <c r="I99" t="n">
        <v>0</v>
      </c>
      <c r="J99" t="n">
        <v>3.25</v>
      </c>
      <c r="K99" t="n">
        <v>0</v>
      </c>
      <c r="L99" t="n">
        <v>2.75</v>
      </c>
      <c r="M99" t="n">
        <v>0</v>
      </c>
      <c r="N99" t="n">
        <v>0.4</v>
      </c>
      <c r="O99" t="n">
        <v>0</v>
      </c>
      <c r="P99">
        <f>Table1[[#This Row],[TA 1 - Q1 Score]]+Table1[[#This Row],[TA 1 - Q2 Score]]+Table1[[#This Row],[TA 1 - Q3 Score]]</f>
        <v/>
      </c>
      <c r="Q99">
        <f>Table1[[#This Row],[TA 1 - Q1 Bonus]]+Table1[[#This Row],[TA 1 - Q2 Bonus]]+Table1[[#This Row],[TA 1 - Q4 Bonus]]</f>
        <v/>
      </c>
      <c r="R99">
        <f>Table1[[#This Row],[TA 2 - Q1 Score]]+Table1[[#This Row],[TA 2 - Q2 Score]]+Table1[[#This Row],[TA 2 - Q3 Score]]</f>
        <v/>
      </c>
      <c r="S99">
        <f>Table1[[#This Row],[TA 2 - Q1 Bonus]]+Table1[[#This Row],[TA 2 - Q2 Bonus]]+Table1[[#This Row],[TA 2 - Q4 Bonus]]</f>
        <v/>
      </c>
      <c r="T99">
        <f>(Table1[[#This Row],[TA 1 - Total Score (out of 35)]]+Table1[[#This Row],[TA 2 - Total Score (out of 35)]])/2</f>
        <v/>
      </c>
      <c r="U99">
        <f>(Table1[[#This Row],[TA 1 - Total Bonus (out of 13)]]+Table1[[#This Row],[TA 2 - Total Bonus (out of 13)]])/2</f>
        <v/>
      </c>
      <c r="V99">
        <f>Table1[[#This Row],[Average Questions]]/35*20+Table1[[#This Row],[Average Bonus]]/13*5</f>
        <v/>
      </c>
      <c r="W99" t="n">
        <v>6</v>
      </c>
      <c r="X99" t="n">
        <v>0</v>
      </c>
      <c r="Y99" t="inlineStr">
        <is>
          <t>The student's submission failed to complete several key tasks, including loading and preparing the data, loading a pretrained model and adapting it, and training the model. The code for the training and validation functions was partially correct, but the student failed to fix the labels, resulting in a penalty.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99" t="n">
        <v>4</v>
      </c>
      <c r="AA99" t="n">
        <v>0</v>
      </c>
      <c r="AB9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99" t="n">
        <v>6</v>
      </c>
      <c r="AD99"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99" t="n">
        <v>0</v>
      </c>
      <c r="AF99" t="n">
        <v>0</v>
      </c>
      <c r="AG99" t="inlineStr">
        <is>
          <t>The student's submission does not meet the requirements of the task. The `ColorizationDataset` class is not implemented correctly, and the student did not attempt to implement the required methods. As a result, the submission does not run end-to-end and does not produce the expected output.
Breakdown:
- Correctly implemented `ColorizationDataset` class:: 0.0/?
- Any mistake in implementation: 0.0/?</t>
        </is>
      </c>
      <c r="AH99" t="n">
        <v>16</v>
      </c>
      <c r="AI99" t="n">
        <v>0</v>
      </c>
    </row>
    <row r="100">
      <c r="A100" t="n">
        <v>99</v>
      </c>
      <c r="B100" t="inlineStr">
        <is>
          <t>TA_2</t>
        </is>
      </c>
      <c r="C100" t="inlineStr">
        <is>
          <t>TA_12</t>
        </is>
      </c>
      <c r="D100" t="n">
        <v>10</v>
      </c>
      <c r="E100" t="n">
        <v>0</v>
      </c>
      <c r="F100" t="n">
        <v>11</v>
      </c>
      <c r="G100" t="n">
        <v>0</v>
      </c>
      <c r="H100" t="n">
        <v>2</v>
      </c>
      <c r="I100" t="n">
        <v>5</v>
      </c>
      <c r="J100" t="n">
        <v>11</v>
      </c>
      <c r="K100" t="n">
        <v>4</v>
      </c>
      <c r="L100" t="n">
        <v>10</v>
      </c>
      <c r="M100" t="n">
        <v>0</v>
      </c>
      <c r="N100" t="n">
        <v>0</v>
      </c>
      <c r="O100" t="n">
        <v>5</v>
      </c>
      <c r="P100">
        <f>Table1[[#This Row],[TA 1 - Q1 Score]]+Table1[[#This Row],[TA 1 - Q2 Score]]+Table1[[#This Row],[TA 1 - Q3 Score]]</f>
        <v/>
      </c>
      <c r="Q100">
        <f>Table1[[#This Row],[TA 1 - Q1 Bonus]]+Table1[[#This Row],[TA 1 - Q2 Bonus]]+Table1[[#This Row],[TA 1 - Q4 Bonus]]</f>
        <v/>
      </c>
      <c r="R100">
        <f>Table1[[#This Row],[TA 2 - Q1 Score]]+Table1[[#This Row],[TA 2 - Q2 Score]]+Table1[[#This Row],[TA 2 - Q3 Score]]</f>
        <v/>
      </c>
      <c r="S100">
        <f>Table1[[#This Row],[TA 2 - Q1 Bonus]]+Table1[[#This Row],[TA 2 - Q2 Bonus]]+Table1[[#This Row],[TA 2 - Q4 Bonus]]</f>
        <v/>
      </c>
      <c r="T100">
        <f>(Table1[[#This Row],[TA 1 - Total Score (out of 35)]]+Table1[[#This Row],[TA 2 - Total Score (out of 35)]])/2</f>
        <v/>
      </c>
      <c r="U100">
        <f>(Table1[[#This Row],[TA 1 - Total Bonus (out of 13)]]+Table1[[#This Row],[TA 2 - Total Bonus (out of 13)]])/2</f>
        <v/>
      </c>
      <c r="V100">
        <f>Table1[[#This Row],[Average Questions]]/35*20+Table1[[#This Row],[Average Bonus]]/13*5</f>
        <v/>
      </c>
      <c r="W100" t="n">
        <v>6</v>
      </c>
      <c r="X100" t="n">
        <v>0</v>
      </c>
      <c r="Y10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100" t="n">
        <v>6</v>
      </c>
      <c r="AA100" t="n">
        <v>0</v>
      </c>
      <c r="AB100"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any points for the base tasks, and their bonus task was also not completed.
Breakdown:
- Part 1: Load and Prepare Data: 0.0/?
- Part 2: Build the CNN Model: 0.0/?
- Part 3: Training and Validation Functions: 0.0/?
- Part 4: Training: 2.0/?
- Part 5: Bonus — Residual Connection: 0.0/?</t>
        </is>
      </c>
      <c r="AC100" t="n">
        <v>6</v>
      </c>
      <c r="AD100"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00" t="n">
        <v>0</v>
      </c>
      <c r="AF100" t="n">
        <v>0</v>
      </c>
      <c r="AG100" t="inlineStr">
        <is>
          <t>The student's submission does not meet the requirements of the task. The `ColorizationDataset` class is not implemented correctly, and the code does not run end-to-end. The student attempted to implement the `rgb_to_grayscale` method, but it does not correctly calculate the grayscale value. Additionally, the `__getitem__` method does not return the correct grayscale and color images. As a result, the student did not earn any points for this task.
Breakdown:
- Correctly implemented `ColorizationDataset` class:: 0.0/?</t>
        </is>
      </c>
      <c r="AH100" t="n">
        <v>18</v>
      </c>
      <c r="AI100" t="n">
        <v>0</v>
      </c>
    </row>
    <row r="101">
      <c r="A101" t="n">
        <v>100</v>
      </c>
      <c r="B101" t="inlineStr">
        <is>
          <t>TA_2</t>
        </is>
      </c>
      <c r="C101" t="inlineStr">
        <is>
          <t>TA_12</t>
        </is>
      </c>
      <c r="D101" t="n">
        <v>8.5</v>
      </c>
      <c r="E101" t="n">
        <v>1</v>
      </c>
      <c r="F101" t="n">
        <v>10.5</v>
      </c>
      <c r="G101" t="n">
        <v>1</v>
      </c>
      <c r="H101" t="n">
        <v>12</v>
      </c>
      <c r="I101" t="n">
        <v>0</v>
      </c>
      <c r="J101" t="n">
        <v>5.5</v>
      </c>
      <c r="K101" t="n">
        <v>0.5</v>
      </c>
      <c r="L101" t="n">
        <v>10</v>
      </c>
      <c r="M101" t="n">
        <v>0</v>
      </c>
      <c r="N101" t="n">
        <v>11.9</v>
      </c>
      <c r="O101" t="n">
        <v>0</v>
      </c>
      <c r="P101">
        <f>Table1[[#This Row],[TA 1 - Q1 Score]]+Table1[[#This Row],[TA 1 - Q2 Score]]+Table1[[#This Row],[TA 1 - Q3 Score]]</f>
        <v/>
      </c>
      <c r="Q101">
        <f>Table1[[#This Row],[TA 1 - Q1 Bonus]]+Table1[[#This Row],[TA 1 - Q2 Bonus]]+Table1[[#This Row],[TA 1 - Q4 Bonus]]</f>
        <v/>
      </c>
      <c r="R101">
        <f>Table1[[#This Row],[TA 2 - Q1 Score]]+Table1[[#This Row],[TA 2 - Q2 Score]]+Table1[[#This Row],[TA 2 - Q3 Score]]</f>
        <v/>
      </c>
      <c r="S101">
        <f>Table1[[#This Row],[TA 2 - Q1 Bonus]]+Table1[[#This Row],[TA 2 - Q2 Bonus]]+Table1[[#This Row],[TA 2 - Q4 Bonus]]</f>
        <v/>
      </c>
      <c r="T101">
        <f>(Table1[[#This Row],[TA 1 - Total Score (out of 35)]]+Table1[[#This Row],[TA 2 - Total Score (out of 35)]])/2</f>
        <v/>
      </c>
      <c r="U101">
        <f>(Table1[[#This Row],[TA 1 - Total Bonus (out of 13)]]+Table1[[#This Row],[TA 2 - Total Bonus (out of 13)]])/2</f>
        <v/>
      </c>
      <c r="V101">
        <f>Table1[[#This Row],[Average Questions]]/35*20+Table1[[#This Row],[Average Bonus]]/13*5</f>
        <v/>
      </c>
      <c r="W101" t="n">
        <v>6</v>
      </c>
      <c r="X101" t="n">
        <v>0</v>
      </c>
      <c r="Y101" t="inlineStr">
        <is>
          <t>The student's submission failed to complete several key tasks, including loading and preparing the data, loading a pretrained model, and adapting it to the EMNIST dataset. The training and validation functions were partially implemented, but the student failed to fix the labels for the 0-indexed classes. The training process was also incomplete, and the bonus task of implementing test time augmentation was not attempted. Overall, the submission demonstrates a lack of understanding of the required tasks and a failure to complete key components of the assignment.
Breakdown:
- Part 1: Load and Prepare Data: 0.0/?
- Part 2: Load Pretrained Model and Adapt: 0.0/?
- Part 3: Training and Validation Functions: 1.5/?
- Part 4: Training: 2.5/?
- Part 5: Bonus — Test Time Augmentation: 0.0/?</t>
        </is>
      </c>
      <c r="Z101" t="n">
        <v>4</v>
      </c>
      <c r="AA101" t="n">
        <v>0</v>
      </c>
      <c r="AB101"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01" t="n">
        <v>6</v>
      </c>
      <c r="AD101" t="inlineStr">
        <is>
          <t>The student's submission was incomplete and lacked code for several tasks. While the code for visualizing predictions was partially correct, it did not run end-to-end due to missing imports and incorrect usage of the model. As a result, the student was awarded 0 points for the first four tasks and 6 points for the fifth task.
Breakdown:
- Task 1: Dataset Class: 0.0/?
- Task 2: Model Class: 0.0/?
- Task 3: Training and Validation Loops: 0.0/?
- Task 4: Running Training: 0.0/?
- Task 5: Visualizing Predictions: 6.0/?</t>
        </is>
      </c>
      <c r="AE101" t="n">
        <v>0</v>
      </c>
      <c r="AF101" t="n">
        <v>0</v>
      </c>
      <c r="AG101" t="inlineStr">
        <is>
          <t>The student's submission did not implement the `ColorizationDataset` class correctly, resulting in a score of 0.0 for the base task. Since the student did not implement the class correctly, they did not attempt the bonus task, resulting in a score of 0.0 for the bonus task.
Breakdown:
- Correctly implemented `ColorizationDataset` class:: 0.0/?
- Any mistake in implementation: 0.0/?</t>
        </is>
      </c>
      <c r="AH101" t="n">
        <v>16</v>
      </c>
      <c r="AI101" t="n">
        <v>0</v>
      </c>
    </row>
    <row r="102">
      <c r="A102" t="n">
        <v>101</v>
      </c>
      <c r="B102" t="inlineStr">
        <is>
          <t>TA_2</t>
        </is>
      </c>
      <c r="C102" t="inlineStr">
        <is>
          <t>TA_12</t>
        </is>
      </c>
      <c r="D102" t="n">
        <v>6.7</v>
      </c>
      <c r="E102" t="n">
        <v>0</v>
      </c>
      <c r="F102" t="n">
        <v>8</v>
      </c>
      <c r="G102" t="n">
        <v>0</v>
      </c>
      <c r="H102" t="n">
        <v>12</v>
      </c>
      <c r="I102" t="n">
        <v>0</v>
      </c>
      <c r="J102" t="n">
        <v>6.5</v>
      </c>
      <c r="K102" t="n">
        <v>0</v>
      </c>
      <c r="L102" t="n">
        <v>3.6</v>
      </c>
      <c r="M102" t="n">
        <v>0</v>
      </c>
      <c r="N102" t="n">
        <v>11.8</v>
      </c>
      <c r="O102" t="n">
        <v>0</v>
      </c>
      <c r="P102">
        <f>Table1[[#This Row],[TA 1 - Q1 Score]]+Table1[[#This Row],[TA 1 - Q2 Score]]+Table1[[#This Row],[TA 1 - Q3 Score]]</f>
        <v/>
      </c>
      <c r="Q102">
        <f>Table1[[#This Row],[TA 1 - Q1 Bonus]]+Table1[[#This Row],[TA 1 - Q2 Bonus]]+Table1[[#This Row],[TA 1 - Q4 Bonus]]</f>
        <v/>
      </c>
      <c r="R102">
        <f>Table1[[#This Row],[TA 2 - Q1 Score]]+Table1[[#This Row],[TA 2 - Q2 Score]]+Table1[[#This Row],[TA 2 - Q3 Score]]</f>
        <v/>
      </c>
      <c r="S102">
        <f>Table1[[#This Row],[TA 2 - Q1 Bonus]]+Table1[[#This Row],[TA 2 - Q2 Bonus]]+Table1[[#This Row],[TA 2 - Q4 Bonus]]</f>
        <v/>
      </c>
      <c r="T102">
        <f>(Table1[[#This Row],[TA 1 - Total Score (out of 35)]]+Table1[[#This Row],[TA 2 - Total Score (out of 35)]])/2</f>
        <v/>
      </c>
      <c r="U102">
        <f>(Table1[[#This Row],[TA 1 - Total Bonus (out of 13)]]+Table1[[#This Row],[TA 2 - Total Bonus (out of 13)]])/2</f>
        <v/>
      </c>
      <c r="V102">
        <f>Table1[[#This Row],[Average Questions]]/35*20+Table1[[#This Row],[Average Bonus]]/13*5</f>
        <v/>
      </c>
      <c r="W102" t="n">
        <v>6</v>
      </c>
      <c r="X102" t="n">
        <v>0</v>
      </c>
      <c r="Y102" t="inlineStr">
        <is>
          <t>The student's submission failed to complete several key tasks, including loading and preparing the data, loading the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produce a working solution.
Breakdown:
- Part 1: Load and Prepare Data: 0.0/?
- Part 2: Load Pretrained Model and Adapt: 0.0/?
- Part 3: Training and Validation Functions: 1.5/?
- Part 4: Training: 0.0/?
- Part 5: Bonus — Test Time Augmentation: 0.0/?</t>
        </is>
      </c>
      <c r="Z102" t="n">
        <v>4</v>
      </c>
      <c r="AA102" t="n">
        <v>0</v>
      </c>
      <c r="AB102" t="inlineStr">
        <is>
          <t>The student's submission failed to meet the requirements of the task. The code was not organized in a way that allowed it to run end-to-end, and several key tasks were left unattempted. The CNN model class was not defined with 5 convolutional layers, and the training and validation functions were not implemented. As a result, the student was unable to train the model or evaluate its performance.
Breakdown:
- Part 1: Load and Prepare Data: 0.0/?
- Part 2: Build the CNN Model: 0.0/?
- Part 3: Training and Validation Functions: 0.0/?
- Part 4: Training: 0.0/?
- Part 5: Bonus — Residual Connection: 0.0/?</t>
        </is>
      </c>
      <c r="AC102" t="n">
        <v>6</v>
      </c>
      <c r="AD102" t="inlineStr">
        <is>
          <t>The student's submission is incomplete and lacks code for several tasks. While they attempted to visualize predictions, their code is not fully functional and does not meet the requirements of the task. As a result, the student earns 0 points for Tasks 1-4 and 6 points for Task 5, for a total score of 6.0.
Breakdown:
- Task 1: Dataset Class: 0.0/?
- Task 2: Model Class: 0.0/?
- Task 3: Training and Validation Loops: 0.0/?
- Task 4: Running Training: 0.0/?
- Task 5: Visualizing Predictions: 6.0/?</t>
        </is>
      </c>
      <c r="AE102" t="n">
        <v>0</v>
      </c>
      <c r="AF102" t="n">
        <v>0</v>
      </c>
      <c r="AG102" t="inlineStr">
        <is>
          <t>No submission found.</t>
        </is>
      </c>
      <c r="AH102" t="n">
        <v>16</v>
      </c>
      <c r="AI102" t="n">
        <v>0</v>
      </c>
    </row>
    <row r="103">
      <c r="A103" t="n">
        <v>102</v>
      </c>
      <c r="B103" t="inlineStr">
        <is>
          <t>TA_2</t>
        </is>
      </c>
      <c r="C103" t="inlineStr">
        <is>
          <t>TA_12</t>
        </is>
      </c>
      <c r="D103" t="n">
        <v>5.5</v>
      </c>
      <c r="E103" t="n">
        <v>0</v>
      </c>
      <c r="F103" t="n">
        <v>9</v>
      </c>
      <c r="G103" t="n">
        <v>3</v>
      </c>
      <c r="H103" t="n">
        <v>12</v>
      </c>
      <c r="I103" t="n">
        <v>0</v>
      </c>
      <c r="J103" t="n">
        <v>4.75</v>
      </c>
      <c r="K103" t="n">
        <v>0</v>
      </c>
      <c r="L103" t="n">
        <v>8</v>
      </c>
      <c r="M103" t="n">
        <v>0</v>
      </c>
      <c r="N103" t="n">
        <v>4.65</v>
      </c>
      <c r="O103" t="n">
        <v>0</v>
      </c>
      <c r="P103">
        <f>Table1[[#This Row],[TA 1 - Q1 Score]]+Table1[[#This Row],[TA 1 - Q2 Score]]+Table1[[#This Row],[TA 1 - Q3 Score]]</f>
        <v/>
      </c>
      <c r="Q103">
        <f>Table1[[#This Row],[TA 1 - Q1 Bonus]]+Table1[[#This Row],[TA 1 - Q2 Bonus]]+Table1[[#This Row],[TA 1 - Q4 Bonus]]</f>
        <v/>
      </c>
      <c r="R103">
        <f>Table1[[#This Row],[TA 2 - Q1 Score]]+Table1[[#This Row],[TA 2 - Q2 Score]]+Table1[[#This Row],[TA 2 - Q3 Score]]</f>
        <v/>
      </c>
      <c r="S103">
        <f>Table1[[#This Row],[TA 2 - Q1 Bonus]]+Table1[[#This Row],[TA 2 - Q2 Bonus]]+Table1[[#This Row],[TA 2 - Q4 Bonus]]</f>
        <v/>
      </c>
      <c r="T103">
        <f>(Table1[[#This Row],[TA 1 - Total Score (out of 35)]]+Table1[[#This Row],[TA 2 - Total Score (out of 35)]])/2</f>
        <v/>
      </c>
      <c r="U103">
        <f>(Table1[[#This Row],[TA 1 - Total Bonus (out of 13)]]+Table1[[#This Row],[TA 2 - Total Bonus (out of 13)]])/2</f>
        <v/>
      </c>
      <c r="V103">
        <f>Table1[[#This Row],[Average Questions]]/35*20+Table1[[#This Row],[Average Bonus]]/13*5</f>
        <v/>
      </c>
      <c r="W103" t="n">
        <v>6</v>
      </c>
      <c r="X103" t="n">
        <v>0</v>
      </c>
      <c r="Y10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which is a critical component of the bonus task. Overall, the student's submission demonstrates a lack of understanding of the key concepts and techniques required to complete the task.
Breakdown:
- Part 1: Load and Prepare Data: 0.0/?
- Part 2: Load Pretrained Model and Adapt: 0.0/?
- Part 3: Training and Validation Functions: 0.0/?
- Part 4: Training: 3.0/?
- Part 5: Bonus — Test Time Augmentation: 0.0/?</t>
        </is>
      </c>
      <c r="Z103" t="n">
        <v>4</v>
      </c>
      <c r="AA103" t="n">
        <v>0</v>
      </c>
      <c r="AB103" t="inlineStr">
        <is>
          <t>The student's submission failed to meet the requirements of the task. The code does not load and prepare the data correctly, does not build the CNN model as specified, does not implement the training and validation functions, does not train the model, and does not implement the residual connection. The student's code is disorganized and does not run end-to-end. As a result, the student receives 0% for each task.
Breakdown:
- Part 1: Load and Prepare Data: 0.0/?
- Part 2: Build the CNN Model: 0.0/?
- Part 3: Training and Validation Functions: 0.0/?
- Part 4: Training: 0.0/?
- Part 5: Bonus — Residual Connection: 0.0/?</t>
        </is>
      </c>
      <c r="AC103" t="n">
        <v>6</v>
      </c>
      <c r="AD103" t="inlineStr">
        <is>
          <t>The student's submission was incomplete and lacked code for most tasks. The only task that was partially completed was Task 5: Visualizing Predictions, where the student's code was mostly correct but had some issues that prevented it from running end-to-end. As a result, the student received a score of 6.0 out of 12.0 for the base tasks and 0.0 out of 0.0 for the bonus tasks.
Breakdown:
- Task 1: Dataset Class: 0.0/?
- Task 2: Model Class: 0.0/?
- Task 3: Training and Validation Loops: 0.0/?
- Task 4: Running Training: 0.0/?
- Task 5: Visualizing Predictions: 6.0/?</t>
        </is>
      </c>
      <c r="AE103" t="n">
        <v>0</v>
      </c>
      <c r="AF103" t="n">
        <v>0</v>
      </c>
      <c r="AG103" t="inlineStr">
        <is>
          <t>No submission found.</t>
        </is>
      </c>
      <c r="AH103" t="n">
        <v>16</v>
      </c>
      <c r="AI103" t="n">
        <v>0</v>
      </c>
    </row>
    <row r="104">
      <c r="A104" t="n">
        <v>103</v>
      </c>
      <c r="B104" t="inlineStr">
        <is>
          <t>TA_2</t>
        </is>
      </c>
      <c r="C104" t="inlineStr">
        <is>
          <t>TA_12</t>
        </is>
      </c>
      <c r="D104" t="n">
        <v>11</v>
      </c>
      <c r="E104" t="n">
        <v>4</v>
      </c>
      <c r="F104" t="n">
        <v>10.5</v>
      </c>
      <c r="G104" t="n">
        <v>3</v>
      </c>
      <c r="H104" t="n">
        <v>12</v>
      </c>
      <c r="I104" t="n">
        <v>5</v>
      </c>
      <c r="J104" t="n">
        <v>12</v>
      </c>
      <c r="K104" t="n">
        <v>4</v>
      </c>
      <c r="L104" t="n">
        <v>10</v>
      </c>
      <c r="M104" t="n">
        <v>4</v>
      </c>
      <c r="N104" t="n">
        <v>11.8</v>
      </c>
      <c r="O104" t="n">
        <v>5</v>
      </c>
      <c r="P104">
        <f>Table1[[#This Row],[TA 1 - Q1 Score]]+Table1[[#This Row],[TA 1 - Q2 Score]]+Table1[[#This Row],[TA 1 - Q3 Score]]</f>
        <v/>
      </c>
      <c r="Q104">
        <f>Table1[[#This Row],[TA 1 - Q1 Bonus]]+Table1[[#This Row],[TA 1 - Q2 Bonus]]+Table1[[#This Row],[TA 1 - Q4 Bonus]]</f>
        <v/>
      </c>
      <c r="R104">
        <f>Table1[[#This Row],[TA 2 - Q1 Score]]+Table1[[#This Row],[TA 2 - Q2 Score]]+Table1[[#This Row],[TA 2 - Q3 Score]]</f>
        <v/>
      </c>
      <c r="S104">
        <f>Table1[[#This Row],[TA 2 - Q1 Bonus]]+Table1[[#This Row],[TA 2 - Q2 Bonus]]+Table1[[#This Row],[TA 2 - Q4 Bonus]]</f>
        <v/>
      </c>
      <c r="T104">
        <f>(Table1[[#This Row],[TA 1 - Total Score (out of 35)]]+Table1[[#This Row],[TA 2 - Total Score (out of 35)]])/2</f>
        <v/>
      </c>
      <c r="U104">
        <f>(Table1[[#This Row],[TA 1 - Total Bonus (out of 13)]]+Table1[[#This Row],[TA 2 - Total Bonus (out of 13)]])/2</f>
        <v/>
      </c>
      <c r="V104">
        <f>Table1[[#This Row],[Average Questions]]/35*20+Table1[[#This Row],[Average Bonus]]/13*5</f>
        <v/>
      </c>
      <c r="W104" t="n">
        <v>6</v>
      </c>
      <c r="X104" t="n">
        <v>0</v>
      </c>
      <c r="Y10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104" t="n">
        <v>4</v>
      </c>
      <c r="AA104" t="n">
        <v>0</v>
      </c>
      <c r="AB104"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04" t="n">
        <v>6</v>
      </c>
      <c r="AD104" t="inlineStr">
        <is>
          <t>The student's submission was incomplete, with no code submitted for Tasks 1-4. However, the code for Task 5: Visualizing Predictions was correct and ran, earning 6.0 points. Unfortunately, the lack of effort in the other tasks means that the student's overall score is 6.0.
Breakdown:
- Task 1: Dataset Class: 0.0/?
- Task 2: Model Class: 0.0/?
- Task 3: Training and Validation Loops: 0.0/?
- Task 4: Running Training: 0.0/?
- Task 5: Visualizing Predictions: 6.0/?</t>
        </is>
      </c>
      <c r="AE104" t="n">
        <v>0</v>
      </c>
      <c r="AF104" t="n">
        <v>0</v>
      </c>
      <c r="AG104" t="inlineStr">
        <is>
          <t>The student's submission has several mistakes in the implementation of the `ColorizationDataset` class. The `__init__` method does not store the dataset, the `rgb_to_grayscale` method does not add a channel dimension, and the `__getitem__` method does not return a tuple. These mistakes result in a score of 0 for the base task and 0 for the bonus task.
Breakdown:
- Correctly implemented `ColorizationDataset` class:: 0.0/?
- Any mistake in implementation: 0.0/?</t>
        </is>
      </c>
      <c r="AH104" t="n">
        <v>16</v>
      </c>
      <c r="AI104" t="n">
        <v>0</v>
      </c>
    </row>
    <row r="105">
      <c r="A105" t="n">
        <v>104</v>
      </c>
      <c r="B105" t="inlineStr">
        <is>
          <t>TA_2</t>
        </is>
      </c>
      <c r="C105" t="inlineStr">
        <is>
          <t>TA_12</t>
        </is>
      </c>
      <c r="D105" t="n">
        <v>11.5</v>
      </c>
      <c r="E105" t="n">
        <v>4</v>
      </c>
      <c r="F105" t="n">
        <v>11</v>
      </c>
      <c r="G105" t="n">
        <v>1</v>
      </c>
      <c r="H105" t="n">
        <v>12</v>
      </c>
      <c r="I105" t="n">
        <v>0</v>
      </c>
      <c r="J105" t="n">
        <v>12</v>
      </c>
      <c r="K105" t="n">
        <v>4</v>
      </c>
      <c r="L105" t="n">
        <v>11</v>
      </c>
      <c r="M105" t="n">
        <v>0</v>
      </c>
      <c r="N105" t="n">
        <v>12</v>
      </c>
      <c r="O105" t="n">
        <v>0</v>
      </c>
      <c r="P105">
        <f>Table1[[#This Row],[TA 1 - Q1 Score]]+Table1[[#This Row],[TA 1 - Q2 Score]]+Table1[[#This Row],[TA 1 - Q3 Score]]</f>
        <v/>
      </c>
      <c r="Q105">
        <f>Table1[[#This Row],[TA 1 - Q1 Bonus]]+Table1[[#This Row],[TA 1 - Q2 Bonus]]+Table1[[#This Row],[TA 1 - Q4 Bonus]]</f>
        <v/>
      </c>
      <c r="R105">
        <f>Table1[[#This Row],[TA 2 - Q1 Score]]+Table1[[#This Row],[TA 2 - Q2 Score]]+Table1[[#This Row],[TA 2 - Q3 Score]]</f>
        <v/>
      </c>
      <c r="S105">
        <f>Table1[[#This Row],[TA 2 - Q1 Bonus]]+Table1[[#This Row],[TA 2 - Q2 Bonus]]+Table1[[#This Row],[TA 2 - Q4 Bonus]]</f>
        <v/>
      </c>
      <c r="T105">
        <f>(Table1[[#This Row],[TA 1 - Total Score (out of 35)]]+Table1[[#This Row],[TA 2 - Total Score (out of 35)]])/2</f>
        <v/>
      </c>
      <c r="U105">
        <f>(Table1[[#This Row],[TA 1 - Total Bonus (out of 13)]]+Table1[[#This Row],[TA 2 - Total Bonus (out of 13)]])/2</f>
        <v/>
      </c>
      <c r="V105">
        <f>Table1[[#This Row],[Average Questions]]/35*20+Table1[[#This Row],[Average Bonus]]/13*5</f>
        <v/>
      </c>
      <c r="W105" t="n">
        <v>9</v>
      </c>
      <c r="X105" t="n">
        <v>0</v>
      </c>
      <c r="Y105"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data preparation task. Overall, the student's submission demonstrated a lack of understanding of the key concepts and tasks required to complete the question.
Breakdown:
- Part 1: Load and Prepare Data: 0.0/?
- Part 2: Load Pretrained Model and Adapt: 0.0/?
- Part 3: Training and Validation Functions: 1.5/?
- Part 4: Training: 2.5/?
- Part 5: Bonus — Test Time Augmentation: 0.0/?</t>
        </is>
      </c>
      <c r="Z105" t="n">
        <v>4</v>
      </c>
      <c r="AA105" t="n">
        <v>0</v>
      </c>
      <c r="AB105" t="inlineStr">
        <is>
          <t>The student's submission failed to implement several key tasks, including loading and preparing the data, building the CNN model, training and validation functions, and training the model. The residual connection was also not implemented correctly. As a result, the student's submission was awarded 0 points for each of these tasks. The student's code was disorganized and failed to run end-to-end, making it difficult to assess the correctness of the implementation.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05" t="n">
        <v>6</v>
      </c>
      <c r="AD105" t="inlineStr">
        <is>
          <t>The student's submission is incomplete and lacks code for several tasks. While they attempted to visualize predictions, their code is fragmented and does not run end-to-end. As a result, they are awarded partial credit for Task 5, but 0 points for the remaining tasks.
Breakdown:
- Task 1: Dataset Class: 0.0/?
- Task 2: Model Class: 0.0/?
- Task 3: Training and Validation Loops: 0.0/?
- Task 4: Running Training: 0.0/?
- Task 5: Visualizing Predictions: 6.0/?</t>
        </is>
      </c>
      <c r="AE105" t="n">
        <v>0</v>
      </c>
      <c r="AF105" t="n">
        <v>0</v>
      </c>
      <c r="AG105" t="inlineStr">
        <is>
          <t>No submission found.</t>
        </is>
      </c>
      <c r="AH105" t="n">
        <v>19</v>
      </c>
      <c r="AI105" t="n">
        <v>0</v>
      </c>
    </row>
    <row r="106">
      <c r="A106" t="n">
        <v>105</v>
      </c>
      <c r="B106" t="inlineStr">
        <is>
          <t>TA_2</t>
        </is>
      </c>
      <c r="C106" t="inlineStr">
        <is>
          <t>TA_12</t>
        </is>
      </c>
      <c r="D106" t="n">
        <v>3</v>
      </c>
      <c r="E106" t="n">
        <v>0</v>
      </c>
      <c r="F106" t="n">
        <v>8</v>
      </c>
      <c r="G106" t="n">
        <v>0</v>
      </c>
      <c r="H106" t="n">
        <v>0</v>
      </c>
      <c r="I106" t="n">
        <v>0</v>
      </c>
      <c r="J106" t="n">
        <v>0.75</v>
      </c>
      <c r="K106" t="n">
        <v>0</v>
      </c>
      <c r="L106" t="n">
        <v>5.25</v>
      </c>
      <c r="M106" t="n">
        <v>0</v>
      </c>
      <c r="N106" t="n">
        <v>0</v>
      </c>
      <c r="O106" t="n">
        <v>0</v>
      </c>
      <c r="P106">
        <f>Table1[[#This Row],[TA 1 - Q1 Score]]+Table1[[#This Row],[TA 1 - Q2 Score]]+Table1[[#This Row],[TA 1 - Q3 Score]]</f>
        <v/>
      </c>
      <c r="Q106">
        <f>Table1[[#This Row],[TA 1 - Q1 Bonus]]+Table1[[#This Row],[TA 1 - Q2 Bonus]]+Table1[[#This Row],[TA 1 - Q4 Bonus]]</f>
        <v/>
      </c>
      <c r="R106">
        <f>Table1[[#This Row],[TA 2 - Q1 Score]]+Table1[[#This Row],[TA 2 - Q2 Score]]+Table1[[#This Row],[TA 2 - Q3 Score]]</f>
        <v/>
      </c>
      <c r="S106">
        <f>Table1[[#This Row],[TA 2 - Q1 Bonus]]+Table1[[#This Row],[TA 2 - Q2 Bonus]]+Table1[[#This Row],[TA 2 - Q4 Bonus]]</f>
        <v/>
      </c>
      <c r="T106">
        <f>(Table1[[#This Row],[TA 1 - Total Score (out of 35)]]+Table1[[#This Row],[TA 2 - Total Score (out of 35)]])/2</f>
        <v/>
      </c>
      <c r="U106">
        <f>(Table1[[#This Row],[TA 1 - Total Bonus (out of 13)]]+Table1[[#This Row],[TA 2 - Total Bonus (out of 13)]])/2</f>
        <v/>
      </c>
      <c r="V106">
        <f>Table1[[#This Row],[Average Questions]]/35*20+Table1[[#This Row],[Average Bonus]]/13*5</f>
        <v/>
      </c>
      <c r="W106" t="n">
        <v>6</v>
      </c>
      <c r="X106" t="n">
        <v>0</v>
      </c>
      <c r="Y106" t="inlineStr">
        <is>
          <t>The student's submission failed to complete several key tasks, including loading and preparing data, loading a pretrained model, and implementing training and validation functions. The code for these tasks was either missing or contained significant errors. As a result, the student was unable to train the model or achieve any meaningful results. The bonus task for test time augmentation was also not attempted.
Breakdown:
- Part 1: Load and Prepare Data: 0.0/?
- Part 2: Load Pretrained Model and Adapt: 0.0/?
- Part 3: Training and Validation Functions: 0.0/?
- Part 4: Training: 0.0/?
- Part 5: Bonus — Test Time Augmentation: 0.0/?</t>
        </is>
      </c>
      <c r="Z106" t="n">
        <v>4</v>
      </c>
      <c r="AA106" t="n">
        <v>0</v>
      </c>
      <c r="AB106"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06" t="n">
        <v>6</v>
      </c>
      <c r="AD106" t="inlineStr">
        <is>
          <t>The student's submission is incomplete and lacks code for most tasks. While they attempted to visualize predictions, their code is not fully functional and does not meet the requirements of the task. As a result, the student earns 0 points for most tasks and 6 points for the visualization task, for a total score of 6.0.
Breakdown:
- Task 1: Dataset Class: 0.0/?
- Task 2: Model Class: 0.0/?
- Task 3: Training and Validation Loops: 0.0/?
- Task 4: Running Training: 0.0/?
- Task 5: Visualizing Predictions: 6.0/?</t>
        </is>
      </c>
      <c r="AE106" t="n">
        <v>0</v>
      </c>
      <c r="AF106" t="n">
        <v>0</v>
      </c>
      <c r="AG106" t="inlineStr">
        <is>
          <t>No submission found.</t>
        </is>
      </c>
      <c r="AH106" t="n">
        <v>16</v>
      </c>
      <c r="AI106" t="n">
        <v>0</v>
      </c>
    </row>
    <row r="107">
      <c r="A107" t="n">
        <v>106</v>
      </c>
      <c r="B107" t="inlineStr">
        <is>
          <t>TA_2</t>
        </is>
      </c>
      <c r="C107" t="inlineStr">
        <is>
          <t>TA_12</t>
        </is>
      </c>
      <c r="D107" t="n">
        <v>12</v>
      </c>
      <c r="E107" t="n">
        <v>4</v>
      </c>
      <c r="F107" t="n">
        <v>6.5</v>
      </c>
      <c r="G107" t="n">
        <v>0</v>
      </c>
      <c r="H107" t="n">
        <v>12</v>
      </c>
      <c r="I107" t="n">
        <v>5</v>
      </c>
      <c r="J107" t="n">
        <v>12</v>
      </c>
      <c r="K107" t="n">
        <v>4</v>
      </c>
      <c r="L107" t="n">
        <v>7.85</v>
      </c>
      <c r="M107" t="n">
        <v>3</v>
      </c>
      <c r="N107" t="n">
        <v>11.4</v>
      </c>
      <c r="O107" t="n">
        <v>5</v>
      </c>
      <c r="P107">
        <f>Table1[[#This Row],[TA 1 - Q1 Score]]+Table1[[#This Row],[TA 1 - Q2 Score]]+Table1[[#This Row],[TA 1 - Q3 Score]]</f>
        <v/>
      </c>
      <c r="Q107">
        <f>Table1[[#This Row],[TA 1 - Q1 Bonus]]+Table1[[#This Row],[TA 1 - Q2 Bonus]]+Table1[[#This Row],[TA 1 - Q4 Bonus]]</f>
        <v/>
      </c>
      <c r="R107">
        <f>Table1[[#This Row],[TA 2 - Q1 Score]]+Table1[[#This Row],[TA 2 - Q2 Score]]+Table1[[#This Row],[TA 2 - Q3 Score]]</f>
        <v/>
      </c>
      <c r="S107">
        <f>Table1[[#This Row],[TA 2 - Q1 Bonus]]+Table1[[#This Row],[TA 2 - Q2 Bonus]]+Table1[[#This Row],[TA 2 - Q4 Bonus]]</f>
        <v/>
      </c>
      <c r="T107">
        <f>(Table1[[#This Row],[TA 1 - Total Score (out of 35)]]+Table1[[#This Row],[TA 2 - Total Score (out of 35)]])/2</f>
        <v/>
      </c>
      <c r="U107">
        <f>(Table1[[#This Row],[TA 1 - Total Bonus (out of 13)]]+Table1[[#This Row],[TA 2 - Total Bonus (out of 13)]])/2</f>
        <v/>
      </c>
      <c r="V107">
        <f>Table1[[#This Row],[Average Questions]]/35*20+Table1[[#This Row],[Average Bonus]]/13*5</f>
        <v/>
      </c>
      <c r="W107" t="n">
        <v>6</v>
      </c>
      <c r="X107" t="n">
        <v>0</v>
      </c>
      <c r="Y107"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their submission was awarded a low score.
Breakdown:
- Part 1: Load and Prepare Data: 0.0/?
- Part 2: Load Pretrained Model and Adapt: 0.0/?
- Part 3: Training and Validation Functions: 1.75/?
- Part 4: Training: 2.5/?
- Part 5: Bonus — Test Time Augmentation: 0.0/?</t>
        </is>
      </c>
      <c r="Z107" t="n">
        <v>4</v>
      </c>
      <c r="AA107" t="n">
        <v>0</v>
      </c>
      <c r="AB107" t="inlineStr">
        <is>
          <t>The student's submission failed to meet the requirements of the task. The code is disorganized and does not follow the structure of the reference solution. The student attempted to load and prepare the data, but the code is incomplete and does not display sample images with labels. The CNN model is not built correctly, and the training and validation functions are not implemented. The training loop is also not implemented correctly. The bonus task of adding a residual connection is not attempted. Overall, the submission does not demonstrate a clear understanding of the task and the requirements.
Breakdown:
- Part 1: Load and Prepare Data: 0.0/?
- Part 2: Build the CNN Model: 0.0/?
- Part 3: Training and Validation Functions: 0.0/?
- Part 4: Training: 0.0/?
- Part 5: Bonus — Residual Connection: 0.0/?</t>
        </is>
      </c>
      <c r="AC107" t="n">
        <v>6</v>
      </c>
      <c r="AD107" t="inlineStr">
        <is>
          <t>The student's submission failed to meet the requirements of the task. The code was not organized in a way that allowed it to run end-to-end, and several key components were missing or implemented incorrectly. As a result, the student was unable to complete the task and earn any points.
Breakdown:
- Task 1: Dataset Class: 0.0/?
- Task 2: Model Class: 0.0/?
- Task 3: Training and Validation Loops: 0.0/?
- Task 4: Running Training: 0.0/?
- Task 5: Visualizing Predictions: 0.0/?</t>
        </is>
      </c>
      <c r="AE107" t="n">
        <v>0</v>
      </c>
      <c r="AF107" t="n">
        <v>1</v>
      </c>
      <c r="AG107" t="inlineStr">
        <is>
          <t>The student's submission demonstrates a good understanding of the ColorizationDataset class. The `__init__`, `__len__`, `rgb_to_grayscale`, and `__getitem__` methods are correctly implemented. However, the `rgb_to_grayscale` method does not correctly add a channel dimension, resulting in a 1-point deduction. The visualization and DataLoader tests are also correctly implemented, but the student did not receive full credit for the `rgb_to_grayscale` method, resulting in a 1-point bonus deduction.
Breakdown:
- Correctly implemented `ColorizationDataset` class: 4.0/?
- Any mistake in implementation: 0.0/?</t>
        </is>
      </c>
      <c r="AH107" t="n">
        <v>16</v>
      </c>
      <c r="AI107" t="n">
        <v>1</v>
      </c>
    </row>
    <row r="108">
      <c r="A108" t="n">
        <v>107</v>
      </c>
      <c r="B108" t="inlineStr">
        <is>
          <t>TA_2</t>
        </is>
      </c>
      <c r="C108" t="inlineStr">
        <is>
          <t>TA_12</t>
        </is>
      </c>
      <c r="D108" t="n">
        <v>6</v>
      </c>
      <c r="E108" t="n">
        <v>0</v>
      </c>
      <c r="F108" t="n">
        <v>6</v>
      </c>
      <c r="G108" t="n">
        <v>0</v>
      </c>
      <c r="H108" t="n">
        <v>10</v>
      </c>
      <c r="I108" t="n">
        <v>0</v>
      </c>
      <c r="J108" t="n">
        <v>6</v>
      </c>
      <c r="K108" t="n">
        <v>0</v>
      </c>
      <c r="L108" t="n">
        <v>7</v>
      </c>
      <c r="M108" t="n">
        <v>0</v>
      </c>
      <c r="N108" t="n">
        <v>2.25</v>
      </c>
      <c r="O108" t="n">
        <v>0</v>
      </c>
      <c r="P108">
        <f>Table1[[#This Row],[TA 1 - Q1 Score]]+Table1[[#This Row],[TA 1 - Q2 Score]]+Table1[[#This Row],[TA 1 - Q3 Score]]</f>
        <v/>
      </c>
      <c r="Q108">
        <f>Table1[[#This Row],[TA 1 - Q1 Bonus]]+Table1[[#This Row],[TA 1 - Q2 Bonus]]+Table1[[#This Row],[TA 1 - Q4 Bonus]]</f>
        <v/>
      </c>
      <c r="R108">
        <f>Table1[[#This Row],[TA 2 - Q1 Score]]+Table1[[#This Row],[TA 2 - Q2 Score]]+Table1[[#This Row],[TA 2 - Q3 Score]]</f>
        <v/>
      </c>
      <c r="S108">
        <f>Table1[[#This Row],[TA 2 - Q1 Bonus]]+Table1[[#This Row],[TA 2 - Q2 Bonus]]+Table1[[#This Row],[TA 2 - Q4 Bonus]]</f>
        <v/>
      </c>
      <c r="T108">
        <f>(Table1[[#This Row],[TA 1 - Total Score (out of 35)]]+Table1[[#This Row],[TA 2 - Total Score (out of 35)]])/2</f>
        <v/>
      </c>
      <c r="U108">
        <f>(Table1[[#This Row],[TA 1 - Total Bonus (out of 13)]]+Table1[[#This Row],[TA 2 - Total Bonus (out of 13)]])/2</f>
        <v/>
      </c>
      <c r="V108">
        <f>Table1[[#This Row],[Average Questions]]/35*20+Table1[[#This Row],[Average Bonus]]/13*5</f>
        <v/>
      </c>
      <c r="W108" t="n">
        <v>6</v>
      </c>
      <c r="X108" t="n">
        <v>0</v>
      </c>
      <c r="Y10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disregarding the explicit instructions provided in the reference solution.
Breakdown:
- Part 1: Load and Prepare Data: 0.0/?
- Part 2: Load Pretrained Model and Adapt: 0.0/?
- Part 3: Training and Validation Functions: 0.0/?
- Part 4: Training: 3.0/?
- Part 5: Bonus — Test Time Augmentation: 0.0/?</t>
        </is>
      </c>
      <c r="Z108" t="n">
        <v>6</v>
      </c>
      <c r="AA108" t="n">
        <v>0</v>
      </c>
      <c r="AB108" t="inlineStr">
        <is>
          <t>The student's submission failed to meet the requirements for several tasks. In Part 1, the student incorrectly loaded the dataset and failed to create the train/test datasets and DataLoaders. In Part 2, the student built a CNN model with incorrect architecture. In Part 3, the student defined the training and validation functions but failed to implement them correctly. In Part 4, the student trained the model but failed to plot the losses and accuracy. In Part 5, the student failed to implement the residual connection correctly. As a result, the student earned 0 points for Parts 1, 2, 3, and 5, and 2 points for Part 4.
Breakdown:
- Part 1: Load and Prepare Data: 0.0/?
- Part 2: Build the CNN Model: 0.0/?
- Part 3: Training and Validation Functions: 0.0/?
- Part 4: Training: 2.0/?
- Part 5: Bonus — Residual Connection: 0.0/?</t>
        </is>
      </c>
      <c r="AC108" t="n">
        <v>6</v>
      </c>
      <c r="AD108"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108" t="n">
        <v>0</v>
      </c>
      <c r="AF108" t="n">
        <v>0</v>
      </c>
      <c r="AG108" t="inlineStr">
        <is>
          <t>No submission found.</t>
        </is>
      </c>
      <c r="AH108" t="n">
        <v>18</v>
      </c>
      <c r="AI108" t="n">
        <v>0</v>
      </c>
    </row>
    <row r="109">
      <c r="A109" t="n">
        <v>108</v>
      </c>
      <c r="B109" t="inlineStr">
        <is>
          <t>TA_2</t>
        </is>
      </c>
      <c r="C109" t="inlineStr">
        <is>
          <t>TA_12</t>
        </is>
      </c>
      <c r="D109" t="n">
        <v>11</v>
      </c>
      <c r="E109" t="n">
        <v>3.5</v>
      </c>
      <c r="F109" t="n">
        <v>10.5</v>
      </c>
      <c r="G109" t="n">
        <v>4</v>
      </c>
      <c r="H109" t="n">
        <v>12</v>
      </c>
      <c r="I109" t="n">
        <v>5</v>
      </c>
      <c r="J109" t="n">
        <v>12</v>
      </c>
      <c r="K109" t="n">
        <v>4</v>
      </c>
      <c r="L109" t="n">
        <v>10.5</v>
      </c>
      <c r="M109" t="n">
        <v>3</v>
      </c>
      <c r="N109" t="n">
        <v>12</v>
      </c>
      <c r="O109" t="n">
        <v>5</v>
      </c>
      <c r="P109">
        <f>Table1[[#This Row],[TA 1 - Q1 Score]]+Table1[[#This Row],[TA 1 - Q2 Score]]+Table1[[#This Row],[TA 1 - Q3 Score]]</f>
        <v/>
      </c>
      <c r="Q109">
        <f>Table1[[#This Row],[TA 1 - Q1 Bonus]]+Table1[[#This Row],[TA 1 - Q2 Bonus]]+Table1[[#This Row],[TA 1 - Q4 Bonus]]</f>
        <v/>
      </c>
      <c r="R109">
        <f>Table1[[#This Row],[TA 2 - Q1 Score]]+Table1[[#This Row],[TA 2 - Q2 Score]]+Table1[[#This Row],[TA 2 - Q3 Score]]</f>
        <v/>
      </c>
      <c r="S109">
        <f>Table1[[#This Row],[TA 2 - Q1 Bonus]]+Table1[[#This Row],[TA 2 - Q2 Bonus]]+Table1[[#This Row],[TA 2 - Q4 Bonus]]</f>
        <v/>
      </c>
      <c r="T109">
        <f>(Table1[[#This Row],[TA 1 - Total Score (out of 35)]]+Table1[[#This Row],[TA 2 - Total Score (out of 35)]])/2</f>
        <v/>
      </c>
      <c r="U109">
        <f>(Table1[[#This Row],[TA 1 - Total Bonus (out of 13)]]+Table1[[#This Row],[TA 2 - Total Bonus (out of 13)]])/2</f>
        <v/>
      </c>
      <c r="V109">
        <f>Table1[[#This Row],[Average Questions]]/35*20+Table1[[#This Row],[Average Bonus]]/13*5</f>
        <v/>
      </c>
      <c r="W109" t="n">
        <v>6</v>
      </c>
      <c r="X109" t="n">
        <v>0</v>
      </c>
      <c r="Y10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3.0/?
- Part 5: Bonus — Test Time Augmentation: 0.0/?</t>
        </is>
      </c>
      <c r="Z109" t="n">
        <v>4</v>
      </c>
      <c r="AA109" t="n">
        <v>0</v>
      </c>
      <c r="AB109" t="inlineStr">
        <is>
          <t>The student's submission failed to meet the requirements of the task. The CNN model class does not have 5 convolutional layers, and the student did not write code for the training and validation functions, training, and bonus tasks. As a result, the student did not demonstrate an understanding of the task and did not earn any points.
Breakdown:
- Part 1: Load and Prepare Data: 0.0/?
- Part 2: Build the CNN Model: 0.0/?
- Part 3: Training and Validation Functions: 0.0/?
- Part 4: Training: 0.0/?
- Part 5: Bonus — Residual Connection: 0.0/?</t>
        </is>
      </c>
      <c r="AC109" t="n">
        <v>6</v>
      </c>
      <c r="AD109" t="inlineStr">
        <is>
          <t>The student's submission was incomplete and lacked code for several tasks. While the code for visualizing predictions was mostly correct, it did not display the ground truth masks correctly. As a result, the student was awarded 0 points for the first four tasks and 6 points for the fifth task.
Breakdown:
- Task 1: Dataset Class: 0.0/?
- Task 2: Model Class: 0.0/?
- Task 3: Training and Validation Loops: 0.0/?
- Task 4: Running Training: 0.0/?
- Task 5: Visualizing Predictions: 6.0/?</t>
        </is>
      </c>
      <c r="AE109" t="n">
        <v>0</v>
      </c>
      <c r="AF109" t="n">
        <v>0</v>
      </c>
      <c r="AG109" t="inlineStr">
        <is>
          <t>The student's submission contains multiple errors in the implementation of the `ColorizationDataset` class. The `__init__` method does not store the dataset, the `__len__` method does not return the correct length, the `rgb_to_grayscale` method does not apply the correct formula, and the `__getitem__` method does not return the correct (grayscale, color) tuple. Additionally, the implementation contains syntax/logic mistakes, such as incorrect return type in `__getitem__` method. Therefore, the student did not receive any points for this task.
Breakdown:
- Correctly implemented `ColorizationDataset` class:: 0.0/?
- Any mistake in implementation: 0.0/?</t>
        </is>
      </c>
      <c r="AH109" t="n">
        <v>16</v>
      </c>
      <c r="AI109" t="n">
        <v>0</v>
      </c>
    </row>
    <row r="110">
      <c r="A110" t="n">
        <v>109</v>
      </c>
      <c r="B110" t="inlineStr">
        <is>
          <t>TA_2</t>
        </is>
      </c>
      <c r="C110" t="inlineStr">
        <is>
          <t>TA_12</t>
        </is>
      </c>
      <c r="D110" t="n">
        <v>12</v>
      </c>
      <c r="E110" t="n">
        <v>4</v>
      </c>
      <c r="F110" t="n">
        <v>11</v>
      </c>
      <c r="G110" t="n">
        <v>0</v>
      </c>
      <c r="H110" t="n">
        <v>12</v>
      </c>
      <c r="I110" t="n">
        <v>5</v>
      </c>
      <c r="J110" t="n">
        <v>12</v>
      </c>
      <c r="K110" t="n">
        <v>4</v>
      </c>
      <c r="L110" t="n">
        <v>11</v>
      </c>
      <c r="M110" t="n">
        <v>0</v>
      </c>
      <c r="N110" t="n">
        <v>12</v>
      </c>
      <c r="O110" t="n">
        <v>5</v>
      </c>
      <c r="P110">
        <f>Table1[[#This Row],[TA 1 - Q1 Score]]+Table1[[#This Row],[TA 1 - Q2 Score]]+Table1[[#This Row],[TA 1 - Q3 Score]]</f>
        <v/>
      </c>
      <c r="Q110">
        <f>Table1[[#This Row],[TA 1 - Q1 Bonus]]+Table1[[#This Row],[TA 1 - Q2 Bonus]]+Table1[[#This Row],[TA 1 - Q4 Bonus]]</f>
        <v/>
      </c>
      <c r="R110">
        <f>Table1[[#This Row],[TA 2 - Q1 Score]]+Table1[[#This Row],[TA 2 - Q2 Score]]+Table1[[#This Row],[TA 2 - Q3 Score]]</f>
        <v/>
      </c>
      <c r="S110">
        <f>Table1[[#This Row],[TA 2 - Q1 Bonus]]+Table1[[#This Row],[TA 2 - Q2 Bonus]]+Table1[[#This Row],[TA 2 - Q4 Bonus]]</f>
        <v/>
      </c>
      <c r="T110">
        <f>(Table1[[#This Row],[TA 1 - Total Score (out of 35)]]+Table1[[#This Row],[TA 2 - Total Score (out of 35)]])/2</f>
        <v/>
      </c>
      <c r="U110">
        <f>(Table1[[#This Row],[TA 1 - Total Bonus (out of 13)]]+Table1[[#This Row],[TA 2 - Total Bonus (out of 13)]])/2</f>
        <v/>
      </c>
      <c r="V110">
        <f>Table1[[#This Row],[Average Questions]]/35*20+Table1[[#This Row],[Average Bonus]]/13*5</f>
        <v/>
      </c>
      <c r="W110" t="n">
        <v>6</v>
      </c>
      <c r="X110" t="n">
        <v>0</v>
      </c>
      <c r="Y11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110" t="n">
        <v>4</v>
      </c>
      <c r="AA110" t="n">
        <v>0</v>
      </c>
      <c r="AB110"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add a residual connection to the model. As a result, the student did not earn any points for this task.
Breakdown:
- Part 1: Load and Prepare Data: 0.0/?
- Part 2: Build the CNN Model: 0.0/?
- Part 3: Training and Validation Functions: 0.0/?
- Part 4: Training: 0.0/?
- Part 5: Bonus — Residual Connection: 0.0/?</t>
        </is>
      </c>
      <c r="AC110" t="n">
        <v>6</v>
      </c>
      <c r="AD110" t="inlineStr">
        <is>
          <t>The student's submission failed to meet the requirements of the task. The code was incomplete, and the tasks were not implemented correctly. The student did not provide a dataset class, model class, training and validation loops, or a way to run the training process. The visualizing predictions task was also not completed correctly. As a result, the student received 0 points for each task.
Breakdown:
- Task 1: Dataset Class: 0.0/?
- Task 2: Model Class: 0.0/?
- Task 3: Training and Validation Loops: 0.0/?
- Task 4: Running Training: 0.0/?
- Task 5: Visualizing Predictions: 0.0/?</t>
        </is>
      </c>
      <c r="AE110" t="n">
        <v>0</v>
      </c>
      <c r="AF110" t="n">
        <v>0</v>
      </c>
      <c r="AG110" t="inlineStr">
        <is>
          <t>The student's submission has multiple errors and missing methods in the `ColorizationDataset` class, resulting in a score of 0.0 for the base task and 0.0 for the bonus task. The student's code does not meet the requirements of the task and does not run end-to-end.
Breakdown:
- Correctly implemented `ColorizationDataset` class:: 0.0/?
- Any mistake in implementation: 0.0/?</t>
        </is>
      </c>
      <c r="AH110" t="n">
        <v>16</v>
      </c>
      <c r="AI110" t="n">
        <v>0</v>
      </c>
    </row>
    <row r="111">
      <c r="A111" t="n">
        <v>110</v>
      </c>
      <c r="B111" t="inlineStr">
        <is>
          <t>TA_2</t>
        </is>
      </c>
      <c r="C111" t="inlineStr">
        <is>
          <t>TA_12</t>
        </is>
      </c>
      <c r="D111" t="n">
        <v>10.5</v>
      </c>
      <c r="E111" t="n">
        <v>0</v>
      </c>
      <c r="F111" t="n">
        <v>8</v>
      </c>
      <c r="G111" t="n">
        <v>0</v>
      </c>
      <c r="H111" t="n">
        <v>11.5</v>
      </c>
      <c r="I111" t="n">
        <v>0</v>
      </c>
      <c r="J111" t="n">
        <v>10.6</v>
      </c>
      <c r="K111" t="n">
        <v>0</v>
      </c>
      <c r="L111" t="n">
        <v>10.25</v>
      </c>
      <c r="M111" t="n">
        <v>0</v>
      </c>
      <c r="N111" t="n">
        <v>8.75</v>
      </c>
      <c r="O111" t="n">
        <v>0</v>
      </c>
      <c r="P111">
        <f>Table1[[#This Row],[TA 1 - Q1 Score]]+Table1[[#This Row],[TA 1 - Q2 Score]]+Table1[[#This Row],[TA 1 - Q3 Score]]</f>
        <v/>
      </c>
      <c r="Q111">
        <f>Table1[[#This Row],[TA 1 - Q1 Bonus]]+Table1[[#This Row],[TA 1 - Q2 Bonus]]+Table1[[#This Row],[TA 1 - Q4 Bonus]]</f>
        <v/>
      </c>
      <c r="R111">
        <f>Table1[[#This Row],[TA 2 - Q1 Score]]+Table1[[#This Row],[TA 2 - Q2 Score]]+Table1[[#This Row],[TA 2 - Q3 Score]]</f>
        <v/>
      </c>
      <c r="S111">
        <f>Table1[[#This Row],[TA 2 - Q1 Bonus]]+Table1[[#This Row],[TA 2 - Q2 Bonus]]+Table1[[#This Row],[TA 2 - Q4 Bonus]]</f>
        <v/>
      </c>
      <c r="T111">
        <f>(Table1[[#This Row],[TA 1 - Total Score (out of 35)]]+Table1[[#This Row],[TA 2 - Total Score (out of 35)]])/2</f>
        <v/>
      </c>
      <c r="U111">
        <f>(Table1[[#This Row],[TA 1 - Total Bonus (out of 13)]]+Table1[[#This Row],[TA 2 - Total Bonus (out of 13)]])/2</f>
        <v/>
      </c>
      <c r="V111">
        <f>Table1[[#This Row],[Average Questions]]/35*20+Table1[[#This Row],[Average Bonus]]/13*5</f>
        <v/>
      </c>
      <c r="W111" t="n">
        <v>6</v>
      </c>
      <c r="X111" t="n">
        <v>0</v>
      </c>
      <c r="Y111" t="inlineStr">
        <is>
          <t>The student's submission failed to complete several key tasks, including loading and preparing the data, loading the pretrained model and adapting it, and training the model. While they did attempt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111" t="n">
        <v>6</v>
      </c>
      <c r="AA111" t="n">
        <v>0</v>
      </c>
      <c r="AB11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any points for the base tasks, and their bonus task was also not completed.
Breakdown:
- Part 1: Load and Prepare Data: 0.0/?
- Part 2: Build the CNN Model: 0.0/?
- Part 3: Training and Validation Functions: 0.0/?
- Part 4: Training: 2.0/?
- Part 5: Bonus — Residual Connection: 0.0/?</t>
        </is>
      </c>
      <c r="AC111" t="n">
        <v>6</v>
      </c>
      <c r="AD111" t="inlineStr">
        <is>
          <t>The student's submission had several issues. They failed to submit code for Task 1: Dataset Class, Task 2: Model Class, and Task 3: Training and Validation Loops. Additionally, their implementation of Task 4: Running Training was incorrect, and they did not print the training and validation losses. However, they were able to visualize the predictions against the ground truth for several images in Task 5: Visualizing Predictions, which is worth 6 points.
Breakdown:
- Task 1: Dataset Class: 0.0/?
- Task 2: Model Class: 0.0/?
- Task 3: Training and Validation Loops: 0.0/?
- Task 4: Running Training: 0.0/?
- Task 5: Visualizing Predictions: 6.0/?</t>
        </is>
      </c>
      <c r="AE111" t="n">
        <v>0</v>
      </c>
      <c r="AF111" t="n">
        <v>0</v>
      </c>
      <c r="AG111" t="inlineStr">
        <is>
          <t>No submission found.</t>
        </is>
      </c>
      <c r="AH111" t="n">
        <v>18</v>
      </c>
      <c r="AI111" t="n">
        <v>0</v>
      </c>
    </row>
    <row r="112">
      <c r="A112" t="n">
        <v>111</v>
      </c>
      <c r="B112" t="inlineStr">
        <is>
          <t>TA_2</t>
        </is>
      </c>
      <c r="C112" t="inlineStr">
        <is>
          <t>TA_12</t>
        </is>
      </c>
      <c r="D112" t="n">
        <v>6.5</v>
      </c>
      <c r="E112" t="n">
        <v>0</v>
      </c>
      <c r="F112" t="n">
        <v>8.5</v>
      </c>
      <c r="G112" t="n">
        <v>0</v>
      </c>
      <c r="H112" t="n">
        <v>11.5</v>
      </c>
      <c r="I112" t="n">
        <v>0</v>
      </c>
      <c r="J112" t="n">
        <v>6</v>
      </c>
      <c r="K112" t="n">
        <v>0</v>
      </c>
      <c r="L112" t="n">
        <v>4.75</v>
      </c>
      <c r="M112" t="n">
        <v>0</v>
      </c>
      <c r="N112" t="n">
        <v>8.5</v>
      </c>
      <c r="O112" t="n">
        <v>0</v>
      </c>
      <c r="P112">
        <f>Table1[[#This Row],[TA 1 - Q1 Score]]+Table1[[#This Row],[TA 1 - Q2 Score]]+Table1[[#This Row],[TA 1 - Q3 Score]]</f>
        <v/>
      </c>
      <c r="Q112">
        <f>Table1[[#This Row],[TA 1 - Q1 Bonus]]+Table1[[#This Row],[TA 1 - Q2 Bonus]]+Table1[[#This Row],[TA 1 - Q4 Bonus]]</f>
        <v/>
      </c>
      <c r="R112">
        <f>Table1[[#This Row],[TA 2 - Q1 Score]]+Table1[[#This Row],[TA 2 - Q2 Score]]+Table1[[#This Row],[TA 2 - Q3 Score]]</f>
        <v/>
      </c>
      <c r="S112">
        <f>Table1[[#This Row],[TA 2 - Q1 Bonus]]+Table1[[#This Row],[TA 2 - Q2 Bonus]]+Table1[[#This Row],[TA 2 - Q4 Bonus]]</f>
        <v/>
      </c>
      <c r="T112">
        <f>(Table1[[#This Row],[TA 1 - Total Score (out of 35)]]+Table1[[#This Row],[TA 2 - Total Score (out of 35)]])/2</f>
        <v/>
      </c>
      <c r="U112">
        <f>(Table1[[#This Row],[TA 1 - Total Bonus (out of 13)]]+Table1[[#This Row],[TA 2 - Total Bonus (out of 13)]])/2</f>
        <v/>
      </c>
      <c r="V112">
        <f>Table1[[#This Row],[Average Questions]]/35*20+Table1[[#This Row],[Average Bonus]]/13*5</f>
        <v/>
      </c>
      <c r="W112" t="n">
        <v>6</v>
      </c>
      <c r="X112" t="n">
        <v>0</v>
      </c>
      <c r="Y11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errors and did not run end-to-end. The student's approach to the bonus task was also incorrect, and they failed to implement test time augmentation. Overall, the student's submission demonstrated a lack of understanding of the key concepts and a failure to follow the instructions.
Breakdown:
- Part 1: Load and Prepare Data: 0.0/?
- Part 2: Load Pretrained Model and Adapt: 0.0/?
- Part 3: Training and Validation Functions: 0.0/?
- Part 4: Training: 2.0/?
- Part 5: Bonus — Test Time Augmentation: 0.0/?</t>
        </is>
      </c>
      <c r="Z112" t="n">
        <v>4</v>
      </c>
      <c r="AA112" t="n">
        <v>0</v>
      </c>
      <c r="AB112"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disorganized and does not run end-to-end. As a result, the student receives 0% for each task.
Breakdown:
- Part 1: Load and Prepare Data: 0.0/?
- Part 2: Build the CNN Model: 0.0/?
- Part 3: Training and Validation Functions: 0.0/?
- Part 4: Training: 0.0/?
- Part 5: Bonus — Residual Connection: 0.0/?</t>
        </is>
      </c>
      <c r="AC112" t="n">
        <v>6</v>
      </c>
      <c r="AD112" t="inlineStr">
        <is>
          <t>The student's submission failed to meet the requirements of the task. The code was not organized in a way that was easy to follow, and the student failed to implement several key components of the task. As a result, the student was unable to complete the task and was awarded 0 points for each task.
Breakdown:
- Task 1: Dataset Class: 0.0/?
- Task 2: Model Class: 0.0/?
- Task 3: Training and Validation Loops: 0.0/?
- Task 4: Running Training: 0.0/?
- Task 5: Visualizing Predictions: 0.0/?</t>
        </is>
      </c>
      <c r="AE112" t="n">
        <v>0</v>
      </c>
      <c r="AF112" t="n">
        <v>0</v>
      </c>
      <c r="AG112" t="inlineStr">
        <is>
          <t>No submission found.</t>
        </is>
      </c>
      <c r="AH112" t="n">
        <v>16</v>
      </c>
      <c r="AI112" t="n">
        <v>0</v>
      </c>
    </row>
    <row r="113">
      <c r="A113" t="n">
        <v>112</v>
      </c>
      <c r="B113" t="inlineStr">
        <is>
          <t>TA_2</t>
        </is>
      </c>
      <c r="C113" t="inlineStr">
        <is>
          <t>TA_12</t>
        </is>
      </c>
      <c r="D113" t="n">
        <v>9.5</v>
      </c>
      <c r="E113" t="n">
        <v>0</v>
      </c>
      <c r="F113" t="n">
        <v>11</v>
      </c>
      <c r="G113" t="n">
        <v>0</v>
      </c>
      <c r="H113" t="n">
        <v>8.5</v>
      </c>
      <c r="I113" t="n">
        <v>0</v>
      </c>
      <c r="J113" t="n">
        <v>9.25</v>
      </c>
      <c r="K113" t="n">
        <v>0</v>
      </c>
      <c r="L113" t="n">
        <v>11</v>
      </c>
      <c r="M113" t="n">
        <v>0</v>
      </c>
      <c r="N113" t="n">
        <v>5.75</v>
      </c>
      <c r="O113" t="n">
        <v>0</v>
      </c>
      <c r="P113">
        <f>Table1[[#This Row],[TA 1 - Q1 Score]]+Table1[[#This Row],[TA 1 - Q2 Score]]+Table1[[#This Row],[TA 1 - Q3 Score]]</f>
        <v/>
      </c>
      <c r="Q113">
        <f>Table1[[#This Row],[TA 1 - Q1 Bonus]]+Table1[[#This Row],[TA 1 - Q2 Bonus]]+Table1[[#This Row],[TA 1 - Q4 Bonus]]</f>
        <v/>
      </c>
      <c r="R113">
        <f>Table1[[#This Row],[TA 2 - Q1 Score]]+Table1[[#This Row],[TA 2 - Q2 Score]]+Table1[[#This Row],[TA 2 - Q3 Score]]</f>
        <v/>
      </c>
      <c r="S113">
        <f>Table1[[#This Row],[TA 2 - Q1 Bonus]]+Table1[[#This Row],[TA 2 - Q2 Bonus]]+Table1[[#This Row],[TA 2 - Q4 Bonus]]</f>
        <v/>
      </c>
      <c r="T113">
        <f>(Table1[[#This Row],[TA 1 - Total Score (out of 35)]]+Table1[[#This Row],[TA 2 - Total Score (out of 35)]])/2</f>
        <v/>
      </c>
      <c r="U113">
        <f>(Table1[[#This Row],[TA 1 - Total Bonus (out of 13)]]+Table1[[#This Row],[TA 2 - Total Bonus (out of 13)]])/2</f>
        <v/>
      </c>
      <c r="V113">
        <f>Table1[[#This Row],[Average Questions]]/35*20+Table1[[#This Row],[Average Bonus]]/13*5</f>
        <v/>
      </c>
      <c r="W113" t="n">
        <v>8</v>
      </c>
      <c r="X113" t="n">
        <v>0</v>
      </c>
      <c r="Y113" t="inlineStr">
        <is>
          <t>The student's submission failed to complete several key tasks, including loading and preparing the data, loading a pretrained model and adapting it, and implementing test time augmentation. While the student made an attempt at the training and validation functions, the code contained syntax errors and did not run correctly. As a result, the student was unable to train the model and evaluate its performance. The submission did not demonstrate a clear understanding of the required tasks and concepts.
Breakdown:
- Part 1: Load and Prepare Data: 0.0/?
- Part 2: Load Pretrained Model and Adapt: 0.0/?
- Part 3: Training and Validation Functions: 1.5/?
- Part 4: Training: 2.5/?
- Part 5: Bonus — Test Time Augmentation: 0.0/?</t>
        </is>
      </c>
      <c r="Z113" t="n">
        <v>4</v>
      </c>
      <c r="AA113" t="n">
        <v>0</v>
      </c>
      <c r="AB113" t="inlineStr">
        <is>
          <t>The student's submission failed to meet the requirements of the task. The code does not load and prepare the data correctly, does not build the CNN model as specified, does not implement the training and validation functions, does not train the model, and does not implement the residual connection. The student's code is not organized and does not follow the structure of the reference solution. As a result, the student did not earn any points for this task.
Breakdown:
- Part 1: Load and Prepare Data: 0.0/?
- Part 2: Build the CNN Model: 0.0/?
- Part 3: Training and Validation Functions: 0.0/?
- Part 4: Training: 0.0/?
- Part 5: Bonus — Residual Connection: 0.0/?</t>
        </is>
      </c>
      <c r="AC113" t="n">
        <v>6</v>
      </c>
      <c r="AD113" t="inlineStr">
        <is>
          <t>The student's submission failed to address any of the tasks in Question 3. The code provided does not attempt to build a custom dataset class, define a model class, implement training and validation loops, run training, or visualize predictions. As a result, the student earned 0 points for each task, resulting in a total score of 0.0.
Breakdown:
- Task 1: Dataset Class: 0.0/?
- Task 2: Model Class: 0.0/?
- Task 3: Training and Validation Loops: 0.0/?
- Task 4: Running Training: 0.0/?
- Task 5: Visualizing Predictions: 0.0/?</t>
        </is>
      </c>
      <c r="AE113" t="n">
        <v>0</v>
      </c>
      <c r="AF113" t="n">
        <v>0</v>
      </c>
      <c r="AG113" t="inlineStr">
        <is>
          <t>No submission found.</t>
        </is>
      </c>
      <c r="AH113" t="n">
        <v>18</v>
      </c>
      <c r="AI113" t="n">
        <v>0</v>
      </c>
    </row>
    <row r="114">
      <c r="A114" t="n">
        <v>113</v>
      </c>
      <c r="B114" t="inlineStr">
        <is>
          <t>TA_2</t>
        </is>
      </c>
      <c r="C114" t="inlineStr">
        <is>
          <t>TA_12</t>
        </is>
      </c>
      <c r="D114" t="n">
        <v>7.5</v>
      </c>
      <c r="E114" t="n">
        <v>0</v>
      </c>
      <c r="F114" t="n">
        <v>6</v>
      </c>
      <c r="G114" t="n">
        <v>0</v>
      </c>
      <c r="H114" t="n">
        <v>12</v>
      </c>
      <c r="I114" t="n">
        <v>0</v>
      </c>
      <c r="J114" t="n">
        <v>3.75</v>
      </c>
      <c r="K114" t="n">
        <v>0</v>
      </c>
      <c r="L114" t="n">
        <v>6.1</v>
      </c>
      <c r="M114" t="n">
        <v>0</v>
      </c>
      <c r="N114" t="n">
        <v>2.9</v>
      </c>
      <c r="O114" t="n">
        <v>0</v>
      </c>
      <c r="P114">
        <f>Table1[[#This Row],[TA 1 - Q1 Score]]+Table1[[#This Row],[TA 1 - Q2 Score]]+Table1[[#This Row],[TA 1 - Q3 Score]]</f>
        <v/>
      </c>
      <c r="Q114">
        <f>Table1[[#This Row],[TA 1 - Q1 Bonus]]+Table1[[#This Row],[TA 1 - Q2 Bonus]]+Table1[[#This Row],[TA 1 - Q4 Bonus]]</f>
        <v/>
      </c>
      <c r="R114">
        <f>Table1[[#This Row],[TA 2 - Q1 Score]]+Table1[[#This Row],[TA 2 - Q2 Score]]+Table1[[#This Row],[TA 2 - Q3 Score]]</f>
        <v/>
      </c>
      <c r="S114">
        <f>Table1[[#This Row],[TA 2 - Q1 Bonus]]+Table1[[#This Row],[TA 2 - Q2 Bonus]]+Table1[[#This Row],[TA 2 - Q4 Bonus]]</f>
        <v/>
      </c>
      <c r="T114">
        <f>(Table1[[#This Row],[TA 1 - Total Score (out of 35)]]+Table1[[#This Row],[TA 2 - Total Score (out of 35)]])/2</f>
        <v/>
      </c>
      <c r="U114">
        <f>(Table1[[#This Row],[TA 1 - Total Bonus (out of 13)]]+Table1[[#This Row],[TA 2 - Total Bonus (out of 13)]])/2</f>
        <v/>
      </c>
      <c r="V114">
        <f>Table1[[#This Row],[Average Questions]]/35*20+Table1[[#This Row],[Average Bonus]]/13*5</f>
        <v/>
      </c>
      <c r="W114" t="n">
        <v>6</v>
      </c>
      <c r="X114" t="n">
        <v>0</v>
      </c>
      <c r="Y114"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student's submission was awarded 0 points for several tasks, with the remaining points awarded for the training task. The student did not attempt the bonus task, so no bonus points were awarded.
Breakdown:
- Part 1: Load and Prepare Data: 0.0/?
- Part 2: Load Pretrained Model and Adapt: 0.0/?
- Part 3: Training and Validation Functions: 0.0/?
- Part 4: Training: 6.0/?
- Part 5: Bonus — Test Time Augmentation: 0.0/?</t>
        </is>
      </c>
      <c r="Z114" t="n">
        <v>6</v>
      </c>
      <c r="AA114" t="n">
        <v>0</v>
      </c>
      <c r="AB114" t="inlineStr">
        <is>
          <t>The student's submission failed to load and prepare the data correctly, as they did not create a custom Dataset class or use ImageFolder. They also did not build the CNN model with 5 convolutional layers and added Batch Normalization. The training and validation functions were not implemented, and the model was not trained. The bonus task of adding a residual connection was not attempted.
Breakdown:
- Part 1: Load and Prepare Data: 0.0/?
- Part 2: Build the CNN Model: 2.0/?
- Part 3: Training and Validation Functions: 0.0/?
- Part 4: Training: 0.0/?
- Part 5: Bonus — Residual Connection: 0.0/?</t>
        </is>
      </c>
      <c r="AC114" t="n">
        <v>6</v>
      </c>
      <c r="AD114"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14" t="n">
        <v>0</v>
      </c>
      <c r="AF114" t="n">
        <v>0</v>
      </c>
      <c r="AG114" t="inlineStr">
        <is>
          <t>No submission found.</t>
        </is>
      </c>
      <c r="AH114" t="n">
        <v>18</v>
      </c>
      <c r="AI114" t="n">
        <v>0</v>
      </c>
    </row>
    <row r="115">
      <c r="A115" t="n">
        <v>114</v>
      </c>
      <c r="B115" t="inlineStr">
        <is>
          <t>TA_2</t>
        </is>
      </c>
      <c r="C115" t="inlineStr">
        <is>
          <t>TA_12</t>
        </is>
      </c>
      <c r="D115" t="n">
        <v>11.5</v>
      </c>
      <c r="E115" t="n">
        <v>0</v>
      </c>
      <c r="F115" t="n">
        <v>11</v>
      </c>
      <c r="G115" t="n">
        <v>0</v>
      </c>
      <c r="H115" t="n">
        <v>9.5</v>
      </c>
      <c r="I115" t="n">
        <v>0</v>
      </c>
      <c r="J115" t="n">
        <v>11</v>
      </c>
      <c r="K115" t="n">
        <v>0</v>
      </c>
      <c r="L115" t="n">
        <v>9</v>
      </c>
      <c r="M115" t="n">
        <v>0</v>
      </c>
      <c r="N115" t="n">
        <v>4</v>
      </c>
      <c r="O115" t="n">
        <v>0</v>
      </c>
      <c r="P115">
        <f>Table1[[#This Row],[TA 1 - Q1 Score]]+Table1[[#This Row],[TA 1 - Q2 Score]]+Table1[[#This Row],[TA 1 - Q3 Score]]</f>
        <v/>
      </c>
      <c r="Q115">
        <f>Table1[[#This Row],[TA 1 - Q1 Bonus]]+Table1[[#This Row],[TA 1 - Q2 Bonus]]+Table1[[#This Row],[TA 1 - Q4 Bonus]]</f>
        <v/>
      </c>
      <c r="R115">
        <f>Table1[[#This Row],[TA 2 - Q1 Score]]+Table1[[#This Row],[TA 2 - Q2 Score]]+Table1[[#This Row],[TA 2 - Q3 Score]]</f>
        <v/>
      </c>
      <c r="S115">
        <f>Table1[[#This Row],[TA 2 - Q1 Bonus]]+Table1[[#This Row],[TA 2 - Q2 Bonus]]+Table1[[#This Row],[TA 2 - Q4 Bonus]]</f>
        <v/>
      </c>
      <c r="T115">
        <f>(Table1[[#This Row],[TA 1 - Total Score (out of 35)]]+Table1[[#This Row],[TA 2 - Total Score (out of 35)]])/2</f>
        <v/>
      </c>
      <c r="U115">
        <f>(Table1[[#This Row],[TA 1 - Total Bonus (out of 13)]]+Table1[[#This Row],[TA 2 - Total Bonus (out of 13)]])/2</f>
        <v/>
      </c>
      <c r="V115">
        <f>Table1[[#This Row],[Average Questions]]/35*20+Table1[[#This Row],[Average Bonus]]/13*5</f>
        <v/>
      </c>
      <c r="W115" t="n">
        <v>6</v>
      </c>
      <c r="X115" t="n">
        <v>0</v>
      </c>
      <c r="Y115"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3.0/?
- Part 5: Bonus — Test Time Augmentation: 0.0/?</t>
        </is>
      </c>
      <c r="Z115" t="n">
        <v>4</v>
      </c>
      <c r="AA115" t="n">
        <v>0</v>
      </c>
      <c r="AB115" t="inlineStr">
        <is>
          <t>The student's submission failed to load and prepare the data correctly, build the CNN model, define the training and validation functions, train the model, and implement the residual connection. The code attempted some tasks but contained syntax and logic mistakes, and the student did not provide any code for several tasks. The student's approach was not entirely wrong, but the code did not run end-to-end, and the student did not follow the instructions correctly.
Breakdown:
- Part 1: Load and Prepare Data: 0.0/?
- Part 2: Build the CNN Model: 0.0/?
- Part 3: Training and Validation Functions: 0.0/?
- Part 4: Training: 0.0/?
- Part 5: Bonus — Residual Connection: 0.0/?</t>
        </is>
      </c>
      <c r="AC115" t="n">
        <v>6</v>
      </c>
      <c r="AD115" t="inlineStr">
        <is>
          <t>The student's submission was incomplete, with no code submitted for Tasks 1-4. However, the code for Task 5 was mostly correct, with some minor issues. The student's approach to visualizing predictions was mostly correct, but it lacked the necessary functionality to display the ground truth and predicted masks correctly.
Breakdown:
- Task 1: Dataset Class: 0.0/?
- Task 2: Model Class: 0.0/?
- Task 3: Training and Validation Loops: 0.0/?
- Task 4: Running Training: 0.0/?
- Task 5: Visualizing Predictions: 6.0/?</t>
        </is>
      </c>
      <c r="AE115" t="n">
        <v>0</v>
      </c>
      <c r="AF115" t="n">
        <v>0</v>
      </c>
      <c r="AG115" t="inlineStr">
        <is>
          <t>No submission found.</t>
        </is>
      </c>
      <c r="AH115" t="n">
        <v>16</v>
      </c>
      <c r="AI115" t="n">
        <v>0</v>
      </c>
    </row>
    <row r="116">
      <c r="A116" t="n">
        <v>115</v>
      </c>
      <c r="B116" t="inlineStr">
        <is>
          <t>TA_2</t>
        </is>
      </c>
      <c r="C116" t="inlineStr">
        <is>
          <t>TA_12</t>
        </is>
      </c>
      <c r="D116" t="n">
        <v>7</v>
      </c>
      <c r="E116" t="n">
        <v>0</v>
      </c>
      <c r="F116" t="n">
        <v>9</v>
      </c>
      <c r="G116" t="n">
        <v>0</v>
      </c>
      <c r="H116" t="n">
        <v>12</v>
      </c>
      <c r="I116" t="n">
        <v>0</v>
      </c>
      <c r="J116" t="n">
        <v>6.75</v>
      </c>
      <c r="K116" t="n">
        <v>0</v>
      </c>
      <c r="L116" t="n">
        <v>9</v>
      </c>
      <c r="M116" t="n">
        <v>0</v>
      </c>
      <c r="N116" t="n">
        <v>12</v>
      </c>
      <c r="O116" t="n">
        <v>0</v>
      </c>
      <c r="P116">
        <f>Table1[[#This Row],[TA 1 - Q1 Score]]+Table1[[#This Row],[TA 1 - Q2 Score]]+Table1[[#This Row],[TA 1 - Q3 Score]]</f>
        <v/>
      </c>
      <c r="Q116">
        <f>Table1[[#This Row],[TA 1 - Q1 Bonus]]+Table1[[#This Row],[TA 1 - Q2 Bonus]]+Table1[[#This Row],[TA 1 - Q4 Bonus]]</f>
        <v/>
      </c>
      <c r="R116">
        <f>Table1[[#This Row],[TA 2 - Q1 Score]]+Table1[[#This Row],[TA 2 - Q2 Score]]+Table1[[#This Row],[TA 2 - Q3 Score]]</f>
        <v/>
      </c>
      <c r="S116">
        <f>Table1[[#This Row],[TA 2 - Q1 Bonus]]+Table1[[#This Row],[TA 2 - Q2 Bonus]]+Table1[[#This Row],[TA 2 - Q4 Bonus]]</f>
        <v/>
      </c>
      <c r="T116">
        <f>(Table1[[#This Row],[TA 1 - Total Score (out of 35)]]+Table1[[#This Row],[TA 2 - Total Score (out of 35)]])/2</f>
        <v/>
      </c>
      <c r="U116">
        <f>(Table1[[#This Row],[TA 1 - Total Bonus (out of 13)]]+Table1[[#This Row],[TA 2 - Total Bonus (out of 13)]])/2</f>
        <v/>
      </c>
      <c r="V116">
        <f>Table1[[#This Row],[Average Questions]]/35*20+Table1[[#This Row],[Average Bonus]]/13*5</f>
        <v/>
      </c>
      <c r="W116" t="n">
        <v>6</v>
      </c>
      <c r="X116" t="n">
        <v>0</v>
      </c>
      <c r="Y116" t="inlineStr">
        <is>
          <t>The student failed to complete several key tasks, including loading and preparing the data, loading the pretrained model and adapting it, and implementing the training and validation functions. While they did attempt to train the model and plot the losses and accuracy, their code contained several syntax and logic mistakes. The student also failed to implement test time augmentation, which was the bonus task. Overall, the student's submission was incomplete and contained several errors.
Breakdown:
- Part 1: Load and Prepare Data: 0.0/?
- Part 2: Load Pretrained Model and Adapt: 0.0/?
- Part 3: Training and Validation Functions: 0.0/?
- Part 4: Training: 2.5/?
- Part 5: Bonus — Test Time Augmentation: 0.0/?</t>
        </is>
      </c>
      <c r="Z116" t="n">
        <v>4</v>
      </c>
      <c r="AA116" t="n">
        <v>0</v>
      </c>
      <c r="AB116"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16" t="n">
        <v>6</v>
      </c>
      <c r="AD116"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116" t="n">
        <v>0</v>
      </c>
      <c r="AF116" t="n">
        <v>0</v>
      </c>
      <c r="AG116" t="inlineStr">
        <is>
          <t>No submission found.</t>
        </is>
      </c>
      <c r="AH116" t="n">
        <v>16</v>
      </c>
      <c r="AI116" t="n">
        <v>0</v>
      </c>
    </row>
    <row r="117">
      <c r="A117" t="n">
        <v>116</v>
      </c>
      <c r="B117" t="inlineStr">
        <is>
          <t>TA_3</t>
        </is>
      </c>
      <c r="C117" t="inlineStr">
        <is>
          <t>TA_13</t>
        </is>
      </c>
      <c r="D117" t="n">
        <v>2</v>
      </c>
      <c r="E117" t="n">
        <v>0</v>
      </c>
      <c r="F117" t="n">
        <v>3</v>
      </c>
      <c r="G117" t="n">
        <v>0</v>
      </c>
      <c r="H117" t="n">
        <v>2.5</v>
      </c>
      <c r="I117" t="n">
        <v>0</v>
      </c>
      <c r="J117" t="n">
        <v>5</v>
      </c>
      <c r="K117" t="n">
        <v>0</v>
      </c>
      <c r="L117" t="n">
        <v>0</v>
      </c>
      <c r="M117" t="n">
        <v>0</v>
      </c>
      <c r="N117" t="n">
        <v>0</v>
      </c>
      <c r="O117" t="n">
        <v>0</v>
      </c>
      <c r="P117">
        <f>Table1[[#This Row],[TA 1 - Q1 Score]]+Table1[[#This Row],[TA 1 - Q2 Score]]+Table1[[#This Row],[TA 1 - Q3 Score]]</f>
        <v/>
      </c>
      <c r="Q117">
        <f>Table1[[#This Row],[TA 1 - Q1 Bonus]]+Table1[[#This Row],[TA 1 - Q2 Bonus]]+Table1[[#This Row],[TA 1 - Q4 Bonus]]</f>
        <v/>
      </c>
      <c r="R117">
        <f>Table1[[#This Row],[TA 2 - Q1 Score]]+Table1[[#This Row],[TA 2 - Q2 Score]]+Table1[[#This Row],[TA 2 - Q3 Score]]</f>
        <v/>
      </c>
      <c r="S117">
        <f>Table1[[#This Row],[TA 2 - Q1 Bonus]]+Table1[[#This Row],[TA 2 - Q2 Bonus]]+Table1[[#This Row],[TA 2 - Q4 Bonus]]</f>
        <v/>
      </c>
      <c r="T117">
        <f>(Table1[[#This Row],[TA 1 - Total Score (out of 35)]]+Table1[[#This Row],[TA 2 - Total Score (out of 35)]])/2</f>
        <v/>
      </c>
      <c r="U117">
        <f>(Table1[[#This Row],[TA 1 - Total Bonus (out of 13)]]+Table1[[#This Row],[TA 2 - Total Bonus (out of 13)]])/2</f>
        <v/>
      </c>
      <c r="V117">
        <f>Table1[[#This Row],[Average Questions]]/35*20+Table1[[#This Row],[Average Bonus]]/13*5</f>
        <v/>
      </c>
      <c r="W117" t="n">
        <v>6</v>
      </c>
      <c r="X117" t="n">
        <v>0</v>
      </c>
      <c r="Y117" t="inlineStr">
        <is>
          <t>The student's submission failed to complete several key tasks, including loading and preparing the data, loading the pretrained model and adapting it, and implementing the training and validation functions. Although the student attempted to train the model, their implementation was incomplete and did not follow the reference solution. The bonus task was not attempted. Overall, the submission demonstrates a lack of understanding of the required tasks and a failure to follow the reference solution.
Breakdown:
- Part 1: Load and Prepare Data: 0.0/?
- Part 2: Load Pretrained Model and Adapt: 0.0/?
- Part 3: Training and Validation Functions: 0.0/?
- Part 4: Training: 2.0/?
- Part 5: Bonus — Test Time Augmentation: 0.0/?</t>
        </is>
      </c>
      <c r="Z117" t="n">
        <v>4</v>
      </c>
      <c r="AA117" t="n">
        <v>0</v>
      </c>
      <c r="AB117" t="inlineStr">
        <is>
          <t>The student's submission failed to meet the requirements of the task. The code was not organized in a way that allowed it to run end-to-end, and several key components were missing. The CNN model class was not defined with 5 convolutional layers, and the training loop function was not defined.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117" t="n">
        <v>6</v>
      </c>
      <c r="AD117"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117" t="n">
        <v>0</v>
      </c>
      <c r="AF117" t="n">
        <v>0</v>
      </c>
      <c r="AG117" t="inlineStr">
        <is>
          <t>No submission found.</t>
        </is>
      </c>
      <c r="AH117" t="n">
        <v>16</v>
      </c>
      <c r="AI117" t="n">
        <v>0</v>
      </c>
    </row>
    <row r="118">
      <c r="A118" t="n">
        <v>117</v>
      </c>
      <c r="B118" t="inlineStr">
        <is>
          <t>TA_3</t>
        </is>
      </c>
      <c r="C118" t="inlineStr">
        <is>
          <t>TA_13</t>
        </is>
      </c>
      <c r="D118" t="n">
        <v>4</v>
      </c>
      <c r="E118" t="n">
        <v>0</v>
      </c>
      <c r="F118" t="n">
        <v>7.5</v>
      </c>
      <c r="G118" t="n">
        <v>0</v>
      </c>
      <c r="H118" t="n">
        <v>10.5</v>
      </c>
      <c r="I118" t="n">
        <v>0</v>
      </c>
      <c r="J118" t="n">
        <v>6.5</v>
      </c>
      <c r="K118" t="n">
        <v>0</v>
      </c>
      <c r="L118" t="n">
        <v>11</v>
      </c>
      <c r="M118" t="n">
        <v>0</v>
      </c>
      <c r="N118" t="n">
        <v>10.5</v>
      </c>
      <c r="O118" t="n">
        <v>0</v>
      </c>
      <c r="P118">
        <f>Table1[[#This Row],[TA 1 - Q1 Score]]+Table1[[#This Row],[TA 1 - Q2 Score]]+Table1[[#This Row],[TA 1 - Q3 Score]]</f>
        <v/>
      </c>
      <c r="Q118">
        <f>Table1[[#This Row],[TA 1 - Q1 Bonus]]+Table1[[#This Row],[TA 1 - Q2 Bonus]]+Table1[[#This Row],[TA 1 - Q4 Bonus]]</f>
        <v/>
      </c>
      <c r="R118">
        <f>Table1[[#This Row],[TA 2 - Q1 Score]]+Table1[[#This Row],[TA 2 - Q2 Score]]+Table1[[#This Row],[TA 2 - Q3 Score]]</f>
        <v/>
      </c>
      <c r="S118">
        <f>Table1[[#This Row],[TA 2 - Q1 Bonus]]+Table1[[#This Row],[TA 2 - Q2 Bonus]]+Table1[[#This Row],[TA 2 - Q4 Bonus]]</f>
        <v/>
      </c>
      <c r="T118">
        <f>(Table1[[#This Row],[TA 1 - Total Score (out of 35)]]+Table1[[#This Row],[TA 2 - Total Score (out of 35)]])/2</f>
        <v/>
      </c>
      <c r="U118">
        <f>(Table1[[#This Row],[TA 1 - Total Bonus (out of 13)]]+Table1[[#This Row],[TA 2 - Total Bonus (out of 13)]])/2</f>
        <v/>
      </c>
      <c r="V118">
        <f>Table1[[#This Row],[Average Questions]]/35*20+Table1[[#This Row],[Average Bonus]]/13*5</f>
        <v/>
      </c>
      <c r="W118" t="n">
        <v>6</v>
      </c>
      <c r="X118" t="n">
        <v>0</v>
      </c>
      <c r="Y118"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failed to run end-to-end. The bonus task of implementing test time augmentation was also not completed. As a result, the student's score is significantly lower than the maximum possible score.
Breakdown:
- Part 1: Load and Prepare Data: 0.0/?
- Part 2: Load Pretrained Model and Adapt: 0.0/?
- Part 3: Training and Validation Functions: 1.5/?
- Part 4: Training: 0.0/?
- Part 5: Bonus — Test Time Augmentation: 0.0/?</t>
        </is>
      </c>
      <c r="Z118" t="n">
        <v>4</v>
      </c>
      <c r="AA118" t="n">
        <v>0</v>
      </c>
      <c r="AB118"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18" t="n">
        <v>6</v>
      </c>
      <c r="AD118" t="inlineStr">
        <is>
          <t>The student's submission was incomplete and contained several errors. They failed to complete tasks 1, 2, 3, and 4, and their implementation of task 5 was not entirely correct. The student's code was not well-organized and did not follow the provided structure. As a result, the student was only able to earn 6 points out of a possible 12.
Breakdown:
- Task 1: Dataset Class: 0.0/?
- Task 2: Model Class: 0.0/?
- Task 3: Training and Validation Loops: 0.0/?
- Task 4: Running Training: 0.0/?
- Task 5: Visualizing Predictions: 6.0/?</t>
        </is>
      </c>
      <c r="AE118" t="n">
        <v>0</v>
      </c>
      <c r="AF118" t="n">
        <v>0</v>
      </c>
      <c r="AG118" t="inlineStr">
        <is>
          <t>No submission found.</t>
        </is>
      </c>
      <c r="AH118" t="n">
        <v>16</v>
      </c>
      <c r="AI118" t="n">
        <v>0</v>
      </c>
    </row>
    <row r="119">
      <c r="A119" t="n">
        <v>118</v>
      </c>
      <c r="B119" t="inlineStr">
        <is>
          <t>TA_3</t>
        </is>
      </c>
      <c r="C119" t="inlineStr">
        <is>
          <t>TA_13</t>
        </is>
      </c>
      <c r="D119" t="n">
        <v>9</v>
      </c>
      <c r="E119" t="n">
        <v>4</v>
      </c>
      <c r="F119" t="n">
        <v>11</v>
      </c>
      <c r="G119" t="n">
        <v>0</v>
      </c>
      <c r="H119" t="n">
        <v>6.5</v>
      </c>
      <c r="I119" t="n">
        <v>5</v>
      </c>
      <c r="J119" t="n">
        <v>10.5</v>
      </c>
      <c r="K119" t="n">
        <v>4</v>
      </c>
      <c r="L119" t="n">
        <v>11</v>
      </c>
      <c r="M119" t="n">
        <v>0</v>
      </c>
      <c r="N119" t="n">
        <v>6.5</v>
      </c>
      <c r="O119" t="n">
        <v>5</v>
      </c>
      <c r="P119">
        <f>Table1[[#This Row],[TA 1 - Q1 Score]]+Table1[[#This Row],[TA 1 - Q2 Score]]+Table1[[#This Row],[TA 1 - Q3 Score]]</f>
        <v/>
      </c>
      <c r="Q119">
        <f>Table1[[#This Row],[TA 1 - Q1 Bonus]]+Table1[[#This Row],[TA 1 - Q2 Bonus]]+Table1[[#This Row],[TA 1 - Q4 Bonus]]</f>
        <v/>
      </c>
      <c r="R119">
        <f>Table1[[#This Row],[TA 2 - Q1 Score]]+Table1[[#This Row],[TA 2 - Q2 Score]]+Table1[[#This Row],[TA 2 - Q3 Score]]</f>
        <v/>
      </c>
      <c r="S119">
        <f>Table1[[#This Row],[TA 2 - Q1 Bonus]]+Table1[[#This Row],[TA 2 - Q2 Bonus]]+Table1[[#This Row],[TA 2 - Q4 Bonus]]</f>
        <v/>
      </c>
      <c r="T119">
        <f>(Table1[[#This Row],[TA 1 - Total Score (out of 35)]]+Table1[[#This Row],[TA 2 - Total Score (out of 35)]])/2</f>
        <v/>
      </c>
      <c r="U119">
        <f>(Table1[[#This Row],[TA 1 - Total Bonus (out of 13)]]+Table1[[#This Row],[TA 2 - Total Bonus (out of 13)]])/2</f>
        <v/>
      </c>
      <c r="V119">
        <f>Table1[[#This Row],[Average Questions]]/35*20+Table1[[#This Row],[Average Bonus]]/13*5</f>
        <v/>
      </c>
      <c r="W119" t="n">
        <v>6</v>
      </c>
      <c r="X119" t="n">
        <v>0</v>
      </c>
      <c r="Y119"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119" t="n">
        <v>6</v>
      </c>
      <c r="AA119" t="n">
        <v>0</v>
      </c>
      <c r="AB119" t="inlineStr">
        <is>
          <t>The student's submission failed to load and prepare the data correctly, as the dataset class or ImageFolder was not implemented. The CNN model was partially built, but the training and validation functions were not implemented. The training process was also not completed. The bonus task of adding a residual connection was not attempted.
Breakdown:
- Part 1: Load and Prepare Data: 0.0/?
- Part 2: Build the CNN Model: 2.0/?
- Part 3: Training and Validation Functions: 0.0/?
- Part 4: Training: 0.0/?
- Part 5: Bonus — Residual Connection: 0.0/?</t>
        </is>
      </c>
      <c r="AC119" t="n">
        <v>6</v>
      </c>
      <c r="AD119" t="inlineStr">
        <is>
          <t>The student's submission failed to meet the requirements of the task. They did not complete any of the tasks correctly, and their code was not well-organized. The student's approach was not correct, and they did not follow the instructions provided. As a result, they did not earn any points for this task.
Breakdown:
- Task 1: Dataset Class: 0.0/?
- Task 2: Model Class: 0.0/?
- Task 3: Training and Validation Loops: 0.0/?
- Task 4: Running Training: 0.0/?
- Task 5: Visualizing Predictions: 0.0/?</t>
        </is>
      </c>
      <c r="AE119" t="n">
        <v>0</v>
      </c>
      <c r="AF119" t="n">
        <v>0</v>
      </c>
      <c r="AG119" t="inlineStr">
        <is>
          <t>The student's submission does not meet the requirements of the task. The `ColorizationDataset` class is missing several key methods and the methods that are implemented are not correctly implemented. As a result, the submission does not run end-to-end and does not produce the correct output.
Breakdown:
- Correctly implemented `ColorizationDataset` class:: 0.0/?</t>
        </is>
      </c>
      <c r="AH119" t="n">
        <v>18</v>
      </c>
      <c r="AI119" t="n">
        <v>0</v>
      </c>
    </row>
    <row r="120">
      <c r="A120" t="n">
        <v>119</v>
      </c>
      <c r="B120" t="inlineStr">
        <is>
          <t>TA_3</t>
        </is>
      </c>
      <c r="C120" t="inlineStr">
        <is>
          <t>TA_13</t>
        </is>
      </c>
      <c r="D120" t="n">
        <v>10.5</v>
      </c>
      <c r="E120" t="n">
        <v>4</v>
      </c>
      <c r="F120" t="n">
        <v>11</v>
      </c>
      <c r="G120" t="n">
        <v>4</v>
      </c>
      <c r="H120" t="n">
        <v>11</v>
      </c>
      <c r="I120" t="n">
        <v>5</v>
      </c>
      <c r="J120" t="n">
        <v>12</v>
      </c>
      <c r="K120" t="n">
        <v>4</v>
      </c>
      <c r="L120" t="n">
        <v>11</v>
      </c>
      <c r="M120" t="n">
        <v>4</v>
      </c>
      <c r="N120" t="n">
        <v>12</v>
      </c>
      <c r="O120" t="n">
        <v>5</v>
      </c>
      <c r="P120">
        <f>Table1[[#This Row],[TA 1 - Q1 Score]]+Table1[[#This Row],[TA 1 - Q2 Score]]+Table1[[#This Row],[TA 1 - Q3 Score]]</f>
        <v/>
      </c>
      <c r="Q120">
        <f>Table1[[#This Row],[TA 1 - Q1 Bonus]]+Table1[[#This Row],[TA 1 - Q2 Bonus]]+Table1[[#This Row],[TA 1 - Q4 Bonus]]</f>
        <v/>
      </c>
      <c r="R120">
        <f>Table1[[#This Row],[TA 2 - Q1 Score]]+Table1[[#This Row],[TA 2 - Q2 Score]]+Table1[[#This Row],[TA 2 - Q3 Score]]</f>
        <v/>
      </c>
      <c r="S120">
        <f>Table1[[#This Row],[TA 2 - Q1 Bonus]]+Table1[[#This Row],[TA 2 - Q2 Bonus]]+Table1[[#This Row],[TA 2 - Q4 Bonus]]</f>
        <v/>
      </c>
      <c r="T120">
        <f>(Table1[[#This Row],[TA 1 - Total Score (out of 35)]]+Table1[[#This Row],[TA 2 - Total Score (out of 35)]])/2</f>
        <v/>
      </c>
      <c r="U120">
        <f>(Table1[[#This Row],[TA 1 - Total Bonus (out of 13)]]+Table1[[#This Row],[TA 2 - Total Bonus (out of 13)]])/2</f>
        <v/>
      </c>
      <c r="V120">
        <f>Table1[[#This Row],[Average Questions]]/35*20+Table1[[#This Row],[Average Bonus]]/13*5</f>
        <v/>
      </c>
      <c r="W120" t="n">
        <v>6</v>
      </c>
      <c r="X120" t="n">
        <v>0</v>
      </c>
      <c r="Y12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120" t="n">
        <v>4</v>
      </c>
      <c r="AA120" t="n">
        <v>0</v>
      </c>
      <c r="AB120" t="inlineStr">
        <is>
          <t>The student's submission showed some effort in creating a CNN model and training it, but the implementation was incomplete and contained several errors. The student did not correctly configure the dataset, transforms, and model, and the training process was not correctly implemented. Additionally, the student did not attempt to implement a residual connection in the model. Overall, the submission did not meet the requirements of the task and did not demonstrate a clear understanding of the concepts.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20" t="n">
        <v>6</v>
      </c>
      <c r="AD120" t="inlineStr">
        <is>
          <t>The student's submission is incomplete and lacks code for several tasks. While they attempted to visualize predictions, their code is not fully functional and does not meet the requirements of the task.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120" t="n">
        <v>0</v>
      </c>
      <c r="AF120" t="n">
        <v>0</v>
      </c>
      <c r="AG120" t="inlineStr">
        <is>
          <t>The student's submission does not meet the requirements of the task. The `ColorizationDataset` class is not implemented correctly, and the implementation contains several mistakes. As a result, the student does not receive any points for this task.
Breakdown:
- Correctly implemented `ColorizationDataset` class:: 0.0/?
- Any mistake in implementation: 0.0/?</t>
        </is>
      </c>
      <c r="AH120" t="n">
        <v>16</v>
      </c>
      <c r="AI120" t="n">
        <v>0</v>
      </c>
    </row>
    <row r="121">
      <c r="A121" t="n">
        <v>120</v>
      </c>
      <c r="B121" t="inlineStr">
        <is>
          <t>TA_3</t>
        </is>
      </c>
      <c r="C121" t="inlineStr">
        <is>
          <t>TA_13</t>
        </is>
      </c>
      <c r="D121" t="n">
        <v>7</v>
      </c>
      <c r="E121" t="n">
        <v>0</v>
      </c>
      <c r="F121" t="n">
        <v>8.5</v>
      </c>
      <c r="G121" t="n">
        <v>0</v>
      </c>
      <c r="H121" t="n">
        <v>6.5</v>
      </c>
      <c r="I121" t="n">
        <v>0</v>
      </c>
      <c r="J121" t="n">
        <v>7</v>
      </c>
      <c r="K121" t="n">
        <v>0</v>
      </c>
      <c r="L121" t="n">
        <v>9</v>
      </c>
      <c r="M121" t="n">
        <v>0</v>
      </c>
      <c r="N121" t="n">
        <v>10.5</v>
      </c>
      <c r="O121" t="n">
        <v>0</v>
      </c>
      <c r="P121">
        <f>Table1[[#This Row],[TA 1 - Q1 Score]]+Table1[[#This Row],[TA 1 - Q2 Score]]+Table1[[#This Row],[TA 1 - Q3 Score]]</f>
        <v/>
      </c>
      <c r="Q121">
        <f>Table1[[#This Row],[TA 1 - Q1 Bonus]]+Table1[[#This Row],[TA 1 - Q2 Bonus]]+Table1[[#This Row],[TA 1 - Q4 Bonus]]</f>
        <v/>
      </c>
      <c r="R121">
        <f>Table1[[#This Row],[TA 2 - Q1 Score]]+Table1[[#This Row],[TA 2 - Q2 Score]]+Table1[[#This Row],[TA 2 - Q3 Score]]</f>
        <v/>
      </c>
      <c r="S121">
        <f>Table1[[#This Row],[TA 2 - Q1 Bonus]]+Table1[[#This Row],[TA 2 - Q2 Bonus]]+Table1[[#This Row],[TA 2 - Q4 Bonus]]</f>
        <v/>
      </c>
      <c r="T121">
        <f>(Table1[[#This Row],[TA 1 - Total Score (out of 35)]]+Table1[[#This Row],[TA 2 - Total Score (out of 35)]])/2</f>
        <v/>
      </c>
      <c r="U121">
        <f>(Table1[[#This Row],[TA 1 - Total Bonus (out of 13)]]+Table1[[#This Row],[TA 2 - Total Bonus (out of 13)]])/2</f>
        <v/>
      </c>
      <c r="V121">
        <f>Table1[[#This Row],[Average Questions]]/35*20+Table1[[#This Row],[Average Bonus]]/13*5</f>
        <v/>
      </c>
      <c r="W121" t="n">
        <v>6</v>
      </c>
      <c r="X121" t="n">
        <v>0</v>
      </c>
      <c r="Y12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2.0/?
- Part 5: Bonus — Test Time Augmentation: 0.0/?</t>
        </is>
      </c>
      <c r="Z121" t="n">
        <v>4</v>
      </c>
      <c r="AA121" t="n">
        <v>0</v>
      </c>
      <c r="AB121"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21" t="n">
        <v>6</v>
      </c>
      <c r="AD121" t="inlineStr">
        <is>
          <t>The student's submission had several issues, including incorrect model class definition, wrong training and validation loops, and no loss and optimizer defined for training. However, the student was able to visualize the predictions against the ground truth for several images, which is a positive aspect of the submission.
Breakdown:
- Task 1: Dataset Class: 0.0/?
- Task 2: Model Class: 0.0/?
- Task 3: Training and Validation Loops: 0.0/?
- Task 4: Running Training: 0.0/?
- Task 5: Visualizing Predictions: 6.0/?</t>
        </is>
      </c>
      <c r="AE121" t="n">
        <v>0</v>
      </c>
      <c r="AF121" t="n">
        <v>0</v>
      </c>
      <c r="AG121" t="inlineStr">
        <is>
          <t>The student's submission for Question 4 is incomplete and contains syntax errors. The `ColorizationDataset` class is not implemented correctly, and the `rgb_to_grayscale` method is not implemented. The student's code does not run end-to-end, and the output is not as expected. Therefore, the student receives 0 points for this question.
Breakdown:
- Correctly implemented `ColorizationDataset` class:: 0.0/?
- Any mistake in implementation: 0.0/?</t>
        </is>
      </c>
      <c r="AH121" t="n">
        <v>16</v>
      </c>
      <c r="AI121" t="n">
        <v>0</v>
      </c>
    </row>
    <row r="122">
      <c r="A122" t="n">
        <v>121</v>
      </c>
      <c r="B122" t="inlineStr">
        <is>
          <t>TA_3</t>
        </is>
      </c>
      <c r="C122" t="inlineStr">
        <is>
          <t>TA_13</t>
        </is>
      </c>
      <c r="D122" t="n">
        <v>10</v>
      </c>
      <c r="E122" t="n">
        <v>0</v>
      </c>
      <c r="F122" t="n">
        <v>10</v>
      </c>
      <c r="G122" t="n">
        <v>0</v>
      </c>
      <c r="H122" t="n">
        <v>11</v>
      </c>
      <c r="I122" t="n">
        <v>0</v>
      </c>
      <c r="J122" t="n">
        <v>11</v>
      </c>
      <c r="K122" t="n">
        <v>0</v>
      </c>
      <c r="L122" t="n">
        <v>10.5</v>
      </c>
      <c r="M122" t="n">
        <v>4</v>
      </c>
      <c r="N122" t="n">
        <v>11.5</v>
      </c>
      <c r="O122" t="n">
        <v>0</v>
      </c>
      <c r="P122">
        <f>Table1[[#This Row],[TA 1 - Q1 Score]]+Table1[[#This Row],[TA 1 - Q2 Score]]+Table1[[#This Row],[TA 1 - Q3 Score]]</f>
        <v/>
      </c>
      <c r="Q122">
        <f>Table1[[#This Row],[TA 1 - Q1 Bonus]]+Table1[[#This Row],[TA 1 - Q2 Bonus]]+Table1[[#This Row],[TA 1 - Q4 Bonus]]</f>
        <v/>
      </c>
      <c r="R122">
        <f>Table1[[#This Row],[TA 2 - Q1 Score]]+Table1[[#This Row],[TA 2 - Q2 Score]]+Table1[[#This Row],[TA 2 - Q3 Score]]</f>
        <v/>
      </c>
      <c r="S122">
        <f>Table1[[#This Row],[TA 2 - Q1 Bonus]]+Table1[[#This Row],[TA 2 - Q2 Bonus]]+Table1[[#This Row],[TA 2 - Q4 Bonus]]</f>
        <v/>
      </c>
      <c r="T122">
        <f>(Table1[[#This Row],[TA 1 - Total Score (out of 35)]]+Table1[[#This Row],[TA 2 - Total Score (out of 35)]])/2</f>
        <v/>
      </c>
      <c r="U122">
        <f>(Table1[[#This Row],[TA 1 - Total Bonus (out of 13)]]+Table1[[#This Row],[TA 2 - Total Bonus (out of 13)]])/2</f>
        <v/>
      </c>
      <c r="V122">
        <f>Table1[[#This Row],[Average Questions]]/35*20+Table1[[#This Row],[Average Bonus]]/13*5</f>
        <v/>
      </c>
      <c r="W122" t="n">
        <v>6</v>
      </c>
      <c r="X122" t="n">
        <v>0</v>
      </c>
      <c r="Y122"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resulting in a low overall score.
Breakdown:
- Part 1: Load and Prepare Data: 0.0/?
- Part 2: Load Pretrained Model and Adapt: 0.0/?
- Part 3: Training and Validation Functions: 0.0/?
- Part 4: Training: 2.0/?
- Part 5: Bonus — Test Time Augmentation: 0.0/?</t>
        </is>
      </c>
      <c r="Z122" t="n">
        <v>6</v>
      </c>
      <c r="AA122" t="n">
        <v>0</v>
      </c>
      <c r="AB122" t="inlineStr">
        <is>
          <t>The student's submission failed to meet the requirements for most tasks. In Part 1, the student incorrectly used the ImageFolder class and failed to implement the transforms and display sample images with labels. In Part 2, the student did not implement the CNN model with 5 convolutional layers and batch normalization. In Part 3, the student did not define the training and validation functions. In Part 4, the student only partially implemented the training function. In Part 5, the student did not implement the residual connection correctly. The student's submission demonstrates a lack of understanding of the required tasks and concepts.
Breakdown:
- Part 1: Load and Prepare Data: 0.0/?
- Part 2: Build the CNN Model: 0.0/?
- Part 3: Training and Validation Functions: 0.0/?
- Part 4: Training: 1.0/?
- Part 5: Bonus — Residual Connection: 0.0/?</t>
        </is>
      </c>
      <c r="AC122" t="n">
        <v>6</v>
      </c>
      <c r="AD122" t="inlineStr">
        <is>
          <t>The student's submission failed to meet the requirements of the task. The code was not organized correctly, and several tasks were not completed. The model class was not defined correctly, and the training and validation loops were not defined correctly. The training was not run correctly, and the loss and optimizer were not defined correctly. The predictions were not visualized correctly, and the model was not evaluated correctly. Overall, the submission did not demonstrate a clear understanding of the task requirements.
Breakdown:
- Task 1: Dataset Class: 0.0/?
- Task 2: Model Class: 0.0/?
- Task 3: Training and Validation Loops: 0.0/?
- Task 4: Running Training: 0.0/?
- Task 5: Visualizing Predictions: 0.0/?</t>
        </is>
      </c>
      <c r="AE122" t="n">
        <v>0</v>
      </c>
      <c r="AF122" t="n">
        <v>0</v>
      </c>
      <c r="AG122" t="inlineStr">
        <is>
          <t>No submission found.</t>
        </is>
      </c>
      <c r="AH122" t="n">
        <v>18</v>
      </c>
      <c r="AI122" t="n">
        <v>0</v>
      </c>
    </row>
    <row r="123">
      <c r="A123" t="n">
        <v>122</v>
      </c>
      <c r="B123" t="inlineStr">
        <is>
          <t>TA_3</t>
        </is>
      </c>
      <c r="C123" t="inlineStr">
        <is>
          <t>TA_13</t>
        </is>
      </c>
      <c r="D123" t="n">
        <v>7</v>
      </c>
      <c r="E123" t="n">
        <v>0</v>
      </c>
      <c r="F123" t="n">
        <v>7</v>
      </c>
      <c r="G123" t="n">
        <v>0</v>
      </c>
      <c r="H123" t="n">
        <v>6</v>
      </c>
      <c r="I123" t="n">
        <v>0</v>
      </c>
      <c r="J123" t="n">
        <v>10.5</v>
      </c>
      <c r="K123" t="n">
        <v>0</v>
      </c>
      <c r="L123" t="n">
        <v>7.75</v>
      </c>
      <c r="M123" t="n">
        <v>0</v>
      </c>
      <c r="N123" t="n">
        <v>7.5</v>
      </c>
      <c r="O123" t="n">
        <v>0</v>
      </c>
      <c r="P123">
        <f>Table1[[#This Row],[TA 1 - Q1 Score]]+Table1[[#This Row],[TA 1 - Q2 Score]]+Table1[[#This Row],[TA 1 - Q3 Score]]</f>
        <v/>
      </c>
      <c r="Q123">
        <f>Table1[[#This Row],[TA 1 - Q1 Bonus]]+Table1[[#This Row],[TA 1 - Q2 Bonus]]+Table1[[#This Row],[TA 1 - Q4 Bonus]]</f>
        <v/>
      </c>
      <c r="R123">
        <f>Table1[[#This Row],[TA 2 - Q1 Score]]+Table1[[#This Row],[TA 2 - Q2 Score]]+Table1[[#This Row],[TA 2 - Q3 Score]]</f>
        <v/>
      </c>
      <c r="S123">
        <f>Table1[[#This Row],[TA 2 - Q1 Bonus]]+Table1[[#This Row],[TA 2 - Q2 Bonus]]+Table1[[#This Row],[TA 2 - Q4 Bonus]]</f>
        <v/>
      </c>
      <c r="T123">
        <f>(Table1[[#This Row],[TA 1 - Total Score (out of 35)]]+Table1[[#This Row],[TA 2 - Total Score (out of 35)]])/2</f>
        <v/>
      </c>
      <c r="U123">
        <f>(Table1[[#This Row],[TA 1 - Total Bonus (out of 13)]]+Table1[[#This Row],[TA 2 - Total Bonus (out of 13)]])/2</f>
        <v/>
      </c>
      <c r="V123">
        <f>Table1[[#This Row],[Average Questions]]/35*20+Table1[[#This Row],[Average Bonus]]/13*5</f>
        <v/>
      </c>
      <c r="W123" t="n">
        <v>6</v>
      </c>
      <c r="X123" t="n">
        <v>0</v>
      </c>
      <c r="Y123" t="inlineStr">
        <is>
          <t>The student's submission failed to complete several key tasks, including loading and preparing the data, loading a pretrained model, and training the model. The code for training and validation functions was partially correct, but the student failed to fix the labels, resulting in a penalty.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123" t="n">
        <v>6</v>
      </c>
      <c r="AA123" t="n">
        <v>0</v>
      </c>
      <c r="AB123" t="inlineStr">
        <is>
          <t>The student's submission failed to meet the requirements for several tasks. In Part 1, the student did not create a custom Dataset class or use ImageFolder, and did not create the training and testing datasets and their DataLoaders. In Part 2, the student did not create a CNN model class with 5 convolutional layers. In Part 3, the student did not define the training loop function. In Part 5, the student did not redefine the CNN model with a residual connection. The student's code for Part 4, training the model, was the only correct part of the submission, and was awarded 2.0 points.
Breakdown:
- Part 1: Load and Prepare Data: 0.0/?
- Part 2: Build the CNN Model: 0.0/?
- Part 3: Training and Validation Functions: 0.0/?
- Part 4: Training: 2.0/?
- Part 5: Bonus — Residual Connection: 0.0/?</t>
        </is>
      </c>
      <c r="AC123" t="n">
        <v>6</v>
      </c>
      <c r="AD123"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23" t="n">
        <v>0</v>
      </c>
      <c r="AF123" t="n">
        <v>0</v>
      </c>
      <c r="AG123" t="inlineStr">
        <is>
          <t>No submission found.</t>
        </is>
      </c>
      <c r="AH123" t="n">
        <v>18</v>
      </c>
      <c r="AI123" t="n">
        <v>0</v>
      </c>
    </row>
    <row r="124">
      <c r="A124" t="n">
        <v>123</v>
      </c>
      <c r="B124" t="inlineStr">
        <is>
          <t>TA_3</t>
        </is>
      </c>
      <c r="C124" t="inlineStr">
        <is>
          <t>TA_13</t>
        </is>
      </c>
      <c r="D124" t="n">
        <v>9</v>
      </c>
      <c r="E124" t="n">
        <v>0</v>
      </c>
      <c r="F124" t="n">
        <v>8</v>
      </c>
      <c r="G124" t="n">
        <v>0</v>
      </c>
      <c r="H124" t="n">
        <v>8</v>
      </c>
      <c r="I124" t="n">
        <v>0</v>
      </c>
      <c r="J124" t="n">
        <v>11</v>
      </c>
      <c r="K124" t="n">
        <v>0</v>
      </c>
      <c r="L124" t="n">
        <v>10</v>
      </c>
      <c r="M124" t="n">
        <v>0</v>
      </c>
      <c r="N124" t="n">
        <v>11.75</v>
      </c>
      <c r="O124" t="n">
        <v>0</v>
      </c>
      <c r="P124">
        <f>Table1[[#This Row],[TA 1 - Q1 Score]]+Table1[[#This Row],[TA 1 - Q2 Score]]+Table1[[#This Row],[TA 1 - Q3 Score]]</f>
        <v/>
      </c>
      <c r="Q124">
        <f>Table1[[#This Row],[TA 1 - Q1 Bonus]]+Table1[[#This Row],[TA 1 - Q2 Bonus]]+Table1[[#This Row],[TA 1 - Q4 Bonus]]</f>
        <v/>
      </c>
      <c r="R124">
        <f>Table1[[#This Row],[TA 2 - Q1 Score]]+Table1[[#This Row],[TA 2 - Q2 Score]]+Table1[[#This Row],[TA 2 - Q3 Score]]</f>
        <v/>
      </c>
      <c r="S124">
        <f>Table1[[#This Row],[TA 2 - Q1 Bonus]]+Table1[[#This Row],[TA 2 - Q2 Bonus]]+Table1[[#This Row],[TA 2 - Q4 Bonus]]</f>
        <v/>
      </c>
      <c r="T124">
        <f>(Table1[[#This Row],[TA 1 - Total Score (out of 35)]]+Table1[[#This Row],[TA 2 - Total Score (out of 35)]])/2</f>
        <v/>
      </c>
      <c r="U124">
        <f>(Table1[[#This Row],[TA 1 - Total Bonus (out of 13)]]+Table1[[#This Row],[TA 2 - Total Bonus (out of 13)]])/2</f>
        <v/>
      </c>
      <c r="V124">
        <f>Table1[[#This Row],[Average Questions]]/35*20+Table1[[#This Row],[Average Bonus]]/13*5</f>
        <v/>
      </c>
      <c r="W124" t="n">
        <v>6</v>
      </c>
      <c r="X124" t="n">
        <v>0</v>
      </c>
      <c r="Y12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3.0/?
- Part 5: Bonus — Test Time Augmentation: 0.0/?</t>
        </is>
      </c>
      <c r="Z124" t="n">
        <v>4</v>
      </c>
      <c r="AA124" t="n">
        <v>0</v>
      </c>
      <c r="AB12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124" t="n">
        <v>6</v>
      </c>
      <c r="AD124"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24" t="n">
        <v>0</v>
      </c>
      <c r="AF124" t="n">
        <v>0</v>
      </c>
      <c r="AG124" t="inlineStr">
        <is>
          <t>No submission found.</t>
        </is>
      </c>
      <c r="AH124" t="n">
        <v>16</v>
      </c>
      <c r="AI124" t="n">
        <v>0</v>
      </c>
    </row>
    <row r="125">
      <c r="A125" t="n">
        <v>124</v>
      </c>
      <c r="B125" t="inlineStr">
        <is>
          <t>TA_3</t>
        </is>
      </c>
      <c r="C125" t="inlineStr">
        <is>
          <t>TA_13</t>
        </is>
      </c>
      <c r="D125" t="n">
        <v>3.5</v>
      </c>
      <c r="E125" t="n">
        <v>0</v>
      </c>
      <c r="F125" t="n">
        <v>7</v>
      </c>
      <c r="G125" t="n">
        <v>0</v>
      </c>
      <c r="H125" t="n">
        <v>7</v>
      </c>
      <c r="I125" t="n">
        <v>0</v>
      </c>
      <c r="J125" t="n">
        <v>6</v>
      </c>
      <c r="K125" t="n">
        <v>0</v>
      </c>
      <c r="L125" t="n">
        <v>9.5</v>
      </c>
      <c r="M125" t="n">
        <v>0</v>
      </c>
      <c r="N125" t="n">
        <v>9.75</v>
      </c>
      <c r="O125" t="n">
        <v>0</v>
      </c>
      <c r="P125">
        <f>Table1[[#This Row],[TA 1 - Q1 Score]]+Table1[[#This Row],[TA 1 - Q2 Score]]+Table1[[#This Row],[TA 1 - Q3 Score]]</f>
        <v/>
      </c>
      <c r="Q125">
        <f>Table1[[#This Row],[TA 1 - Q1 Bonus]]+Table1[[#This Row],[TA 1 - Q2 Bonus]]+Table1[[#This Row],[TA 1 - Q4 Bonus]]</f>
        <v/>
      </c>
      <c r="R125">
        <f>Table1[[#This Row],[TA 2 - Q1 Score]]+Table1[[#This Row],[TA 2 - Q2 Score]]+Table1[[#This Row],[TA 2 - Q3 Score]]</f>
        <v/>
      </c>
      <c r="S125">
        <f>Table1[[#This Row],[TA 2 - Q1 Bonus]]+Table1[[#This Row],[TA 2 - Q2 Bonus]]+Table1[[#This Row],[TA 2 - Q4 Bonus]]</f>
        <v/>
      </c>
      <c r="T125">
        <f>(Table1[[#This Row],[TA 1 - Total Score (out of 35)]]+Table1[[#This Row],[TA 2 - Total Score (out of 35)]])/2</f>
        <v/>
      </c>
      <c r="U125">
        <f>(Table1[[#This Row],[TA 1 - Total Bonus (out of 13)]]+Table1[[#This Row],[TA 2 - Total Bonus (out of 13)]])/2</f>
        <v/>
      </c>
      <c r="V125">
        <f>Table1[[#This Row],[Average Questions]]/35*20+Table1[[#This Row],[Average Bonus]]/13*5</f>
        <v/>
      </c>
      <c r="W125" t="n">
        <v>6</v>
      </c>
      <c r="X125" t="n">
        <v>0</v>
      </c>
      <c r="Y125" t="inlineStr">
        <is>
          <t>The student's submission failed to complete several key tasks, including loading and preparing the data, loading a pretrained model, and training the model. The code for the training and validation functions was partially correct, but the student failed to fix the labels, resulting in a loss of 2 points.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125" t="n">
        <v>4</v>
      </c>
      <c r="AA125" t="n">
        <v>0</v>
      </c>
      <c r="AB125"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25" t="n">
        <v>6</v>
      </c>
      <c r="AD125" t="inlineStr">
        <is>
          <t>The student's submission is incomplete and lacks code for several tasks. While they attempted to visualize predictions, their code is not fully functional and does not meet the requirements of the task. As a result, the student earns 0 points for the majority of the tasks and 6 points for the task of visualizing predictions.
Breakdown:
- Task 1: Dataset Class: 0.0/?
- Task 2: Model Class: 0.0/?
- Task 3: Training and Validation Loops: 0.0/?
- Task 4: Running Training: 0.0/?
- Task 5: Visualizing Predictions: 6.0/?</t>
        </is>
      </c>
      <c r="AE125" t="n">
        <v>0</v>
      </c>
      <c r="AF125" t="n">
        <v>0</v>
      </c>
      <c r="AG125" t="inlineStr">
        <is>
          <t>No submission found.</t>
        </is>
      </c>
      <c r="AH125" t="n">
        <v>16</v>
      </c>
      <c r="AI125" t="n">
        <v>0</v>
      </c>
    </row>
    <row r="126">
      <c r="A126" t="n">
        <v>125</v>
      </c>
      <c r="B126" t="inlineStr">
        <is>
          <t>TA_3</t>
        </is>
      </c>
      <c r="C126" t="inlineStr">
        <is>
          <t>TA_13</t>
        </is>
      </c>
      <c r="D126" t="n">
        <v>7</v>
      </c>
      <c r="E126" t="n">
        <v>0</v>
      </c>
      <c r="F126" t="n">
        <v>8.5</v>
      </c>
      <c r="G126" t="n">
        <v>0</v>
      </c>
      <c r="H126" t="n">
        <v>6</v>
      </c>
      <c r="I126" t="n">
        <v>0</v>
      </c>
      <c r="J126" t="n">
        <v>7.5</v>
      </c>
      <c r="K126" t="n">
        <v>0</v>
      </c>
      <c r="L126" t="n">
        <v>8</v>
      </c>
      <c r="M126" t="n">
        <v>0</v>
      </c>
      <c r="N126" t="n">
        <v>10</v>
      </c>
      <c r="O126" t="n">
        <v>0</v>
      </c>
      <c r="P126">
        <f>Table1[[#This Row],[TA 1 - Q1 Score]]+Table1[[#This Row],[TA 1 - Q2 Score]]+Table1[[#This Row],[TA 1 - Q3 Score]]</f>
        <v/>
      </c>
      <c r="Q126">
        <f>Table1[[#This Row],[TA 1 - Q1 Bonus]]+Table1[[#This Row],[TA 1 - Q2 Bonus]]+Table1[[#This Row],[TA 1 - Q4 Bonus]]</f>
        <v/>
      </c>
      <c r="R126">
        <f>Table1[[#This Row],[TA 2 - Q1 Score]]+Table1[[#This Row],[TA 2 - Q2 Score]]+Table1[[#This Row],[TA 2 - Q3 Score]]</f>
        <v/>
      </c>
      <c r="S126">
        <f>Table1[[#This Row],[TA 2 - Q1 Bonus]]+Table1[[#This Row],[TA 2 - Q2 Bonus]]+Table1[[#This Row],[TA 2 - Q4 Bonus]]</f>
        <v/>
      </c>
      <c r="T126">
        <f>(Table1[[#This Row],[TA 1 - Total Score (out of 35)]]+Table1[[#This Row],[TA 2 - Total Score (out of 35)]])/2</f>
        <v/>
      </c>
      <c r="U126">
        <f>(Table1[[#This Row],[TA 1 - Total Bonus (out of 13)]]+Table1[[#This Row],[TA 2 - Total Bonus (out of 13)]])/2</f>
        <v/>
      </c>
      <c r="V126">
        <f>Table1[[#This Row],[Average Questions]]/35*20+Table1[[#This Row],[Average Bonus]]/13*5</f>
        <v/>
      </c>
      <c r="W126" t="n">
        <v>6</v>
      </c>
      <c r="X126" t="n">
        <v>0</v>
      </c>
      <c r="Y126"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2.0/?
- Part 5: Bonus — Test Time Augmentation: 0.0/?</t>
        </is>
      </c>
      <c r="Z126" t="n">
        <v>4</v>
      </c>
      <c r="AA126" t="n">
        <v>0</v>
      </c>
      <c r="AB126"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26" t="n">
        <v>6</v>
      </c>
      <c r="AD126" t="inlineStr">
        <is>
          <t>The student's submission failed to meet the requirements of the task. They did not implement the dataset class, model class, training and validation loops, running training, or visualizing predictions correctly. As a result, they did not earn any points for these tasks. The student's code was not well-organized and did not run end-to-end, which further contributed to their low score.
Breakdown:
- Task 1: Dataset Class: 0.0/?
- Task 2: Model Class: 0.0/?
- Task 3: Training and Validation Loops: 0.0/?
- Task 4: Running Training: 0.0/?
- Task 5: Visualizing Predictions: 0.0/?</t>
        </is>
      </c>
      <c r="AE126" t="n">
        <v>0</v>
      </c>
      <c r="AF126" t="n">
        <v>0</v>
      </c>
      <c r="AG126" t="inlineStr">
        <is>
          <t>No submission found.</t>
        </is>
      </c>
      <c r="AH126" t="n">
        <v>16</v>
      </c>
      <c r="AI126" t="n">
        <v>0</v>
      </c>
    </row>
    <row r="127">
      <c r="A127" t="n">
        <v>126</v>
      </c>
      <c r="B127" t="inlineStr">
        <is>
          <t>TA_3</t>
        </is>
      </c>
      <c r="C127" t="inlineStr">
        <is>
          <t>TA_13</t>
        </is>
      </c>
      <c r="D127" t="n">
        <v>6</v>
      </c>
      <c r="E127" t="n">
        <v>0</v>
      </c>
      <c r="F127" t="n">
        <v>9</v>
      </c>
      <c r="G127" t="n">
        <v>0</v>
      </c>
      <c r="H127" t="n">
        <v>6</v>
      </c>
      <c r="I127" t="n">
        <v>0</v>
      </c>
      <c r="J127" t="n">
        <v>11.5</v>
      </c>
      <c r="K127" t="n">
        <v>0</v>
      </c>
      <c r="L127" t="n">
        <v>9</v>
      </c>
      <c r="M127" t="n">
        <v>0</v>
      </c>
      <c r="N127" t="n">
        <v>9</v>
      </c>
      <c r="O127" t="n">
        <v>0</v>
      </c>
      <c r="P127">
        <f>Table1[[#This Row],[TA 1 - Q1 Score]]+Table1[[#This Row],[TA 1 - Q2 Score]]+Table1[[#This Row],[TA 1 - Q3 Score]]</f>
        <v/>
      </c>
      <c r="Q127">
        <f>Table1[[#This Row],[TA 1 - Q1 Bonus]]+Table1[[#This Row],[TA 1 - Q2 Bonus]]+Table1[[#This Row],[TA 1 - Q4 Bonus]]</f>
        <v/>
      </c>
      <c r="R127">
        <f>Table1[[#This Row],[TA 2 - Q1 Score]]+Table1[[#This Row],[TA 2 - Q2 Score]]+Table1[[#This Row],[TA 2 - Q3 Score]]</f>
        <v/>
      </c>
      <c r="S127">
        <f>Table1[[#This Row],[TA 2 - Q1 Bonus]]+Table1[[#This Row],[TA 2 - Q2 Bonus]]+Table1[[#This Row],[TA 2 - Q4 Bonus]]</f>
        <v/>
      </c>
      <c r="T127">
        <f>(Table1[[#This Row],[TA 1 - Total Score (out of 35)]]+Table1[[#This Row],[TA 2 - Total Score (out of 35)]])/2</f>
        <v/>
      </c>
      <c r="U127">
        <f>(Table1[[#This Row],[TA 1 - Total Bonus (out of 13)]]+Table1[[#This Row],[TA 2 - Total Bonus (out of 13)]])/2</f>
        <v/>
      </c>
      <c r="V127">
        <f>Table1[[#This Row],[Average Questions]]/35*20+Table1[[#This Row],[Average Bonus]]/13*5</f>
        <v/>
      </c>
      <c r="W127" t="n">
        <v>6</v>
      </c>
      <c r="X127" t="n">
        <v>0</v>
      </c>
      <c r="Y127" t="inlineStr">
        <is>
          <t>The student's submission failed to complete several key tasks, including loading and preparing the data, loading the pretrained model and adapting it, and implementing the training and validation functions. Although the student attempted to train the model, their implementation was incomplete and did not follow the reference solution. As a result, the student did not earn any points for the base tasks. The bonus task was also not completed, resulting in a score of 0 for the bonus.
Breakdown:
- Part 1: Load and Prepare Data: 0.0/?
- Part 2: Load Pretrained Model and Adapt: 0.0/?
- Part 3: Training and Validation Functions: 0.0/?
- Part 4: Training: 2.0/?
- Part 5: Bonus — Test Time Augmentation: 0.0/?</t>
        </is>
      </c>
      <c r="Z127" t="n">
        <v>6</v>
      </c>
      <c r="AA127" t="n">
        <v>0</v>
      </c>
      <c r="AB127" t="inlineStr">
        <is>
          <t>The student's submission failed to load and prepare the data correctly, resulting in a score of 0 for Part 1. The CNN model was partially built, but it lacked the necessary layers and functionality, earning 2 points for Part 2. The training and validation functions were not implemented, and the model was not trained, resulting in scores of 0 for Parts 3 and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127" t="n">
        <v>6</v>
      </c>
      <c r="AD127" t="inlineStr">
        <is>
          <t>The student's submission failed to meet the requirements of the task. The code was not organized in a way that allowed it to run end-to-end, and several tasks were not completed correctly. The student did not define the dataset class, model class, training and validation loops, or running training correctly. Additionally, the student did not visualize the predictions correctly. As a result, the student did not earn any points for this task.
Breakdown:
- Task 1: Dataset Class: 0.0/?
- Task 2: Model Class: 0.0/?
- Task 3: Training and Validation Loops: 0.0/?
- Task 4: Running Training: 0.0/?
- Task 5: Visualizing Predictions: 0.0/?</t>
        </is>
      </c>
      <c r="AE127" t="n">
        <v>0</v>
      </c>
      <c r="AF127" t="n">
        <v>0</v>
      </c>
      <c r="AG127" t="inlineStr">
        <is>
          <t>No submission found.</t>
        </is>
      </c>
      <c r="AH127" t="n">
        <v>18</v>
      </c>
      <c r="AI127" t="n">
        <v>0</v>
      </c>
    </row>
    <row r="128">
      <c r="A128" t="n">
        <v>127</v>
      </c>
      <c r="B128" t="inlineStr">
        <is>
          <t>TA_3</t>
        </is>
      </c>
      <c r="C128" t="inlineStr">
        <is>
          <t>TA_13</t>
        </is>
      </c>
      <c r="D128" t="n">
        <v>4</v>
      </c>
      <c r="E128" t="n">
        <v>0</v>
      </c>
      <c r="F128" t="n">
        <v>7</v>
      </c>
      <c r="G128" t="n">
        <v>0</v>
      </c>
      <c r="H128" t="n">
        <v>0</v>
      </c>
      <c r="I128" t="n">
        <v>0</v>
      </c>
      <c r="J128" t="n">
        <v>11</v>
      </c>
      <c r="K128" t="n">
        <v>0</v>
      </c>
      <c r="L128" t="n">
        <v>10</v>
      </c>
      <c r="M128" t="n">
        <v>0</v>
      </c>
      <c r="N128" t="n">
        <v>0</v>
      </c>
      <c r="O128" t="n">
        <v>0</v>
      </c>
      <c r="P128">
        <f>Table1[[#This Row],[TA 1 - Q1 Score]]+Table1[[#This Row],[TA 1 - Q2 Score]]+Table1[[#This Row],[TA 1 - Q3 Score]]</f>
        <v/>
      </c>
      <c r="Q128">
        <f>Table1[[#This Row],[TA 1 - Q1 Bonus]]+Table1[[#This Row],[TA 1 - Q2 Bonus]]+Table1[[#This Row],[TA 1 - Q4 Bonus]]</f>
        <v/>
      </c>
      <c r="R128">
        <f>Table1[[#This Row],[TA 2 - Q1 Score]]+Table1[[#This Row],[TA 2 - Q2 Score]]+Table1[[#This Row],[TA 2 - Q3 Score]]</f>
        <v/>
      </c>
      <c r="S128">
        <f>Table1[[#This Row],[TA 2 - Q1 Bonus]]+Table1[[#This Row],[TA 2 - Q2 Bonus]]+Table1[[#This Row],[TA 2 - Q4 Bonus]]</f>
        <v/>
      </c>
      <c r="T128">
        <f>(Table1[[#This Row],[TA 1 - Total Score (out of 35)]]+Table1[[#This Row],[TA 2 - Total Score (out of 35)]])/2</f>
        <v/>
      </c>
      <c r="U128">
        <f>(Table1[[#This Row],[TA 1 - Total Bonus (out of 13)]]+Table1[[#This Row],[TA 2 - Total Bonus (out of 13)]])/2</f>
        <v/>
      </c>
      <c r="V128">
        <f>Table1[[#This Row],[Average Questions]]/35*20+Table1[[#This Row],[Average Bonus]]/13*5</f>
        <v/>
      </c>
      <c r="W128" t="n">
        <v>6</v>
      </c>
      <c r="X128" t="n">
        <v>0</v>
      </c>
      <c r="Y128"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produce the expected results. The bonus task of implementing test time augmentation was also not completed. Overall, the submission demonstrates a lack of understanding of the required tasks and a failure to implement the necessary code.
Breakdown:
- Part 1: Load and Prepare Data: 0.0/?
- Part 2: Load Pretrained Model and Adapt: 0.0/?
- Part 3: Training and Validation Functions: 0.0/?
- Part 4: Training: 2.0/?
- Part 5: Bonus — Test Time Augmentation: 0.0/?</t>
        </is>
      </c>
      <c r="Z128" t="n">
        <v>4</v>
      </c>
      <c r="AA128" t="n">
        <v>0</v>
      </c>
      <c r="AB128" t="inlineStr">
        <is>
          <t>The student's submission failed to meet the requirements of the task. The code does not load and prepare the data correctly, and the CNN model is not built as specified. The training and validation functions are not implemented, and the training process is not executed. The bonus task of adding a residual connection is also not attempted. The student's code is disorganized and does not run end-to-end.
Breakdown:
- Part 1: Load and Prepare Data: 0.0/?
- Part 2: Build the CNN Model: 0.0/?
- Part 3: Training and Validation Functions: 0.0/?
- Part 4: Training: 0.0/?
- Part 5: Bonus — Residual Connection: 0.0/?</t>
        </is>
      </c>
      <c r="AC128" t="n">
        <v>6</v>
      </c>
      <c r="AD128"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128" t="n">
        <v>0</v>
      </c>
      <c r="AF128" t="n">
        <v>0</v>
      </c>
      <c r="AG128" t="inlineStr">
        <is>
          <t>The student's submission does not meet the requirements of the task. The `ColorizationDataset` class is not implemented correctly, and the code does not run end-to-end. The student attempted to implement the class, but made several mistakes, including incorrect method implementations and data types. As a result, the student did not receive any points for this task.
Breakdown:
- Correctly implemented `ColorizationDataset` class:: 0.0/?</t>
        </is>
      </c>
      <c r="AH128" t="n">
        <v>16</v>
      </c>
      <c r="AI128" t="n">
        <v>0</v>
      </c>
    </row>
    <row r="129">
      <c r="A129" t="n">
        <v>128</v>
      </c>
      <c r="B129" t="inlineStr">
        <is>
          <t>TA_3</t>
        </is>
      </c>
      <c r="C129" t="inlineStr">
        <is>
          <t>TA_13</t>
        </is>
      </c>
      <c r="D129" t="n">
        <v>5.5</v>
      </c>
      <c r="E129" t="n">
        <v>0</v>
      </c>
      <c r="F129" t="n">
        <v>6</v>
      </c>
      <c r="G129" t="n">
        <v>0</v>
      </c>
      <c r="H129" t="n">
        <v>2</v>
      </c>
      <c r="I129" t="n">
        <v>0</v>
      </c>
      <c r="J129" t="n">
        <v>6</v>
      </c>
      <c r="K129" t="n">
        <v>0</v>
      </c>
      <c r="L129" t="n">
        <v>8.5</v>
      </c>
      <c r="M129" t="n">
        <v>0</v>
      </c>
      <c r="N129" t="n">
        <v>1.5</v>
      </c>
      <c r="O129" t="n">
        <v>0</v>
      </c>
      <c r="P129">
        <f>Table1[[#This Row],[TA 1 - Q1 Score]]+Table1[[#This Row],[TA 1 - Q2 Score]]+Table1[[#This Row],[TA 1 - Q3 Score]]</f>
        <v/>
      </c>
      <c r="Q129">
        <f>Table1[[#This Row],[TA 1 - Q1 Bonus]]+Table1[[#This Row],[TA 1 - Q2 Bonus]]+Table1[[#This Row],[TA 1 - Q4 Bonus]]</f>
        <v/>
      </c>
      <c r="R129">
        <f>Table1[[#This Row],[TA 2 - Q1 Score]]+Table1[[#This Row],[TA 2 - Q2 Score]]+Table1[[#This Row],[TA 2 - Q3 Score]]</f>
        <v/>
      </c>
      <c r="S129">
        <f>Table1[[#This Row],[TA 2 - Q1 Bonus]]+Table1[[#This Row],[TA 2 - Q2 Bonus]]+Table1[[#This Row],[TA 2 - Q4 Bonus]]</f>
        <v/>
      </c>
      <c r="T129">
        <f>(Table1[[#This Row],[TA 1 - Total Score (out of 35)]]+Table1[[#This Row],[TA 2 - Total Score (out of 35)]])/2</f>
        <v/>
      </c>
      <c r="U129">
        <f>(Table1[[#This Row],[TA 1 - Total Bonus (out of 13)]]+Table1[[#This Row],[TA 2 - Total Bonus (out of 13)]])/2</f>
        <v/>
      </c>
      <c r="V129">
        <f>Table1[[#This Row],[Average Questions]]/35*20+Table1[[#This Row],[Average Bonus]]/13*5</f>
        <v/>
      </c>
      <c r="W129" t="n">
        <v>6</v>
      </c>
      <c r="X129" t="n">
        <v>0</v>
      </c>
      <c r="Y129"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displaying sample images, freezing the backbone, and replacing the classifier head. As a result, the student was unable to complete the bonus task of implementing test time augmentation.
Breakdown:
- Part 1: Load and Prepare Data: 0.0/?
- Part 2: Load Pretrained Model and Adapt: 0.0/?
- Part 3: Training and Validation Functions: 0.0/?
- Part 4: Training: 2.5/?
- Part 5: Bonus — Test Time Augmentation: 0.0/?</t>
        </is>
      </c>
      <c r="Z129" t="n">
        <v>4</v>
      </c>
      <c r="AA129" t="n">
        <v>0</v>
      </c>
      <c r="AB129" t="inlineStr">
        <is>
          <t>The student's submission failed to implement several key components of the CNN model, including the correct number of convolutional layers and batch normalization. Additionally, the training and validation functions were not implemented correctly, and the model was not trained or retrained with the residual connection. As a result, the submission was unable to produce the expected output.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29" t="n">
        <v>6</v>
      </c>
      <c r="AD129" t="inlineStr">
        <is>
          <t>The student's submission is incomplete and lacks code for several tasks. While they attempted to visualize predictions, the code is not fully functional and does not meet the requirements of the task. As a result, the student earns 0 points for the majority of the tasks and 6 points for the task of visualizing predictions.
Breakdown:
- Task 1: Dataset Class: 0.0/?
- Task 2: Model Class: 0.0/?
- Task 3: Training and Validation Loops: 0.0/?
- Task 4: Running Training: 0.0/?
- Task 5: Visualizing Predictions: 6.0/?</t>
        </is>
      </c>
      <c r="AE129" t="n">
        <v>0</v>
      </c>
      <c r="AF129" t="n">
        <v>0</v>
      </c>
      <c r="AG129" t="inlineStr">
        <is>
          <t>No submission found.</t>
        </is>
      </c>
      <c r="AH129" t="n">
        <v>16</v>
      </c>
      <c r="AI129" t="n">
        <v>0</v>
      </c>
    </row>
    <row r="130">
      <c r="A130" t="n">
        <v>129</v>
      </c>
      <c r="B130" t="inlineStr">
        <is>
          <t>TA_3</t>
        </is>
      </c>
      <c r="C130" t="inlineStr">
        <is>
          <t>TA_13</t>
        </is>
      </c>
      <c r="D130" t="n">
        <v>9</v>
      </c>
      <c r="E130" t="n">
        <v>4</v>
      </c>
      <c r="F130" t="n">
        <v>7</v>
      </c>
      <c r="G130" t="n">
        <v>0</v>
      </c>
      <c r="H130" t="n">
        <v>8</v>
      </c>
      <c r="I130" t="n">
        <v>5</v>
      </c>
      <c r="J130" t="n">
        <v>10.5</v>
      </c>
      <c r="K130" t="n">
        <v>4</v>
      </c>
      <c r="L130" t="n">
        <v>11</v>
      </c>
      <c r="M130" t="n">
        <v>3</v>
      </c>
      <c r="N130" t="n">
        <v>11</v>
      </c>
      <c r="O130" t="n">
        <v>5</v>
      </c>
      <c r="P130">
        <f>Table1[[#This Row],[TA 1 - Q1 Score]]+Table1[[#This Row],[TA 1 - Q2 Score]]+Table1[[#This Row],[TA 1 - Q3 Score]]</f>
        <v/>
      </c>
      <c r="Q130">
        <f>Table1[[#This Row],[TA 1 - Q1 Bonus]]+Table1[[#This Row],[TA 1 - Q2 Bonus]]+Table1[[#This Row],[TA 1 - Q4 Bonus]]</f>
        <v/>
      </c>
      <c r="R130">
        <f>Table1[[#This Row],[TA 2 - Q1 Score]]+Table1[[#This Row],[TA 2 - Q2 Score]]+Table1[[#This Row],[TA 2 - Q3 Score]]</f>
        <v/>
      </c>
      <c r="S130">
        <f>Table1[[#This Row],[TA 2 - Q1 Bonus]]+Table1[[#This Row],[TA 2 - Q2 Bonus]]+Table1[[#This Row],[TA 2 - Q4 Bonus]]</f>
        <v/>
      </c>
      <c r="T130">
        <f>(Table1[[#This Row],[TA 1 - Total Score (out of 35)]]+Table1[[#This Row],[TA 2 - Total Score (out of 35)]])/2</f>
        <v/>
      </c>
      <c r="U130">
        <f>(Table1[[#This Row],[TA 1 - Total Bonus (out of 13)]]+Table1[[#This Row],[TA 2 - Total Bonus (out of 13)]])/2</f>
        <v/>
      </c>
      <c r="V130">
        <f>Table1[[#This Row],[Average Questions]]/35*20+Table1[[#This Row],[Average Bonus]]/13*5</f>
        <v/>
      </c>
      <c r="W130" t="n">
        <v>6</v>
      </c>
      <c r="X130" t="n">
        <v>0</v>
      </c>
      <c r="Y13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130" t="n">
        <v>6</v>
      </c>
      <c r="AA130" t="n">
        <v>0</v>
      </c>
      <c r="AB130"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As a result, the student's score is low, reflecting the significant gaps in their submission.
Breakdown:
- Part 1: Load and Prepare Data: 0.0/?
- Part 2: Build the CNN Model: 0.0/?
- Part 3: Training and Validation Functions: 0.0/?
- Part 4: Training: 2.0/?
- Part 5: Bonus — Residual Connection: 0.0/?</t>
        </is>
      </c>
      <c r="AC130" t="n">
        <v>6</v>
      </c>
      <c r="AD130" t="inlineStr">
        <is>
          <t>The student's submission failed to meet the requirements of the task. The code was not organized in a way that allowed it to run end-to-end, and several tasks were not completed correctly. The student did not define the dataset class, model class, training and validation loops, or running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30" t="n">
        <v>0</v>
      </c>
      <c r="AF130" t="n">
        <v>0</v>
      </c>
      <c r="AG130" t="inlineStr">
        <is>
          <t>The student's submission demonstrates a good understanding of the ColorizationDataset class. The `__init__`, `__len__`, `rgb_to_grayscale`, and `__getitem__` methods are correctly implemented. However, the `rgb_to_grayscale` method does not correctly handle the dimensions of the input image, resulting in a loss of 1 point. Additionally, the `__getitem__` method does not correctly return the grayscale and color images. The student's submission does not meet the requirements for the bonus task, resulting in a bonus score of 0.
Breakdown:
- Correctly implemented `ColorizationDataset` class: 4.0/?
- Any mistake in implementation: 0.0/?</t>
        </is>
      </c>
      <c r="AH130" t="n">
        <v>18</v>
      </c>
      <c r="AI130" t="n">
        <v>0</v>
      </c>
    </row>
    <row r="131">
      <c r="A131" t="n">
        <v>130</v>
      </c>
      <c r="B131" t="inlineStr">
        <is>
          <t>TA_3</t>
        </is>
      </c>
      <c r="C131" t="inlineStr">
        <is>
          <t>TA_13</t>
        </is>
      </c>
      <c r="D131" t="n">
        <v>10.5</v>
      </c>
      <c r="E131" t="n">
        <v>4</v>
      </c>
      <c r="F131" t="n">
        <v>10</v>
      </c>
      <c r="G131" t="n">
        <v>4</v>
      </c>
      <c r="H131" t="n">
        <v>12</v>
      </c>
      <c r="I131" t="n">
        <v>5</v>
      </c>
      <c r="J131" t="n">
        <v>12</v>
      </c>
      <c r="K131" t="n">
        <v>4</v>
      </c>
      <c r="L131" t="n">
        <v>8.5</v>
      </c>
      <c r="M131" t="n">
        <v>3</v>
      </c>
      <c r="N131" t="n">
        <v>12</v>
      </c>
      <c r="O131" t="n">
        <v>5</v>
      </c>
      <c r="P131">
        <f>Table1[[#This Row],[TA 1 - Q1 Score]]+Table1[[#This Row],[TA 1 - Q2 Score]]+Table1[[#This Row],[TA 1 - Q3 Score]]</f>
        <v/>
      </c>
      <c r="Q131">
        <f>Table1[[#This Row],[TA 1 - Q1 Bonus]]+Table1[[#This Row],[TA 1 - Q2 Bonus]]+Table1[[#This Row],[TA 1 - Q4 Bonus]]</f>
        <v/>
      </c>
      <c r="R131">
        <f>Table1[[#This Row],[TA 2 - Q1 Score]]+Table1[[#This Row],[TA 2 - Q2 Score]]+Table1[[#This Row],[TA 2 - Q3 Score]]</f>
        <v/>
      </c>
      <c r="S131">
        <f>Table1[[#This Row],[TA 2 - Q1 Bonus]]+Table1[[#This Row],[TA 2 - Q2 Bonus]]+Table1[[#This Row],[TA 2 - Q4 Bonus]]</f>
        <v/>
      </c>
      <c r="T131">
        <f>(Table1[[#This Row],[TA 1 - Total Score (out of 35)]]+Table1[[#This Row],[TA 2 - Total Score (out of 35)]])/2</f>
        <v/>
      </c>
      <c r="U131">
        <f>(Table1[[#This Row],[TA 1 - Total Bonus (out of 13)]]+Table1[[#This Row],[TA 2 - Total Bonus (out of 13)]])/2</f>
        <v/>
      </c>
      <c r="V131">
        <f>Table1[[#This Row],[Average Questions]]/35*20+Table1[[#This Row],[Average Bonus]]/13*5</f>
        <v/>
      </c>
      <c r="W131" t="n">
        <v>6</v>
      </c>
      <c r="X131" t="n">
        <v>0</v>
      </c>
      <c r="Y131" t="inlineStr">
        <is>
          <t>The student's submission failed to complete several key tasks, including loading and preparing data, loading a pretrained model, and training the model. While the student attempted to implement the training and validation functions, their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131" t="n">
        <v>4</v>
      </c>
      <c r="AA131" t="n">
        <v>0</v>
      </c>
      <c r="AB131"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add a residual connection to the model. As a result, the student did not earn any points for this task.
Breakdown:
- Part 1: Load and Prepare Data: 0.0/?
- Part 2: Build the CNN Model: 0.0/?
- Part 3: Training and Validation Functions: 0.0/?
- Part 4: Training: 0.0/?
- Part 5: Bonus — Residual Connection: 0.0/?</t>
        </is>
      </c>
      <c r="AC131" t="n">
        <v>6</v>
      </c>
      <c r="AD131" t="inlineStr">
        <is>
          <t>The student's submission was incomplete, with no code submitted for Tasks 1-4. However, the code for Task 5 was mostly correct, with the student successfully visualizing the predictions against the ground truth for several images. The only issue was that the ground truth masks were not displayed correctly.
Breakdown:
- Task 1: Dataset Class: 0.0/?
- Task 2: Model Class: 0.0/?
- Task 3: Training and Validation Loops: 0.0/?
- Task 4: Running Training: 0.0/?
- Task 5: Visualizing Predictions: 6.0/?</t>
        </is>
      </c>
      <c r="AE131" t="n">
        <v>0</v>
      </c>
      <c r="AF131" t="n">
        <v>0</v>
      </c>
      <c r="AG131" t="inlineStr">
        <is>
          <t>The student's submission does not meet the requirements of the task. The implementation of the `ColorizationDataset` class is incomplete and contains several errors. The student did not attempt to implement the `rgb_to_grayscale` method correctly, and the `__getitem__` method does not return the correct grayscale and color images. As a result, the student did not earn any points for this task.
Breakdown:
- Correctly implemented `ColorizationDataset` class: 0.0/?</t>
        </is>
      </c>
      <c r="AH131" t="n">
        <v>16</v>
      </c>
      <c r="AI131" t="n">
        <v>0</v>
      </c>
    </row>
    <row r="132">
      <c r="A132" t="n">
        <v>131</v>
      </c>
      <c r="B132" t="inlineStr">
        <is>
          <t>TA_3</t>
        </is>
      </c>
      <c r="C132" t="inlineStr">
        <is>
          <t>TA_13</t>
        </is>
      </c>
      <c r="D132" t="n">
        <v>11</v>
      </c>
      <c r="E132" t="n">
        <v>4</v>
      </c>
      <c r="F132" t="n">
        <v>9.5</v>
      </c>
      <c r="G132" t="n">
        <v>0</v>
      </c>
      <c r="H132" t="n">
        <v>12</v>
      </c>
      <c r="I132" t="n">
        <v>0</v>
      </c>
      <c r="J132" t="n">
        <v>12</v>
      </c>
      <c r="K132" t="n">
        <v>2</v>
      </c>
      <c r="L132" t="n">
        <v>11</v>
      </c>
      <c r="M132" t="n">
        <v>0</v>
      </c>
      <c r="N132" t="n">
        <v>12</v>
      </c>
      <c r="O132" t="n">
        <v>0</v>
      </c>
      <c r="P132">
        <f>Table1[[#This Row],[TA 1 - Q1 Score]]+Table1[[#This Row],[TA 1 - Q2 Score]]+Table1[[#This Row],[TA 1 - Q3 Score]]</f>
        <v/>
      </c>
      <c r="Q132">
        <f>Table1[[#This Row],[TA 1 - Q1 Bonus]]+Table1[[#This Row],[TA 1 - Q2 Bonus]]+Table1[[#This Row],[TA 1 - Q4 Bonus]]</f>
        <v/>
      </c>
      <c r="R132">
        <f>Table1[[#This Row],[TA 2 - Q1 Score]]+Table1[[#This Row],[TA 2 - Q2 Score]]+Table1[[#This Row],[TA 2 - Q3 Score]]</f>
        <v/>
      </c>
      <c r="S132">
        <f>Table1[[#This Row],[TA 2 - Q1 Bonus]]+Table1[[#This Row],[TA 2 - Q2 Bonus]]+Table1[[#This Row],[TA 2 - Q4 Bonus]]</f>
        <v/>
      </c>
      <c r="T132">
        <f>(Table1[[#This Row],[TA 1 - Total Score (out of 35)]]+Table1[[#This Row],[TA 2 - Total Score (out of 35)]])/2</f>
        <v/>
      </c>
      <c r="U132">
        <f>(Table1[[#This Row],[TA 1 - Total Bonus (out of 13)]]+Table1[[#This Row],[TA 2 - Total Bonus (out of 13)]])/2</f>
        <v/>
      </c>
      <c r="V132">
        <f>Table1[[#This Row],[Average Questions]]/35*20+Table1[[#This Row],[Average Bonus]]/13*5</f>
        <v/>
      </c>
      <c r="W132" t="n">
        <v>6</v>
      </c>
      <c r="X132" t="n">
        <v>0</v>
      </c>
      <c r="Y13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implementation of test time augmentation was also incomplete. Overall, the student's submission demonstrated a lack of understanding of the key concepts and failed to execute the tasks correctly.
Breakdown:
- Part 1: Load and Prepare Data: 0.0/?
- Part 2: Load Pretrained Model and Adapt: 0.0/?
- Part 3: Training and Validation Functions: 0.0/?
- Part 4: Training: 2.0/?
- Part 5: Bonus — Test Time Augmentation: 0.0/?</t>
        </is>
      </c>
      <c r="Z132" t="n">
        <v>6</v>
      </c>
      <c r="AA132" t="n">
        <v>0</v>
      </c>
      <c r="AB13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132" t="n">
        <v>6</v>
      </c>
      <c r="AD132" t="inlineStr">
        <is>
          <t>The student's submission failed to meet the requirements of the task. The code was not organized in a way that allowed it to run end-to-end, and several tasks were not implemented correctly. The student did not use the provided functions and did not follow the instructions. As a result, the student did not earn any points for this task.
Breakdown:
- Task 1: Dataset Class: 0.0/?
- Task 2: Model Class: 0.0/?
- Task 3: Training and Validation Loops: 0.0/?
- Task 4: Running Training: 0.0/?
- Task 5: Visualizing Predictions: 0.0/?</t>
        </is>
      </c>
      <c r="AE132" t="n">
        <v>0</v>
      </c>
      <c r="AF132" t="n">
        <v>0</v>
      </c>
      <c r="AG132" t="inlineStr">
        <is>
          <t>No submission found.</t>
        </is>
      </c>
      <c r="AH132" t="n">
        <v>18</v>
      </c>
      <c r="AI132" t="n">
        <v>0</v>
      </c>
    </row>
    <row r="133">
      <c r="A133" t="n">
        <v>132</v>
      </c>
      <c r="B133" t="inlineStr">
        <is>
          <t>TA_3</t>
        </is>
      </c>
      <c r="C133" t="inlineStr">
        <is>
          <t>TA_13</t>
        </is>
      </c>
      <c r="D133" t="n">
        <v>11</v>
      </c>
      <c r="E133" t="n">
        <v>4</v>
      </c>
      <c r="F133" t="n">
        <v>11</v>
      </c>
      <c r="G133" t="n">
        <v>0</v>
      </c>
      <c r="H133" t="n">
        <v>9</v>
      </c>
      <c r="I133" t="n">
        <v>5</v>
      </c>
      <c r="J133" t="n">
        <v>11</v>
      </c>
      <c r="K133" t="n">
        <v>4</v>
      </c>
      <c r="L133" t="n">
        <v>9</v>
      </c>
      <c r="M133" t="n">
        <v>0</v>
      </c>
      <c r="N133" t="n">
        <v>11</v>
      </c>
      <c r="O133" t="n">
        <v>5</v>
      </c>
      <c r="P133">
        <f>Table1[[#This Row],[TA 1 - Q1 Score]]+Table1[[#This Row],[TA 1 - Q2 Score]]+Table1[[#This Row],[TA 1 - Q3 Score]]</f>
        <v/>
      </c>
      <c r="Q133">
        <f>Table1[[#This Row],[TA 1 - Q1 Bonus]]+Table1[[#This Row],[TA 1 - Q2 Bonus]]+Table1[[#This Row],[TA 1 - Q4 Bonus]]</f>
        <v/>
      </c>
      <c r="R133">
        <f>Table1[[#This Row],[TA 2 - Q1 Score]]+Table1[[#This Row],[TA 2 - Q2 Score]]+Table1[[#This Row],[TA 2 - Q3 Score]]</f>
        <v/>
      </c>
      <c r="S133">
        <f>Table1[[#This Row],[TA 2 - Q1 Bonus]]+Table1[[#This Row],[TA 2 - Q2 Bonus]]+Table1[[#This Row],[TA 2 - Q4 Bonus]]</f>
        <v/>
      </c>
      <c r="T133">
        <f>(Table1[[#This Row],[TA 1 - Total Score (out of 35)]]+Table1[[#This Row],[TA 2 - Total Score (out of 35)]])/2</f>
        <v/>
      </c>
      <c r="U133">
        <f>(Table1[[#This Row],[TA 1 - Total Bonus (out of 13)]]+Table1[[#This Row],[TA 2 - Total Bonus (out of 13)]])/2</f>
        <v/>
      </c>
      <c r="V133">
        <f>Table1[[#This Row],[Average Questions]]/35*20+Table1[[#This Row],[Average Bonus]]/13*5</f>
        <v/>
      </c>
      <c r="W133" t="n">
        <v>6</v>
      </c>
      <c r="X133" t="n">
        <v>0</v>
      </c>
      <c r="Y133"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data loaders and the necessary transforms. The bonus task of implementing test time augmentation was also not completed. Overall, the submission demonstrated a lack of understanding of the required tasks and failed to execute several key components.
Breakdown:
- Part 1: Load and Prepare Data: 0.0/?
- Part 2: Load Pretrained Model and Adapt: 0.0/?
- Part 3: Training and Validation Functions: 0.0/?
- Part 4: Training: 3.0/?
- Part 5: Bonus — Test Time Augmentation: 0.0/?</t>
        </is>
      </c>
      <c r="Z133" t="n">
        <v>4</v>
      </c>
      <c r="AA133" t="n">
        <v>0</v>
      </c>
      <c r="AB133"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33" t="n">
        <v>6</v>
      </c>
      <c r="AD133" t="inlineStr">
        <is>
          <t>The student's submission is incomplete and lacks code for several tasks. While they attempted to visualize predictions, their code is not fully functional and does not meet the requirements of the task.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133" t="n">
        <v>0</v>
      </c>
      <c r="AF133" t="n">
        <v>0</v>
      </c>
      <c r="AG133" t="inlineStr">
        <is>
          <t>The student's submission does not meet the requirements of the task. The `ColorizationDataset` class is not fully implemented, and the code contains several syntax and logic mistakes. As a result, the student does not receive any points for this task.
Breakdown:
- Correctly implemented `ColorizationDataset` class:: 0.0/?</t>
        </is>
      </c>
      <c r="AH133" t="n">
        <v>16</v>
      </c>
      <c r="AI133" t="n">
        <v>0</v>
      </c>
    </row>
    <row r="134">
      <c r="A134" t="n">
        <v>133</v>
      </c>
      <c r="B134" t="inlineStr">
        <is>
          <t>TA_3</t>
        </is>
      </c>
      <c r="C134" t="inlineStr">
        <is>
          <t>TA_13</t>
        </is>
      </c>
      <c r="D134" t="n">
        <v>10.5</v>
      </c>
      <c r="E134" t="n">
        <v>0</v>
      </c>
      <c r="F134" t="n">
        <v>11</v>
      </c>
      <c r="G134" t="n">
        <v>0</v>
      </c>
      <c r="H134" t="n">
        <v>12</v>
      </c>
      <c r="I134" t="n">
        <v>0</v>
      </c>
      <c r="J134" t="n">
        <v>9.5</v>
      </c>
      <c r="K134" t="n">
        <v>0</v>
      </c>
      <c r="L134" t="n">
        <v>11</v>
      </c>
      <c r="M134" t="n">
        <v>0</v>
      </c>
      <c r="N134" t="n">
        <v>12</v>
      </c>
      <c r="O134" t="n">
        <v>0</v>
      </c>
      <c r="P134">
        <f>Table1[[#This Row],[TA 1 - Q1 Score]]+Table1[[#This Row],[TA 1 - Q2 Score]]+Table1[[#This Row],[TA 1 - Q3 Score]]</f>
        <v/>
      </c>
      <c r="Q134">
        <f>Table1[[#This Row],[TA 1 - Q1 Bonus]]+Table1[[#This Row],[TA 1 - Q2 Bonus]]+Table1[[#This Row],[TA 1 - Q4 Bonus]]</f>
        <v/>
      </c>
      <c r="R134">
        <f>Table1[[#This Row],[TA 2 - Q1 Score]]+Table1[[#This Row],[TA 2 - Q2 Score]]+Table1[[#This Row],[TA 2 - Q3 Score]]</f>
        <v/>
      </c>
      <c r="S134">
        <f>Table1[[#This Row],[TA 2 - Q1 Bonus]]+Table1[[#This Row],[TA 2 - Q2 Bonus]]+Table1[[#This Row],[TA 2 - Q4 Bonus]]</f>
        <v/>
      </c>
      <c r="T134">
        <f>(Table1[[#This Row],[TA 1 - Total Score (out of 35)]]+Table1[[#This Row],[TA 2 - Total Score (out of 35)]])/2</f>
        <v/>
      </c>
      <c r="U134">
        <f>(Table1[[#This Row],[TA 1 - Total Bonus (out of 13)]]+Table1[[#This Row],[TA 2 - Total Bonus (out of 13)]])/2</f>
        <v/>
      </c>
      <c r="V134">
        <f>Table1[[#This Row],[Average Questions]]/35*20+Table1[[#This Row],[Average Bonus]]/13*5</f>
        <v/>
      </c>
      <c r="W134" t="n">
        <v>6</v>
      </c>
      <c r="X134" t="n">
        <v>0</v>
      </c>
      <c r="Y134"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errors and did not run end-to-end. The student's approach to test time augmentation was also incorrect. As a result, the student earned a score of 6.0, with the majority of the points coming from the training task. The student did not earn any bonus points for the test time augmentation task.
Breakdown:
- Part 1: Load and Prepare Data: 0.0/?
- Part 2: Load Pretrained Model and Adapt: 0.0/?
- Part 3: Training and Validation Functions: 0.0/?
- Part 4: Training: 3.0/?
- Part 5: Bonus — Test Time Augmentation: 0.0/?</t>
        </is>
      </c>
      <c r="Z134" t="n">
        <v>4</v>
      </c>
      <c r="AA134" t="n">
        <v>0</v>
      </c>
      <c r="AB134"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34" t="n">
        <v>6</v>
      </c>
      <c r="AD134" t="inlineStr">
        <is>
          <t>The student's submission was incomplete and lacked code for most tasks. The only task that was attempted was Task 5: Visualizing Predictions, where the student's code was mostly correct but did not meet all the requirements. As a result, the student scored 6.0 out of 12.0 for the base tasks and 0.0 out of 0.0 for the bonus tasks.
Breakdown:
- Task 1: Dataset Class: 0.0/?
- Task 2: Model Class: 0.0/?
- Task 3: Training and Validation Loops: 0.0/?
- Task 4: Running Training: 0.0/?
- Task 5: Visualizing Predictions: 6.0/?</t>
        </is>
      </c>
      <c r="AE134" t="n">
        <v>0</v>
      </c>
      <c r="AF134" t="n">
        <v>0</v>
      </c>
      <c r="AG134" t="inlineStr">
        <is>
          <t>No submission found.</t>
        </is>
      </c>
      <c r="AH134" t="n">
        <v>16</v>
      </c>
      <c r="AI134" t="n">
        <v>0</v>
      </c>
    </row>
    <row r="135">
      <c r="A135" t="n">
        <v>134</v>
      </c>
      <c r="B135" t="inlineStr">
        <is>
          <t>TA_3</t>
        </is>
      </c>
      <c r="C135" t="inlineStr">
        <is>
          <t>TA_13</t>
        </is>
      </c>
      <c r="D135" t="n">
        <v>3</v>
      </c>
      <c r="E135" t="n">
        <v>0</v>
      </c>
      <c r="F135" t="n">
        <v>3.5</v>
      </c>
      <c r="G135" t="n">
        <v>0</v>
      </c>
      <c r="H135" t="n">
        <v>0</v>
      </c>
      <c r="I135" t="n">
        <v>0</v>
      </c>
      <c r="J135" t="n">
        <v>8.5</v>
      </c>
      <c r="K135" t="n">
        <v>0</v>
      </c>
      <c r="L135" t="n">
        <v>7</v>
      </c>
      <c r="M135" t="n">
        <v>0</v>
      </c>
      <c r="N135" t="n">
        <v>0</v>
      </c>
      <c r="O135" t="n">
        <v>0</v>
      </c>
      <c r="P135">
        <f>Table1[[#This Row],[TA 1 - Q1 Score]]+Table1[[#This Row],[TA 1 - Q2 Score]]+Table1[[#This Row],[TA 1 - Q3 Score]]</f>
        <v/>
      </c>
      <c r="Q135">
        <f>Table1[[#This Row],[TA 1 - Q1 Bonus]]+Table1[[#This Row],[TA 1 - Q2 Bonus]]+Table1[[#This Row],[TA 1 - Q4 Bonus]]</f>
        <v/>
      </c>
      <c r="R135">
        <f>Table1[[#This Row],[TA 2 - Q1 Score]]+Table1[[#This Row],[TA 2 - Q2 Score]]+Table1[[#This Row],[TA 2 - Q3 Score]]</f>
        <v/>
      </c>
      <c r="S135">
        <f>Table1[[#This Row],[TA 2 - Q1 Bonus]]+Table1[[#This Row],[TA 2 - Q2 Bonus]]+Table1[[#This Row],[TA 2 - Q4 Bonus]]</f>
        <v/>
      </c>
      <c r="T135">
        <f>(Table1[[#This Row],[TA 1 - Total Score (out of 35)]]+Table1[[#This Row],[TA 2 - Total Score (out of 35)]])/2</f>
        <v/>
      </c>
      <c r="U135">
        <f>(Table1[[#This Row],[TA 1 - Total Bonus (out of 13)]]+Table1[[#This Row],[TA 2 - Total Bonus (out of 13)]])/2</f>
        <v/>
      </c>
      <c r="V135">
        <f>Table1[[#This Row],[Average Questions]]/35*20+Table1[[#This Row],[Average Bonus]]/13*5</f>
        <v/>
      </c>
      <c r="W135" t="n">
        <v>6</v>
      </c>
      <c r="X135" t="n">
        <v>0</v>
      </c>
      <c r="Y135"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2.5/?
- Part 5: Bonus — Test Time Augmentation: 0.0/?</t>
        </is>
      </c>
      <c r="Z135" t="n">
        <v>4</v>
      </c>
      <c r="AA135" t="n">
        <v>0</v>
      </c>
      <c r="AB135"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35" t="n">
        <v>6</v>
      </c>
      <c r="AD135" t="inlineStr">
        <is>
          <t>The student's submission failed to address any of the tasks in Question 3. The code provided does not attempt to build a custom dataset class, define a model class, implement training and validation loops, run training, or visualize predictions. As a result, the student earns 0 points for each task, resulting in a total score of 6.0.
Breakdown:
- Task 1: Dataset Class: 0.0/?
- Task 2: Model Class: 0.0/?
- Task 3: Training and Validation Loops: 0.0/?
- Task 4: Running Training: 0.0/?
- Task 5: Visualizing Predictions: 0.0/?</t>
        </is>
      </c>
      <c r="AE135" t="n">
        <v>0</v>
      </c>
      <c r="AF135" t="n">
        <v>0</v>
      </c>
      <c r="AG135" t="inlineStr">
        <is>
          <t>No submission found.</t>
        </is>
      </c>
      <c r="AH135" t="n">
        <v>16</v>
      </c>
      <c r="AI135" t="n">
        <v>0</v>
      </c>
    </row>
    <row r="136">
      <c r="A136" t="n">
        <v>135</v>
      </c>
      <c r="B136" t="inlineStr">
        <is>
          <t>TA_3</t>
        </is>
      </c>
      <c r="C136" t="inlineStr">
        <is>
          <t>TA_13</t>
        </is>
      </c>
      <c r="D136" t="n">
        <v>6.5</v>
      </c>
      <c r="E136" t="n">
        <v>0</v>
      </c>
      <c r="F136" t="n">
        <v>6</v>
      </c>
      <c r="G136" t="n">
        <v>0</v>
      </c>
      <c r="H136" t="n">
        <v>2</v>
      </c>
      <c r="I136" t="n">
        <v>0</v>
      </c>
      <c r="J136" t="n">
        <v>5.5</v>
      </c>
      <c r="K136" t="n">
        <v>3</v>
      </c>
      <c r="L136" t="n">
        <v>4.5</v>
      </c>
      <c r="M136" t="n">
        <v>0</v>
      </c>
      <c r="N136" t="n">
        <v>0</v>
      </c>
      <c r="O136" t="n">
        <v>0</v>
      </c>
      <c r="P136">
        <f>Table1[[#This Row],[TA 1 - Q1 Score]]+Table1[[#This Row],[TA 1 - Q2 Score]]+Table1[[#This Row],[TA 1 - Q3 Score]]</f>
        <v/>
      </c>
      <c r="Q136">
        <f>Table1[[#This Row],[TA 1 - Q1 Bonus]]+Table1[[#This Row],[TA 1 - Q2 Bonus]]+Table1[[#This Row],[TA 1 - Q4 Bonus]]</f>
        <v/>
      </c>
      <c r="R136">
        <f>Table1[[#This Row],[TA 2 - Q1 Score]]+Table1[[#This Row],[TA 2 - Q2 Score]]+Table1[[#This Row],[TA 2 - Q3 Score]]</f>
        <v/>
      </c>
      <c r="S136">
        <f>Table1[[#This Row],[TA 2 - Q1 Bonus]]+Table1[[#This Row],[TA 2 - Q2 Bonus]]+Table1[[#This Row],[TA 2 - Q4 Bonus]]</f>
        <v/>
      </c>
      <c r="T136">
        <f>(Table1[[#This Row],[TA 1 - Total Score (out of 35)]]+Table1[[#This Row],[TA 2 - Total Score (out of 35)]])/2</f>
        <v/>
      </c>
      <c r="U136">
        <f>(Table1[[#This Row],[TA 1 - Total Bonus (out of 13)]]+Table1[[#This Row],[TA 2 - Total Bonus (out of 13)]])/2</f>
        <v/>
      </c>
      <c r="V136">
        <f>Table1[[#This Row],[Average Questions]]/35*20+Table1[[#This Row],[Average Bonus]]/13*5</f>
        <v/>
      </c>
      <c r="W136" t="n">
        <v>6</v>
      </c>
      <c r="X136" t="n">
        <v>0</v>
      </c>
      <c r="Y136" t="inlineStr">
        <is>
          <t>The student's submission failed to complete several key tasks, including loading and preparing the data, loading a pretrained model and adapting it, and implementing training and validation functions. While the student did attempt to train the model and plot the losses and accuracy, their code contained several syntax and logic mistakes. The student's implementation of test time augmentation was also incomplete.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136" t="n">
        <v>4</v>
      </c>
      <c r="AA136" t="n">
        <v>0</v>
      </c>
      <c r="AB136" t="inlineStr">
        <is>
          <t>The student's submission failed to load and prepare the data correctly, as they did not use the ImageFolder class or implement the transforms as specified. The CNN model was not built with the correct architecture, and the training and validation functions were not implemented. The training process was also not executed correctly. The bonus task of adding a residual connection was not attempted.
Breakdown:
- Part 1: Load and Prepare Data: 0.0/?
- Part 2: Build the CNN Model: 0.0/?
- Part 3: Training and Validation Functions: 0.0/?
- Part 4: Training: 0.0/?
- Part 5: Bonus — Residual Connection: 0.0/?</t>
        </is>
      </c>
      <c r="AC136" t="n">
        <v>6</v>
      </c>
      <c r="AD136" t="inlineStr">
        <is>
          <t>The student's submission is incomplete and lacks code for several tasks. While they attempted to visualize predictions, their code is not fully functional and does not meet the requirements of the task. As a result, the student earns 0 points for the majority of the tasks and 6 points for the task of visualizing predictions, which is the only task they partially completed.
Breakdown:
- Task 1: Dataset Class: 0.0/?
- Task 2: Model Class: 0.0/?
- Task 3: Training and Validation Loops: 0.0/?
- Task 4: Running Training: 0.0/?
- Task 5: Visualizing Predictions: 6.0/?</t>
        </is>
      </c>
      <c r="AE136" t="n">
        <v>0</v>
      </c>
      <c r="AF136" t="n">
        <v>0</v>
      </c>
      <c r="AG136" t="inlineStr">
        <is>
          <t>No submission found.</t>
        </is>
      </c>
      <c r="AH136" t="n">
        <v>16</v>
      </c>
      <c r="AI136" t="n">
        <v>0</v>
      </c>
    </row>
    <row r="137">
      <c r="A137" t="n">
        <v>136</v>
      </c>
      <c r="B137" t="inlineStr">
        <is>
          <t>TA_3</t>
        </is>
      </c>
      <c r="C137" t="inlineStr">
        <is>
          <t>TA_13</t>
        </is>
      </c>
      <c r="D137" t="n">
        <v>7</v>
      </c>
      <c r="E137" t="n">
        <v>0</v>
      </c>
      <c r="F137" t="n">
        <v>10</v>
      </c>
      <c r="G137" t="n">
        <v>0</v>
      </c>
      <c r="H137" t="n">
        <v>6</v>
      </c>
      <c r="I137" t="n">
        <v>0</v>
      </c>
      <c r="J137" t="n">
        <v>8</v>
      </c>
      <c r="K137" t="n">
        <v>2</v>
      </c>
      <c r="L137" t="n">
        <v>11</v>
      </c>
      <c r="M137" t="n">
        <v>0</v>
      </c>
      <c r="N137" t="n">
        <v>10.5</v>
      </c>
      <c r="O137" t="n">
        <v>0</v>
      </c>
      <c r="P137">
        <f>Table1[[#This Row],[TA 1 - Q1 Score]]+Table1[[#This Row],[TA 1 - Q2 Score]]+Table1[[#This Row],[TA 1 - Q3 Score]]</f>
        <v/>
      </c>
      <c r="Q137">
        <f>Table1[[#This Row],[TA 1 - Q1 Bonus]]+Table1[[#This Row],[TA 1 - Q2 Bonus]]+Table1[[#This Row],[TA 1 - Q4 Bonus]]</f>
        <v/>
      </c>
      <c r="R137">
        <f>Table1[[#This Row],[TA 2 - Q1 Score]]+Table1[[#This Row],[TA 2 - Q2 Score]]+Table1[[#This Row],[TA 2 - Q3 Score]]</f>
        <v/>
      </c>
      <c r="S137">
        <f>Table1[[#This Row],[TA 2 - Q1 Bonus]]+Table1[[#This Row],[TA 2 - Q2 Bonus]]+Table1[[#This Row],[TA 2 - Q4 Bonus]]</f>
        <v/>
      </c>
      <c r="T137">
        <f>(Table1[[#This Row],[TA 1 - Total Score (out of 35)]]+Table1[[#This Row],[TA 2 - Total Score (out of 35)]])/2</f>
        <v/>
      </c>
      <c r="U137">
        <f>(Table1[[#This Row],[TA 1 - Total Bonus (out of 13)]]+Table1[[#This Row],[TA 2 - Total Bonus (out of 13)]])/2</f>
        <v/>
      </c>
      <c r="V137">
        <f>Table1[[#This Row],[Average Questions]]/35*20+Table1[[#This Row],[Average Bonus]]/13*5</f>
        <v/>
      </c>
      <c r="W137" t="n">
        <v>6</v>
      </c>
      <c r="X137" t="n">
        <v>0</v>
      </c>
      <c r="Y13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137" t="n">
        <v>4</v>
      </c>
      <c r="AA137" t="n">
        <v>0</v>
      </c>
      <c r="AB137" t="inlineStr">
        <is>
          <t>The student's submission failed to meet the requirements of the task. The code did not load and prepare the data correctly, and the CNN model was not built as specified. The training and validation functions were not implemented, and the training process was not executed. The bonus task of adding a residual connection was not attempted. The student's code had several syntax and logic mistakes, and it did not run end-to-end.
Breakdown:
- Part 1: Load and Prepare Data: 0.0/?
- Part 2: Build the CNN Model: 0.0/?
- Part 3: Training and Validation Functions: 0.0/?
- Part 4: Training: 0.0/?
- Part 5: Bonus — Residual Connection: 0.0/?</t>
        </is>
      </c>
      <c r="AC137" t="n">
        <v>6</v>
      </c>
      <c r="AD137" t="inlineStr">
        <is>
          <t>The student's submission failed to meet the requirements of the task. They did not implement the dataset class, model class, training and validation loops, running training, and visualizing predictions correctly. The code was not well-organized, and the student used different approaches and loss functions than specified in the reference solution. As a result, the student did not earn any points for these tasks.
Breakdown:
- Task 1: Dataset Class: 0.0/?
- Task 2: Model Class: 0.0/?
- Task 3: Training and Validation Loops: 0.0/?
- Task 4: Running Training: 0.0/?
- Task 5: Visualizing Predictions: 0.0/?</t>
        </is>
      </c>
      <c r="AE137" t="n">
        <v>0</v>
      </c>
      <c r="AF137" t="n">
        <v>0</v>
      </c>
      <c r="AG137" t="inlineStr">
        <is>
          <t>The student's submission has multiple mistakes in the implementation of the `ColorizationDataset` class. The `rgb_to_grayscale` method is not implemented, and the `__getitem__` method is not implemented correctly. As a result, the student does not receive any points for this task.
Breakdown:
- Correctly implemented `ColorizationDataset` class:: 0.0/?
- Any mistake in implementation: 0.0/?</t>
        </is>
      </c>
      <c r="AH137" t="n">
        <v>16</v>
      </c>
      <c r="AI137" t="n">
        <v>0</v>
      </c>
    </row>
    <row r="138">
      <c r="A138" t="n">
        <v>137</v>
      </c>
      <c r="B138" t="inlineStr">
        <is>
          <t>TA_3</t>
        </is>
      </c>
      <c r="C138" t="inlineStr">
        <is>
          <t>TA_13</t>
        </is>
      </c>
      <c r="D138" t="n">
        <v>4.5</v>
      </c>
      <c r="E138" t="n">
        <v>0</v>
      </c>
      <c r="F138" t="n">
        <v>1</v>
      </c>
      <c r="G138" t="n">
        <v>0</v>
      </c>
      <c r="H138" t="n">
        <v>0</v>
      </c>
      <c r="I138" t="n">
        <v>0</v>
      </c>
      <c r="J138" t="n">
        <v>7.5</v>
      </c>
      <c r="K138" t="n">
        <v>0</v>
      </c>
      <c r="L138" t="n">
        <v>3</v>
      </c>
      <c r="M138" t="n">
        <v>0</v>
      </c>
      <c r="N138" t="n">
        <v>0</v>
      </c>
      <c r="O138" t="n">
        <v>0</v>
      </c>
      <c r="P138">
        <f>Table1[[#This Row],[TA 1 - Q1 Score]]+Table1[[#This Row],[TA 1 - Q2 Score]]+Table1[[#This Row],[TA 1 - Q3 Score]]</f>
        <v/>
      </c>
      <c r="Q138">
        <f>Table1[[#This Row],[TA 1 - Q1 Bonus]]+Table1[[#This Row],[TA 1 - Q2 Bonus]]+Table1[[#This Row],[TA 1 - Q4 Bonus]]</f>
        <v/>
      </c>
      <c r="R138">
        <f>Table1[[#This Row],[TA 2 - Q1 Score]]+Table1[[#This Row],[TA 2 - Q2 Score]]+Table1[[#This Row],[TA 2 - Q3 Score]]</f>
        <v/>
      </c>
      <c r="S138">
        <f>Table1[[#This Row],[TA 2 - Q1 Bonus]]+Table1[[#This Row],[TA 2 - Q2 Bonus]]+Table1[[#This Row],[TA 2 - Q4 Bonus]]</f>
        <v/>
      </c>
      <c r="T138">
        <f>(Table1[[#This Row],[TA 1 - Total Score (out of 35)]]+Table1[[#This Row],[TA 2 - Total Score (out of 35)]])/2</f>
        <v/>
      </c>
      <c r="U138">
        <f>(Table1[[#This Row],[TA 1 - Total Bonus (out of 13)]]+Table1[[#This Row],[TA 2 - Total Bonus (out of 13)]])/2</f>
        <v/>
      </c>
      <c r="V138">
        <f>Table1[[#This Row],[Average Questions]]/35*20+Table1[[#This Row],[Average Bonus]]/13*5</f>
        <v/>
      </c>
      <c r="W138" t="n">
        <v>6</v>
      </c>
      <c r="X138" t="n">
        <v>0</v>
      </c>
      <c r="Y138"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138" t="n">
        <v>4</v>
      </c>
      <c r="AA138" t="n">
        <v>0</v>
      </c>
      <c r="AB138"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add a residual connection to the model. As a result, the student did not earn any points for this task.
Breakdown:
- Part 1: Load and Prepare Data: 0.0/?
- Part 2: Build the CNN Model: 0.0/?
- Part 3: Training and Validation Functions: 0.0/?
- Part 4: Training: 0.0/?
- Part 5: Bonus — Residual Connection: 0.0/?</t>
        </is>
      </c>
      <c r="AC138" t="n">
        <v>6</v>
      </c>
      <c r="AD138" t="inlineStr">
        <is>
          <t>The student's submission failed to meet the requirements of the task. They did not complete any of the tasks correctly, and their code was not well-organized. The student's approach was incorrect, and they did not follow the instructions provided. As a result, they did not earn any points for this task.
Breakdown:
- Task 1: Dataset Class: 0.0/?
- Task 2: Model Class: 0.0/?
- Task 3: Training and Validation Loops: 0.0/?
- Task 4: Running Training: 0.0/?
- Task 5: Visualizing Predictions: 0.0/?</t>
        </is>
      </c>
      <c r="AE138" t="n">
        <v>0</v>
      </c>
      <c r="AF138" t="n">
        <v>0</v>
      </c>
      <c r="AG138" t="inlineStr">
        <is>
          <t>No submission found.</t>
        </is>
      </c>
      <c r="AH138" t="n">
        <v>16</v>
      </c>
      <c r="AI138" t="n">
        <v>0</v>
      </c>
    </row>
    <row r="139">
      <c r="A139" t="n">
        <v>138</v>
      </c>
      <c r="B139" t="inlineStr">
        <is>
          <t>TA_3</t>
        </is>
      </c>
      <c r="C139" t="inlineStr">
        <is>
          <t>TA_13</t>
        </is>
      </c>
      <c r="D139" t="n">
        <v>12</v>
      </c>
      <c r="E139" t="n">
        <v>0</v>
      </c>
      <c r="F139" t="n">
        <v>11</v>
      </c>
      <c r="G139" t="n">
        <v>0</v>
      </c>
      <c r="H139" t="n">
        <v>8.5</v>
      </c>
      <c r="I139" t="n">
        <v>0</v>
      </c>
      <c r="J139" t="n">
        <v>12</v>
      </c>
      <c r="K139" t="n">
        <v>0</v>
      </c>
      <c r="L139" t="n">
        <v>11</v>
      </c>
      <c r="M139" t="n">
        <v>0</v>
      </c>
      <c r="N139" t="n">
        <v>8.5</v>
      </c>
      <c r="O139" t="n">
        <v>0</v>
      </c>
      <c r="P139">
        <f>Table1[[#This Row],[TA 1 - Q1 Score]]+Table1[[#This Row],[TA 1 - Q2 Score]]+Table1[[#This Row],[TA 1 - Q3 Score]]</f>
        <v/>
      </c>
      <c r="Q139">
        <f>Table1[[#This Row],[TA 1 - Q1 Bonus]]+Table1[[#This Row],[TA 1 - Q2 Bonus]]+Table1[[#This Row],[TA 1 - Q4 Bonus]]</f>
        <v/>
      </c>
      <c r="R139">
        <f>Table1[[#This Row],[TA 2 - Q1 Score]]+Table1[[#This Row],[TA 2 - Q2 Score]]+Table1[[#This Row],[TA 2 - Q3 Score]]</f>
        <v/>
      </c>
      <c r="S139">
        <f>Table1[[#This Row],[TA 2 - Q1 Bonus]]+Table1[[#This Row],[TA 2 - Q2 Bonus]]+Table1[[#This Row],[TA 2 - Q4 Bonus]]</f>
        <v/>
      </c>
      <c r="T139">
        <f>(Table1[[#This Row],[TA 1 - Total Score (out of 35)]]+Table1[[#This Row],[TA 2 - Total Score (out of 35)]])/2</f>
        <v/>
      </c>
      <c r="U139">
        <f>(Table1[[#This Row],[TA 1 - Total Bonus (out of 13)]]+Table1[[#This Row],[TA 2 - Total Bonus (out of 13)]])/2</f>
        <v/>
      </c>
      <c r="V139">
        <f>Table1[[#This Row],[Average Questions]]/35*20+Table1[[#This Row],[Average Bonus]]/13*5</f>
        <v/>
      </c>
      <c r="W139" t="n">
        <v>6</v>
      </c>
      <c r="X139" t="n">
        <v>0</v>
      </c>
      <c r="Y139"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submission lacked critical components necessary for a complete and correct solution. As a result, the student earned a score of 6.0, with the majority of points awarded for the training task. The bonus task was not attempted, resulting in a bonus score of 0.0.
Breakdown:
- Part 1: Load and Prepare Data: 0.0/?
- Part 2: Load Pretrained Model and Adapt: 0.0/?
- Part 3: Training and Validation Functions: 0.0/?
- Part 4: Training: 2.5/?
- Part 5: Bonus — Test Time Augmentation: 0.0/?</t>
        </is>
      </c>
      <c r="Z139" t="n">
        <v>6</v>
      </c>
      <c r="AA139" t="n">
        <v>0</v>
      </c>
      <c r="AB139" t="inlineStr">
        <is>
          <t>The student's submission failed to meet the requirements for several tasks. In Part 1, the student incorrectly used ImageFolder for both training and validation datasets, and failed to apply the specified transforms. In Part 2, the student defined a CNN model with incorrect layer specifications. In Part 3, the student defined training and validation functions but failed to implement them correctly. In Part 4, the student implemented the training loop but failed to plot the losses and accuracy. In Part 5, the student failed to implement the residual connection correctly. As a result, the student's submission did not meet the requirements for several tasks, resulting in a low score.
Breakdown:
- Part 1: Load and Prepare Data: 0.0/?
- Part 2: Build the CNN Model: 0.0/?
- Part 3: Training and Validation Functions: 0.0/?
- Part 4: Training: 2.0/?
- Part 5: Bonus — Residual Connection: 0.0/?</t>
        </is>
      </c>
      <c r="AC139" t="n">
        <v>6</v>
      </c>
      <c r="AD139" t="inlineStr">
        <is>
          <t>The student's submission failed to meet the requirements of the task. The code was not organized in a way that allowed it to run end-to-end, and several tasks were not implemented correctly. The student did not attempt to address the issues with the code, and as a result, the submission was awarded 0 points for each task.
Breakdown:
- Task 1: Dataset Class: 0.0/?
- Task 2: Model Class: 0.0/?
- Task 3: Training and Validation Loops: 0.0/?
- Task 4: Running Training: 0.0/?
- Task 5: Visualizing Predictions: 0.0/?</t>
        </is>
      </c>
      <c r="AE139" t="n">
        <v>0</v>
      </c>
      <c r="AF139" t="n">
        <v>0</v>
      </c>
      <c r="AG139" t="inlineStr">
        <is>
          <t>No submission found.</t>
        </is>
      </c>
      <c r="AH139" t="n">
        <v>18</v>
      </c>
      <c r="AI139" t="n">
        <v>0</v>
      </c>
    </row>
    <row r="140">
      <c r="A140" t="n">
        <v>139</v>
      </c>
      <c r="B140" t="inlineStr">
        <is>
          <t>TA_3</t>
        </is>
      </c>
      <c r="C140" t="inlineStr">
        <is>
          <t>TA_13</t>
        </is>
      </c>
      <c r="D140" t="n">
        <v>5.5</v>
      </c>
      <c r="E140" t="n">
        <v>0</v>
      </c>
      <c r="F140" t="n">
        <v>7.5</v>
      </c>
      <c r="G140" t="n">
        <v>0</v>
      </c>
      <c r="H140" t="n">
        <v>7.5</v>
      </c>
      <c r="I140" t="n">
        <v>0</v>
      </c>
      <c r="J140" t="n">
        <v>8.5</v>
      </c>
      <c r="K140" t="n">
        <v>0</v>
      </c>
      <c r="L140" t="n">
        <v>8.5</v>
      </c>
      <c r="M140" t="n">
        <v>0</v>
      </c>
      <c r="N140" t="n">
        <v>0</v>
      </c>
      <c r="O140" t="n">
        <v>0</v>
      </c>
      <c r="P140">
        <f>Table1[[#This Row],[TA 1 - Q1 Score]]+Table1[[#This Row],[TA 1 - Q2 Score]]+Table1[[#This Row],[TA 1 - Q3 Score]]</f>
        <v/>
      </c>
      <c r="Q140">
        <f>Table1[[#This Row],[TA 1 - Q1 Bonus]]+Table1[[#This Row],[TA 1 - Q2 Bonus]]+Table1[[#This Row],[TA 1 - Q4 Bonus]]</f>
        <v/>
      </c>
      <c r="R140">
        <f>Table1[[#This Row],[TA 2 - Q1 Score]]+Table1[[#This Row],[TA 2 - Q2 Score]]+Table1[[#This Row],[TA 2 - Q3 Score]]</f>
        <v/>
      </c>
      <c r="S140">
        <f>Table1[[#This Row],[TA 2 - Q1 Bonus]]+Table1[[#This Row],[TA 2 - Q2 Bonus]]+Table1[[#This Row],[TA 2 - Q4 Bonus]]</f>
        <v/>
      </c>
      <c r="T140">
        <f>(Table1[[#This Row],[TA 1 - Total Score (out of 35)]]+Table1[[#This Row],[TA 2 - Total Score (out of 35)]])/2</f>
        <v/>
      </c>
      <c r="U140">
        <f>(Table1[[#This Row],[TA 1 - Total Bonus (out of 13)]]+Table1[[#This Row],[TA 2 - Total Bonus (out of 13)]])/2</f>
        <v/>
      </c>
      <c r="V140">
        <f>Table1[[#This Row],[Average Questions]]/35*20+Table1[[#This Row],[Average Bonus]]/13*5</f>
        <v/>
      </c>
      <c r="W140" t="n">
        <v>6</v>
      </c>
      <c r="X140" t="n">
        <v>0</v>
      </c>
      <c r="Y14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disregarding the explicit instructions provided in the reference solution. As a result, the student's submission was awarded a score of 6.0, with no bonus points.
Breakdown:
- Part 1: Load and Prepare Data: 0.0/?
- Part 2: Load Pretrained Model and Adapt: 0.0/?
- Part 3: Training and Validation Functions: 0.0/?
- Part 4: Training: 2.0/?
- Part 5: Bonus — Test Time Augmentation: 0.0/?</t>
        </is>
      </c>
      <c r="Z140" t="n">
        <v>4</v>
      </c>
      <c r="AA140" t="n">
        <v>0</v>
      </c>
      <c r="AB14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each task, resulting in a total score of 0.
Breakdown:
- Part 1: Load and Prepare Data: 0.0/?
- Part 2: Build the CNN Model: 0.0/?
- Part 3: Training and Validation Functions: 0.0/?
- Part 4: Training: 0.0/?
- Part 5: Bonus — Residual Connection: 0.0/?</t>
        </is>
      </c>
      <c r="AC140" t="n">
        <v>6</v>
      </c>
      <c r="AD140" t="inlineStr">
        <is>
          <t>The student's submission failed to meet the requirements of the task. The code was not organized, and the tasks were not completed correctly. The student did not use the provided functions and did not implement the tasks as described in the reference solution. As a result, the student did not earn any points for this task.
Breakdown:
- Task 1: Dataset Class: 0.0/?
- Task 2: Model Class: 0.0/?
- Task 3: Training and Validation Loops: 0.0/?
- Task 4: Running Training: 0.0/?
- Task 5: Visualizing Predictions: 0.0/?</t>
        </is>
      </c>
      <c r="AE140" t="n">
        <v>0</v>
      </c>
      <c r="AF140" t="n">
        <v>0</v>
      </c>
      <c r="AG140" t="inlineStr">
        <is>
          <t>No submission found.</t>
        </is>
      </c>
      <c r="AH140" t="n">
        <v>16</v>
      </c>
      <c r="AI140" t="n">
        <v>0</v>
      </c>
    </row>
    <row r="141">
      <c r="A141" t="n">
        <v>140</v>
      </c>
      <c r="B141" t="inlineStr">
        <is>
          <t>TA_3</t>
        </is>
      </c>
      <c r="C141" t="inlineStr">
        <is>
          <t>TA_13</t>
        </is>
      </c>
      <c r="D141" t="n">
        <v>8</v>
      </c>
      <c r="E141" t="n">
        <v>0</v>
      </c>
      <c r="F141" t="n">
        <v>10.5</v>
      </c>
      <c r="G141" t="n">
        <v>0</v>
      </c>
      <c r="H141" t="n">
        <v>1</v>
      </c>
      <c r="I141" t="n">
        <v>0</v>
      </c>
      <c r="J141" t="n">
        <v>10.5</v>
      </c>
      <c r="K141" t="n">
        <v>0</v>
      </c>
      <c r="L141" t="n">
        <v>11</v>
      </c>
      <c r="M141" t="n">
        <v>0</v>
      </c>
      <c r="N141" t="n">
        <v>0</v>
      </c>
      <c r="O141" t="n">
        <v>0</v>
      </c>
      <c r="P141">
        <f>Table1[[#This Row],[TA 1 - Q1 Score]]+Table1[[#This Row],[TA 1 - Q2 Score]]+Table1[[#This Row],[TA 1 - Q3 Score]]</f>
        <v/>
      </c>
      <c r="Q141">
        <f>Table1[[#This Row],[TA 1 - Q1 Bonus]]+Table1[[#This Row],[TA 1 - Q2 Bonus]]+Table1[[#This Row],[TA 1 - Q4 Bonus]]</f>
        <v/>
      </c>
      <c r="R141">
        <f>Table1[[#This Row],[TA 2 - Q1 Score]]+Table1[[#This Row],[TA 2 - Q2 Score]]+Table1[[#This Row],[TA 2 - Q3 Score]]</f>
        <v/>
      </c>
      <c r="S141">
        <f>Table1[[#This Row],[TA 2 - Q1 Bonus]]+Table1[[#This Row],[TA 2 - Q2 Bonus]]+Table1[[#This Row],[TA 2 - Q4 Bonus]]</f>
        <v/>
      </c>
      <c r="T141">
        <f>(Table1[[#This Row],[TA 1 - Total Score (out of 35)]]+Table1[[#This Row],[TA 2 - Total Score (out of 35)]])/2</f>
        <v/>
      </c>
      <c r="U141">
        <f>(Table1[[#This Row],[TA 1 - Total Bonus (out of 13)]]+Table1[[#This Row],[TA 2 - Total Bonus (out of 13)]])/2</f>
        <v/>
      </c>
      <c r="V141">
        <f>Table1[[#This Row],[Average Questions]]/35*20+Table1[[#This Row],[Average Bonus]]/13*5</f>
        <v/>
      </c>
      <c r="W141" t="n">
        <v>6</v>
      </c>
      <c r="X141" t="n">
        <v>0</v>
      </c>
      <c r="Y141" t="inlineStr">
        <is>
          <t>The student's submission failed to complete several key tasks, including loading and preparing the data, loading a pretrained model and adapting it, and implementing training and validation functions. While the student did attempt to train the model, their implementation was incomplete and did not follow the reference solution. As a result, the student did not earn any points for the base tasks, and their bonus task was also not completed.
Breakdown:
- Part 1: Load and Prepare Data: 0.0/?
- Part 2: Load Pretrained Model and Adapt: 0.0/?
- Part 3: Training and Validation Functions: 0.0/?
- Part 4: Training: 2.0/?
- Part 5: Bonus — Test Time Augmentation: 0.0/?</t>
        </is>
      </c>
      <c r="Z141" t="n">
        <v>4</v>
      </c>
      <c r="AA141" t="n">
        <v>0</v>
      </c>
      <c r="AB14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141" t="n">
        <v>6</v>
      </c>
      <c r="AD141"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141" t="n">
        <v>0</v>
      </c>
      <c r="AF141" t="n">
        <v>0</v>
      </c>
      <c r="AG141" t="inlineStr">
        <is>
          <t>The student's submission did not implement the `ColorizationDataset` class correctly, resulting in a score of 0.0 for the base task. Since the student did not implement the class correctly, they did not attempt the bonus task, resulting in a score of 0.0 for the bonus task.
Breakdown:
- Correctly implemented `ColorizationDataset` class:: 0.0/?
- Any mistake in implementation: 0.0/?</t>
        </is>
      </c>
      <c r="AH141" t="n">
        <v>16</v>
      </c>
      <c r="AI141" t="n">
        <v>0</v>
      </c>
    </row>
    <row r="142">
      <c r="A142" t="n">
        <v>141</v>
      </c>
      <c r="B142" t="inlineStr">
        <is>
          <t>TA_3</t>
        </is>
      </c>
      <c r="C142" t="inlineStr">
        <is>
          <t>TA_13</t>
        </is>
      </c>
      <c r="D142" t="n">
        <v>10.5</v>
      </c>
      <c r="E142" t="n">
        <v>4</v>
      </c>
      <c r="F142" t="n">
        <v>11</v>
      </c>
      <c r="G142" t="n">
        <v>0</v>
      </c>
      <c r="H142" t="n">
        <v>8</v>
      </c>
      <c r="I142" t="n">
        <v>5</v>
      </c>
      <c r="J142" t="n">
        <v>11.5</v>
      </c>
      <c r="K142" t="n">
        <v>0</v>
      </c>
      <c r="L142" t="n">
        <v>11</v>
      </c>
      <c r="M142" t="n">
        <v>4</v>
      </c>
      <c r="N142" t="n">
        <v>9</v>
      </c>
      <c r="O142" t="n">
        <v>5</v>
      </c>
      <c r="P142">
        <f>Table1[[#This Row],[TA 1 - Q1 Score]]+Table1[[#This Row],[TA 1 - Q2 Score]]+Table1[[#This Row],[TA 1 - Q3 Score]]</f>
        <v/>
      </c>
      <c r="Q142">
        <f>Table1[[#This Row],[TA 1 - Q1 Bonus]]+Table1[[#This Row],[TA 1 - Q2 Bonus]]+Table1[[#This Row],[TA 1 - Q4 Bonus]]</f>
        <v/>
      </c>
      <c r="R142">
        <f>Table1[[#This Row],[TA 2 - Q1 Score]]+Table1[[#This Row],[TA 2 - Q2 Score]]+Table1[[#This Row],[TA 2 - Q3 Score]]</f>
        <v/>
      </c>
      <c r="S142">
        <f>Table1[[#This Row],[TA 2 - Q1 Bonus]]+Table1[[#This Row],[TA 2 - Q2 Bonus]]+Table1[[#This Row],[TA 2 - Q4 Bonus]]</f>
        <v/>
      </c>
      <c r="T142">
        <f>(Table1[[#This Row],[TA 1 - Total Score (out of 35)]]+Table1[[#This Row],[TA 2 - Total Score (out of 35)]])/2</f>
        <v/>
      </c>
      <c r="U142">
        <f>(Table1[[#This Row],[TA 1 - Total Bonus (out of 13)]]+Table1[[#This Row],[TA 2 - Total Bonus (out of 13)]])/2</f>
        <v/>
      </c>
      <c r="V142">
        <f>Table1[[#This Row],[Average Questions]]/35*20+Table1[[#This Row],[Average Bonus]]/13*5</f>
        <v/>
      </c>
      <c r="W142" t="n">
        <v>6</v>
      </c>
      <c r="X142" t="n">
        <v>0</v>
      </c>
      <c r="Y142" t="inlineStr">
        <is>
          <t>The student's submission failed to complete several key tasks, including loading and preparing the data, loading the pretrained model and adapting it, and implementing the training and validation functions. While the student did attempt to train the model and implement test time augmentation, their code contained several syntax and logic mistakes, resulting in a low score for these tasks. Overall, the student's submission demonstrated a lack of understanding of the required tasks and concepts.
Breakdown:
- Part 1: Load and Prepare Data: 0.0/?
- Part 2: Load Pretrained Model and Adapt: 0.0/?
- Part 3: Training and Validation Functions: 0.0/?
- Part 4: Training: 2.5/?
- Part 5: Bonus — Test Time Augmentation: 0.0/?</t>
        </is>
      </c>
      <c r="Z142" t="n">
        <v>4</v>
      </c>
      <c r="AA142" t="n">
        <v>0</v>
      </c>
      <c r="AB142"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42" t="n">
        <v>6</v>
      </c>
      <c r="AD142" t="inlineStr">
        <is>
          <t>The student's submission failed to address several key tasks, including building a custom dataset class, defining a model class, and implementing training and validation loops. While the student did attempt to visualize predictions, their code did not meet the full requirements of the task.
Breakdown:
- Task 1: Dataset Class: 0.0/?
- Task 2: Model Class: 0.0/?
- Task 3: Training and Validation Loops: 0.0/?
- Task 4: Running Training: 0.0/?
- Task 5: Visualizing Predictions: 6.0/?</t>
        </is>
      </c>
      <c r="AE142" t="n">
        <v>0</v>
      </c>
      <c r="AF142" t="n">
        <v>1</v>
      </c>
      <c r="AG142" t="inlineStr">
        <is>
          <t>The student's submission demonstrates a good understanding of the ColorizationDataset class. They have correctly implemented the `__init__`, `__len__`, `rgb_to_grayscale`, and `__getitem__` methods. However, they have made a small mistake in the `rgb_to_grayscale` method, where they forgot to add a channel dimension to the grayscale image. This mistake prevents the code from running perfectly, but it does not affect the overall structure of the class. Therefore, I have awarded 4 points for this task. The student has also correctly implemented the DataLoader and tested their implementation, which is a good practice. However, they have not implemented the visualization correctly, which is why I have awarded 0 points for this task.
Breakdown:
- Correctly implemented `ColorizationDataset` class: 4.0/?
- Any mistake in implementation: 0.0/?</t>
        </is>
      </c>
      <c r="AH142" t="n">
        <v>16</v>
      </c>
      <c r="AI142" t="n">
        <v>1</v>
      </c>
    </row>
    <row r="143">
      <c r="A143" t="n">
        <v>142</v>
      </c>
      <c r="B143" t="inlineStr">
        <is>
          <t>TA_3</t>
        </is>
      </c>
      <c r="C143" t="inlineStr">
        <is>
          <t>TA_13</t>
        </is>
      </c>
      <c r="D143" t="n">
        <v>3.5</v>
      </c>
      <c r="E143" t="n">
        <v>0</v>
      </c>
      <c r="F143" t="n">
        <v>4.5</v>
      </c>
      <c r="G143" t="n">
        <v>0</v>
      </c>
      <c r="H143" t="n">
        <v>6.5</v>
      </c>
      <c r="I143" t="n">
        <v>0</v>
      </c>
      <c r="J143" t="n">
        <v>6</v>
      </c>
      <c r="K143" t="n">
        <v>0</v>
      </c>
      <c r="L143" t="n">
        <v>5</v>
      </c>
      <c r="M143" t="n">
        <v>0</v>
      </c>
      <c r="N143" t="n">
        <v>9</v>
      </c>
      <c r="O143" t="n">
        <v>0</v>
      </c>
      <c r="P143">
        <f>Table1[[#This Row],[TA 1 - Q1 Score]]+Table1[[#This Row],[TA 1 - Q2 Score]]+Table1[[#This Row],[TA 1 - Q3 Score]]</f>
        <v/>
      </c>
      <c r="Q143">
        <f>Table1[[#This Row],[TA 1 - Q1 Bonus]]+Table1[[#This Row],[TA 1 - Q2 Bonus]]+Table1[[#This Row],[TA 1 - Q4 Bonus]]</f>
        <v/>
      </c>
      <c r="R143">
        <f>Table1[[#This Row],[TA 2 - Q1 Score]]+Table1[[#This Row],[TA 2 - Q2 Score]]+Table1[[#This Row],[TA 2 - Q3 Score]]</f>
        <v/>
      </c>
      <c r="S143">
        <f>Table1[[#This Row],[TA 2 - Q1 Bonus]]+Table1[[#This Row],[TA 2 - Q2 Bonus]]+Table1[[#This Row],[TA 2 - Q4 Bonus]]</f>
        <v/>
      </c>
      <c r="T143">
        <f>(Table1[[#This Row],[TA 1 - Total Score (out of 35)]]+Table1[[#This Row],[TA 2 - Total Score (out of 35)]])/2</f>
        <v/>
      </c>
      <c r="U143">
        <f>(Table1[[#This Row],[TA 1 - Total Bonus (out of 13)]]+Table1[[#This Row],[TA 2 - Total Bonus (out of 13)]])/2</f>
        <v/>
      </c>
      <c r="V143">
        <f>Table1[[#This Row],[Average Questions]]/35*20+Table1[[#This Row],[Average Bonus]]/13*5</f>
        <v/>
      </c>
      <c r="W143" t="n">
        <v>6</v>
      </c>
      <c r="X143" t="n">
        <v>0</v>
      </c>
      <c r="Y143"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critical components, such as displaying sample images and implementing test time augmentation. As a result, the student's submission did not meet the requirements of the task and earned a score of 6.0.
Breakdown:
- Part 1: Load and Prepare Data: 0.0/?
- Part 2: Load Pretrained Model and Adapt: 0.0/?
- Part 3: Training and Validation Functions: 0.0/?
- Part 4: Training: 2.0/?
- Part 5: Bonus — Test Time Augmentation: 0.0/?</t>
        </is>
      </c>
      <c r="Z143" t="n">
        <v>6</v>
      </c>
      <c r="AA143" t="n">
        <v>0</v>
      </c>
      <c r="AB143" t="inlineStr">
        <is>
          <t>The student's submission failed to complete several key tasks, including loading and preparing the data, building the CNN model, and implementing the training and validation functions. While the student made an attempt at training the model, their implementation was incomplete and did not follow the reference solution. The bonus task of adding a residual connection was not attempted. Overall, the submission demonstrates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143" t="n">
        <v>6</v>
      </c>
      <c r="AD143" t="inlineStr">
        <is>
          <t>The student's submission failed to meet the requirements of the task. The code was not organized in a way that was easy to follow, and the student did not attempt to complete all of the tasks. The student's approach to the tasks was not consistent with the reference solution, and the code contained several errors. As a result, the student did not earn any points for this task.
Breakdown:
- Task 1: Dataset Class: 0.0/?
- Task 2: Model Class: 0.0/?
- Task 3: Training and Validation Loops: 0.0/?
- Task 4: Running Training: 0.0/?
- Task 5: Visualizing Predictions: 0.0/?</t>
        </is>
      </c>
      <c r="AE143" t="n">
        <v>0</v>
      </c>
      <c r="AF143" t="n">
        <v>0</v>
      </c>
      <c r="AG143" t="inlineStr">
        <is>
          <t>No submission found.</t>
        </is>
      </c>
      <c r="AH143" t="n">
        <v>18</v>
      </c>
      <c r="AI143" t="n">
        <v>0</v>
      </c>
    </row>
    <row r="144">
      <c r="A144" t="n">
        <v>143</v>
      </c>
      <c r="B144" t="inlineStr">
        <is>
          <t>TA_3</t>
        </is>
      </c>
      <c r="C144" t="inlineStr">
        <is>
          <t>TA_13</t>
        </is>
      </c>
      <c r="D144" t="n">
        <v>10.5</v>
      </c>
      <c r="E144" t="n">
        <v>0</v>
      </c>
      <c r="F144" t="n">
        <v>10</v>
      </c>
      <c r="G144" t="n">
        <v>0</v>
      </c>
      <c r="H144" t="n">
        <v>11</v>
      </c>
      <c r="I144" t="n">
        <v>5</v>
      </c>
      <c r="J144" t="n">
        <v>12</v>
      </c>
      <c r="K144" t="n">
        <v>0</v>
      </c>
      <c r="L144" t="n">
        <v>11</v>
      </c>
      <c r="M144" t="n">
        <v>1</v>
      </c>
      <c r="N144" t="n">
        <v>12</v>
      </c>
      <c r="O144" t="n">
        <v>5</v>
      </c>
      <c r="P144">
        <f>Table1[[#This Row],[TA 1 - Q1 Score]]+Table1[[#This Row],[TA 1 - Q2 Score]]+Table1[[#This Row],[TA 1 - Q3 Score]]</f>
        <v/>
      </c>
      <c r="Q144">
        <f>Table1[[#This Row],[TA 1 - Q1 Bonus]]+Table1[[#This Row],[TA 1 - Q2 Bonus]]+Table1[[#This Row],[TA 1 - Q4 Bonus]]</f>
        <v/>
      </c>
      <c r="R144">
        <f>Table1[[#This Row],[TA 2 - Q1 Score]]+Table1[[#This Row],[TA 2 - Q2 Score]]+Table1[[#This Row],[TA 2 - Q3 Score]]</f>
        <v/>
      </c>
      <c r="S144">
        <f>Table1[[#This Row],[TA 2 - Q1 Bonus]]+Table1[[#This Row],[TA 2 - Q2 Bonus]]+Table1[[#This Row],[TA 2 - Q4 Bonus]]</f>
        <v/>
      </c>
      <c r="T144">
        <f>(Table1[[#This Row],[TA 1 - Total Score (out of 35)]]+Table1[[#This Row],[TA 2 - Total Score (out of 35)]])/2</f>
        <v/>
      </c>
      <c r="U144">
        <f>(Table1[[#This Row],[TA 1 - Total Bonus (out of 13)]]+Table1[[#This Row],[TA 2 - Total Bonus (out of 13)]])/2</f>
        <v/>
      </c>
      <c r="V144">
        <f>Table1[[#This Row],[Average Questions]]/35*20+Table1[[#This Row],[Average Bonus]]/13*5</f>
        <v/>
      </c>
      <c r="W144" t="n">
        <v>6</v>
      </c>
      <c r="X144" t="n">
        <v>0</v>
      </c>
      <c r="Y144" t="inlineStr">
        <is>
          <t>The student's submission failed to complete several key tasks, including loading and preparing the data, loading a pretrained model and adapting it, and training the model. While the student made an attempt at the training and validation functions, the code contained syntax errors and did not run correctly. The bonus task of implementing test time augmentation was also not completed. Overall, the submission demonstrated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144" t="n">
        <v>4</v>
      </c>
      <c r="AA144" t="n">
        <v>0</v>
      </c>
      <c r="AB144"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44" t="n">
        <v>6</v>
      </c>
      <c r="AD144" t="inlineStr">
        <is>
          <t>The student's submission is incomplete and lacks code for several tasks. While they attempted to visualize predictions, their code is not fully functional and does not meet the requirements of the task.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144" t="n">
        <v>0</v>
      </c>
      <c r="AF144" t="n">
        <v>0</v>
      </c>
      <c r="AG144" t="inlineStr">
        <is>
          <t>The student's submission for Question 4 is incomplete and contains errors. The `ColorizationDataset` class is not implemented correctly, and the `rgb_to_grayscale` method is not implemented at all. The `__getitem__` method returns a grayscale image with incorrect dimensions. As a result, the student does not receive any points for this question.
Breakdown:
- Correctly implemented `ColorizationDataset` class:: 0.0/?</t>
        </is>
      </c>
      <c r="AH144" t="n">
        <v>16</v>
      </c>
      <c r="AI144" t="n">
        <v>0</v>
      </c>
    </row>
    <row r="145">
      <c r="A145" t="n">
        <v>144</v>
      </c>
      <c r="B145" t="inlineStr">
        <is>
          <t>TA_3</t>
        </is>
      </c>
      <c r="C145" t="inlineStr">
        <is>
          <t>TA_13</t>
        </is>
      </c>
      <c r="D145" t="n">
        <v>8</v>
      </c>
      <c r="E145" t="n">
        <v>0</v>
      </c>
      <c r="F145" t="n">
        <v>10</v>
      </c>
      <c r="G145" t="n">
        <v>0</v>
      </c>
      <c r="H145" t="n">
        <v>7</v>
      </c>
      <c r="I145" t="n">
        <v>0</v>
      </c>
      <c r="J145" t="n">
        <v>9</v>
      </c>
      <c r="K145" t="n">
        <v>1.5</v>
      </c>
      <c r="L145" t="n">
        <v>10.5</v>
      </c>
      <c r="M145" t="n">
        <v>0</v>
      </c>
      <c r="N145" t="n">
        <v>10.5</v>
      </c>
      <c r="O145" t="n">
        <v>0</v>
      </c>
      <c r="P145">
        <f>Table1[[#This Row],[TA 1 - Q1 Score]]+Table1[[#This Row],[TA 1 - Q2 Score]]+Table1[[#This Row],[TA 1 - Q3 Score]]</f>
        <v/>
      </c>
      <c r="Q145">
        <f>Table1[[#This Row],[TA 1 - Q1 Bonus]]+Table1[[#This Row],[TA 1 - Q2 Bonus]]+Table1[[#This Row],[TA 1 - Q4 Bonus]]</f>
        <v/>
      </c>
      <c r="R145">
        <f>Table1[[#This Row],[TA 2 - Q1 Score]]+Table1[[#This Row],[TA 2 - Q2 Score]]+Table1[[#This Row],[TA 2 - Q3 Score]]</f>
        <v/>
      </c>
      <c r="S145">
        <f>Table1[[#This Row],[TA 2 - Q1 Bonus]]+Table1[[#This Row],[TA 2 - Q2 Bonus]]+Table1[[#This Row],[TA 2 - Q4 Bonus]]</f>
        <v/>
      </c>
      <c r="T145">
        <f>(Table1[[#This Row],[TA 1 - Total Score (out of 35)]]+Table1[[#This Row],[TA 2 - Total Score (out of 35)]])/2</f>
        <v/>
      </c>
      <c r="U145">
        <f>(Table1[[#This Row],[TA 1 - Total Bonus (out of 13)]]+Table1[[#This Row],[TA 2 - Total Bonus (out of 13)]])/2</f>
        <v/>
      </c>
      <c r="V145">
        <f>Table1[[#This Row],[Average Questions]]/35*20+Table1[[#This Row],[Average Bonus]]/13*5</f>
        <v/>
      </c>
      <c r="W145" t="n">
        <v>6</v>
      </c>
      <c r="X145" t="n">
        <v>0</v>
      </c>
      <c r="Y145" t="inlineStr">
        <is>
          <t>The student failed to complete several key tasks, including loading and preparing the data, loading the pretrained model and adapting it, and training the model. While they did attempt to implement the training and validation functions, their code contained syntax errors and did not run correctly. Additionally, their bonus task, Test Time Augmentation, was not implemented at all. Overall, the student's submission was incomplete and contained several errors.
Breakdown:
- Part 1: Load and Prepare Data: 0.0/?
- Part 2: Load Pretrained Model and Adapt: 0.0/?
- Part 3: Training and Validation Functions: 1.5/?
- Part 4: Training: 0.0/?
- Part 5: Bonus — Test Time Augmentation: 0.0/?</t>
        </is>
      </c>
      <c r="Z145" t="n">
        <v>4</v>
      </c>
      <c r="AA145" t="n">
        <v>0</v>
      </c>
      <c r="AB145"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45" t="n">
        <v>6</v>
      </c>
      <c r="AD145" t="inlineStr">
        <is>
          <t>The student's submission had several issues. The dataset class was not implemented correctly, and the model class was not defined as per the reference solution. The training and validation loops were also not implemented correctly, and the training process was not completed. However, the student was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145" t="n">
        <v>0</v>
      </c>
      <c r="AF145" t="n">
        <v>0</v>
      </c>
      <c r="AG145" t="inlineStr">
        <is>
          <t>No submission found.</t>
        </is>
      </c>
      <c r="AH145" t="n">
        <v>16</v>
      </c>
      <c r="AI145" t="n">
        <v>0</v>
      </c>
    </row>
    <row r="146">
      <c r="A146" t="n">
        <v>145</v>
      </c>
      <c r="B146" t="inlineStr">
        <is>
          <t>TA_3</t>
        </is>
      </c>
      <c r="C146" t="inlineStr">
        <is>
          <t>TA_13</t>
        </is>
      </c>
      <c r="D146" t="n">
        <v>10</v>
      </c>
      <c r="E146" t="n">
        <v>0</v>
      </c>
      <c r="F146" t="n">
        <v>10</v>
      </c>
      <c r="G146" t="n">
        <v>0</v>
      </c>
      <c r="H146" t="n">
        <v>11</v>
      </c>
      <c r="I146" t="n">
        <v>5</v>
      </c>
      <c r="J146" t="n">
        <v>10</v>
      </c>
      <c r="K146" t="n">
        <v>2</v>
      </c>
      <c r="L146" t="n">
        <v>11</v>
      </c>
      <c r="M146" t="n">
        <v>4</v>
      </c>
      <c r="N146" t="n">
        <v>12</v>
      </c>
      <c r="O146" t="n">
        <v>5</v>
      </c>
      <c r="P146">
        <f>Table1[[#This Row],[TA 1 - Q1 Score]]+Table1[[#This Row],[TA 1 - Q2 Score]]+Table1[[#This Row],[TA 1 - Q3 Score]]</f>
        <v/>
      </c>
      <c r="Q146">
        <f>Table1[[#This Row],[TA 1 - Q1 Bonus]]+Table1[[#This Row],[TA 1 - Q2 Bonus]]+Table1[[#This Row],[TA 1 - Q4 Bonus]]</f>
        <v/>
      </c>
      <c r="R146">
        <f>Table1[[#This Row],[TA 2 - Q1 Score]]+Table1[[#This Row],[TA 2 - Q2 Score]]+Table1[[#This Row],[TA 2 - Q3 Score]]</f>
        <v/>
      </c>
      <c r="S146">
        <f>Table1[[#This Row],[TA 2 - Q1 Bonus]]+Table1[[#This Row],[TA 2 - Q2 Bonus]]+Table1[[#This Row],[TA 2 - Q4 Bonus]]</f>
        <v/>
      </c>
      <c r="T146">
        <f>(Table1[[#This Row],[TA 1 - Total Score (out of 35)]]+Table1[[#This Row],[TA 2 - Total Score (out of 35)]])/2</f>
        <v/>
      </c>
      <c r="U146">
        <f>(Table1[[#This Row],[TA 1 - Total Bonus (out of 13)]]+Table1[[#This Row],[TA 2 - Total Bonus (out of 13)]])/2</f>
        <v/>
      </c>
      <c r="V146">
        <f>Table1[[#This Row],[Average Questions]]/35*20+Table1[[#This Row],[Average Bonus]]/13*5</f>
        <v/>
      </c>
      <c r="W146" t="n">
        <v>6</v>
      </c>
      <c r="X146" t="n">
        <v>0</v>
      </c>
      <c r="Y146" t="inlineStr">
        <is>
          <t>The student's submission failed to complete several key tasks, including loading and preparing data, loading a pretrained model, and training the model. While they did attempt to implement a training loop and validation function, their code contained significant errors and did not run end-to-end. The bonus task, Test Time Augmentation, was also not implemented correctly. Overall, the submission demonstrated a lack of understanding of the required tasks and concepts.
Breakdown:
- Part 1: Load and Prepare Data: 0.0/?
- Part 2: Load Pretrained Model and Adapt: 0.0/?
- Part 3: Training and Validation Functions: 1.5/?
- Part 4: Training: 0.0/?
- Part 5: Bonus — Test Time Augmentation: 0.0/?</t>
        </is>
      </c>
      <c r="Z146" t="n">
        <v>4</v>
      </c>
      <c r="AA146" t="n">
        <v>0</v>
      </c>
      <c r="AB146"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46" t="n">
        <v>6</v>
      </c>
      <c r="AD146"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146" t="n">
        <v>0</v>
      </c>
      <c r="AF146" t="n">
        <v>0</v>
      </c>
      <c r="AG146" t="inlineStr">
        <is>
          <t>The student's submission does not meet the requirements of the task. The `ColorizationDataset` class is not correctly implemented, and the code does not run end-to-end. The student attempted to implement the class, but made several mistakes, including incorrect method implementations and missing method implementations. As a result, the student did not earn any points for this task.
Breakdown:
- Correctly implemented `ColorizationDataset` class:: 0.0/?</t>
        </is>
      </c>
      <c r="AH146" t="n">
        <v>16</v>
      </c>
      <c r="AI146" t="n">
        <v>0</v>
      </c>
    </row>
    <row r="147">
      <c r="A147" t="n">
        <v>146</v>
      </c>
      <c r="B147" t="inlineStr">
        <is>
          <t>TA_3</t>
        </is>
      </c>
      <c r="C147" t="inlineStr">
        <is>
          <t>TA_13</t>
        </is>
      </c>
      <c r="D147" t="n">
        <v>10</v>
      </c>
      <c r="E147" t="n">
        <v>0</v>
      </c>
      <c r="F147" t="n">
        <v>10</v>
      </c>
      <c r="G147" t="n">
        <v>0</v>
      </c>
      <c r="H147" t="n">
        <v>11</v>
      </c>
      <c r="I147" t="n">
        <v>0</v>
      </c>
      <c r="J147" t="n">
        <v>12</v>
      </c>
      <c r="K147" t="n">
        <v>3</v>
      </c>
      <c r="L147" t="n">
        <v>10</v>
      </c>
      <c r="M147" t="n">
        <v>2</v>
      </c>
      <c r="N147" t="n">
        <v>11</v>
      </c>
      <c r="O147" t="n">
        <v>0</v>
      </c>
      <c r="P147">
        <f>Table1[[#This Row],[TA 1 - Q1 Score]]+Table1[[#This Row],[TA 1 - Q2 Score]]+Table1[[#This Row],[TA 1 - Q3 Score]]</f>
        <v/>
      </c>
      <c r="Q147">
        <f>Table1[[#This Row],[TA 1 - Q1 Bonus]]+Table1[[#This Row],[TA 1 - Q2 Bonus]]+Table1[[#This Row],[TA 1 - Q4 Bonus]]</f>
        <v/>
      </c>
      <c r="R147">
        <f>Table1[[#This Row],[TA 2 - Q1 Score]]+Table1[[#This Row],[TA 2 - Q2 Score]]+Table1[[#This Row],[TA 2 - Q3 Score]]</f>
        <v/>
      </c>
      <c r="S147">
        <f>Table1[[#This Row],[TA 2 - Q1 Bonus]]+Table1[[#This Row],[TA 2 - Q2 Bonus]]+Table1[[#This Row],[TA 2 - Q4 Bonus]]</f>
        <v/>
      </c>
      <c r="T147">
        <f>(Table1[[#This Row],[TA 1 - Total Score (out of 35)]]+Table1[[#This Row],[TA 2 - Total Score (out of 35)]])/2</f>
        <v/>
      </c>
      <c r="U147">
        <f>(Table1[[#This Row],[TA 1 - Total Bonus (out of 13)]]+Table1[[#This Row],[TA 2 - Total Bonus (out of 13)]])/2</f>
        <v/>
      </c>
      <c r="V147">
        <f>Table1[[#This Row],[Average Questions]]/35*20+Table1[[#This Row],[Average Bonus]]/13*5</f>
        <v/>
      </c>
      <c r="W147" t="n">
        <v>6</v>
      </c>
      <c r="X147" t="n">
        <v>0</v>
      </c>
      <c r="Y147" t="inlineStr">
        <is>
          <t>The student's submission failed to complete several key tasks, including loading and preparing the data, loading a pretrained model, and training the model. While they did attempt to implement the training and validation functions, their code contained syntax errors and did not run correctly. Additionally, their bonus task, Test Time Augmentation, was not implemented at all. As a result, the student's score is low, reflecting their incomplete and incorrect submission.
Breakdown:
- Part 1: Load and Prepare Data: 0.0/?
- Part 2: Load Pretrained Model and Adapt: 0.0/?
- Part 3: Training and Validation Functions: 1.5/?
- Part 4: Training: 0.0/?
- Part 5: Bonus — Test Time Augmentation: 0.0/?</t>
        </is>
      </c>
      <c r="Z147" t="n">
        <v>6</v>
      </c>
      <c r="AA147" t="n">
        <v>0</v>
      </c>
      <c r="AB147"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implemented,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147" t="n">
        <v>6</v>
      </c>
      <c r="AD147" t="inlineStr">
        <is>
          <t>The student failed to submit code for any of the tasks in Question 3. The submission is incomplete and does not demonstrate any understanding of the required concepts. As a result, the student receives 0 points for each task.
Breakdown:
- Task 1: Dataset Class: 0.0/?
- Task 2: Model Class: 0.0/?
- Task 3: Training and Validation Loops: 0.0/?
- Task 4: Running Training: 0.0/?
- Task 5: Visualizing Predictions: 0.0/?</t>
        </is>
      </c>
      <c r="AE147" t="n">
        <v>0</v>
      </c>
      <c r="AF147" t="n">
        <v>0</v>
      </c>
      <c r="AG147" t="inlineStr">
        <is>
          <t>No submission found.</t>
        </is>
      </c>
      <c r="AH147" t="n">
        <v>18</v>
      </c>
      <c r="AI147" t="n">
        <v>0</v>
      </c>
    </row>
    <row r="148">
      <c r="A148" t="n">
        <v>147</v>
      </c>
      <c r="B148" t="inlineStr">
        <is>
          <t>TA_3</t>
        </is>
      </c>
      <c r="C148" t="inlineStr">
        <is>
          <t>TA_13</t>
        </is>
      </c>
      <c r="D148" t="n">
        <v>5.5</v>
      </c>
      <c r="E148" t="n">
        <v>0</v>
      </c>
      <c r="F148" t="n">
        <v>8.5</v>
      </c>
      <c r="G148" t="n">
        <v>0</v>
      </c>
      <c r="H148" t="n">
        <v>7.5</v>
      </c>
      <c r="I148" t="n">
        <v>0</v>
      </c>
      <c r="J148" t="n">
        <v>9.5</v>
      </c>
      <c r="K148" t="n">
        <v>0</v>
      </c>
      <c r="L148" t="n">
        <v>8.5</v>
      </c>
      <c r="M148" t="n">
        <v>0</v>
      </c>
      <c r="N148" t="n">
        <v>0</v>
      </c>
      <c r="O148" t="n">
        <v>0</v>
      </c>
      <c r="P148">
        <f>Table1[[#This Row],[TA 1 - Q1 Score]]+Table1[[#This Row],[TA 1 - Q2 Score]]+Table1[[#This Row],[TA 1 - Q3 Score]]</f>
        <v/>
      </c>
      <c r="Q148">
        <f>Table1[[#This Row],[TA 1 - Q1 Bonus]]+Table1[[#This Row],[TA 1 - Q2 Bonus]]+Table1[[#This Row],[TA 1 - Q4 Bonus]]</f>
        <v/>
      </c>
      <c r="R148">
        <f>Table1[[#This Row],[TA 2 - Q1 Score]]+Table1[[#This Row],[TA 2 - Q2 Score]]+Table1[[#This Row],[TA 2 - Q3 Score]]</f>
        <v/>
      </c>
      <c r="S148">
        <f>Table1[[#This Row],[TA 2 - Q1 Bonus]]+Table1[[#This Row],[TA 2 - Q2 Bonus]]+Table1[[#This Row],[TA 2 - Q4 Bonus]]</f>
        <v/>
      </c>
      <c r="T148">
        <f>(Table1[[#This Row],[TA 1 - Total Score (out of 35)]]+Table1[[#This Row],[TA 2 - Total Score (out of 35)]])/2</f>
        <v/>
      </c>
      <c r="U148">
        <f>(Table1[[#This Row],[TA 1 - Total Bonus (out of 13)]]+Table1[[#This Row],[TA 2 - Total Bonus (out of 13)]])/2</f>
        <v/>
      </c>
      <c r="V148">
        <f>Table1[[#This Row],[Average Questions]]/35*20+Table1[[#This Row],[Average Bonus]]/13*5</f>
        <v/>
      </c>
      <c r="W148" t="n">
        <v>6</v>
      </c>
      <c r="X148" t="n">
        <v>0</v>
      </c>
      <c r="Y148" t="inlineStr">
        <is>
          <t>The student's submission failed to complete several key tasks, including loading and preparing the data, loading the pretrained model, and adapting it for the task. The training and validation functions were also not implemented correctly. However, the student did manage to complete the training process, earning 6 points for that task. Unfortunately, the bonus task of implementing test time augmentation was not attempted, resulting in a score of 0 for that task.
Breakdown:
- Part 1: Load and Prepare Data: 0.0/?
- Part 2: Load Pretrained Model and Adapt: 0.0/?
- Part 3: Training and Validation Functions: 0.0/?
- Part 4: Training: 6.0/?
- Part 5: Bonus — Test Time Augmentation: 0.0/?</t>
        </is>
      </c>
      <c r="Z148" t="n">
        <v>4</v>
      </c>
      <c r="AA148" t="n">
        <v>0</v>
      </c>
      <c r="AB148"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48" t="n">
        <v>6</v>
      </c>
      <c r="AD148" t="inlineStr">
        <is>
          <t>The student's submission is incomplete and lacks code for several tasks. While they attempted to visualize predictions, their code is not fully functional and does not meet the requirements of the task.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148" t="n">
        <v>0</v>
      </c>
      <c r="AF148" t="n">
        <v>0</v>
      </c>
      <c r="AG148" t="inlineStr">
        <is>
          <t>No submission found.</t>
        </is>
      </c>
      <c r="AH148" t="n">
        <v>16</v>
      </c>
      <c r="AI148" t="n">
        <v>0</v>
      </c>
    </row>
    <row r="149">
      <c r="A149" t="n">
        <v>148</v>
      </c>
      <c r="B149" t="inlineStr">
        <is>
          <t>TA_3</t>
        </is>
      </c>
      <c r="C149" t="inlineStr">
        <is>
          <t>TA_13</t>
        </is>
      </c>
      <c r="D149" t="n">
        <v>4</v>
      </c>
      <c r="E149" t="n">
        <v>0</v>
      </c>
      <c r="F149" t="n">
        <v>8</v>
      </c>
      <c r="G149" t="n">
        <v>0</v>
      </c>
      <c r="H149" t="n">
        <v>4.5</v>
      </c>
      <c r="I149" t="n">
        <v>0</v>
      </c>
      <c r="J149" t="n">
        <v>6</v>
      </c>
      <c r="K149" t="n">
        <v>0</v>
      </c>
      <c r="L149" t="n">
        <v>9</v>
      </c>
      <c r="M149" t="n">
        <v>0</v>
      </c>
      <c r="N149" t="n">
        <v>0</v>
      </c>
      <c r="O149" t="n">
        <v>0</v>
      </c>
      <c r="P149">
        <f>Table1[[#This Row],[TA 1 - Q1 Score]]+Table1[[#This Row],[TA 1 - Q2 Score]]+Table1[[#This Row],[TA 1 - Q3 Score]]</f>
        <v/>
      </c>
      <c r="Q149">
        <f>Table1[[#This Row],[TA 1 - Q1 Bonus]]+Table1[[#This Row],[TA 1 - Q2 Bonus]]+Table1[[#This Row],[TA 1 - Q4 Bonus]]</f>
        <v/>
      </c>
      <c r="R149">
        <f>Table1[[#This Row],[TA 2 - Q1 Score]]+Table1[[#This Row],[TA 2 - Q2 Score]]+Table1[[#This Row],[TA 2 - Q3 Score]]</f>
        <v/>
      </c>
      <c r="S149">
        <f>Table1[[#This Row],[TA 2 - Q1 Bonus]]+Table1[[#This Row],[TA 2 - Q2 Bonus]]+Table1[[#This Row],[TA 2 - Q4 Bonus]]</f>
        <v/>
      </c>
      <c r="T149">
        <f>(Table1[[#This Row],[TA 1 - Total Score (out of 35)]]+Table1[[#This Row],[TA 2 - Total Score (out of 35)]])/2</f>
        <v/>
      </c>
      <c r="U149">
        <f>(Table1[[#This Row],[TA 1 - Total Bonus (out of 13)]]+Table1[[#This Row],[TA 2 - Total Bonus (out of 13)]])/2</f>
        <v/>
      </c>
      <c r="V149">
        <f>Table1[[#This Row],[Average Questions]]/35*20+Table1[[#This Row],[Average Bonus]]/13*5</f>
        <v/>
      </c>
      <c r="W149" t="n">
        <v>6</v>
      </c>
      <c r="X149" t="n">
        <v>0</v>
      </c>
      <c r="Y149"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loss function and optimizer. The bonus task of implementing test time augmentation was also not completed. Overall, the submission demonstrated a lack of understanding of the task requirements and failed to execute several key components.
Breakdown:
- Part 1: Load and Prepare Data: 0.0/?
- Part 2: Load Pretrained Model and Adapt: 0.0/?
- Part 3: Training and Validation Functions: 0.0/?
- Part 4: Training: 2.0/?
- Part 5: Bonus — Test Time Augmentation: 0.0/?</t>
        </is>
      </c>
      <c r="Z149" t="n">
        <v>4</v>
      </c>
      <c r="AA149" t="n">
        <v>0</v>
      </c>
      <c r="AB14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149" t="n">
        <v>6</v>
      </c>
      <c r="AD149"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149" t="n">
        <v>0</v>
      </c>
      <c r="AF149" t="n">
        <v>0</v>
      </c>
      <c r="AG149" t="inlineStr">
        <is>
          <t>No submission found.</t>
        </is>
      </c>
      <c r="AH149" t="n">
        <v>16</v>
      </c>
      <c r="AI149" t="n">
        <v>0</v>
      </c>
    </row>
    <row r="150">
      <c r="A150" t="n">
        <v>149</v>
      </c>
      <c r="B150" t="inlineStr">
        <is>
          <t>TA_3</t>
        </is>
      </c>
      <c r="C150" t="inlineStr">
        <is>
          <t>TA_13</t>
        </is>
      </c>
      <c r="D150" t="n">
        <v>7</v>
      </c>
      <c r="E150" t="n">
        <v>0</v>
      </c>
      <c r="F150" t="n">
        <v>8</v>
      </c>
      <c r="G150" t="n">
        <v>0</v>
      </c>
      <c r="H150" t="n">
        <v>6</v>
      </c>
      <c r="I150" t="n">
        <v>0</v>
      </c>
      <c r="J150" t="n">
        <v>7.5</v>
      </c>
      <c r="K150" t="n">
        <v>0</v>
      </c>
      <c r="L150" t="n">
        <v>5.25</v>
      </c>
      <c r="M150" t="n">
        <v>0</v>
      </c>
      <c r="N150" t="n">
        <v>0.5</v>
      </c>
      <c r="O150" t="n">
        <v>0</v>
      </c>
      <c r="P150">
        <f>Table1[[#This Row],[TA 1 - Q1 Score]]+Table1[[#This Row],[TA 1 - Q2 Score]]+Table1[[#This Row],[TA 1 - Q3 Score]]</f>
        <v/>
      </c>
      <c r="Q150">
        <f>Table1[[#This Row],[TA 1 - Q1 Bonus]]+Table1[[#This Row],[TA 1 - Q2 Bonus]]+Table1[[#This Row],[TA 1 - Q4 Bonus]]</f>
        <v/>
      </c>
      <c r="R150">
        <f>Table1[[#This Row],[TA 2 - Q1 Score]]+Table1[[#This Row],[TA 2 - Q2 Score]]+Table1[[#This Row],[TA 2 - Q3 Score]]</f>
        <v/>
      </c>
      <c r="S150">
        <f>Table1[[#This Row],[TA 2 - Q1 Bonus]]+Table1[[#This Row],[TA 2 - Q2 Bonus]]+Table1[[#This Row],[TA 2 - Q4 Bonus]]</f>
        <v/>
      </c>
      <c r="T150">
        <f>(Table1[[#This Row],[TA 1 - Total Score (out of 35)]]+Table1[[#This Row],[TA 2 - Total Score (out of 35)]])/2</f>
        <v/>
      </c>
      <c r="U150">
        <f>(Table1[[#This Row],[TA 1 - Total Bonus (out of 13)]]+Table1[[#This Row],[TA 2 - Total Bonus (out of 13)]])/2</f>
        <v/>
      </c>
      <c r="V150">
        <f>Table1[[#This Row],[Average Questions]]/35*20+Table1[[#This Row],[Average Bonus]]/13*5</f>
        <v/>
      </c>
      <c r="W150" t="n">
        <v>6</v>
      </c>
      <c r="X150" t="n">
        <v>0</v>
      </c>
      <c r="Y15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correctly.
Breakdown:
- Part 1: Load and Prepare Data: 0.0/?
- Part 2: Load Pretrained Model and Adapt: 0.0/?
- Part 3: Training and Validation Functions: 0.0/?
- Part 4: Training: 2.0/?
- Part 5: Bonus — Test Time Augmentation: 0.0/?</t>
        </is>
      </c>
      <c r="Z150" t="n">
        <v>4</v>
      </c>
      <c r="AA150" t="n">
        <v>4</v>
      </c>
      <c r="AB150" t="inlineStr">
        <is>
          <t>The student's submission failed to meet the requirements for most tasks. They did not load and prepare the data correctly, and their CNN model was not built as specified. The training and validation functions were not implemented, and the model was not trained. However, they did attempt the bonus task of adding a residual connection to the CNN model, and their code for this task was correct and ran.
Breakdown:
- Part 1: Load and Prepare Data: 0.0/?
- Part 2: Build the CNN Model: 0.0/?
- Part 3: Training and Validation Functions: 0.0/?
- Part 4: Training: 0.0/?
- Part 5: Bonus — Residual Connection: 4.0/?</t>
        </is>
      </c>
      <c r="AC150" t="n">
        <v>6</v>
      </c>
      <c r="AD150" t="inlineStr">
        <is>
          <t>The student failed to submit code for any of the tasks in Question 3. The submission is incomplete and does not demonstrate any understanding of the required concepts. As a result, the student receives a score of 0 for the base tasks and 0 for the bonus task.
Breakdown:
- Task 1: Dataset Class: 0.0/?
- Task 2: Model Class: 0.0/?
- Task 3: Training and Validation Loops: 0.0/?
- Task 4: Running Training: 0.0/?
- Task 5: Visualizing Predictions: 0.0/?</t>
        </is>
      </c>
      <c r="AE150" t="n">
        <v>0</v>
      </c>
      <c r="AF150" t="n">
        <v>0</v>
      </c>
      <c r="AG150" t="inlineStr">
        <is>
          <t>No submission found.</t>
        </is>
      </c>
      <c r="AH150" t="n">
        <v>16</v>
      </c>
      <c r="AI150" t="n">
        <v>4</v>
      </c>
    </row>
    <row r="151">
      <c r="A151" t="n">
        <v>150</v>
      </c>
      <c r="B151" t="inlineStr">
        <is>
          <t>TA_3</t>
        </is>
      </c>
      <c r="C151" t="inlineStr">
        <is>
          <t>TA_13</t>
        </is>
      </c>
      <c r="D151" t="n">
        <v>11</v>
      </c>
      <c r="E151" t="n">
        <v>0</v>
      </c>
      <c r="F151" t="n">
        <v>9</v>
      </c>
      <c r="G151" t="n">
        <v>0</v>
      </c>
      <c r="H151" t="n">
        <v>12</v>
      </c>
      <c r="I151" t="n">
        <v>0</v>
      </c>
      <c r="J151" t="n">
        <v>11.5</v>
      </c>
      <c r="K151" t="n">
        <v>3</v>
      </c>
      <c r="L151" t="n">
        <v>9</v>
      </c>
      <c r="M151" t="n">
        <v>2</v>
      </c>
      <c r="N151" t="n">
        <v>12</v>
      </c>
      <c r="O151" t="n">
        <v>0</v>
      </c>
      <c r="P151">
        <f>Table1[[#This Row],[TA 1 - Q1 Score]]+Table1[[#This Row],[TA 1 - Q2 Score]]+Table1[[#This Row],[TA 1 - Q3 Score]]</f>
        <v/>
      </c>
      <c r="Q151">
        <f>Table1[[#This Row],[TA 1 - Q1 Bonus]]+Table1[[#This Row],[TA 1 - Q2 Bonus]]+Table1[[#This Row],[TA 1 - Q4 Bonus]]</f>
        <v/>
      </c>
      <c r="R151">
        <f>Table1[[#This Row],[TA 2 - Q1 Score]]+Table1[[#This Row],[TA 2 - Q2 Score]]+Table1[[#This Row],[TA 2 - Q3 Score]]</f>
        <v/>
      </c>
      <c r="S151">
        <f>Table1[[#This Row],[TA 2 - Q1 Bonus]]+Table1[[#This Row],[TA 2 - Q2 Bonus]]+Table1[[#This Row],[TA 2 - Q4 Bonus]]</f>
        <v/>
      </c>
      <c r="T151">
        <f>(Table1[[#This Row],[TA 1 - Total Score (out of 35)]]+Table1[[#This Row],[TA 2 - Total Score (out of 35)]])/2</f>
        <v/>
      </c>
      <c r="U151">
        <f>(Table1[[#This Row],[TA 1 - Total Bonus (out of 13)]]+Table1[[#This Row],[TA 2 - Total Bonus (out of 13)]])/2</f>
        <v/>
      </c>
      <c r="V151">
        <f>Table1[[#This Row],[Average Questions]]/35*20+Table1[[#This Row],[Average Bonus]]/13*5</f>
        <v/>
      </c>
      <c r="W151" t="n">
        <v>6</v>
      </c>
      <c r="X151" t="n">
        <v>0</v>
      </c>
      <c r="Y151" t="inlineStr">
        <is>
          <t>The student's submission failed to complete several key tasks, including loading and preparing the data, loading a pretrained model, and training the model. While they did attempt to implement the training and validation functions, their code contained several syntax errors and did not run end-to-end. The bonus task of implementing test time augmentation was also not completed. Overall, the student's submission demonstrated a lack of understanding of the key concepts and failed to execute the tasks correctly.
Breakdown:
- Part 1: Load and Prepare Data: 0.0/?
- Part 2: Load Pretrained Model and Adapt: 0.0/?
- Part 3: Training and Validation Functions: 1.5/?
- Part 4: Training: 0.0/?
- Part 5: Bonus — Test Time Augmentation: 0.0/?</t>
        </is>
      </c>
      <c r="Z151" t="n">
        <v>4</v>
      </c>
      <c r="AA151" t="n">
        <v>0</v>
      </c>
      <c r="AB151" t="inlineStr">
        <is>
          <t>The student's submission failed to meet the requirements of the task. They did not load and prepare the data correctly, and their CNN model was not built as specified. The training and validation functions were not implemented, and the training process was not executed. The bonus task of adding a residual connection was also not attempted. As a result, the student did not earn any points for this question.
Breakdown:
- Part 1: Load and Prepare Data: 0.0/?
- Part 2: Build the CNN Model: 0.0/?
- Part 3: Training and Validation Functions: 0.0/?
- Part 4: Training: 0.0/?
- Part 5: Bonus — Residual Connection: 0.0/?</t>
        </is>
      </c>
      <c r="AC151" t="n">
        <v>6</v>
      </c>
      <c r="AD151" t="inlineStr">
        <is>
          <t>The student's submission was incomplete and lacked code for most tasks. However, the code for visualizing predictions was mostly correct and attempted to run the task, but it had some issues due to missing imports and incorrect usage of the model. As a result, the student received partial credit for this task.
Breakdown:
- Task 1: Dataset Class: 0.0/?
- Task 2: Model Class: 0.0/?
- Task 3: Training and Validation Loops: 0.0/?
- Task 4: Running Training: 0.0/?
- Task 5: Visualizing Predictions: 6.0/?</t>
        </is>
      </c>
      <c r="AE151" t="n">
        <v>0</v>
      </c>
      <c r="AF151" t="n">
        <v>0</v>
      </c>
      <c r="AG151" t="inlineStr">
        <is>
          <t>No submission found.</t>
        </is>
      </c>
      <c r="AH151" t="n">
        <v>16</v>
      </c>
      <c r="AI151" t="n">
        <v>0</v>
      </c>
    </row>
    <row r="152">
      <c r="A152" t="n">
        <v>151</v>
      </c>
      <c r="B152" t="inlineStr">
        <is>
          <t>TA_3</t>
        </is>
      </c>
      <c r="C152" t="inlineStr">
        <is>
          <t>TA_13</t>
        </is>
      </c>
      <c r="D152" t="n">
        <v>0</v>
      </c>
      <c r="E152" t="n">
        <v>0</v>
      </c>
      <c r="F152" t="n">
        <v>0</v>
      </c>
      <c r="G152" t="n">
        <v>0</v>
      </c>
      <c r="H152" t="n">
        <v>0</v>
      </c>
      <c r="I152" t="n">
        <v>0</v>
      </c>
      <c r="J152" t="n">
        <v>12</v>
      </c>
      <c r="K152" t="n">
        <v>0</v>
      </c>
      <c r="L152" t="n">
        <v>0</v>
      </c>
      <c r="M152" t="n">
        <v>0</v>
      </c>
      <c r="N152" t="n">
        <v>0</v>
      </c>
      <c r="O152" t="n">
        <v>0</v>
      </c>
      <c r="P152">
        <f>Table1[[#This Row],[TA 1 - Q1 Score]]+Table1[[#This Row],[TA 1 - Q2 Score]]+Table1[[#This Row],[TA 1 - Q3 Score]]</f>
        <v/>
      </c>
      <c r="Q152">
        <f>Table1[[#This Row],[TA 1 - Q1 Bonus]]+Table1[[#This Row],[TA 1 - Q2 Bonus]]+Table1[[#This Row],[TA 1 - Q4 Bonus]]</f>
        <v/>
      </c>
      <c r="R152">
        <f>Table1[[#This Row],[TA 2 - Q1 Score]]+Table1[[#This Row],[TA 2 - Q2 Score]]+Table1[[#This Row],[TA 2 - Q3 Score]]</f>
        <v/>
      </c>
      <c r="S152">
        <f>Table1[[#This Row],[TA 2 - Q1 Bonus]]+Table1[[#This Row],[TA 2 - Q2 Bonus]]+Table1[[#This Row],[TA 2 - Q4 Bonus]]</f>
        <v/>
      </c>
      <c r="T152">
        <f>(Table1[[#This Row],[TA 1 - Total Score (out of 35)]]+Table1[[#This Row],[TA 2 - Total Score (out of 35)]])/2</f>
        <v/>
      </c>
      <c r="U152">
        <f>(Table1[[#This Row],[TA 1 - Total Bonus (out of 13)]]+Table1[[#This Row],[TA 2 - Total Bonus (out of 13)]])/2</f>
        <v/>
      </c>
      <c r="V152">
        <f>Table1[[#This Row],[Average Questions]]/35*20+Table1[[#This Row],[Average Bonus]]/13*5</f>
        <v/>
      </c>
      <c r="W152" t="n">
        <v>6</v>
      </c>
      <c r="X152" t="n">
        <v>0</v>
      </c>
      <c r="Y152" t="inlineStr">
        <is>
          <t>The student's submission failed to address several key tasks, including loading and preparing data, training and validation functions, and training the model. While the student did load a pretrained EfficientNetV2-Small model, they did not freeze the backbone or replace the classifier head. Additionally, the student did not submit code for several critical tasks, resulting in a low overall score.
Breakdown:
- Part 1: Load and Prepare Data: 0.0/?
- Part 1: Load and Prepare Data: 0.0/?
- Part 1: Load and Prepare Data: 0.0/?
- Part 2: Load Pretrained Model and Adapt: 0.5/?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Bonus — Test Time Augmentation: 0.0/?</t>
        </is>
      </c>
      <c r="Z152" t="n">
        <v>0</v>
      </c>
      <c r="AA152" t="n">
        <v>0</v>
      </c>
      <c r="AB152" t="inlineStr">
        <is>
          <t>No submission found.</t>
        </is>
      </c>
      <c r="AC152" t="n">
        <v>0</v>
      </c>
      <c r="AD152" t="inlineStr">
        <is>
          <t>No submission found.</t>
        </is>
      </c>
      <c r="AE152" t="n">
        <v>0</v>
      </c>
      <c r="AF152" t="n">
        <v>0</v>
      </c>
      <c r="AG152" t="inlineStr">
        <is>
          <t>No submission found.</t>
        </is>
      </c>
      <c r="AH152" t="n">
        <v>6</v>
      </c>
      <c r="AI152" t="n">
        <v>0</v>
      </c>
    </row>
    <row r="153">
      <c r="A153" t="n">
        <v>152</v>
      </c>
      <c r="B153" t="inlineStr">
        <is>
          <t>TA_3</t>
        </is>
      </c>
      <c r="C153" t="inlineStr">
        <is>
          <t>TA_13</t>
        </is>
      </c>
      <c r="D153" t="n">
        <v>10.5</v>
      </c>
      <c r="E153" t="n">
        <v>0</v>
      </c>
      <c r="F153" t="n">
        <v>11</v>
      </c>
      <c r="G153" t="n">
        <v>0</v>
      </c>
      <c r="H153" t="n">
        <v>12</v>
      </c>
      <c r="I153" t="n">
        <v>0</v>
      </c>
      <c r="J153" t="n">
        <v>11.5</v>
      </c>
      <c r="K153" t="n">
        <v>0</v>
      </c>
      <c r="L153" t="n">
        <v>11</v>
      </c>
      <c r="M153" t="n">
        <v>0</v>
      </c>
      <c r="N153" t="n">
        <v>12</v>
      </c>
      <c r="O153" t="n">
        <v>0</v>
      </c>
      <c r="P153">
        <f>Table1[[#This Row],[TA 1 - Q1 Score]]+Table1[[#This Row],[TA 1 - Q2 Score]]+Table1[[#This Row],[TA 1 - Q3 Score]]</f>
        <v/>
      </c>
      <c r="Q153">
        <f>Table1[[#This Row],[TA 1 - Q1 Bonus]]+Table1[[#This Row],[TA 1 - Q2 Bonus]]+Table1[[#This Row],[TA 1 - Q4 Bonus]]</f>
        <v/>
      </c>
      <c r="R153">
        <f>Table1[[#This Row],[TA 2 - Q1 Score]]+Table1[[#This Row],[TA 2 - Q2 Score]]+Table1[[#This Row],[TA 2 - Q3 Score]]</f>
        <v/>
      </c>
      <c r="S153">
        <f>Table1[[#This Row],[TA 2 - Q1 Bonus]]+Table1[[#This Row],[TA 2 - Q2 Bonus]]+Table1[[#This Row],[TA 2 - Q4 Bonus]]</f>
        <v/>
      </c>
      <c r="T153">
        <f>(Table1[[#This Row],[TA 1 - Total Score (out of 35)]]+Table1[[#This Row],[TA 2 - Total Score (out of 35)]])/2</f>
        <v/>
      </c>
      <c r="U153">
        <f>(Table1[[#This Row],[TA 1 - Total Bonus (out of 13)]]+Table1[[#This Row],[TA 2 - Total Bonus (out of 13)]])/2</f>
        <v/>
      </c>
      <c r="V153">
        <f>Table1[[#This Row],[Average Questions]]/35*20+Table1[[#This Row],[Average Bonus]]/13*5</f>
        <v/>
      </c>
      <c r="W153" t="n">
        <v>6</v>
      </c>
      <c r="X153" t="n">
        <v>0</v>
      </c>
      <c r="Y153"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data loaders and the validation loop. As a result, the student was unable to complete the bonus task of implementing test time augmentation.
Breakdown:
- Part 1: Load and Prepare Data: 0.0/?
- Part 2: Load Pretrained Model and Adapt: 0.0/?
- Part 3: Training and Validation Functions: 0.0/?
- Part 4: Training: 2.5/?
- Part 5: Bonus — Test Time Augmentation: 0.0/?</t>
        </is>
      </c>
      <c r="Z153" t="n">
        <v>6</v>
      </c>
      <c r="AA153" t="n">
        <v>0</v>
      </c>
      <c r="AB153" t="inlineStr">
        <is>
          <t>The student's submission failed to meet the requirements for several tasks. In Part 1, the student did not create a custom Dataset class or use ImageFolder, and did not display sample images with labels. In Part 2, the student did not build a CNN model with 5 convolutional layers. In Part 3, the student did not define the training loop function. In Part 5, the student did not redefine the CNN model with a residual connection. As a result, the student earned 0 points for these tasks. The student did attempt to train the model in Part 4, but the model's architecture was incorrect, and the student earned only 2 points for this task.
Breakdown:
- Part 1: Load and Prepare Data: 0.0/?
- Part 2: Build the CNN Model: 0.0/?
- Part 3: Training and Validation Functions: 0.0/?
- Part 4: Training: 2.0/?
- Part 5: Bonus — Residual Connection: 0.0/?</t>
        </is>
      </c>
      <c r="AC153" t="n">
        <v>6</v>
      </c>
      <c r="AD153" t="inlineStr">
        <is>
          <t>The student's submission had several issues. The dataset class was not implemented correctly, and the model class was not defined as per the reference solution. The training and validation loops were also not implemented correctly, and the training process was not completed. However, the student was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153" t="n">
        <v>0</v>
      </c>
      <c r="AF153" t="n">
        <v>0</v>
      </c>
      <c r="AG153" t="inlineStr">
        <is>
          <t>No submission found.</t>
        </is>
      </c>
      <c r="AH153" t="n">
        <v>18</v>
      </c>
      <c r="AI153" t="n">
        <v>0</v>
      </c>
    </row>
    <row r="154">
      <c r="A154" t="n">
        <v>153</v>
      </c>
      <c r="B154" t="inlineStr">
        <is>
          <t>TA_3</t>
        </is>
      </c>
      <c r="C154" t="inlineStr">
        <is>
          <t>TA_13</t>
        </is>
      </c>
      <c r="D154" t="n">
        <v>8</v>
      </c>
      <c r="E154" t="n">
        <v>0</v>
      </c>
      <c r="F154" t="n">
        <v>7</v>
      </c>
      <c r="G154" t="n">
        <v>0</v>
      </c>
      <c r="H154" t="n">
        <v>2.5</v>
      </c>
      <c r="I154" t="n">
        <v>0</v>
      </c>
      <c r="J154" t="n">
        <v>8.5</v>
      </c>
      <c r="K154" t="n">
        <v>0</v>
      </c>
      <c r="L154" t="n">
        <v>7</v>
      </c>
      <c r="M154" t="n">
        <v>0</v>
      </c>
      <c r="N154" t="n">
        <v>0</v>
      </c>
      <c r="O154" t="n">
        <v>0</v>
      </c>
      <c r="P154">
        <f>Table1[[#This Row],[TA 1 - Q1 Score]]+Table1[[#This Row],[TA 1 - Q2 Score]]+Table1[[#This Row],[TA 1 - Q3 Score]]</f>
        <v/>
      </c>
      <c r="Q154">
        <f>Table1[[#This Row],[TA 1 - Q1 Bonus]]+Table1[[#This Row],[TA 1 - Q2 Bonus]]+Table1[[#This Row],[TA 1 - Q4 Bonus]]</f>
        <v/>
      </c>
      <c r="R154">
        <f>Table1[[#This Row],[TA 2 - Q1 Score]]+Table1[[#This Row],[TA 2 - Q2 Score]]+Table1[[#This Row],[TA 2 - Q3 Score]]</f>
        <v/>
      </c>
      <c r="S154">
        <f>Table1[[#This Row],[TA 2 - Q1 Bonus]]+Table1[[#This Row],[TA 2 - Q2 Bonus]]+Table1[[#This Row],[TA 2 - Q4 Bonus]]</f>
        <v/>
      </c>
      <c r="T154">
        <f>(Table1[[#This Row],[TA 1 - Total Score (out of 35)]]+Table1[[#This Row],[TA 2 - Total Score (out of 35)]])/2</f>
        <v/>
      </c>
      <c r="U154">
        <f>(Table1[[#This Row],[TA 1 - Total Bonus (out of 13)]]+Table1[[#This Row],[TA 2 - Total Bonus (out of 13)]])/2</f>
        <v/>
      </c>
      <c r="V154">
        <f>Table1[[#This Row],[Average Questions]]/35*20+Table1[[#This Row],[Average Bonus]]/13*5</f>
        <v/>
      </c>
      <c r="W154" t="n">
        <v>6</v>
      </c>
      <c r="X154" t="n">
        <v>0</v>
      </c>
      <c r="Y15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correctly.
Breakdown:
- Part 1: Load and Prepare Data: 0.0/?
- Part 2: Load Pretrained Model and Adapt: 0.0/?
- Part 3: Training and Validation Functions: 0.0/?
- Part 4: Training: 2.0/?
- Part 5: Bonus — Test Time Augmentation: 0.0/?</t>
        </is>
      </c>
      <c r="Z154" t="n">
        <v>4</v>
      </c>
      <c r="AA154" t="n">
        <v>0</v>
      </c>
      <c r="AB154"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54" t="n">
        <v>6</v>
      </c>
      <c r="AD154"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154" t="n">
        <v>0</v>
      </c>
      <c r="AF154" t="n">
        <v>0</v>
      </c>
      <c r="AG154" t="inlineStr">
        <is>
          <t>No submission found.</t>
        </is>
      </c>
      <c r="AH154" t="n">
        <v>16</v>
      </c>
      <c r="AI154" t="n">
        <v>0</v>
      </c>
    </row>
    <row r="155">
      <c r="A155" t="n">
        <v>154</v>
      </c>
      <c r="B155" t="inlineStr">
        <is>
          <t>TA_3</t>
        </is>
      </c>
      <c r="C155" t="inlineStr">
        <is>
          <t>TA_13</t>
        </is>
      </c>
      <c r="D155" t="n">
        <v>11.5</v>
      </c>
      <c r="E155" t="n">
        <v>0</v>
      </c>
      <c r="F155" t="n">
        <v>10</v>
      </c>
      <c r="G155" t="n">
        <v>0</v>
      </c>
      <c r="H155" t="n">
        <v>11.75</v>
      </c>
      <c r="I155" t="n">
        <v>0</v>
      </c>
      <c r="J155" t="n">
        <v>11.5</v>
      </c>
      <c r="K155" t="n">
        <v>0</v>
      </c>
      <c r="L155" t="n">
        <v>10</v>
      </c>
      <c r="M155" t="n">
        <v>0</v>
      </c>
      <c r="N155" t="n">
        <v>11.75</v>
      </c>
      <c r="O155" t="n">
        <v>5</v>
      </c>
      <c r="P155">
        <f>Table1[[#This Row],[TA 1 - Q1 Score]]+Table1[[#This Row],[TA 1 - Q2 Score]]+Table1[[#This Row],[TA 1 - Q3 Score]]</f>
        <v/>
      </c>
      <c r="Q155">
        <f>Table1[[#This Row],[TA 1 - Q1 Bonus]]+Table1[[#This Row],[TA 1 - Q2 Bonus]]+Table1[[#This Row],[TA 1 - Q4 Bonus]]</f>
        <v/>
      </c>
      <c r="R155">
        <f>Table1[[#This Row],[TA 2 - Q1 Score]]+Table1[[#This Row],[TA 2 - Q2 Score]]+Table1[[#This Row],[TA 2 - Q3 Score]]</f>
        <v/>
      </c>
      <c r="S155">
        <f>Table1[[#This Row],[TA 2 - Q1 Bonus]]+Table1[[#This Row],[TA 2 - Q2 Bonus]]+Table1[[#This Row],[TA 2 - Q4 Bonus]]</f>
        <v/>
      </c>
      <c r="T155">
        <f>(Table1[[#This Row],[TA 1 - Total Score (out of 35)]]+Table1[[#This Row],[TA 2 - Total Score (out of 35)]])/2</f>
        <v/>
      </c>
      <c r="U155">
        <f>(Table1[[#This Row],[TA 1 - Total Bonus (out of 13)]]+Table1[[#This Row],[TA 2 - Total Bonus (out of 13)]])/2</f>
        <v/>
      </c>
      <c r="V155">
        <f>Table1[[#This Row],[Average Questions]]/35*20+Table1[[#This Row],[Average Bonus]]/13*5</f>
        <v/>
      </c>
      <c r="W155" t="n">
        <v>6</v>
      </c>
      <c r="X155" t="n">
        <v>0</v>
      </c>
      <c r="Y155" t="inlineStr">
        <is>
          <t>The student's submission failed to load and prepare the data correctly, load a pretrained model, and adapt it for the task. The training and validation functions were partially implemented, but the training process was not completed. The bonus task of implementing test time augmentation was not attempted.
Breakdown:
- Part 1: Load and Prepare Data: 0.0/?
- Part 2: Load Pretrained Model and Adapt: 0.0/?
- Part 3: Training and Validation Functions: 1.5/?
- Part 4: Training: 0.0/?
- Part 5: Bonus — Test Time Augmentation: 0.0/?</t>
        </is>
      </c>
      <c r="Z155" t="n">
        <v>4</v>
      </c>
      <c r="AA155" t="n">
        <v>0</v>
      </c>
      <c r="AB155" t="inlineStr">
        <is>
          <t>The student's submission failed to meet the requirements of several tasks, including loading and preparing the data, building the CNN model, defining the training and validation functions, setting up the device, model, loss function, and optimizer, training the model, and plotting the losses and accuracy. The student also failed to define the residual connection correctly and retrain the model with the residual connection. As a result, the student's submission was awarded 0 points for each of these tasks.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155" t="n">
        <v>6</v>
      </c>
      <c r="AD155" t="inlineStr">
        <is>
          <t>The student's submission was incomplete and lacked code for most tasks. However, the code for visualizing predictions was mostly correct and attempted to run the task, but it had some issues that prevented it from running end-to-end. As a result, the student received partial credit for this task.
Breakdown:
- Task 1: Dataset Class: 0.0/?
- Task 2: Model Class: 0.0/?
- Task 3: Training and Validation Loops: 0.0/?
- Task 4: Running Training: 0.0/?
- Task 5: Visualizing Predictions: 6.0/?</t>
        </is>
      </c>
      <c r="AE155" t="n">
        <v>0</v>
      </c>
      <c r="AF155" t="n">
        <v>0</v>
      </c>
      <c r="AG155" t="inlineStr">
        <is>
          <t>The student's submission does not implement the `ColorizationDataset` class correctly. The `__init__` method does not store the dataset, the `rgb_to_grayscale` method does not add a channel dimension, and the `__getitem__` method does not return a tuple. As a result, the student does not receive any points for this task.
Breakdown:
- Correctly implemented `ColorizationDataset` class:: 0.0/?</t>
        </is>
      </c>
      <c r="AH155" t="n">
        <v>16</v>
      </c>
      <c r="AI155" t="n">
        <v>0</v>
      </c>
    </row>
    <row r="156">
      <c r="A156" t="n">
        <v>155</v>
      </c>
      <c r="B156" t="inlineStr">
        <is>
          <t>TA_3</t>
        </is>
      </c>
      <c r="C156" t="inlineStr">
        <is>
          <t>TA_13</t>
        </is>
      </c>
      <c r="D156" t="n">
        <v>10</v>
      </c>
      <c r="E156" t="n">
        <v>0</v>
      </c>
      <c r="F156" t="n">
        <v>7.5</v>
      </c>
      <c r="G156" t="n">
        <v>0</v>
      </c>
      <c r="H156" t="n">
        <v>8.5</v>
      </c>
      <c r="I156" t="n">
        <v>0</v>
      </c>
      <c r="J156" t="n">
        <v>12</v>
      </c>
      <c r="K156" t="n">
        <v>0</v>
      </c>
      <c r="L156" t="n">
        <v>6.5</v>
      </c>
      <c r="M156" t="n">
        <v>0</v>
      </c>
      <c r="N156" t="n">
        <v>8.5</v>
      </c>
      <c r="O156" t="n">
        <v>0</v>
      </c>
      <c r="P156">
        <f>Table1[[#This Row],[TA 1 - Q1 Score]]+Table1[[#This Row],[TA 1 - Q2 Score]]+Table1[[#This Row],[TA 1 - Q3 Score]]</f>
        <v/>
      </c>
      <c r="Q156">
        <f>Table1[[#This Row],[TA 1 - Q1 Bonus]]+Table1[[#This Row],[TA 1 - Q2 Bonus]]+Table1[[#This Row],[TA 1 - Q4 Bonus]]</f>
        <v/>
      </c>
      <c r="R156">
        <f>Table1[[#This Row],[TA 2 - Q1 Score]]+Table1[[#This Row],[TA 2 - Q2 Score]]+Table1[[#This Row],[TA 2 - Q3 Score]]</f>
        <v/>
      </c>
      <c r="S156">
        <f>Table1[[#This Row],[TA 2 - Q1 Bonus]]+Table1[[#This Row],[TA 2 - Q2 Bonus]]+Table1[[#This Row],[TA 2 - Q4 Bonus]]</f>
        <v/>
      </c>
      <c r="T156">
        <f>(Table1[[#This Row],[TA 1 - Total Score (out of 35)]]+Table1[[#This Row],[TA 2 - Total Score (out of 35)]])/2</f>
        <v/>
      </c>
      <c r="U156">
        <f>(Table1[[#This Row],[TA 1 - Total Bonus (out of 13)]]+Table1[[#This Row],[TA 2 - Total Bonus (out of 13)]])/2</f>
        <v/>
      </c>
      <c r="V156">
        <f>Table1[[#This Row],[Average Questions]]/35*20+Table1[[#This Row],[Average Bonus]]/13*5</f>
        <v/>
      </c>
      <c r="W156" t="n">
        <v>6</v>
      </c>
      <c r="X156" t="n">
        <v>0</v>
      </c>
      <c r="Y156"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156" t="n">
        <v>4</v>
      </c>
      <c r="AA156" t="n">
        <v>0</v>
      </c>
      <c r="AB15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156" t="n">
        <v>6</v>
      </c>
      <c r="AD156" t="inlineStr">
        <is>
          <t>The student's submission failed to address any of the tasks in Question 3. The code provided does not attempt to implement the required functionality for any of the tasks, resulting in a score of 0 for each task. The student's submission does not demonstrate any understanding of the required concepts or ability to implement them.
Breakdown:
- Task 1: Dataset Class: 0.0/?
- Task 2: Model Class: 0.0/?
- Task 3: Training and Validation Loops: 0.0/?
- Task 4: Running Training: 0.0/?
- Task 5: Visualizing Predictions: 0.0/?</t>
        </is>
      </c>
      <c r="AE156" t="n">
        <v>0</v>
      </c>
      <c r="AF156" t="n">
        <v>0</v>
      </c>
      <c r="AG156" t="inlineStr">
        <is>
          <t>No submission found.</t>
        </is>
      </c>
      <c r="AH156" t="n">
        <v>16</v>
      </c>
      <c r="AI156" t="n">
        <v>0</v>
      </c>
    </row>
    <row r="157">
      <c r="A157" t="n">
        <v>156</v>
      </c>
      <c r="B157" t="inlineStr">
        <is>
          <t>TA_3</t>
        </is>
      </c>
      <c r="C157" t="inlineStr">
        <is>
          <t>TA_13</t>
        </is>
      </c>
      <c r="D157" t="n">
        <v>7.5</v>
      </c>
      <c r="E157" t="n">
        <v>0</v>
      </c>
      <c r="F157" t="n">
        <v>8</v>
      </c>
      <c r="G157" t="n">
        <v>0</v>
      </c>
      <c r="H157" t="n">
        <v>11.5</v>
      </c>
      <c r="I157" t="n">
        <v>0</v>
      </c>
      <c r="J157" t="n">
        <v>8.5</v>
      </c>
      <c r="K157" t="n">
        <v>0</v>
      </c>
      <c r="L157" t="n">
        <v>9</v>
      </c>
      <c r="M157" t="n">
        <v>0</v>
      </c>
      <c r="N157" t="n">
        <v>12</v>
      </c>
      <c r="O157" t="n">
        <v>0</v>
      </c>
      <c r="P157">
        <f>Table1[[#This Row],[TA 1 - Q1 Score]]+Table1[[#This Row],[TA 1 - Q2 Score]]+Table1[[#This Row],[TA 1 - Q3 Score]]</f>
        <v/>
      </c>
      <c r="Q157">
        <f>Table1[[#This Row],[TA 1 - Q1 Bonus]]+Table1[[#This Row],[TA 1 - Q2 Bonus]]+Table1[[#This Row],[TA 1 - Q4 Bonus]]</f>
        <v/>
      </c>
      <c r="R157">
        <f>Table1[[#This Row],[TA 2 - Q1 Score]]+Table1[[#This Row],[TA 2 - Q2 Score]]+Table1[[#This Row],[TA 2 - Q3 Score]]</f>
        <v/>
      </c>
      <c r="S157">
        <f>Table1[[#This Row],[TA 2 - Q1 Bonus]]+Table1[[#This Row],[TA 2 - Q2 Bonus]]+Table1[[#This Row],[TA 2 - Q4 Bonus]]</f>
        <v/>
      </c>
      <c r="T157">
        <f>(Table1[[#This Row],[TA 1 - Total Score (out of 35)]]+Table1[[#This Row],[TA 2 - Total Score (out of 35)]])/2</f>
        <v/>
      </c>
      <c r="U157">
        <f>(Table1[[#This Row],[TA 1 - Total Bonus (out of 13)]]+Table1[[#This Row],[TA 2 - Total Bonus (out of 13)]])/2</f>
        <v/>
      </c>
      <c r="V157">
        <f>Table1[[#This Row],[Average Questions]]/35*20+Table1[[#This Row],[Average Bonus]]/13*5</f>
        <v/>
      </c>
      <c r="W157" t="n">
        <v>6</v>
      </c>
      <c r="X157" t="n">
        <v>0</v>
      </c>
      <c r="Y157" t="inlineStr">
        <is>
          <t>The student's submission failed to complete several key tasks, including loading and preparing the data, loading a pretrained model, and adapting it for the task. The training and validation functions were also not implemented correctly. While the student did attempt to train the model and implement test time augmentation, their code contained significant errors and did not run end-to-end. As a result, the student earned a score of 6.0, with no bonus points awarded.
Breakdown:
- Part 1: Load and Prepare Data: 0.0/?
- Part 2: Load Pretrained Model and Adapt: 0.0/?
- Part 3: Training and Validation Functions: 0.0/?
- Part 4: Training: 2.5/?
- Part 5: Bonus — Test Time Augmentation: 0.0/?</t>
        </is>
      </c>
      <c r="Z157" t="n">
        <v>4</v>
      </c>
      <c r="AA157" t="n">
        <v>0</v>
      </c>
      <c r="AB157" t="inlineStr">
        <is>
          <t>The student's submission failed to load and prepare the data correctly, build the CNN model, define the training and validation functions, train the model, and implement the residual connection. The code attempted some tasks but contained syntax and logic mistakes. The student did not provide any code for the bonus task, and the residual connection was not implemented correctly.
Breakdown:
- Part 1: Load and Prepare Data: 0.0/?
- Part 2: Build the CNN Model: 0.0/?
- Part 3: Training and Validation Functions: 0.0/?
- Part 4: Training: 0.0/?
- Part 5: Bonus — Residual Connection: 0.0/?</t>
        </is>
      </c>
      <c r="AC157" t="n">
        <v>6</v>
      </c>
      <c r="AD157" t="inlineStr">
        <is>
          <t>The student's submission is incomplete and lacks code for several tasks. While they attempted to visualize predictions, their code is not fully functional and does not meet the requirements of the task. As a result, the student earns 0 points for the majority of the tasks and 6 points for the task of visualizing predictions.
Breakdown:
- Task 1: Dataset Class: 0.0/?
- Task 2: Model Class: 0.0/?
- Task 3: Training and Validation Loops: 0.0/?
- Task 4: Running Training: 0.0/?
- Task 5: Visualizing Predictions: 6.0/?</t>
        </is>
      </c>
      <c r="AE157" t="n">
        <v>0</v>
      </c>
      <c r="AF157" t="n">
        <v>0</v>
      </c>
      <c r="AG157" t="inlineStr">
        <is>
          <t>No submission found.</t>
        </is>
      </c>
      <c r="AH157" t="n">
        <v>16</v>
      </c>
      <c r="AI157" t="n">
        <v>0</v>
      </c>
    </row>
    <row r="158">
      <c r="A158" t="n">
        <v>157</v>
      </c>
      <c r="B158" t="inlineStr">
        <is>
          <t>TA_3</t>
        </is>
      </c>
      <c r="C158" t="inlineStr">
        <is>
          <t>TA_13</t>
        </is>
      </c>
      <c r="D158" t="n">
        <v>12</v>
      </c>
      <c r="E158" t="n">
        <v>0</v>
      </c>
      <c r="F158" t="n">
        <v>11</v>
      </c>
      <c r="G158" t="n">
        <v>0</v>
      </c>
      <c r="H158" t="n">
        <v>12</v>
      </c>
      <c r="I158" t="n">
        <v>5</v>
      </c>
      <c r="J158" t="n">
        <v>12</v>
      </c>
      <c r="K158" t="n">
        <v>0</v>
      </c>
      <c r="L158" t="n">
        <v>10.75</v>
      </c>
      <c r="M158" t="n">
        <v>0</v>
      </c>
      <c r="N158" t="n">
        <v>12</v>
      </c>
      <c r="O158" t="n">
        <v>5</v>
      </c>
      <c r="P158">
        <f>Table1[[#This Row],[TA 1 - Q1 Score]]+Table1[[#This Row],[TA 1 - Q2 Score]]+Table1[[#This Row],[TA 1 - Q3 Score]]</f>
        <v/>
      </c>
      <c r="Q158">
        <f>Table1[[#This Row],[TA 1 - Q1 Bonus]]+Table1[[#This Row],[TA 1 - Q2 Bonus]]+Table1[[#This Row],[TA 1 - Q4 Bonus]]</f>
        <v/>
      </c>
      <c r="R158">
        <f>Table1[[#This Row],[TA 2 - Q1 Score]]+Table1[[#This Row],[TA 2 - Q2 Score]]+Table1[[#This Row],[TA 2 - Q3 Score]]</f>
        <v/>
      </c>
      <c r="S158">
        <f>Table1[[#This Row],[TA 2 - Q1 Bonus]]+Table1[[#This Row],[TA 2 - Q2 Bonus]]+Table1[[#This Row],[TA 2 - Q4 Bonus]]</f>
        <v/>
      </c>
      <c r="T158">
        <f>(Table1[[#This Row],[TA 1 - Total Score (out of 35)]]+Table1[[#This Row],[TA 2 - Total Score (out of 35)]])/2</f>
        <v/>
      </c>
      <c r="U158">
        <f>(Table1[[#This Row],[TA 1 - Total Bonus (out of 13)]]+Table1[[#This Row],[TA 2 - Total Bonus (out of 13)]])/2</f>
        <v/>
      </c>
      <c r="V158">
        <f>Table1[[#This Row],[Average Questions]]/35*20+Table1[[#This Row],[Average Bonus]]/13*5</f>
        <v/>
      </c>
      <c r="W158" t="n">
        <v>6</v>
      </c>
      <c r="X158" t="n">
        <v>0</v>
      </c>
      <c r="Y158"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resulting in a low overall score.
Breakdown:
- Part 1: Load and Prepare Data: 0.0/?
- Part 2: Load Pretrained Model and Adapt: 0.0/?
- Part 3: Training and Validation Functions: 0.0/?
- Part 4: Training: 3.0/?
- Part 5: Bonus — Test Time Augmentation: 0.0/?</t>
        </is>
      </c>
      <c r="Z158" t="n">
        <v>4</v>
      </c>
      <c r="AA158" t="n">
        <v>0</v>
      </c>
      <c r="AB158" t="inlineStr">
        <is>
          <t>The student's submission failed to meet the requirements of the task. The code did not load and prepare the data correctly, and the CNN model was not built as specified. The training and validation functions were not implemented, and the training process was not executed. The bonus task of adding a residual connection was not attempted. The student's code had several syntax and logic mistakes, and it did not run end-to-end.
Breakdown:
- Part 1: Load and Prepare Data: 0.0/?
- Part 2: Build the CNN Model: 0.0/?
- Part 3: Training and Validation Functions: 0.0/?
- Part 4: Training: 0.0/?
- Part 5: Bonus — Residual Connection: 0.0/?</t>
        </is>
      </c>
      <c r="AC158" t="n">
        <v>6</v>
      </c>
      <c r="AD158" t="inlineStr">
        <is>
          <t>The student's submission failed to address any of the tasks in Question 3. The code provided does not attempt to build a custom dataset class, define a model class, implement training and validation loops, run training, or visualize predictions. As a result, the student earns 0 points for each task, resulting in a total score of 6.0.
Breakdown:
- Task 1: Dataset Class: 0.0/?
- Task 2: Model Class: 0.0/?
- Task 3: Training and Validation Loops: 0.0/?
- Task 4: Running Training: 0.0/?
- Task 5: Visualizing Predictions: 0.0/?</t>
        </is>
      </c>
      <c r="AE158" t="n">
        <v>0</v>
      </c>
      <c r="AF158" t="n">
        <v>0</v>
      </c>
      <c r="AG158" t="inlineStr">
        <is>
          <t>The student's submission has several mistakes in the implementation of the `ColorizationDataset` class. The `__init__` method does not store the dataset, the `__len__` method does not return the length of the dataset, the `rgb_to_grayscale` method does not have the correct formula and dimensions, and the `__getitem__` method does not return the correct (grayscale, color) tuple. As a result, the student does not receive any points for this task.
Breakdown:
- Correctly implemented `ColorizationDataset` class:: 0.0/?
- Any mistake in implementation: 0.0/?</t>
        </is>
      </c>
      <c r="AH158" t="n">
        <v>16</v>
      </c>
      <c r="AI158" t="n">
        <v>0</v>
      </c>
    </row>
    <row r="159">
      <c r="A159" t="n">
        <v>158</v>
      </c>
      <c r="B159" t="inlineStr">
        <is>
          <t>TA_3</t>
        </is>
      </c>
      <c r="C159" t="inlineStr">
        <is>
          <t>TA_13</t>
        </is>
      </c>
      <c r="D159" t="n">
        <v>5</v>
      </c>
      <c r="E159" t="n">
        <v>0</v>
      </c>
      <c r="F159" t="n">
        <v>4.5</v>
      </c>
      <c r="G159" t="n">
        <v>0</v>
      </c>
      <c r="H159" t="n">
        <v>7</v>
      </c>
      <c r="I159" t="n">
        <v>0</v>
      </c>
      <c r="J159" t="n">
        <v>7.5</v>
      </c>
      <c r="K159" t="n">
        <v>0</v>
      </c>
      <c r="L159" t="n">
        <v>5</v>
      </c>
      <c r="M159" t="n">
        <v>0</v>
      </c>
      <c r="N159" t="n">
        <v>8.5</v>
      </c>
      <c r="O159" t="n">
        <v>0</v>
      </c>
      <c r="P159">
        <f>Table1[[#This Row],[TA 1 - Q1 Score]]+Table1[[#This Row],[TA 1 - Q2 Score]]+Table1[[#This Row],[TA 1 - Q3 Score]]</f>
        <v/>
      </c>
      <c r="Q159">
        <f>Table1[[#This Row],[TA 1 - Q1 Bonus]]+Table1[[#This Row],[TA 1 - Q2 Bonus]]+Table1[[#This Row],[TA 1 - Q4 Bonus]]</f>
        <v/>
      </c>
      <c r="R159">
        <f>Table1[[#This Row],[TA 2 - Q1 Score]]+Table1[[#This Row],[TA 2 - Q2 Score]]+Table1[[#This Row],[TA 2 - Q3 Score]]</f>
        <v/>
      </c>
      <c r="S159">
        <f>Table1[[#This Row],[TA 2 - Q1 Bonus]]+Table1[[#This Row],[TA 2 - Q2 Bonus]]+Table1[[#This Row],[TA 2 - Q4 Bonus]]</f>
        <v/>
      </c>
      <c r="T159">
        <f>(Table1[[#This Row],[TA 1 - Total Score (out of 35)]]+Table1[[#This Row],[TA 2 - Total Score (out of 35)]])/2</f>
        <v/>
      </c>
      <c r="U159">
        <f>(Table1[[#This Row],[TA 1 - Total Bonus (out of 13)]]+Table1[[#This Row],[TA 2 - Total Bonus (out of 13)]])/2</f>
        <v/>
      </c>
      <c r="V159">
        <f>Table1[[#This Row],[Average Questions]]/35*20+Table1[[#This Row],[Average Bonus]]/13*5</f>
        <v/>
      </c>
      <c r="W159" t="n">
        <v>6</v>
      </c>
      <c r="X159" t="n">
        <v>0</v>
      </c>
      <c r="Y159" t="inlineStr">
        <is>
          <t>The student's submission failed to complete several key tasks, including loading and preparing the data, loading the pretrained model and adapting it, and implementing the training and validation functions. Although the student attempted to train the model, their implementation was incomplete and did not run end-to-end. The bonus task of implementing test time augmentation was also not attempted. As a result, the student's score is low, reflecting the significant gaps in their submission.
Breakdown:
- Part 1: Load and Prepare Data: 0.0/?
- Part 2: Load Pretrained Model and Adapt: 0.0/?
- Part 3: Training and Validation Functions: 0.0/?
- Part 4: Training: 2.0/?
- Part 5: Bonus — Test Time Augmentation: 0.0/?</t>
        </is>
      </c>
      <c r="Z159" t="n">
        <v>4</v>
      </c>
      <c r="AA159" t="n">
        <v>0</v>
      </c>
      <c r="AB159" t="inlineStr">
        <is>
          <t>The student's submission failed to meet the requirements of the task. The code was disorganized and did not follow the structure of the reference solution. The student attempted to load and prepare the data, but the code was incomplete and did not run end-to-end. The CNN model was not built correctly, and the training and validation functions were not implemented. The student did not attempt to train the model or implement the residual connection.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159" t="n">
        <v>6</v>
      </c>
      <c r="AD159" t="inlineStr">
        <is>
          <t>The student failed to submit code for any of the tasks in Question 3. The submission is incomplete and does not demonstrate any understanding of the required concepts. As a result, the student receives a score of 0 for the base tasks and 0 for the bonus task.
Breakdown:
- Task 1: Dataset Class: 0.0/?
- Task 2: Model Class: 0.0/?
- Task 3: Training and Validation Loops: 0.0/?
- Task 4: Running Training: 0.0/?
- Task 5: Visualizing Predictions: 0.0/?</t>
        </is>
      </c>
      <c r="AE159" t="n">
        <v>0</v>
      </c>
      <c r="AF159" t="n">
        <v>0</v>
      </c>
      <c r="AG159" t="inlineStr">
        <is>
          <t>No submission found.</t>
        </is>
      </c>
      <c r="AH159" t="n">
        <v>16</v>
      </c>
      <c r="AI159" t="n">
        <v>0</v>
      </c>
    </row>
    <row r="160">
      <c r="A160" t="n">
        <v>159</v>
      </c>
      <c r="B160" t="inlineStr">
        <is>
          <t>TA_3</t>
        </is>
      </c>
      <c r="C160" t="inlineStr">
        <is>
          <t>TA_13</t>
        </is>
      </c>
      <c r="D160" t="n">
        <v>8</v>
      </c>
      <c r="E160" t="n">
        <v>0</v>
      </c>
      <c r="F160" t="n">
        <v>7.5</v>
      </c>
      <c r="G160" t="n">
        <v>0</v>
      </c>
      <c r="H160" t="n">
        <v>3</v>
      </c>
      <c r="I160" t="n">
        <v>0</v>
      </c>
      <c r="J160" t="n">
        <v>8.5</v>
      </c>
      <c r="K160" t="n">
        <v>0</v>
      </c>
      <c r="L160" t="n">
        <v>8.5</v>
      </c>
      <c r="M160" t="n">
        <v>0</v>
      </c>
      <c r="N160" t="n">
        <v>3</v>
      </c>
      <c r="O160" t="n">
        <v>0</v>
      </c>
      <c r="P160">
        <f>Table1[[#This Row],[TA 1 - Q1 Score]]+Table1[[#This Row],[TA 1 - Q2 Score]]+Table1[[#This Row],[TA 1 - Q3 Score]]</f>
        <v/>
      </c>
      <c r="Q160">
        <f>Table1[[#This Row],[TA 1 - Q1 Bonus]]+Table1[[#This Row],[TA 1 - Q2 Bonus]]+Table1[[#This Row],[TA 1 - Q4 Bonus]]</f>
        <v/>
      </c>
      <c r="R160">
        <f>Table1[[#This Row],[TA 2 - Q1 Score]]+Table1[[#This Row],[TA 2 - Q2 Score]]+Table1[[#This Row],[TA 2 - Q3 Score]]</f>
        <v/>
      </c>
      <c r="S160">
        <f>Table1[[#This Row],[TA 2 - Q1 Bonus]]+Table1[[#This Row],[TA 2 - Q2 Bonus]]+Table1[[#This Row],[TA 2 - Q4 Bonus]]</f>
        <v/>
      </c>
      <c r="T160">
        <f>(Table1[[#This Row],[TA 1 - Total Score (out of 35)]]+Table1[[#This Row],[TA 2 - Total Score (out of 35)]])/2</f>
        <v/>
      </c>
      <c r="U160">
        <f>(Table1[[#This Row],[TA 1 - Total Bonus (out of 13)]]+Table1[[#This Row],[TA 2 - Total Bonus (out of 13)]])/2</f>
        <v/>
      </c>
      <c r="V160">
        <f>Table1[[#This Row],[Average Questions]]/35*20+Table1[[#This Row],[Average Bonus]]/13*5</f>
        <v/>
      </c>
      <c r="W160" t="n">
        <v>6</v>
      </c>
      <c r="X160" t="n">
        <v>0</v>
      </c>
      <c r="Y160"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160" t="n">
        <v>6</v>
      </c>
      <c r="AA160" t="n">
        <v>0</v>
      </c>
      <c r="AB160" t="inlineStr">
        <is>
          <t>The student's submission failed to complete several key tasks, including loading and preparing the data, building the CNN model, and implementing the training and validation functions. While they did attempt to train the model, their implementation was incomplete and did not follow the reference solution. The bonus task, which involved adding a residual connection to the model, was also not attempted. As a result, the student's score is limited to the single point earned for training the model.
Breakdown:
- Part 1: Load and Prepare Data: 0.0/?
- Part 2: Build the CNN Model: 0.0/?
- Part 3: Training and Validation Functions: 0.0/?
- Part 4: Training: 1.0/?
- Part 5: Bonus — Residual Connection: 0.0/?</t>
        </is>
      </c>
      <c r="AC160" t="n">
        <v>6</v>
      </c>
      <c r="AD160"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160" t="n">
        <v>0</v>
      </c>
      <c r="AF160" t="n">
        <v>0</v>
      </c>
      <c r="AG160" t="inlineStr">
        <is>
          <t>No submission found.</t>
        </is>
      </c>
      <c r="AH160" t="n">
        <v>18</v>
      </c>
      <c r="AI160" t="n">
        <v>0</v>
      </c>
    </row>
    <row r="161">
      <c r="A161" t="n">
        <v>160</v>
      </c>
      <c r="B161" t="inlineStr">
        <is>
          <t>TA_3</t>
        </is>
      </c>
      <c r="C161" t="inlineStr">
        <is>
          <t>TA_13</t>
        </is>
      </c>
      <c r="D161" t="n">
        <v>10.5</v>
      </c>
      <c r="E161" t="n">
        <v>0</v>
      </c>
      <c r="F161" t="n">
        <v>11</v>
      </c>
      <c r="G161" t="n">
        <v>0</v>
      </c>
      <c r="H161" t="n">
        <v>10.5</v>
      </c>
      <c r="I161" t="n">
        <v>0</v>
      </c>
      <c r="J161" t="n">
        <v>10.5</v>
      </c>
      <c r="K161" t="n">
        <v>0</v>
      </c>
      <c r="L161" t="n">
        <v>10</v>
      </c>
      <c r="M161" t="n">
        <v>0</v>
      </c>
      <c r="N161" t="n">
        <v>10.5</v>
      </c>
      <c r="O161" t="n">
        <v>0</v>
      </c>
      <c r="P161">
        <f>Table1[[#This Row],[TA 1 - Q1 Score]]+Table1[[#This Row],[TA 1 - Q2 Score]]+Table1[[#This Row],[TA 1 - Q3 Score]]</f>
        <v/>
      </c>
      <c r="Q161">
        <f>Table1[[#This Row],[TA 1 - Q1 Bonus]]+Table1[[#This Row],[TA 1 - Q2 Bonus]]+Table1[[#This Row],[TA 1 - Q4 Bonus]]</f>
        <v/>
      </c>
      <c r="R161">
        <f>Table1[[#This Row],[TA 2 - Q1 Score]]+Table1[[#This Row],[TA 2 - Q2 Score]]+Table1[[#This Row],[TA 2 - Q3 Score]]</f>
        <v/>
      </c>
      <c r="S161">
        <f>Table1[[#This Row],[TA 2 - Q1 Bonus]]+Table1[[#This Row],[TA 2 - Q2 Bonus]]+Table1[[#This Row],[TA 2 - Q4 Bonus]]</f>
        <v/>
      </c>
      <c r="T161">
        <f>(Table1[[#This Row],[TA 1 - Total Score (out of 35)]]+Table1[[#This Row],[TA 2 - Total Score (out of 35)]])/2</f>
        <v/>
      </c>
      <c r="U161">
        <f>(Table1[[#This Row],[TA 1 - Total Bonus (out of 13)]]+Table1[[#This Row],[TA 2 - Total Bonus (out of 13)]])/2</f>
        <v/>
      </c>
      <c r="V161">
        <f>Table1[[#This Row],[Average Questions]]/35*20+Table1[[#This Row],[Average Bonus]]/13*5</f>
        <v/>
      </c>
      <c r="W161" t="n">
        <v>6</v>
      </c>
      <c r="X161" t="n">
        <v>0</v>
      </c>
      <c r="Y161" t="inlineStr">
        <is>
          <t>The student's submission failed to address any of the tasks outlined in the rubric. Each part of the question was left unattempted, resulting in a score of 0 for each task. The student's code did not run end-to-end, and no effort was made to complete the required tasks.
Breakdown:
- Part 1: Load and Prepare Data: 0.0/?
- Part 2: Load Pretrained Model and Adapt: 0.0/?
- Part 3: Training and Validation Functions: 0.0/?
- Part 4: Training: 0.0/?
- Part 5: Bonus — Test Time Augmentation: 0.0/?</t>
        </is>
      </c>
      <c r="Z161" t="n">
        <v>6</v>
      </c>
      <c r="AA161" t="n">
        <v>0</v>
      </c>
      <c r="AB161" t="inlineStr">
        <is>
          <t>The student's submission failed to meet the requirements of several tasks. Specifically, they did not write any code for Part 1: Load and Prepare Data, Part 3: Training and Validation Functions, Part 4: Training, and Part 5: Bonus — Residual Connection. Additionally, their CNN model class with 5 convolutional layers was defined, but it lacked batch normalization. As a result, the student's submission was awarded a score of 6.0, with no bonus points.
Breakdown:
- Part 1: Load and Prepare Data: 0.0/?
- Part 2: Build the CNN Model: 2.0/?
- Part 3: Training and Validation Functions: 0.0/?
- Part 4: Training: 0.0/?
- Part 5: Bonus — Residual Connection: 0.0/?</t>
        </is>
      </c>
      <c r="AC161" t="n">
        <v>6</v>
      </c>
      <c r="AD161"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61" t="n">
        <v>0</v>
      </c>
      <c r="AF161" t="n">
        <v>0</v>
      </c>
      <c r="AG161" t="inlineStr">
        <is>
          <t>No submission found.</t>
        </is>
      </c>
      <c r="AH161" t="n">
        <v>18</v>
      </c>
      <c r="AI161" t="n">
        <v>0</v>
      </c>
    </row>
    <row r="162">
      <c r="A162" t="n">
        <v>161</v>
      </c>
      <c r="B162" t="inlineStr">
        <is>
          <t>TA_3</t>
        </is>
      </c>
      <c r="C162" t="inlineStr">
        <is>
          <t>TA_13</t>
        </is>
      </c>
      <c r="D162" t="n">
        <v>7.5</v>
      </c>
      <c r="E162" t="n">
        <v>0</v>
      </c>
      <c r="F162" t="n">
        <v>8</v>
      </c>
      <c r="G162" t="n">
        <v>0</v>
      </c>
      <c r="H162" t="n">
        <v>11</v>
      </c>
      <c r="I162" t="n">
        <v>0</v>
      </c>
      <c r="J162" t="n">
        <v>7</v>
      </c>
      <c r="K162" t="n">
        <v>0</v>
      </c>
      <c r="L162" t="n">
        <v>8.5</v>
      </c>
      <c r="M162" t="n">
        <v>0</v>
      </c>
      <c r="N162" t="n">
        <v>10</v>
      </c>
      <c r="O162" t="n">
        <v>0</v>
      </c>
      <c r="P162">
        <f>Table1[[#This Row],[TA 1 - Q1 Score]]+Table1[[#This Row],[TA 1 - Q2 Score]]+Table1[[#This Row],[TA 1 - Q3 Score]]</f>
        <v/>
      </c>
      <c r="Q162">
        <f>Table1[[#This Row],[TA 1 - Q1 Bonus]]+Table1[[#This Row],[TA 1 - Q2 Bonus]]+Table1[[#This Row],[TA 1 - Q4 Bonus]]</f>
        <v/>
      </c>
      <c r="R162">
        <f>Table1[[#This Row],[TA 2 - Q1 Score]]+Table1[[#This Row],[TA 2 - Q2 Score]]+Table1[[#This Row],[TA 2 - Q3 Score]]</f>
        <v/>
      </c>
      <c r="S162">
        <f>Table1[[#This Row],[TA 2 - Q1 Bonus]]+Table1[[#This Row],[TA 2 - Q2 Bonus]]+Table1[[#This Row],[TA 2 - Q4 Bonus]]</f>
        <v/>
      </c>
      <c r="T162">
        <f>(Table1[[#This Row],[TA 1 - Total Score (out of 35)]]+Table1[[#This Row],[TA 2 - Total Score (out of 35)]])/2</f>
        <v/>
      </c>
      <c r="U162">
        <f>(Table1[[#This Row],[TA 1 - Total Bonus (out of 13)]]+Table1[[#This Row],[TA 2 - Total Bonus (out of 13)]])/2</f>
        <v/>
      </c>
      <c r="V162">
        <f>Table1[[#This Row],[Average Questions]]/35*20+Table1[[#This Row],[Average Bonus]]/13*5</f>
        <v/>
      </c>
      <c r="W162" t="n">
        <v>6</v>
      </c>
      <c r="X162" t="n">
        <v>0</v>
      </c>
      <c r="Y162"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162" t="n">
        <v>6</v>
      </c>
      <c r="AA162" t="n">
        <v>0</v>
      </c>
      <c r="AB16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any points for the base tasks. The bonus task was also not completed, resulting in a score of 0 for the bonus.
Breakdown:
- Part 1: Load and Prepare Data: 0.0/?
- Part 2: Build the CNN Model: 0.0/?
- Part 3: Training and Validation Functions: 0.0/?
- Part 4: Training: 2.0/?
- Part 5: Bonus — Residual Connection: 0.0/?</t>
        </is>
      </c>
      <c r="AC162" t="n">
        <v>6</v>
      </c>
      <c r="AD162" t="inlineStr">
        <is>
          <t>The student's submission was incomplete, with no code submitted for Tasks 1-4. However, the code for Task 5 was mostly correct, with the student successfully visualizing the predictions. The only issue was that the ground truth masks were not displayed correctly.
Breakdown:
- Task 1: Dataset Class: 0.0/?
- Task 2: Model Class: 0.0/?
- Task 3: Training and Validation Loops: 0.0/?
- Task 4: Running Training: 0.0/?
- Task 5: Visualizing Predictions: 6.0/?</t>
        </is>
      </c>
      <c r="AE162" t="n">
        <v>0</v>
      </c>
      <c r="AF162" t="n">
        <v>0</v>
      </c>
      <c r="AG162" t="inlineStr">
        <is>
          <t>No submission found.</t>
        </is>
      </c>
      <c r="AH162" t="n">
        <v>18</v>
      </c>
      <c r="AI162" t="n">
        <v>0</v>
      </c>
    </row>
    <row r="163">
      <c r="A163" t="n">
        <v>162</v>
      </c>
      <c r="B163" t="inlineStr">
        <is>
          <t>TA_3</t>
        </is>
      </c>
      <c r="C163" t="inlineStr">
        <is>
          <t>TA_13</t>
        </is>
      </c>
      <c r="D163" t="n">
        <v>5.5</v>
      </c>
      <c r="E163" t="n">
        <v>0</v>
      </c>
      <c r="F163" t="n">
        <v>6.5</v>
      </c>
      <c r="G163" t="n">
        <v>0</v>
      </c>
      <c r="H163" t="n">
        <v>8.5</v>
      </c>
      <c r="I163" t="n">
        <v>0</v>
      </c>
      <c r="J163" t="n">
        <v>5.25</v>
      </c>
      <c r="K163" t="n">
        <v>0</v>
      </c>
      <c r="L163" t="n">
        <v>7.5</v>
      </c>
      <c r="M163" t="n">
        <v>0</v>
      </c>
      <c r="N163" t="n">
        <v>7</v>
      </c>
      <c r="O163" t="n">
        <v>0</v>
      </c>
      <c r="P163">
        <f>Table1[[#This Row],[TA 1 - Q1 Score]]+Table1[[#This Row],[TA 1 - Q2 Score]]+Table1[[#This Row],[TA 1 - Q3 Score]]</f>
        <v/>
      </c>
      <c r="Q163">
        <f>Table1[[#This Row],[TA 1 - Q1 Bonus]]+Table1[[#This Row],[TA 1 - Q2 Bonus]]+Table1[[#This Row],[TA 1 - Q4 Bonus]]</f>
        <v/>
      </c>
      <c r="R163">
        <f>Table1[[#This Row],[TA 2 - Q1 Score]]+Table1[[#This Row],[TA 2 - Q2 Score]]+Table1[[#This Row],[TA 2 - Q3 Score]]</f>
        <v/>
      </c>
      <c r="S163">
        <f>Table1[[#This Row],[TA 2 - Q1 Bonus]]+Table1[[#This Row],[TA 2 - Q2 Bonus]]+Table1[[#This Row],[TA 2 - Q4 Bonus]]</f>
        <v/>
      </c>
      <c r="T163">
        <f>(Table1[[#This Row],[TA 1 - Total Score (out of 35)]]+Table1[[#This Row],[TA 2 - Total Score (out of 35)]])/2</f>
        <v/>
      </c>
      <c r="U163">
        <f>(Table1[[#This Row],[TA 1 - Total Bonus (out of 13)]]+Table1[[#This Row],[TA 2 - Total Bonus (out of 13)]])/2</f>
        <v/>
      </c>
      <c r="V163">
        <f>Table1[[#This Row],[Average Questions]]/35*20+Table1[[#This Row],[Average Bonus]]/13*5</f>
        <v/>
      </c>
      <c r="W163" t="n">
        <v>6</v>
      </c>
      <c r="X163" t="n">
        <v>0</v>
      </c>
      <c r="Y16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3.0/?
- Part 5: Bonus — Test Time Augmentation: 0.0/?</t>
        </is>
      </c>
      <c r="Z163" t="n">
        <v>4</v>
      </c>
      <c r="AA163" t="n">
        <v>0</v>
      </c>
      <c r="AB163"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63" t="n">
        <v>6</v>
      </c>
      <c r="AD163" t="inlineStr">
        <is>
          <t>The student's submission was incomplete, with no code submitted for Tasks 1-4. However, the code for Task 5: Visualizing Predictions was correct and ran, earning 6 points. Unfortunately, the student did not attempt the other tasks, resulting in a total score of 6 points.
Breakdown:
- Task 1: Dataset Class: 0.0/?
- Task 2: Model Class: 0.0/?
- Task 3: Training and Validation Loops: 0.0/?
- Task 4: Running Training: 0.0/?
- Task 5: Visualizing Predictions: 6.0/?</t>
        </is>
      </c>
      <c r="AE163" t="n">
        <v>0</v>
      </c>
      <c r="AF163" t="n">
        <v>0</v>
      </c>
      <c r="AG163" t="inlineStr">
        <is>
          <t>The student's submission did not implement the `ColorizationDataset` class correctly, resulting in a score of 0.0 for the base task. Since the student did not implement the class correctly, they did not attempt the bonus task, resulting in a score of 0.0 for the bonus task.
Breakdown:
- Correctly implemented `ColorizationDataset` class:: 0.0/?
- Any mistake in implementation: 0.0/?</t>
        </is>
      </c>
      <c r="AH163" t="n">
        <v>16</v>
      </c>
      <c r="AI163" t="n">
        <v>0</v>
      </c>
    </row>
    <row r="164">
      <c r="A164" t="n">
        <v>163</v>
      </c>
      <c r="B164" t="inlineStr">
        <is>
          <t>TA_3</t>
        </is>
      </c>
      <c r="C164" t="inlineStr">
        <is>
          <t>TA_13</t>
        </is>
      </c>
      <c r="D164" t="n">
        <v>5.5</v>
      </c>
      <c r="E164" t="n">
        <v>0</v>
      </c>
      <c r="F164" t="n">
        <v>7.5</v>
      </c>
      <c r="G164" t="n">
        <v>0</v>
      </c>
      <c r="H164" t="n">
        <v>11.5</v>
      </c>
      <c r="I164" t="n">
        <v>0</v>
      </c>
      <c r="J164" t="n">
        <v>6</v>
      </c>
      <c r="K164" t="n">
        <v>0</v>
      </c>
      <c r="L164" t="n">
        <v>8</v>
      </c>
      <c r="M164" t="n">
        <v>0</v>
      </c>
      <c r="N164" t="n">
        <v>11.5</v>
      </c>
      <c r="O164" t="n">
        <v>0</v>
      </c>
      <c r="P164">
        <f>Table1[[#This Row],[TA 1 - Q1 Score]]+Table1[[#This Row],[TA 1 - Q2 Score]]+Table1[[#This Row],[TA 1 - Q3 Score]]</f>
        <v/>
      </c>
      <c r="Q164">
        <f>Table1[[#This Row],[TA 1 - Q1 Bonus]]+Table1[[#This Row],[TA 1 - Q2 Bonus]]+Table1[[#This Row],[TA 1 - Q4 Bonus]]</f>
        <v/>
      </c>
      <c r="R164">
        <f>Table1[[#This Row],[TA 2 - Q1 Score]]+Table1[[#This Row],[TA 2 - Q2 Score]]+Table1[[#This Row],[TA 2 - Q3 Score]]</f>
        <v/>
      </c>
      <c r="S164">
        <f>Table1[[#This Row],[TA 2 - Q1 Bonus]]+Table1[[#This Row],[TA 2 - Q2 Bonus]]+Table1[[#This Row],[TA 2 - Q4 Bonus]]</f>
        <v/>
      </c>
      <c r="T164">
        <f>(Table1[[#This Row],[TA 1 - Total Score (out of 35)]]+Table1[[#This Row],[TA 2 - Total Score (out of 35)]])/2</f>
        <v/>
      </c>
      <c r="U164">
        <f>(Table1[[#This Row],[TA 1 - Total Bonus (out of 13)]]+Table1[[#This Row],[TA 2 - Total Bonus (out of 13)]])/2</f>
        <v/>
      </c>
      <c r="V164">
        <f>Table1[[#This Row],[Average Questions]]/35*20+Table1[[#This Row],[Average Bonus]]/13*5</f>
        <v/>
      </c>
      <c r="W164" t="n">
        <v>6</v>
      </c>
      <c r="X164" t="n">
        <v>0</v>
      </c>
      <c r="Y164"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syntax and logic mistakes. The bonus task of implementing test time augmentation was not attempted. Overall, the submission demonstrates a lack of understanding of the required tasks and concepts.
Breakdown:
- Part 1: Load and Prepare Data: 0.0/?
- Part 2: Load Pretrained Model and Adapt: 0.0/?
- Part 3: Training and Validation Functions: 0.0/?
- Part 4: Training: 2.0/?
- Part 5: Bonus — Test Time Augmentation: 0.0/?</t>
        </is>
      </c>
      <c r="Z164" t="n">
        <v>4</v>
      </c>
      <c r="AA164" t="n">
        <v>0</v>
      </c>
      <c r="AB164"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64" t="n">
        <v>6</v>
      </c>
      <c r="AD164" t="inlineStr">
        <is>
          <t>The student's submission was incomplete, with no code submitted for Tasks 1-4. However, they did attempt Task 5, visualizing predictions against the ground truth for several images. This earned them 6 points out of 12 for the base score.
Breakdown:
- Task 1: Dataset Class: 0.0/?
- Task 2: Model Class: 0.0/?
- Task 3: Training and Validation Loops: 0.0/?
- Task 4: Running Training: 0.0/?
- Task 5: Visualizing Predictions: 6.0/?</t>
        </is>
      </c>
      <c r="AE164" t="n">
        <v>0</v>
      </c>
      <c r="AF164" t="n">
        <v>0</v>
      </c>
      <c r="AG164" t="inlineStr">
        <is>
          <t>No submission found.</t>
        </is>
      </c>
      <c r="AH164" t="n">
        <v>16</v>
      </c>
      <c r="AI164" t="n">
        <v>0</v>
      </c>
    </row>
    <row r="165">
      <c r="A165" t="n">
        <v>164</v>
      </c>
      <c r="B165" t="inlineStr">
        <is>
          <t>TA_3</t>
        </is>
      </c>
      <c r="C165" t="inlineStr">
        <is>
          <t>TA_13</t>
        </is>
      </c>
      <c r="D165" t="n">
        <v>10.5</v>
      </c>
      <c r="E165" t="n">
        <v>4</v>
      </c>
      <c r="F165" t="n">
        <v>6</v>
      </c>
      <c r="G165" t="n">
        <v>0</v>
      </c>
      <c r="H165" t="n">
        <v>11.5</v>
      </c>
      <c r="I165" t="n">
        <v>5</v>
      </c>
      <c r="J165" t="n">
        <v>12</v>
      </c>
      <c r="K165" t="n">
        <v>4</v>
      </c>
      <c r="L165" t="n">
        <v>9</v>
      </c>
      <c r="M165" t="n">
        <v>4</v>
      </c>
      <c r="N165" t="n">
        <v>11.5</v>
      </c>
      <c r="O165" t="n">
        <v>5</v>
      </c>
      <c r="P165">
        <f>Table1[[#This Row],[TA 1 - Q1 Score]]+Table1[[#This Row],[TA 1 - Q2 Score]]+Table1[[#This Row],[TA 1 - Q3 Score]]</f>
        <v/>
      </c>
      <c r="Q165">
        <f>Table1[[#This Row],[TA 1 - Q1 Bonus]]+Table1[[#This Row],[TA 1 - Q2 Bonus]]+Table1[[#This Row],[TA 1 - Q4 Bonus]]</f>
        <v/>
      </c>
      <c r="R165">
        <f>Table1[[#This Row],[TA 2 - Q1 Score]]+Table1[[#This Row],[TA 2 - Q2 Score]]+Table1[[#This Row],[TA 2 - Q3 Score]]</f>
        <v/>
      </c>
      <c r="S165">
        <f>Table1[[#This Row],[TA 2 - Q1 Bonus]]+Table1[[#This Row],[TA 2 - Q2 Bonus]]+Table1[[#This Row],[TA 2 - Q4 Bonus]]</f>
        <v/>
      </c>
      <c r="T165">
        <f>(Table1[[#This Row],[TA 1 - Total Score (out of 35)]]+Table1[[#This Row],[TA 2 - Total Score (out of 35)]])/2</f>
        <v/>
      </c>
      <c r="U165">
        <f>(Table1[[#This Row],[TA 1 - Total Bonus (out of 13)]]+Table1[[#This Row],[TA 2 - Total Bonus (out of 13)]])/2</f>
        <v/>
      </c>
      <c r="V165">
        <f>Table1[[#This Row],[Average Questions]]/35*20+Table1[[#This Row],[Average Bonus]]/13*5</f>
        <v/>
      </c>
      <c r="W165" t="n">
        <v>6</v>
      </c>
      <c r="X165" t="n">
        <v>0</v>
      </c>
      <c r="Y165"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165" t="n">
        <v>6</v>
      </c>
      <c r="AA165" t="n">
        <v>0</v>
      </c>
      <c r="AB165" t="inlineStr">
        <is>
          <t>The student's submission failed to meet the requirements of the task. They did not create a custom dataset class or use ImageFolder, and their DataLoaders were not created. The CNN model class was not created with 5 convolutional layers, and batch normalization was not added. The training and validation loop functions were not defined, and the device, model, loss, and optimizer were not set up. The model was not trained, and the losses and accuracy were not plotted. The bonus task of adding a residual connection was not attempted.
Breakdown:
- Task 1: Dataset class or ImageFolder: 0.0/?
- Task 2: Create train/test datasets and DataLoaders: 0.0/?
- Task 3: Transforms (RandomRotation, Resize to 32x32): 0.0/?
- Task 4: Display sample images with labels: 0.0/?
- Task 1: CNN model class with 5 convolutional layers: 0.0/?
- Task 2: Added Batch Normalization: 0.0/?
- Task 1: Training loop function: 0.0/?
- Task 2: Validation loop function: 0.0/?
- Task 1: Set up device, model, loss, optimizer: 0.0/?
- Task 2: Train the model: 0.0/?
- Task 3: Plot losses and accuracy: 0.0/?
- Bonus — Residual Connection: 0.0/?</t>
        </is>
      </c>
      <c r="AC165" t="n">
        <v>6</v>
      </c>
      <c r="AD165" t="inlineStr">
        <is>
          <t>The student's submission was incomplete and contained several errors. They failed to complete tasks 1, 2, 3, and 4, and their implementation of task 5 was not entirely correct. Despite this, they were able to visualize the predictions against the ground truth for several images, which is why they received partial credit for task 5.
Breakdown:
- Task 1: Dataset Class: 0.0/?
- Task 2: Model Class: 0.0/?
- Task 3: Training and Validation Loops: 0.0/?
- Task 4: Running Training: 0.0/?
- Task 5: Visualizing Predictions: 6.0/?</t>
        </is>
      </c>
      <c r="AE165" t="n">
        <v>0</v>
      </c>
      <c r="AF165" t="n">
        <v>0</v>
      </c>
      <c r="AG165" t="inlineStr">
        <is>
          <t>The student's submission has multiple errors in the `ColorizationDataset` class, including missing methods and incorrect implementation of the `rgb_to_grayscale` method. As a result, the submission does not meet the requirements of the task and does not award any points.
Breakdown:
- Correctly implemented `ColorizationDataset` class:: 0.0/?
- Any mistake in implementation: 0.0/?</t>
        </is>
      </c>
      <c r="AH165" t="n">
        <v>18</v>
      </c>
      <c r="AI165" t="n">
        <v>0</v>
      </c>
    </row>
    <row r="166">
      <c r="A166" t="n">
        <v>165</v>
      </c>
      <c r="B166" t="inlineStr">
        <is>
          <t>TA_3</t>
        </is>
      </c>
      <c r="C166" t="inlineStr">
        <is>
          <t>TA_13</t>
        </is>
      </c>
      <c r="D166" t="n">
        <v>10.5</v>
      </c>
      <c r="E166" t="n">
        <v>4</v>
      </c>
      <c r="F166" t="n">
        <v>8</v>
      </c>
      <c r="G166" t="n">
        <v>0</v>
      </c>
      <c r="H166" t="n">
        <v>11.5</v>
      </c>
      <c r="I166" t="n">
        <v>5</v>
      </c>
      <c r="J166" t="n">
        <v>12</v>
      </c>
      <c r="K166" t="n">
        <v>4</v>
      </c>
      <c r="L166" t="n">
        <v>9</v>
      </c>
      <c r="M166" t="n">
        <v>0</v>
      </c>
      <c r="N166" t="n">
        <v>12</v>
      </c>
      <c r="O166" t="n">
        <v>5</v>
      </c>
      <c r="P166">
        <f>Table1[[#This Row],[TA 1 - Q1 Score]]+Table1[[#This Row],[TA 1 - Q2 Score]]+Table1[[#This Row],[TA 1 - Q3 Score]]</f>
        <v/>
      </c>
      <c r="Q166">
        <f>Table1[[#This Row],[TA 1 - Q1 Bonus]]+Table1[[#This Row],[TA 1 - Q2 Bonus]]+Table1[[#This Row],[TA 1 - Q4 Bonus]]</f>
        <v/>
      </c>
      <c r="R166">
        <f>Table1[[#This Row],[TA 2 - Q1 Score]]+Table1[[#This Row],[TA 2 - Q2 Score]]+Table1[[#This Row],[TA 2 - Q3 Score]]</f>
        <v/>
      </c>
      <c r="S166">
        <f>Table1[[#This Row],[TA 2 - Q1 Bonus]]+Table1[[#This Row],[TA 2 - Q2 Bonus]]+Table1[[#This Row],[TA 2 - Q4 Bonus]]</f>
        <v/>
      </c>
      <c r="T166">
        <f>(Table1[[#This Row],[TA 1 - Total Score (out of 35)]]+Table1[[#This Row],[TA 2 - Total Score (out of 35)]])/2</f>
        <v/>
      </c>
      <c r="U166">
        <f>(Table1[[#This Row],[TA 1 - Total Bonus (out of 13)]]+Table1[[#This Row],[TA 2 - Total Bonus (out of 13)]])/2</f>
        <v/>
      </c>
      <c r="V166">
        <f>Table1[[#This Row],[Average Questions]]/35*20+Table1[[#This Row],[Average Bonus]]/13*5</f>
        <v/>
      </c>
      <c r="W166" t="n">
        <v>6</v>
      </c>
      <c r="X166" t="n">
        <v>0</v>
      </c>
      <c r="Y166"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implementation of test time augmentation was also incomplete.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166" t="n">
        <v>4</v>
      </c>
      <c r="AA166" t="n">
        <v>0</v>
      </c>
      <c r="AB166"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66" t="n">
        <v>6</v>
      </c>
      <c r="AD166" t="inlineStr">
        <is>
          <t>The student's submission is incomplete and does not follow the reference solution. They failed to create a custom dataset class, define a pretrained U-Net model, implement the training and validation loops, and visualize their model's predictions. As a result, they did not earn any points for these tasks.
Breakdown:
- Task 1: Dataset Class: 0.0/?
- Task 2: Model Class: 0.0/?
- Task 3: Training and Validation Loops: 0.0/?
- Task 4: Running Training: 0.0/?
- Task 5: Visualizing Predictions: 0.0/?</t>
        </is>
      </c>
      <c r="AE166" t="n">
        <v>0</v>
      </c>
      <c r="AF166" t="n">
        <v>0</v>
      </c>
      <c r="AG166" t="inlineStr">
        <is>
          <t>The student's submission does not meet the requirements of the task. The `ColorizationDataset` class is not implemented correctly, and the code does not run end-to-end. The student attempted to implement the class, but made several logical mistakes, including incorrect implementation of the `rgb_to_grayscale` method and the `__getitem__` method. As a result, the code does not produce the correct output, and the visualization is incorrect.
Breakdown:
- Correctly implemented `ColorizationDataset` class:: 0.0/?</t>
        </is>
      </c>
      <c r="AH166" t="n">
        <v>16</v>
      </c>
      <c r="AI166" t="n">
        <v>0</v>
      </c>
    </row>
    <row r="167">
      <c r="A167" t="n">
        <v>166</v>
      </c>
      <c r="B167" t="inlineStr">
        <is>
          <t>TA_3</t>
        </is>
      </c>
      <c r="C167" t="inlineStr">
        <is>
          <t>TA_13</t>
        </is>
      </c>
      <c r="D167" t="n">
        <v>11</v>
      </c>
      <c r="E167" t="n">
        <v>0</v>
      </c>
      <c r="F167" t="n">
        <v>10.5</v>
      </c>
      <c r="G167" t="n">
        <v>4</v>
      </c>
      <c r="H167" t="n">
        <v>12</v>
      </c>
      <c r="I167" t="n">
        <v>0</v>
      </c>
      <c r="J167" t="n">
        <v>12</v>
      </c>
      <c r="K167" t="n">
        <v>0</v>
      </c>
      <c r="L167" t="n">
        <v>11</v>
      </c>
      <c r="M167" t="n">
        <v>0</v>
      </c>
      <c r="N167" t="n">
        <v>12</v>
      </c>
      <c r="O167" t="n">
        <v>0</v>
      </c>
      <c r="P167">
        <f>Table1[[#This Row],[TA 1 - Q1 Score]]+Table1[[#This Row],[TA 1 - Q2 Score]]+Table1[[#This Row],[TA 1 - Q3 Score]]</f>
        <v/>
      </c>
      <c r="Q167">
        <f>Table1[[#This Row],[TA 1 - Q1 Bonus]]+Table1[[#This Row],[TA 1 - Q2 Bonus]]+Table1[[#This Row],[TA 1 - Q4 Bonus]]</f>
        <v/>
      </c>
      <c r="R167">
        <f>Table1[[#This Row],[TA 2 - Q1 Score]]+Table1[[#This Row],[TA 2 - Q2 Score]]+Table1[[#This Row],[TA 2 - Q3 Score]]</f>
        <v/>
      </c>
      <c r="S167">
        <f>Table1[[#This Row],[TA 2 - Q1 Bonus]]+Table1[[#This Row],[TA 2 - Q2 Bonus]]+Table1[[#This Row],[TA 2 - Q4 Bonus]]</f>
        <v/>
      </c>
      <c r="T167">
        <f>(Table1[[#This Row],[TA 1 - Total Score (out of 35)]]+Table1[[#This Row],[TA 2 - Total Score (out of 35)]])/2</f>
        <v/>
      </c>
      <c r="U167">
        <f>(Table1[[#This Row],[TA 1 - Total Bonus (out of 13)]]+Table1[[#This Row],[TA 2 - Total Bonus (out of 13)]])/2</f>
        <v/>
      </c>
      <c r="V167">
        <f>Table1[[#This Row],[Average Questions]]/35*20+Table1[[#This Row],[Average Bonus]]/13*5</f>
        <v/>
      </c>
      <c r="W167" t="n">
        <v>6</v>
      </c>
      <c r="X167" t="n">
        <v>0</v>
      </c>
      <c r="Y167"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approach to the bonus task was entirely wrong, disregarding explicit instructions and using a different structure than the reference solution. Overall, the student's submission demonstrated a lack of understanding of the required tasks and concepts.
Breakdown:
- Part 1: Load and Prepare Data: 0.0/?
- Part 2: Load Pretrained Model and Adapt: 0.0/?
- Part 3: Training and Validation Functions: 0.0/?
- Part 4: Training: 2.0/?
- Part 5: Bonus — Test Time Augmentation: 0.0/?</t>
        </is>
      </c>
      <c r="Z167" t="n">
        <v>6</v>
      </c>
      <c r="AA167" t="n">
        <v>0</v>
      </c>
      <c r="AB167"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and batch normalization was not added. In Part 3, the training and validation loop functions were not defined. In Part 4, the student was able to train the model, but the validation loop function was not used. In Part 5, the student did not redefine the CNN model with a residual connection.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167" t="n">
        <v>6</v>
      </c>
      <c r="AD167" t="inlineStr">
        <is>
          <t>The student's submission failed to meet the requirements of the task. The code was not organized in a way that allowed it to run end-to-end, and several key components were missing or incorrect. The student attempted to implement some tasks, but the code contained syntax and logic mistakes. Overall, the submission did not demonstrate a clear understanding of the task requirements.
Breakdown:
- Task 1: Dataset Class: 0.0/?
- Task 2: Model Class: 0.0/?
- Task 3: Training and Validation Loops: 0.0/?
- Task 4: Running Training: 0.0/?
- Task 5: Visualizing Predictions: 0.0/?</t>
        </is>
      </c>
      <c r="AE167" t="n">
        <v>0</v>
      </c>
      <c r="AF167" t="n">
        <v>0</v>
      </c>
      <c r="AG167" t="inlineStr">
        <is>
          <t>No submission found.</t>
        </is>
      </c>
      <c r="AH167" t="n">
        <v>18</v>
      </c>
      <c r="AI167" t="n">
        <v>0</v>
      </c>
    </row>
    <row r="168">
      <c r="A168" t="n">
        <v>167</v>
      </c>
      <c r="B168" t="inlineStr">
        <is>
          <t>TA_3</t>
        </is>
      </c>
      <c r="C168" t="inlineStr">
        <is>
          <t>TA_13</t>
        </is>
      </c>
      <c r="D168" t="n">
        <v>8</v>
      </c>
      <c r="E168" t="n">
        <v>0</v>
      </c>
      <c r="F168" t="n">
        <v>8</v>
      </c>
      <c r="G168" t="n">
        <v>0</v>
      </c>
      <c r="H168" t="n">
        <v>0</v>
      </c>
      <c r="I168" t="n">
        <v>0</v>
      </c>
      <c r="J168" t="n">
        <v>9.5</v>
      </c>
      <c r="K168" t="n">
        <v>0</v>
      </c>
      <c r="L168" t="n">
        <v>9</v>
      </c>
      <c r="M168" t="n">
        <v>0</v>
      </c>
      <c r="N168" t="n">
        <v>0</v>
      </c>
      <c r="O168" t="n">
        <v>0</v>
      </c>
      <c r="P168">
        <f>Table1[[#This Row],[TA 1 - Q1 Score]]+Table1[[#This Row],[TA 1 - Q2 Score]]+Table1[[#This Row],[TA 1 - Q3 Score]]</f>
        <v/>
      </c>
      <c r="Q168">
        <f>Table1[[#This Row],[TA 1 - Q1 Bonus]]+Table1[[#This Row],[TA 1 - Q2 Bonus]]+Table1[[#This Row],[TA 1 - Q4 Bonus]]</f>
        <v/>
      </c>
      <c r="R168">
        <f>Table1[[#This Row],[TA 2 - Q1 Score]]+Table1[[#This Row],[TA 2 - Q2 Score]]+Table1[[#This Row],[TA 2 - Q3 Score]]</f>
        <v/>
      </c>
      <c r="S168">
        <f>Table1[[#This Row],[TA 2 - Q1 Bonus]]+Table1[[#This Row],[TA 2 - Q2 Bonus]]+Table1[[#This Row],[TA 2 - Q4 Bonus]]</f>
        <v/>
      </c>
      <c r="T168">
        <f>(Table1[[#This Row],[TA 1 - Total Score (out of 35)]]+Table1[[#This Row],[TA 2 - Total Score (out of 35)]])/2</f>
        <v/>
      </c>
      <c r="U168">
        <f>(Table1[[#This Row],[TA 1 - Total Bonus (out of 13)]]+Table1[[#This Row],[TA 2 - Total Bonus (out of 13)]])/2</f>
        <v/>
      </c>
      <c r="V168">
        <f>Table1[[#This Row],[Average Questions]]/35*20+Table1[[#This Row],[Average Bonus]]/13*5</f>
        <v/>
      </c>
      <c r="W168" t="n">
        <v>6</v>
      </c>
      <c r="X168" t="n">
        <v>0</v>
      </c>
      <c r="Y168" t="inlineStr">
        <is>
          <t>The student failed to submit code for any of the tasks in this question. As a result, no points can be awarded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168" t="n">
        <v>4</v>
      </c>
      <c r="AA168" t="n">
        <v>0</v>
      </c>
      <c r="AB168"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68" t="n">
        <v>6</v>
      </c>
      <c r="AD168"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168" t="n">
        <v>0</v>
      </c>
      <c r="AF168" t="n">
        <v>0</v>
      </c>
      <c r="AG168" t="inlineStr">
        <is>
          <t>No submission found.</t>
        </is>
      </c>
      <c r="AH168" t="n">
        <v>16</v>
      </c>
      <c r="AI168" t="n">
        <v>0</v>
      </c>
    </row>
    <row r="169">
      <c r="A169" t="n">
        <v>168</v>
      </c>
      <c r="B169" t="inlineStr">
        <is>
          <t>TA_3</t>
        </is>
      </c>
      <c r="C169" t="inlineStr">
        <is>
          <t>TA_13</t>
        </is>
      </c>
      <c r="D169" t="n">
        <v>6.5</v>
      </c>
      <c r="E169" t="n">
        <v>0</v>
      </c>
      <c r="F169" t="n">
        <v>8.5</v>
      </c>
      <c r="G169" t="n">
        <v>0</v>
      </c>
      <c r="H169" t="n">
        <v>11</v>
      </c>
      <c r="I169" t="n">
        <v>0</v>
      </c>
      <c r="J169" t="n">
        <v>10.5</v>
      </c>
      <c r="K169" t="n">
        <v>0</v>
      </c>
      <c r="L169" t="n">
        <v>9</v>
      </c>
      <c r="M169" t="n">
        <v>0</v>
      </c>
      <c r="N169" t="n">
        <v>10.5</v>
      </c>
      <c r="O169" t="n">
        <v>0</v>
      </c>
      <c r="P169">
        <f>Table1[[#This Row],[TA 1 - Q1 Score]]+Table1[[#This Row],[TA 1 - Q2 Score]]+Table1[[#This Row],[TA 1 - Q3 Score]]</f>
        <v/>
      </c>
      <c r="Q169">
        <f>Table1[[#This Row],[TA 1 - Q1 Bonus]]+Table1[[#This Row],[TA 1 - Q2 Bonus]]+Table1[[#This Row],[TA 1 - Q4 Bonus]]</f>
        <v/>
      </c>
      <c r="R169">
        <f>Table1[[#This Row],[TA 2 - Q1 Score]]+Table1[[#This Row],[TA 2 - Q2 Score]]+Table1[[#This Row],[TA 2 - Q3 Score]]</f>
        <v/>
      </c>
      <c r="S169">
        <f>Table1[[#This Row],[TA 2 - Q1 Bonus]]+Table1[[#This Row],[TA 2 - Q2 Bonus]]+Table1[[#This Row],[TA 2 - Q4 Bonus]]</f>
        <v/>
      </c>
      <c r="T169">
        <f>(Table1[[#This Row],[TA 1 - Total Score (out of 35)]]+Table1[[#This Row],[TA 2 - Total Score (out of 35)]])/2</f>
        <v/>
      </c>
      <c r="U169">
        <f>(Table1[[#This Row],[TA 1 - Total Bonus (out of 13)]]+Table1[[#This Row],[TA 2 - Total Bonus (out of 13)]])/2</f>
        <v/>
      </c>
      <c r="V169">
        <f>Table1[[#This Row],[Average Questions]]/35*20+Table1[[#This Row],[Average Bonus]]/13*5</f>
        <v/>
      </c>
      <c r="W169" t="n">
        <v>6</v>
      </c>
      <c r="X169" t="n">
        <v>0</v>
      </c>
      <c r="Y169"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did not run correctly. The bonus task, Test Time Augmentation, was also not completed. Overall, the student's submission demonstrated a lack of understanding of the required tasks and failed to produce a working solution.
Breakdown:
- Part 1: Load and Prepare Data: 0.0/?
- Part 2: Load Pretrained Model and Adapt: 0.0/?
- Part 3: Training and Validation Functions: 1.5/?
- Part 4: Training: 0.0/?
- Part 5: Bonus — Test Time Augmentation: 0.0/?</t>
        </is>
      </c>
      <c r="Z169" t="n">
        <v>4</v>
      </c>
      <c r="AA169" t="n">
        <v>0</v>
      </c>
      <c r="AB169"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69" t="n">
        <v>6</v>
      </c>
      <c r="AD169" t="inlineStr">
        <is>
          <t>The student's submission was incomplete and contained several errors. They failed to complete tasks 1, 2, 3, and 4, and their implementation of task 5 was not entirely correct. The student's code was not well-organized and did not follow the provided structure. As a result, the student was only able to earn 6 points out of a possible 12.
Breakdown:
- Task 1: Dataset Class: 0.0/?
- Task 2: Model Class: 0.0/?
- Task 3: Training and Validation Loops: 0.0/?
- Task 4: Running Training: 0.0/?
- Task 5: Visualizing Predictions: 6.0/?</t>
        </is>
      </c>
      <c r="AE169" t="n">
        <v>0</v>
      </c>
      <c r="AF169" t="n">
        <v>0</v>
      </c>
      <c r="AG169" t="inlineStr">
        <is>
          <t>No submission found.</t>
        </is>
      </c>
      <c r="AH169" t="n">
        <v>16</v>
      </c>
      <c r="AI169" t="n">
        <v>0</v>
      </c>
    </row>
    <row r="170">
      <c r="A170" t="n">
        <v>169</v>
      </c>
      <c r="B170" t="inlineStr">
        <is>
          <t>TA_3</t>
        </is>
      </c>
      <c r="C170" t="inlineStr">
        <is>
          <t>TA_13</t>
        </is>
      </c>
      <c r="D170" t="n">
        <v>8</v>
      </c>
      <c r="E170" t="n">
        <v>0</v>
      </c>
      <c r="F170" t="n">
        <v>10</v>
      </c>
      <c r="G170" t="n">
        <v>4</v>
      </c>
      <c r="H170" t="n">
        <v>10</v>
      </c>
      <c r="I170" t="n">
        <v>0</v>
      </c>
      <c r="J170" t="n">
        <v>11.5</v>
      </c>
      <c r="K170" t="n">
        <v>0</v>
      </c>
      <c r="L170" t="n">
        <v>11</v>
      </c>
      <c r="M170" t="n">
        <v>2</v>
      </c>
      <c r="N170" t="n">
        <v>9.5</v>
      </c>
      <c r="O170" t="n">
        <v>0</v>
      </c>
      <c r="P170">
        <f>Table1[[#This Row],[TA 1 - Q1 Score]]+Table1[[#This Row],[TA 1 - Q2 Score]]+Table1[[#This Row],[TA 1 - Q3 Score]]</f>
        <v/>
      </c>
      <c r="Q170">
        <f>Table1[[#This Row],[TA 1 - Q1 Bonus]]+Table1[[#This Row],[TA 1 - Q2 Bonus]]+Table1[[#This Row],[TA 1 - Q4 Bonus]]</f>
        <v/>
      </c>
      <c r="R170">
        <f>Table1[[#This Row],[TA 2 - Q1 Score]]+Table1[[#This Row],[TA 2 - Q2 Score]]+Table1[[#This Row],[TA 2 - Q3 Score]]</f>
        <v/>
      </c>
      <c r="S170">
        <f>Table1[[#This Row],[TA 2 - Q1 Bonus]]+Table1[[#This Row],[TA 2 - Q2 Bonus]]+Table1[[#This Row],[TA 2 - Q4 Bonus]]</f>
        <v/>
      </c>
      <c r="T170">
        <f>(Table1[[#This Row],[TA 1 - Total Score (out of 35)]]+Table1[[#This Row],[TA 2 - Total Score (out of 35)]])/2</f>
        <v/>
      </c>
      <c r="U170">
        <f>(Table1[[#This Row],[TA 1 - Total Bonus (out of 13)]]+Table1[[#This Row],[TA 2 - Total Bonus (out of 13)]])/2</f>
        <v/>
      </c>
      <c r="V170">
        <f>Table1[[#This Row],[Average Questions]]/35*20+Table1[[#This Row],[Average Bonus]]/13*5</f>
        <v/>
      </c>
      <c r="W170" t="n">
        <v>6</v>
      </c>
      <c r="X170" t="n">
        <v>0</v>
      </c>
      <c r="Y170"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resulting in a low overall score. The bonus task was not attempted.
Breakdown:
- Part 1: Load and Prepare Data: 0.0/?
- Part 2: Load Pretrained Model and Adapt: 0.0/?
- Part 3: Training and Validation Functions: 0.0/?
- Part 4: Training: 3.0/?
- Part 5: Bonus — Test Time Augmentation: 0.0/?</t>
        </is>
      </c>
      <c r="Z170" t="n">
        <v>6</v>
      </c>
      <c r="AA170" t="n">
        <v>0</v>
      </c>
      <c r="AB170"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full potential of their model and was awarded only 2 points for the training task. The bonus task was not attempted, resulting in a score of 0 for that task.
Breakdown:
- Part 1: Load and Prepare Data: 0.0/?
- Part 2: Build the CNN Model: 0.0/?
- Part 3: Training and Validation Functions: 0.0/?
- Part 4: Training: 2.0/?
- Part 5: Bonus — Residual Connection: 0.0/?</t>
        </is>
      </c>
      <c r="AC170" t="n">
        <v>6</v>
      </c>
      <c r="AD170" t="inlineStr">
        <is>
          <t>The student's submission failed to meet the requirements of the task. They did not implement the dataset class, model class, training and validation loops, running training, and visualizing predictions correctly. As a result, they did not earn any points for these tasks.
Breakdown:
- Task 1: Dataset Class: 0.0/?
- Task 2: Model Class: 0.0/?
- Task 3: Training and Validation Loops: 0.0/?
- Task 4: Running Training: 0.0/?
- Task 5: Visualizing Predictions: 0.0/?</t>
        </is>
      </c>
      <c r="AE170" t="n">
        <v>0</v>
      </c>
      <c r="AF170" t="n">
        <v>0</v>
      </c>
      <c r="AG170" t="inlineStr">
        <is>
          <t>The student's submission did not implement the `ColorizationDataset` class correctly, resulting in a score of 0.0 for the base task. Since the student did not implement the class correctly, they did not attempt the bonus task, resulting in a score of 0.0 for the bonus task.
Breakdown:
- Correctly implemented `ColorizationDataset` class:: 0.0/?
- Any mistake in implementation: 0.0/?</t>
        </is>
      </c>
      <c r="AH170" t="n">
        <v>18</v>
      </c>
      <c r="AI170" t="n">
        <v>0</v>
      </c>
    </row>
    <row r="171">
      <c r="A171" t="n">
        <v>170</v>
      </c>
      <c r="B171" t="inlineStr">
        <is>
          <t>TA_3</t>
        </is>
      </c>
      <c r="C171" t="inlineStr">
        <is>
          <t>TA_13</t>
        </is>
      </c>
      <c r="D171" t="n">
        <v>12</v>
      </c>
      <c r="E171" t="n">
        <v>0</v>
      </c>
      <c r="F171" t="n">
        <v>8.5</v>
      </c>
      <c r="G171" t="n">
        <v>0</v>
      </c>
      <c r="H171" t="n">
        <v>8</v>
      </c>
      <c r="I171" t="n">
        <v>0</v>
      </c>
      <c r="J171" t="n">
        <v>12</v>
      </c>
      <c r="K171" t="n">
        <v>0</v>
      </c>
      <c r="L171" t="n">
        <v>9</v>
      </c>
      <c r="M171" t="n">
        <v>0</v>
      </c>
      <c r="N171" t="n">
        <v>11.5</v>
      </c>
      <c r="O171" t="n">
        <v>0</v>
      </c>
      <c r="P171">
        <f>Table1[[#This Row],[TA 1 - Q1 Score]]+Table1[[#This Row],[TA 1 - Q2 Score]]+Table1[[#This Row],[TA 1 - Q3 Score]]</f>
        <v/>
      </c>
      <c r="Q171">
        <f>Table1[[#This Row],[TA 1 - Q1 Bonus]]+Table1[[#This Row],[TA 1 - Q2 Bonus]]+Table1[[#This Row],[TA 1 - Q4 Bonus]]</f>
        <v/>
      </c>
      <c r="R171">
        <f>Table1[[#This Row],[TA 2 - Q1 Score]]+Table1[[#This Row],[TA 2 - Q2 Score]]+Table1[[#This Row],[TA 2 - Q3 Score]]</f>
        <v/>
      </c>
      <c r="S171">
        <f>Table1[[#This Row],[TA 2 - Q1 Bonus]]+Table1[[#This Row],[TA 2 - Q2 Bonus]]+Table1[[#This Row],[TA 2 - Q4 Bonus]]</f>
        <v/>
      </c>
      <c r="T171">
        <f>(Table1[[#This Row],[TA 1 - Total Score (out of 35)]]+Table1[[#This Row],[TA 2 - Total Score (out of 35)]])/2</f>
        <v/>
      </c>
      <c r="U171">
        <f>(Table1[[#This Row],[TA 1 - Total Bonus (out of 13)]]+Table1[[#This Row],[TA 2 - Total Bonus (out of 13)]])/2</f>
        <v/>
      </c>
      <c r="V171">
        <f>Table1[[#This Row],[Average Questions]]/35*20+Table1[[#This Row],[Average Bonus]]/13*5</f>
        <v/>
      </c>
      <c r="W171" t="n">
        <v>6</v>
      </c>
      <c r="X171" t="n">
        <v>0</v>
      </c>
      <c r="Y171" t="inlineStr">
        <is>
          <t>The student's submission failed to complete several key tasks, including loading and preparing the data, loading the pretrained model and adapting it, and implementing the training and validation functions. Although the student attempted to train the model, their code contained several errors and did not run end-to-end. As a result, the student was unable to complete the bonus task of implementing test time augmentation. Overall, the student's submission demonstrated a lack of understanding of the key concepts and failed to execute the tasks correctly.
Breakdown:
- Part 1: Load and Prepare Data: 0.0/?
- Part 2: Load Pretrained Model and Adapt: 0.0/?
- Part 3: Training and Validation Functions: 0.0/?
- Part 4: Training: 2.0/?
- Part 5: Bonus — Test Time Augmentation: 0.0/?</t>
        </is>
      </c>
      <c r="Z171" t="n">
        <v>4</v>
      </c>
      <c r="AA171" t="n">
        <v>0</v>
      </c>
      <c r="AB17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each task, with a total score of 0.0 for the base tasks and 0.0 for the bonus task.
Breakdown:
- Part 1: Load and Prepare Data: 0.0/?
- Part 2: Build the CNN Model: 0.0/?
- Part 3: Training and Validation Functions: 0.0/?
- Part 4: Training: 0.0/?
- Part 5: Bonus — Residual Connection: 0.0/?</t>
        </is>
      </c>
      <c r="AC171" t="n">
        <v>6</v>
      </c>
      <c r="AD171"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171" t="n">
        <v>0</v>
      </c>
      <c r="AF171" t="n">
        <v>0</v>
      </c>
      <c r="AG171" t="inlineStr">
        <is>
          <t>The student's submission for Question 4 is incomplete and contains several errors. The `ColorizationDataset` class is not correctly implemented, and the code does not run end-to-end. The student attempted to implement the class, but the implementation is incorrect and does not meet the requirements of the task. As a result, the student receives 0 points for this question.
Breakdown:
- Correctly implemented `ColorizationDataset` class:: 0.0/?</t>
        </is>
      </c>
      <c r="AH171" t="n">
        <v>16</v>
      </c>
      <c r="AI171" t="n">
        <v>0</v>
      </c>
    </row>
    <row r="172">
      <c r="A172" t="n">
        <v>171</v>
      </c>
      <c r="B172" t="inlineStr">
        <is>
          <t>TA_3</t>
        </is>
      </c>
      <c r="C172" t="inlineStr">
        <is>
          <t>TA_13</t>
        </is>
      </c>
      <c r="D172" t="n">
        <v>10.5</v>
      </c>
      <c r="E172" t="n">
        <v>4</v>
      </c>
      <c r="F172" t="n">
        <v>10</v>
      </c>
      <c r="G172" t="n">
        <v>0</v>
      </c>
      <c r="H172" t="n">
        <v>8</v>
      </c>
      <c r="I172" t="n">
        <v>5</v>
      </c>
      <c r="J172" t="n">
        <v>12</v>
      </c>
      <c r="K172" t="n">
        <v>4</v>
      </c>
      <c r="L172" t="n">
        <v>10.5</v>
      </c>
      <c r="M172" t="n">
        <v>0</v>
      </c>
      <c r="N172" t="n">
        <v>11</v>
      </c>
      <c r="O172" t="n">
        <v>5</v>
      </c>
      <c r="P172">
        <f>Table1[[#This Row],[TA 1 - Q1 Score]]+Table1[[#This Row],[TA 1 - Q2 Score]]+Table1[[#This Row],[TA 1 - Q3 Score]]</f>
        <v/>
      </c>
      <c r="Q172">
        <f>Table1[[#This Row],[TA 1 - Q1 Bonus]]+Table1[[#This Row],[TA 1 - Q2 Bonus]]+Table1[[#This Row],[TA 1 - Q4 Bonus]]</f>
        <v/>
      </c>
      <c r="R172">
        <f>Table1[[#This Row],[TA 2 - Q1 Score]]+Table1[[#This Row],[TA 2 - Q2 Score]]+Table1[[#This Row],[TA 2 - Q3 Score]]</f>
        <v/>
      </c>
      <c r="S172">
        <f>Table1[[#This Row],[TA 2 - Q1 Bonus]]+Table1[[#This Row],[TA 2 - Q2 Bonus]]+Table1[[#This Row],[TA 2 - Q4 Bonus]]</f>
        <v/>
      </c>
      <c r="T172">
        <f>(Table1[[#This Row],[TA 1 - Total Score (out of 35)]]+Table1[[#This Row],[TA 2 - Total Score (out of 35)]])/2</f>
        <v/>
      </c>
      <c r="U172">
        <f>(Table1[[#This Row],[TA 1 - Total Bonus (out of 13)]]+Table1[[#This Row],[TA 2 - Total Bonus (out of 13)]])/2</f>
        <v/>
      </c>
      <c r="V172">
        <f>Table1[[#This Row],[Average Questions]]/35*20+Table1[[#This Row],[Average Bonus]]/13*5</f>
        <v/>
      </c>
      <c r="W172" t="n">
        <v>6</v>
      </c>
      <c r="X172" t="n">
        <v>0</v>
      </c>
      <c r="Y17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2.0/?
- Part 5: Bonus — Test Time Augmentation: 0.0/?</t>
        </is>
      </c>
      <c r="Z172" t="n">
        <v>4</v>
      </c>
      <c r="AA172" t="n">
        <v>4</v>
      </c>
      <c r="AB172" t="inlineStr">
        <is>
          <t>The student's submission failed to meet the requirements for most tasks. They did not load and prepare the data correctly, and their CNN model was not built as specified. The training and validation functions were not implemented, and the model was not trained. However, the student did attempt the bonus task of adding a residual connection to the CNN model, and their code for this task was correct and ran.
Breakdown:
- Part 1: Load and Prepare Data: 0.0/?
- Part 2: Build the CNN Model: 0.0/?
- Part 3: Training and Validation Functions: 0.0/?
- Part 4: Training: 0.0/?
- Part 5: Bonus — Residual Connection: 4.0/?</t>
        </is>
      </c>
      <c r="AC172" t="n">
        <v>6</v>
      </c>
      <c r="AD172" t="inlineStr">
        <is>
          <t>The student's submission had several issues. The dataset class was not implemented correctly, and the model class was not defined as a multi-class segmentation model. The training and validation loops were not implemented correctly, and the training process was not completed. Finally, the predictions were not visualized correctly. Overall, the student's submission did not meet the requirements of the task.
Breakdown:
- Task 1: Dataset Class: 0.0/?
- Task 2: Model Class: 0.0/?
- Task 3: Training and Validation Loops: 0.0/?
- Task 4: Running Training: 0.0/?
- Task 5: Visualizing Predictions: 0.0/?</t>
        </is>
      </c>
      <c r="AE172" t="n">
        <v>0</v>
      </c>
      <c r="AF172" t="n">
        <v>0</v>
      </c>
      <c r="AG172" t="inlineStr">
        <is>
          <t>The student's submission does not meet the requirements of the task. The `ColorizationDataset` class is not implemented correctly, and the code does not run end-to-end. The student attempted to implement the `rgb_to_grayscale` method, but it does not correctly calculate the grayscale value. Additionally, the `__getitem__` method does not return the correct grayscale and color images. As a result, the student did not earn any points for this task.
Breakdown:
- Correctly implemented `ColorizationDataset` class:: 0.0/?</t>
        </is>
      </c>
      <c r="AH172" t="n">
        <v>16</v>
      </c>
      <c r="AI172" t="n">
        <v>4</v>
      </c>
    </row>
    <row r="173">
      <c r="A173" t="n">
        <v>172</v>
      </c>
      <c r="B173" t="inlineStr">
        <is>
          <t>TA_4</t>
        </is>
      </c>
      <c r="C173" t="inlineStr">
        <is>
          <t>TA_14</t>
        </is>
      </c>
      <c r="D173" t="n">
        <v>10.5</v>
      </c>
      <c r="E173" t="n">
        <v>0</v>
      </c>
      <c r="F173" t="n">
        <v>9</v>
      </c>
      <c r="G173" t="n">
        <v>0</v>
      </c>
      <c r="H173" t="n">
        <v>9.5</v>
      </c>
      <c r="I173" t="n">
        <v>0</v>
      </c>
      <c r="J173" t="n">
        <v>10</v>
      </c>
      <c r="K173" t="n">
        <v>0</v>
      </c>
      <c r="L173" t="n">
        <v>7</v>
      </c>
      <c r="M173" t="n">
        <v>0</v>
      </c>
      <c r="N173" t="n">
        <v>8</v>
      </c>
      <c r="O173" t="n">
        <v>0</v>
      </c>
      <c r="P173">
        <f>Table1[[#This Row],[TA 1 - Q1 Score]]+Table1[[#This Row],[TA 1 - Q2 Score]]+Table1[[#This Row],[TA 1 - Q3 Score]]</f>
        <v/>
      </c>
      <c r="Q173">
        <f>Table1[[#This Row],[TA 1 - Q1 Bonus]]+Table1[[#This Row],[TA 1 - Q2 Bonus]]+Table1[[#This Row],[TA 1 - Q4 Bonus]]</f>
        <v/>
      </c>
      <c r="R173">
        <f>Table1[[#This Row],[TA 2 - Q1 Score]]+Table1[[#This Row],[TA 2 - Q2 Score]]+Table1[[#This Row],[TA 2 - Q3 Score]]</f>
        <v/>
      </c>
      <c r="S173">
        <f>Table1[[#This Row],[TA 2 - Q1 Bonus]]+Table1[[#This Row],[TA 2 - Q2 Bonus]]+Table1[[#This Row],[TA 2 - Q4 Bonus]]</f>
        <v/>
      </c>
      <c r="T173">
        <f>(Table1[[#This Row],[TA 1 - Total Score (out of 35)]]+Table1[[#This Row],[TA 2 - Total Score (out of 35)]])/2</f>
        <v/>
      </c>
      <c r="U173">
        <f>(Table1[[#This Row],[TA 1 - Total Bonus (out of 13)]]+Table1[[#This Row],[TA 2 - Total Bonus (out of 13)]])/2</f>
        <v/>
      </c>
      <c r="V173">
        <f>Table1[[#This Row],[Average Questions]]/35*20+Table1[[#This Row],[Average Bonus]]/13*5</f>
        <v/>
      </c>
      <c r="W173" t="n">
        <v>6</v>
      </c>
      <c r="X173" t="n">
        <v>0</v>
      </c>
      <c r="Y17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correctly.
Breakdown:
- Part 1: Load and Prepare Data: 0.0/?
- Part 2: Load Pretrained Model and Adapt: 0.0/?
- Part 3: Training and Validation Functions: 0.0/?
- Part 4: Training: 2.0/?
- Part 5: Bonus — Test Time Augmentation: 0.0/?</t>
        </is>
      </c>
      <c r="Z173" t="n">
        <v>4</v>
      </c>
      <c r="AA173" t="n">
        <v>0</v>
      </c>
      <c r="AB173"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add a residual connection to the model. As a result, the student did not earn any points for this task.
Breakdown:
- Part 1: Load and Prepare Data: 0.0/?
- Part 2: Build the CNN Model: 0.0/?
- Part 3: Training and Validation Functions: 0.0/?
- Part 4: Training: 0.0/?
- Part 5: Bonus — Residual Connection: 0.0/?</t>
        </is>
      </c>
      <c r="AC173" t="n">
        <v>6</v>
      </c>
      <c r="AD173" t="inlineStr">
        <is>
          <t>The student's submission failed to meet the requirements of the task. The code was not organized in a way that allowed it to run end-to-end, and several key components were missing or incorrect. The student did not attempt to implement the dataset class, model class, training and validation loops, or visualization of predictions correctly. As a result, the submission was awarded 0 points for each of these tasks.
Breakdown:
- Task 1: Dataset Class: 0.0/?
- Task 2: Model Class: 0.0/?
- Task 3: Training and Validation Loops: 0.0/?
- Task 4: Running Training: 0.0/?
- Task 5: Visualizing Predictions: 0.0/?</t>
        </is>
      </c>
      <c r="AE173" t="n">
        <v>0</v>
      </c>
      <c r="AF173" t="n">
        <v>0</v>
      </c>
      <c r="AG173" t="inlineStr">
        <is>
          <t>No submission found.</t>
        </is>
      </c>
      <c r="AH173" t="n">
        <v>16</v>
      </c>
      <c r="AI173" t="n">
        <v>0</v>
      </c>
    </row>
    <row r="174">
      <c r="A174" t="n">
        <v>173</v>
      </c>
      <c r="B174" t="inlineStr">
        <is>
          <t>TA_4</t>
        </is>
      </c>
      <c r="C174" t="inlineStr">
        <is>
          <t>TA_14</t>
        </is>
      </c>
      <c r="D174" t="n">
        <v>12</v>
      </c>
      <c r="E174" t="n">
        <v>0</v>
      </c>
      <c r="F174" t="n">
        <v>8</v>
      </c>
      <c r="G174" t="n">
        <v>0</v>
      </c>
      <c r="H174" t="n">
        <v>12</v>
      </c>
      <c r="I174" t="n">
        <v>0</v>
      </c>
      <c r="J174" t="n">
        <v>12</v>
      </c>
      <c r="K174" t="n">
        <v>0</v>
      </c>
      <c r="L174" t="n">
        <v>8.5</v>
      </c>
      <c r="M174" t="n">
        <v>0</v>
      </c>
      <c r="N174" t="n">
        <v>12</v>
      </c>
      <c r="O174" t="n">
        <v>0</v>
      </c>
      <c r="P174">
        <f>Table1[[#This Row],[TA 1 - Q1 Score]]+Table1[[#This Row],[TA 1 - Q2 Score]]+Table1[[#This Row],[TA 1 - Q3 Score]]</f>
        <v/>
      </c>
      <c r="Q174">
        <f>Table1[[#This Row],[TA 1 - Q1 Bonus]]+Table1[[#This Row],[TA 1 - Q2 Bonus]]+Table1[[#This Row],[TA 1 - Q4 Bonus]]</f>
        <v/>
      </c>
      <c r="R174">
        <f>Table1[[#This Row],[TA 2 - Q1 Score]]+Table1[[#This Row],[TA 2 - Q2 Score]]+Table1[[#This Row],[TA 2 - Q3 Score]]</f>
        <v/>
      </c>
      <c r="S174">
        <f>Table1[[#This Row],[TA 2 - Q1 Bonus]]+Table1[[#This Row],[TA 2 - Q2 Bonus]]+Table1[[#This Row],[TA 2 - Q4 Bonus]]</f>
        <v/>
      </c>
      <c r="T174">
        <f>(Table1[[#This Row],[TA 1 - Total Score (out of 35)]]+Table1[[#This Row],[TA 2 - Total Score (out of 35)]])/2</f>
        <v/>
      </c>
      <c r="U174">
        <f>(Table1[[#This Row],[TA 1 - Total Bonus (out of 13)]]+Table1[[#This Row],[TA 2 - Total Bonus (out of 13)]])/2</f>
        <v/>
      </c>
      <c r="V174">
        <f>Table1[[#This Row],[Average Questions]]/35*20+Table1[[#This Row],[Average Bonus]]/13*5</f>
        <v/>
      </c>
      <c r="W174" t="n">
        <v>6</v>
      </c>
      <c r="X174" t="n">
        <v>0</v>
      </c>
      <c r="Y174" t="inlineStr">
        <is>
          <t>The student's submission failed to complete several key tasks, including loading and preparing the data, loading the pretrained model and adapting it, and implementing the training and validation functions. While the student did attempt to train the model, their code contained several syntax and logic mistakes, resulting in a score of 6.0 for this task. Unfortunately, the student did not complete the bonus task, resulting in a bonus score of 0.0.
Breakdown:
- Part 1: Load and Prepare Data: 0.0/?
- Part 2: Load Pretrained Model and Adapt: 0.0/?
- Part 3: Training and Validation Functions: 0.0/?
- Part 4: Training: 6.0/?
- Part 5: Bonus — Test Time Augmentation: 0.0/?</t>
        </is>
      </c>
      <c r="Z174" t="n">
        <v>4</v>
      </c>
      <c r="AA174" t="n">
        <v>0</v>
      </c>
      <c r="AB174"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training process was not executed, and the residual connection was not added to the model. The student's submission did not demonstrate a clear understanding of the task and the required code structure.
Breakdown:
- Part 1: Load and Prepare Data: 0.0/?
- Part 2: Build the CNN Model: 0.0/?
- Part 3: Training and Validation Functions: 0.0/?
- Part 4: Training: 0.0/?
- Part 5: Bonus — Residual Connection: 0.0/?</t>
        </is>
      </c>
      <c r="AC174" t="n">
        <v>6</v>
      </c>
      <c r="AD174" t="inlineStr">
        <is>
          <t>The student's submission was incomplete, with no code submitted for Tasks 1-4. However, the code for Task 5 was mostly correct, with the student successfully visualizing the predictions. The only issue was that the ground truth masks were not displayed correctly.
Breakdown:
- Task 1: Dataset Class: 0.0/?
- Task 2: Model Class: 0.0/?
- Task 3: Training and Validation Loops: 0.0/?
- Task 4: Running Training: 0.0/?
- Task 5: Visualizing Predictions: 6.0/?</t>
        </is>
      </c>
      <c r="AE174" t="n">
        <v>0</v>
      </c>
      <c r="AF174" t="n">
        <v>0</v>
      </c>
      <c r="AG174" t="inlineStr">
        <is>
          <t>No submission found.</t>
        </is>
      </c>
      <c r="AH174" t="n">
        <v>16</v>
      </c>
      <c r="AI174" t="n">
        <v>0</v>
      </c>
    </row>
    <row r="175">
      <c r="A175" t="n">
        <v>174</v>
      </c>
      <c r="B175" t="inlineStr">
        <is>
          <t>TA_4</t>
        </is>
      </c>
      <c r="C175" t="inlineStr">
        <is>
          <t>TA_14</t>
        </is>
      </c>
      <c r="D175" t="n">
        <v>6</v>
      </c>
      <c r="E175" t="n">
        <v>0</v>
      </c>
      <c r="F175" t="n">
        <v>5</v>
      </c>
      <c r="G175" t="n">
        <v>0</v>
      </c>
      <c r="H175" t="n">
        <v>7.5</v>
      </c>
      <c r="I175" t="n">
        <v>0</v>
      </c>
      <c r="J175" t="n">
        <v>6</v>
      </c>
      <c r="K175" t="n">
        <v>0</v>
      </c>
      <c r="L175" t="n">
        <v>3.5</v>
      </c>
      <c r="M175" t="n">
        <v>0</v>
      </c>
      <c r="N175" t="n">
        <v>6.5</v>
      </c>
      <c r="O175" t="n">
        <v>0</v>
      </c>
      <c r="P175">
        <f>Table1[[#This Row],[TA 1 - Q1 Score]]+Table1[[#This Row],[TA 1 - Q2 Score]]+Table1[[#This Row],[TA 1 - Q3 Score]]</f>
        <v/>
      </c>
      <c r="Q175">
        <f>Table1[[#This Row],[TA 1 - Q1 Bonus]]+Table1[[#This Row],[TA 1 - Q2 Bonus]]+Table1[[#This Row],[TA 1 - Q4 Bonus]]</f>
        <v/>
      </c>
      <c r="R175">
        <f>Table1[[#This Row],[TA 2 - Q1 Score]]+Table1[[#This Row],[TA 2 - Q2 Score]]+Table1[[#This Row],[TA 2 - Q3 Score]]</f>
        <v/>
      </c>
      <c r="S175">
        <f>Table1[[#This Row],[TA 2 - Q1 Bonus]]+Table1[[#This Row],[TA 2 - Q2 Bonus]]+Table1[[#This Row],[TA 2 - Q4 Bonus]]</f>
        <v/>
      </c>
      <c r="T175">
        <f>(Table1[[#This Row],[TA 1 - Total Score (out of 35)]]+Table1[[#This Row],[TA 2 - Total Score (out of 35)]])/2</f>
        <v/>
      </c>
      <c r="U175">
        <f>(Table1[[#This Row],[TA 1 - Total Bonus (out of 13)]]+Table1[[#This Row],[TA 2 - Total Bonus (out of 13)]])/2</f>
        <v/>
      </c>
      <c r="V175">
        <f>Table1[[#This Row],[Average Questions]]/35*20+Table1[[#This Row],[Average Bonus]]/13*5</f>
        <v/>
      </c>
      <c r="W175" t="n">
        <v>6</v>
      </c>
      <c r="X175" t="n">
        <v>0</v>
      </c>
      <c r="Y175"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2.0/?
- Part 5: Bonus — Test Time Augmentation: 0.0/?</t>
        </is>
      </c>
      <c r="Z175" t="n">
        <v>4</v>
      </c>
      <c r="AA175" t="n">
        <v>0</v>
      </c>
      <c r="AB175" t="inlineStr">
        <is>
          <t>The student's submission failed to meet the requirements of the task. The code did not load and prepare the data correctly, and the CNN model was not built as specified. The training and validation functions were not implemented, and the model was not trained. The bonus task of adding a residual connection was not attempted. The code had syntax errors and did not run end-to-end.
Breakdown:
- Part 1: Load and Prepare Data: 0.0/?
- Part 2: Build the CNN Model: 0.0/?
- Part 3: Training and Validation Functions: 0.0/?
- Part 4: Training: 0.0/?
- Part 5: Bonus — Residual Connection: 0.0/?</t>
        </is>
      </c>
      <c r="AC175" t="n">
        <v>6</v>
      </c>
      <c r="AD175" t="inlineStr">
        <is>
          <t>The student's submission failed to meet the requirements of the task. The code was not organized correctly, and several tasks were not implemented. The model class was not defined correctly, and the training and validation loops were not implemented. The training process was not implemented correctly, and the model was not trained. The predictions were not visualized correctly, and the code did not run end-to-end.
Breakdown:
- Task 1: Dataset Class: 0.0/?
- Task 2: Model Class: 0.0/?
- Task 3: Training and Validation Loops: 0.0/?
- Task 4: Running Training: 0.0/?
- Task 5: Visualizing Predictions: 0.0/?</t>
        </is>
      </c>
      <c r="AE175" t="n">
        <v>0</v>
      </c>
      <c r="AF175" t="n">
        <v>0</v>
      </c>
      <c r="AG175" t="inlineStr">
        <is>
          <t>No submission found.</t>
        </is>
      </c>
      <c r="AH175" t="n">
        <v>16</v>
      </c>
      <c r="AI175" t="n">
        <v>0</v>
      </c>
    </row>
    <row r="176">
      <c r="A176" t="n">
        <v>175</v>
      </c>
      <c r="B176" t="inlineStr">
        <is>
          <t>TA_4</t>
        </is>
      </c>
      <c r="C176" t="inlineStr">
        <is>
          <t>TA_14</t>
        </is>
      </c>
      <c r="D176" t="n">
        <v>12</v>
      </c>
      <c r="E176" t="n">
        <v>0</v>
      </c>
      <c r="F176" t="n">
        <v>9</v>
      </c>
      <c r="G176" t="n">
        <v>0</v>
      </c>
      <c r="H176" t="n">
        <v>9</v>
      </c>
      <c r="I176" t="n">
        <v>0</v>
      </c>
      <c r="J176" t="n">
        <v>12</v>
      </c>
      <c r="K176" t="n">
        <v>0</v>
      </c>
      <c r="L176" t="n">
        <v>9</v>
      </c>
      <c r="M176" t="n">
        <v>0</v>
      </c>
      <c r="N176" t="n">
        <v>8.5</v>
      </c>
      <c r="O176" t="n">
        <v>0</v>
      </c>
      <c r="P176">
        <f>Table1[[#This Row],[TA 1 - Q1 Score]]+Table1[[#This Row],[TA 1 - Q2 Score]]+Table1[[#This Row],[TA 1 - Q3 Score]]</f>
        <v/>
      </c>
      <c r="Q176">
        <f>Table1[[#This Row],[TA 1 - Q1 Bonus]]+Table1[[#This Row],[TA 1 - Q2 Bonus]]+Table1[[#This Row],[TA 1 - Q4 Bonus]]</f>
        <v/>
      </c>
      <c r="R176">
        <f>Table1[[#This Row],[TA 2 - Q1 Score]]+Table1[[#This Row],[TA 2 - Q2 Score]]+Table1[[#This Row],[TA 2 - Q3 Score]]</f>
        <v/>
      </c>
      <c r="S176">
        <f>Table1[[#This Row],[TA 2 - Q1 Bonus]]+Table1[[#This Row],[TA 2 - Q2 Bonus]]+Table1[[#This Row],[TA 2 - Q4 Bonus]]</f>
        <v/>
      </c>
      <c r="T176">
        <f>(Table1[[#This Row],[TA 1 - Total Score (out of 35)]]+Table1[[#This Row],[TA 2 - Total Score (out of 35)]])/2</f>
        <v/>
      </c>
      <c r="U176">
        <f>(Table1[[#This Row],[TA 1 - Total Bonus (out of 13)]]+Table1[[#This Row],[TA 2 - Total Bonus (out of 13)]])/2</f>
        <v/>
      </c>
      <c r="V176">
        <f>Table1[[#This Row],[Average Questions]]/35*20+Table1[[#This Row],[Average Bonus]]/13*5</f>
        <v/>
      </c>
      <c r="W176" t="n">
        <v>6</v>
      </c>
      <c r="X176" t="n">
        <v>0</v>
      </c>
      <c r="Y176" t="inlineStr">
        <is>
          <t>The student's submission failed to complete several key tasks, including loading and preparing the data, loading the pretrained model and adapting it, and implementing the training and validation functions. Although the student attempted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2.0/?
- Part 5: Bonus — Test Time Augmentation: 0.0/?</t>
        </is>
      </c>
      <c r="Z176" t="n">
        <v>4</v>
      </c>
      <c r="AA176" t="n">
        <v>0</v>
      </c>
      <c r="AB176"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add a residual connection to the model. As a result, the student did not earn any points for this task.
Breakdown:
- Part 1: Load and Prepare Data: 0.0/?
- Part 2: Build the CNN Model: 0.0/?
- Part 3: Training and Validation Functions: 0.0/?
- Part 4: Training: 0.0/?
- Part 5: Bonus — Residual Connection: 0.0/?</t>
        </is>
      </c>
      <c r="AC176" t="n">
        <v>6</v>
      </c>
      <c r="AD176" t="inlineStr">
        <is>
          <t>The student failed to submit code for any of the tasks in Question 3. As a result, no points can be awarded for this question. The student's submission is incomplete and does not demonstrate any understanding of the concepts required for the question.
Breakdown:
- Task 1: Dataset Class: 0.0/?
- Task 2: Model Class: 0.0/?
- Task 3: Training and Validation Loops: 0.0/?
- Task 4: Running Training: 0.0/?
- Task 5: Visualizing Predictions: 0.0/?</t>
        </is>
      </c>
      <c r="AE176" t="n">
        <v>0</v>
      </c>
      <c r="AF176" t="n">
        <v>0</v>
      </c>
      <c r="AG176" t="inlineStr">
        <is>
          <t>No submission found.</t>
        </is>
      </c>
      <c r="AH176" t="n">
        <v>16</v>
      </c>
      <c r="AI176" t="n">
        <v>0</v>
      </c>
    </row>
    <row r="177">
      <c r="A177" t="n">
        <v>176</v>
      </c>
      <c r="B177" t="inlineStr">
        <is>
          <t>TA_4</t>
        </is>
      </c>
      <c r="C177" t="inlineStr">
        <is>
          <t>TA_14</t>
        </is>
      </c>
      <c r="D177" t="n">
        <v>9</v>
      </c>
      <c r="E177" t="n">
        <v>0</v>
      </c>
      <c r="F177" t="n">
        <v>8</v>
      </c>
      <c r="G177" t="n">
        <v>0</v>
      </c>
      <c r="H177" t="n">
        <v>10.5</v>
      </c>
      <c r="I177" t="n">
        <v>0</v>
      </c>
      <c r="J177" t="n">
        <v>6.5</v>
      </c>
      <c r="K177" t="n">
        <v>0</v>
      </c>
      <c r="L177" t="n">
        <v>6</v>
      </c>
      <c r="M177" t="n">
        <v>0</v>
      </c>
      <c r="N177" t="n">
        <v>10.75</v>
      </c>
      <c r="O177" t="n">
        <v>0</v>
      </c>
      <c r="P177">
        <f>Table1[[#This Row],[TA 1 - Q1 Score]]+Table1[[#This Row],[TA 1 - Q2 Score]]+Table1[[#This Row],[TA 1 - Q3 Score]]</f>
        <v/>
      </c>
      <c r="Q177">
        <f>Table1[[#This Row],[TA 1 - Q1 Bonus]]+Table1[[#This Row],[TA 1 - Q2 Bonus]]+Table1[[#This Row],[TA 1 - Q4 Bonus]]</f>
        <v/>
      </c>
      <c r="R177">
        <f>Table1[[#This Row],[TA 2 - Q1 Score]]+Table1[[#This Row],[TA 2 - Q2 Score]]+Table1[[#This Row],[TA 2 - Q3 Score]]</f>
        <v/>
      </c>
      <c r="S177">
        <f>Table1[[#This Row],[TA 2 - Q1 Bonus]]+Table1[[#This Row],[TA 2 - Q2 Bonus]]+Table1[[#This Row],[TA 2 - Q4 Bonus]]</f>
        <v/>
      </c>
      <c r="T177">
        <f>(Table1[[#This Row],[TA 1 - Total Score (out of 35)]]+Table1[[#This Row],[TA 2 - Total Score (out of 35)]])/2</f>
        <v/>
      </c>
      <c r="U177">
        <f>(Table1[[#This Row],[TA 1 - Total Bonus (out of 13)]]+Table1[[#This Row],[TA 2 - Total Bonus (out of 13)]])/2</f>
        <v/>
      </c>
      <c r="V177">
        <f>Table1[[#This Row],[Average Questions]]/35*20+Table1[[#This Row],[Average Bonus]]/13*5</f>
        <v/>
      </c>
      <c r="W177" t="n">
        <v>6</v>
      </c>
      <c r="X177" t="n">
        <v>0</v>
      </c>
      <c r="Y17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2.0/?
- Part 5: Bonus — Test Time Augmentation: 0.0/?</t>
        </is>
      </c>
      <c r="Z177" t="n">
        <v>6</v>
      </c>
      <c r="AA177" t="n">
        <v>0</v>
      </c>
      <c r="AB17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demonstrate the full range of skills required for this question.
Breakdown:
- Part 1: Load and Prepare Data: 0.0/?
- Part 2: Build the CNN Model: 0.0/?
- Part 3: Training and Validation Functions: 0.0/?
- Part 4: Training: 2.0/?
- Part 5: Bonus — Residual Connection: 0.0/?</t>
        </is>
      </c>
      <c r="AC177" t="n">
        <v>6</v>
      </c>
      <c r="AD177" t="inlineStr">
        <is>
          <t>The student's submission was incomplete and did not attempt to solve the majority of the tasks. While they were able to display some images with their masks, the rest of the tasks were not completed and no code was submitted for them. As a result, the student was only able to earn 6 points out of a possible 12.
Breakdown:
- Task 1: Dataset Class: 0.0/?
- Task 2: Model Class: 0.0/?
- Task 3: Training and Validation Loops: 0.0/?
- Task 4: Running Training: 0.0/?
- Task 5: Visualizing Predictions: 6.0/?</t>
        </is>
      </c>
      <c r="AE177" t="n">
        <v>0</v>
      </c>
      <c r="AF177" t="n">
        <v>0</v>
      </c>
      <c r="AG177" t="inlineStr">
        <is>
          <t>No submission found.</t>
        </is>
      </c>
      <c r="AH177" t="n">
        <v>18</v>
      </c>
      <c r="AI177" t="n">
        <v>0</v>
      </c>
    </row>
    <row r="178">
      <c r="A178" t="n">
        <v>177</v>
      </c>
      <c r="B178" t="inlineStr">
        <is>
          <t>TA_4</t>
        </is>
      </c>
      <c r="C178" t="inlineStr">
        <is>
          <t>TA_14</t>
        </is>
      </c>
      <c r="D178" t="n">
        <v>12</v>
      </c>
      <c r="E178" t="n">
        <v>4</v>
      </c>
      <c r="F178" t="n">
        <v>11</v>
      </c>
      <c r="G178" t="n">
        <v>0</v>
      </c>
      <c r="H178" t="n">
        <v>12</v>
      </c>
      <c r="I178" t="n">
        <v>5</v>
      </c>
      <c r="J178" t="n">
        <v>12</v>
      </c>
      <c r="K178" t="n">
        <v>4</v>
      </c>
      <c r="L178" t="n">
        <v>11</v>
      </c>
      <c r="M178" t="n">
        <v>0</v>
      </c>
      <c r="N178" t="n">
        <v>12</v>
      </c>
      <c r="O178" t="n">
        <v>5</v>
      </c>
      <c r="P178">
        <f>Table1[[#This Row],[TA 1 - Q1 Score]]+Table1[[#This Row],[TA 1 - Q2 Score]]+Table1[[#This Row],[TA 1 - Q3 Score]]</f>
        <v/>
      </c>
      <c r="Q178">
        <f>Table1[[#This Row],[TA 1 - Q1 Bonus]]+Table1[[#This Row],[TA 1 - Q2 Bonus]]+Table1[[#This Row],[TA 1 - Q4 Bonus]]</f>
        <v/>
      </c>
      <c r="R178">
        <f>Table1[[#This Row],[TA 2 - Q1 Score]]+Table1[[#This Row],[TA 2 - Q2 Score]]+Table1[[#This Row],[TA 2 - Q3 Score]]</f>
        <v/>
      </c>
      <c r="S178">
        <f>Table1[[#This Row],[TA 2 - Q1 Bonus]]+Table1[[#This Row],[TA 2 - Q2 Bonus]]+Table1[[#This Row],[TA 2 - Q4 Bonus]]</f>
        <v/>
      </c>
      <c r="T178">
        <f>(Table1[[#This Row],[TA 1 - Total Score (out of 35)]]+Table1[[#This Row],[TA 2 - Total Score (out of 35)]])/2</f>
        <v/>
      </c>
      <c r="U178">
        <f>(Table1[[#This Row],[TA 1 - Total Bonus (out of 13)]]+Table1[[#This Row],[TA 2 - Total Bonus (out of 13)]])/2</f>
        <v/>
      </c>
      <c r="V178">
        <f>Table1[[#This Row],[Average Questions]]/35*20+Table1[[#This Row],[Average Bonus]]/13*5</f>
        <v/>
      </c>
      <c r="W178" t="n">
        <v>6</v>
      </c>
      <c r="X178" t="n">
        <v>0</v>
      </c>
      <c r="Y178" t="inlineStr">
        <is>
          <t>The student's submission failed to complete several key tasks, including loading and preparing the data, loading a pretrained model and adapting it, and implementing training and validation functions. While the student did attempt to train the model and implement test time augmentation, their code contained several syntax and logic mistakes, resulting in a low score for these tasks. Overall, the student's submission demonstrated a lack of understanding of the required tasks and concepts.
Breakdown:
- Part 1: Load and Prepare Data: 0.0/?
- Part 2: Load Pretrained Model and Adapt: 0.0/?
- Part 3: Training and Validation Functions: 0.0/?
- Part 4: Training: 2.5/?
- Part 5: Bonus — Test Time Augmentation: 0.0/?</t>
        </is>
      </c>
      <c r="Z178" t="n">
        <v>4</v>
      </c>
      <c r="AA178" t="n">
        <v>0</v>
      </c>
      <c r="AB178" t="inlineStr">
        <is>
          <t>The student's submission failed to meet the requirements of the task. The code did not load and prepare the data correctly, and the CNN model was not built as specified. The training and validation functions were not implemented, and the training process was not executed. The bonus task of adding a residual connection was not attempted. The student's code was disorganized and failed to run end-to-end.
Breakdown:
- Part 1: Load and Prepare Data: 0.0/?
- Part 2: Build the CNN Model: 0.0/?
- Part 3: Training and Validation Functions: 0.0/?
- Part 4: Training: 0.0/?
- Part 5: Bonus — Residual Connection: 0.0/?</t>
        </is>
      </c>
      <c r="AC178" t="n">
        <v>6</v>
      </c>
      <c r="AD178" t="inlineStr">
        <is>
          <t>The student's submission was incomplete and lacked code for most tasks. However, they did attempt to visualize predictions, and their code was mostly correct, except for a minor issue with displaying the ground truth masks. As a result, they received partial credit for this task.
Breakdown:
- Task 1: Dataset Class: 0.0/?
- Task 2: Model Class: 0.0/?
- Task 3: Training and Validation Loops: 0.0/?
- Task 4: Running Training: 0.0/?
- Task 5: Visualizing Predictions: 6.0/?</t>
        </is>
      </c>
      <c r="AE178" t="n">
        <v>0</v>
      </c>
      <c r="AF178" t="n">
        <v>0</v>
      </c>
      <c r="AG178" t="inlineStr">
        <is>
          <t>The student's submission does not meet the requirements of the task. The `ColorizationDataset` class is not implemented correctly, and the code does not run end-to-end. The student attempted to implement the `rgb_to_grayscale` method, but it has a syntax error. The `__getitem__` method does not return the correct values, and the code does not visualize the grayscale and color images as required.
Breakdown:
- Correctly implemented `ColorizationDataset` class:: 0.0/?</t>
        </is>
      </c>
      <c r="AH178" t="n">
        <v>16</v>
      </c>
      <c r="AI178" t="n">
        <v>0</v>
      </c>
    </row>
    <row r="179">
      <c r="A179" t="n">
        <v>178</v>
      </c>
      <c r="B179" t="inlineStr">
        <is>
          <t>TA_4</t>
        </is>
      </c>
      <c r="C179" t="inlineStr">
        <is>
          <t>TA_14</t>
        </is>
      </c>
      <c r="D179" t="n">
        <v>11.5</v>
      </c>
      <c r="E179" t="n">
        <v>4</v>
      </c>
      <c r="F179" t="n">
        <v>9</v>
      </c>
      <c r="G179" t="n">
        <v>4</v>
      </c>
      <c r="H179" t="n">
        <v>12</v>
      </c>
      <c r="I179" t="n">
        <v>0</v>
      </c>
      <c r="J179" t="n">
        <v>10</v>
      </c>
      <c r="K179" t="n">
        <v>4</v>
      </c>
      <c r="L179" t="n">
        <v>9</v>
      </c>
      <c r="M179" t="n">
        <v>0</v>
      </c>
      <c r="N179" t="n">
        <v>12</v>
      </c>
      <c r="O179" t="n">
        <v>0</v>
      </c>
      <c r="P179">
        <f>Table1[[#This Row],[TA 1 - Q1 Score]]+Table1[[#This Row],[TA 1 - Q2 Score]]+Table1[[#This Row],[TA 1 - Q3 Score]]</f>
        <v/>
      </c>
      <c r="Q179">
        <f>Table1[[#This Row],[TA 1 - Q1 Bonus]]+Table1[[#This Row],[TA 1 - Q2 Bonus]]+Table1[[#This Row],[TA 1 - Q4 Bonus]]</f>
        <v/>
      </c>
      <c r="R179">
        <f>Table1[[#This Row],[TA 2 - Q1 Score]]+Table1[[#This Row],[TA 2 - Q2 Score]]+Table1[[#This Row],[TA 2 - Q3 Score]]</f>
        <v/>
      </c>
      <c r="S179">
        <f>Table1[[#This Row],[TA 2 - Q1 Bonus]]+Table1[[#This Row],[TA 2 - Q2 Bonus]]+Table1[[#This Row],[TA 2 - Q4 Bonus]]</f>
        <v/>
      </c>
      <c r="T179">
        <f>(Table1[[#This Row],[TA 1 - Total Score (out of 35)]]+Table1[[#This Row],[TA 2 - Total Score (out of 35)]])/2</f>
        <v/>
      </c>
      <c r="U179">
        <f>(Table1[[#This Row],[TA 1 - Total Bonus (out of 13)]]+Table1[[#This Row],[TA 2 - Total Bonus (out of 13)]])/2</f>
        <v/>
      </c>
      <c r="V179">
        <f>Table1[[#This Row],[Average Questions]]/35*20+Table1[[#This Row],[Average Bonus]]/13*5</f>
        <v/>
      </c>
      <c r="W179" t="n">
        <v>9</v>
      </c>
      <c r="X179" t="n">
        <v>0</v>
      </c>
      <c r="Y179"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follow the reference solution. As a result, the student was unable to achieve the full potential of the model and their submission was not evaluated for accuracy or bonus points.
Breakdown:
- Part 1: Load and Prepare Data: 0.0/?
- Part 2: Load Pretrained Model and Adapt: 0.0/?
- Part 3: Training and Validation Functions: 1.5/?
- Part 4: Training: 2.5/?
- Part 5: Bonus — Test Time Augmentation: 0.0/?</t>
        </is>
      </c>
      <c r="Z179" t="n">
        <v>4</v>
      </c>
      <c r="AA179" t="n">
        <v>0</v>
      </c>
      <c r="AB179"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179" t="n">
        <v>6</v>
      </c>
      <c r="AD179" t="inlineStr">
        <is>
          <t>The student's submission failed to meet the requirements of the task. They did not implement the dataset class, model class, training and validation loops, or visualization of predictions correctly. As a result, they did not earn any points for these tasks. The student's code was not well-organized and did not run end-to-end, which further contributed to their low score.
Breakdown:
- Task 1: Dataset Class: 0.0/?
- Task 2: Model Class: 0.0/?
- Task 3: Training and Validation Loops: 0.0/?
- Task 4: Running Training: 0.0/?
- Task 5: Visualizing Predictions: 0.0/?</t>
        </is>
      </c>
      <c r="AE179" t="n">
        <v>0</v>
      </c>
      <c r="AF179" t="n">
        <v>0</v>
      </c>
      <c r="AG179" t="inlineStr">
        <is>
          <t>The student's submission does not meet the requirements of the task. The `ColorizationDataset` class is not implemented correctly, and the `rgb_to_grayscale` method is incorrect. Additionally, the `__getitem__` method returns the color image instead of the grayscale image. As a result, the student does not receive any points for this task.
Breakdown:
- Correctly implemented `ColorizationDataset` class:: 0.0/?</t>
        </is>
      </c>
      <c r="AH179" t="n">
        <v>19</v>
      </c>
      <c r="AI179" t="n">
        <v>0</v>
      </c>
    </row>
    <row r="180">
      <c r="A180" t="n">
        <v>179</v>
      </c>
      <c r="B180" t="inlineStr">
        <is>
          <t>TA_4</t>
        </is>
      </c>
      <c r="C180" t="inlineStr">
        <is>
          <t>TA_14</t>
        </is>
      </c>
      <c r="D180" t="n">
        <v>6</v>
      </c>
      <c r="E180" t="n">
        <v>0</v>
      </c>
      <c r="F180" t="n">
        <v>5.5</v>
      </c>
      <c r="G180" t="n">
        <v>0</v>
      </c>
      <c r="H180" t="n">
        <v>10</v>
      </c>
      <c r="I180" t="n">
        <v>0</v>
      </c>
      <c r="J180" t="n">
        <v>4.5</v>
      </c>
      <c r="K180" t="n">
        <v>0</v>
      </c>
      <c r="L180" t="n">
        <v>4.25</v>
      </c>
      <c r="M180" t="n">
        <v>0</v>
      </c>
      <c r="N180" t="n">
        <v>5.75</v>
      </c>
      <c r="O180" t="n">
        <v>0</v>
      </c>
      <c r="P180">
        <f>Table1[[#This Row],[TA 1 - Q1 Score]]+Table1[[#This Row],[TA 1 - Q2 Score]]+Table1[[#This Row],[TA 1 - Q3 Score]]</f>
        <v/>
      </c>
      <c r="Q180">
        <f>Table1[[#This Row],[TA 1 - Q1 Bonus]]+Table1[[#This Row],[TA 1 - Q2 Bonus]]+Table1[[#This Row],[TA 1 - Q4 Bonus]]</f>
        <v/>
      </c>
      <c r="R180">
        <f>Table1[[#This Row],[TA 2 - Q1 Score]]+Table1[[#This Row],[TA 2 - Q2 Score]]+Table1[[#This Row],[TA 2 - Q3 Score]]</f>
        <v/>
      </c>
      <c r="S180">
        <f>Table1[[#This Row],[TA 2 - Q1 Bonus]]+Table1[[#This Row],[TA 2 - Q2 Bonus]]+Table1[[#This Row],[TA 2 - Q4 Bonus]]</f>
        <v/>
      </c>
      <c r="T180">
        <f>(Table1[[#This Row],[TA 1 - Total Score (out of 35)]]+Table1[[#This Row],[TA 2 - Total Score (out of 35)]])/2</f>
        <v/>
      </c>
      <c r="U180">
        <f>(Table1[[#This Row],[TA 1 - Total Bonus (out of 13)]]+Table1[[#This Row],[TA 2 - Total Bonus (out of 13)]])/2</f>
        <v/>
      </c>
      <c r="V180">
        <f>Table1[[#This Row],[Average Questions]]/35*20+Table1[[#This Row],[Average Bonus]]/13*5</f>
        <v/>
      </c>
      <c r="W180" t="n">
        <v>6</v>
      </c>
      <c r="X180" t="n">
        <v>0</v>
      </c>
      <c r="Y180" t="inlineStr">
        <is>
          <t>The student's submission failed to complete several key tasks, including loading and preparing the data, loading a pretrained model and adapting it, and implementing training and validation functions. While the student did attempt to train the model, their implementation was incomplete and did not follow the reference solution. As a result, the student's submission was unable to run end-to-end and did not produce the expected output.
Breakdown:
- Part 1: Load and Prepare Data: 0.0/?
- Part 2: Load Pretrained Model and Adapt: 0.0/?
- Part 3: Training and Validation Functions: 0.0/?
- Part 4: Training: 6.0/?
- Part 5: Bonus — Test Time Augmentation: 0.0/?</t>
        </is>
      </c>
      <c r="Z180" t="n">
        <v>4</v>
      </c>
      <c r="AA180" t="n">
        <v>0</v>
      </c>
      <c r="AB180"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80" t="n">
        <v>6</v>
      </c>
      <c r="AD180"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180" t="n">
        <v>0</v>
      </c>
      <c r="AF180" t="n">
        <v>0</v>
      </c>
      <c r="AG180" t="inlineStr">
        <is>
          <t>No submission found.</t>
        </is>
      </c>
      <c r="AH180" t="n">
        <v>16</v>
      </c>
      <c r="AI180" t="n">
        <v>0</v>
      </c>
    </row>
    <row r="181">
      <c r="A181" t="n">
        <v>180</v>
      </c>
      <c r="B181" t="inlineStr">
        <is>
          <t>TA_4</t>
        </is>
      </c>
      <c r="C181" t="inlineStr">
        <is>
          <t>TA_14</t>
        </is>
      </c>
      <c r="D181" t="n">
        <v>12</v>
      </c>
      <c r="E181" t="n">
        <v>4</v>
      </c>
      <c r="F181" t="n">
        <v>11</v>
      </c>
      <c r="G181" t="n">
        <v>4</v>
      </c>
      <c r="H181" t="n">
        <v>9.75</v>
      </c>
      <c r="I181" t="n">
        <v>0</v>
      </c>
      <c r="J181" t="n">
        <v>12</v>
      </c>
      <c r="K181" t="n">
        <v>4</v>
      </c>
      <c r="L181" t="n">
        <v>11</v>
      </c>
      <c r="M181" t="n">
        <v>0</v>
      </c>
      <c r="N181" t="n">
        <v>6.25</v>
      </c>
      <c r="O181" t="n">
        <v>0</v>
      </c>
      <c r="P181">
        <f>Table1[[#This Row],[TA 1 - Q1 Score]]+Table1[[#This Row],[TA 1 - Q2 Score]]+Table1[[#This Row],[TA 1 - Q3 Score]]</f>
        <v/>
      </c>
      <c r="Q181">
        <f>Table1[[#This Row],[TA 1 - Q1 Bonus]]+Table1[[#This Row],[TA 1 - Q2 Bonus]]+Table1[[#This Row],[TA 1 - Q4 Bonus]]</f>
        <v/>
      </c>
      <c r="R181">
        <f>Table1[[#This Row],[TA 2 - Q1 Score]]+Table1[[#This Row],[TA 2 - Q2 Score]]+Table1[[#This Row],[TA 2 - Q3 Score]]</f>
        <v/>
      </c>
      <c r="S181">
        <f>Table1[[#This Row],[TA 2 - Q1 Bonus]]+Table1[[#This Row],[TA 2 - Q2 Bonus]]+Table1[[#This Row],[TA 2 - Q4 Bonus]]</f>
        <v/>
      </c>
      <c r="T181">
        <f>(Table1[[#This Row],[TA 1 - Total Score (out of 35)]]+Table1[[#This Row],[TA 2 - Total Score (out of 35)]])/2</f>
        <v/>
      </c>
      <c r="U181">
        <f>(Table1[[#This Row],[TA 1 - Total Bonus (out of 13)]]+Table1[[#This Row],[TA 2 - Total Bonus (out of 13)]])/2</f>
        <v/>
      </c>
      <c r="V181">
        <f>Table1[[#This Row],[Average Questions]]/35*20+Table1[[#This Row],[Average Bonus]]/13*5</f>
        <v/>
      </c>
      <c r="W181" t="n">
        <v>8.5</v>
      </c>
      <c r="X181" t="n">
        <v>0</v>
      </c>
      <c r="Y181" t="inlineStr">
        <is>
          <t>The student's submission demonstrates a good understanding of the task requirements but lacks execution in several key areas. The code for loading and preparing data is missing, and the model adaptation is incomplete. The training and validation functions are partially correct, but the training process is incomplete. The bonus task of implementing test time augmentation is not attempted. Overall, the submission shows potential but requires significant improvement to meet the requirements.
Breakdown:
- Part 1: Load and Prepare Data: 0.0/?
- Part 2: Load Pretrained Model and Adapt: 0.0/?
- Part 3: Training and Validation Functions: 2.25/?
- Part 4: Training: 2.5/?
- Part 5: Bonus — Test Time Augmentation: 0.0/?</t>
        </is>
      </c>
      <c r="Z181" t="n">
        <v>6</v>
      </c>
      <c r="AA181" t="n">
        <v>0</v>
      </c>
      <c r="AB181" t="inlineStr">
        <is>
          <t>The student's submission failed to meet the requirements for most tasks. In Part 1, the student incorrectly used the ImageFolder class and failed to apply the specified transforms. In Part 2, the student did not implement the CNN model with the correct number of convolutional layers. In Part 3, the student did not define the training and validation loop functions. In Part 4, the student only partially completed the training task. In Part 5, the student did not implement the residual connection correctly. As a result, the student's submission did not meet the requirements for most tasks, and the score reflects this.
Breakdown:
- Part 1: Load and Prepare Data: 0.0/?
- Part 2: Build the CNN Model: 0.0/?
- Part 3: Training and Validation Functions: 0.0/?
- Part 4: Training: 2.0/?
- Part 5: Bonus — Residual Connection: 0.0/?</t>
        </is>
      </c>
      <c r="AC181" t="n">
        <v>6</v>
      </c>
      <c r="AD181" t="inlineStr">
        <is>
          <t>The student's submission was incomplete and lacked code for most tasks. However, they did attempt to visualize predictions, which earned them 6 points. Unfortunately, their code for this task had some issues with displaying the ground truth masks. Overall, the student's submission was not well-organized and lacked a clear understanding of the tasks.
Breakdown:
- Task 1: Dataset Class: 0.0/?
- Task 2: Model Class: 0.0/?
- Task 3: Training and Validation Loops: 0.0/?
- Task 4: Running Training: 0.0/?
- Task 5: Visualizing Predictions: 6.0/?</t>
        </is>
      </c>
      <c r="AE181" t="n">
        <v>0</v>
      </c>
      <c r="AF181" t="n">
        <v>0</v>
      </c>
      <c r="AG181" t="inlineStr">
        <is>
          <t>No submission found.</t>
        </is>
      </c>
      <c r="AH181" t="n">
        <v>20.5</v>
      </c>
      <c r="AI181" t="n">
        <v>0</v>
      </c>
    </row>
    <row r="182">
      <c r="A182" t="n">
        <v>181</v>
      </c>
      <c r="B182" t="inlineStr">
        <is>
          <t>TA_4</t>
        </is>
      </c>
      <c r="C182" t="inlineStr">
        <is>
          <t>TA_14</t>
        </is>
      </c>
      <c r="D182" t="n">
        <v>4.5</v>
      </c>
      <c r="E182" t="n">
        <v>0</v>
      </c>
      <c r="F182" t="n">
        <v>6.5</v>
      </c>
      <c r="G182" t="n">
        <v>0</v>
      </c>
      <c r="H182" t="n">
        <v>9</v>
      </c>
      <c r="I182" t="n">
        <v>0</v>
      </c>
      <c r="J182" t="n">
        <v>4.5</v>
      </c>
      <c r="K182" t="n">
        <v>0</v>
      </c>
      <c r="L182" t="n">
        <v>3.75</v>
      </c>
      <c r="M182" t="n">
        <v>0</v>
      </c>
      <c r="N182" t="n">
        <v>4.25</v>
      </c>
      <c r="O182" t="n">
        <v>0</v>
      </c>
      <c r="P182">
        <f>Table1[[#This Row],[TA 1 - Q1 Score]]+Table1[[#This Row],[TA 1 - Q2 Score]]+Table1[[#This Row],[TA 1 - Q3 Score]]</f>
        <v/>
      </c>
      <c r="Q182">
        <f>Table1[[#This Row],[TA 1 - Q1 Bonus]]+Table1[[#This Row],[TA 1 - Q2 Bonus]]+Table1[[#This Row],[TA 1 - Q4 Bonus]]</f>
        <v/>
      </c>
      <c r="R182">
        <f>Table1[[#This Row],[TA 2 - Q1 Score]]+Table1[[#This Row],[TA 2 - Q2 Score]]+Table1[[#This Row],[TA 2 - Q3 Score]]</f>
        <v/>
      </c>
      <c r="S182">
        <f>Table1[[#This Row],[TA 2 - Q1 Bonus]]+Table1[[#This Row],[TA 2 - Q2 Bonus]]+Table1[[#This Row],[TA 2 - Q4 Bonus]]</f>
        <v/>
      </c>
      <c r="T182">
        <f>(Table1[[#This Row],[TA 1 - Total Score (out of 35)]]+Table1[[#This Row],[TA 2 - Total Score (out of 35)]])/2</f>
        <v/>
      </c>
      <c r="U182">
        <f>(Table1[[#This Row],[TA 1 - Total Bonus (out of 13)]]+Table1[[#This Row],[TA 2 - Total Bonus (out of 13)]])/2</f>
        <v/>
      </c>
      <c r="V182">
        <f>Table1[[#This Row],[Average Questions]]/35*20+Table1[[#This Row],[Average Bonus]]/13*5</f>
        <v/>
      </c>
      <c r="W182" t="n">
        <v>6</v>
      </c>
      <c r="X182" t="n">
        <v>0</v>
      </c>
      <c r="Y182" t="inlineStr">
        <is>
          <t>The student's submission failed to complete several key tasks, including loading and preparing the data, loading a pretrained model and adapting it, and implementing training and validation functions. While the student made an attempt at training the model, their implementation was incomplete and contained several errors. The bonus task of implementing test time augmentation was not attempted. Overall, the submission demonstrates a lack of understanding of the required tasks and a failure to implement key concepts.
Breakdown:
- Part 1: Load and Prepare Data: 0.0/?
- Part 2: Load Pretrained Model and Adapt: 0.0/?
- Part 3: Training and Validation Functions: 0.0/?
- Part 4: Training: 6.0/?
- Part 5: Bonus — Test Time Augmentation: 0.0/?</t>
        </is>
      </c>
      <c r="Z182" t="n">
        <v>4</v>
      </c>
      <c r="AA182" t="n">
        <v>0</v>
      </c>
      <c r="AB182"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82" t="n">
        <v>6</v>
      </c>
      <c r="AD182" t="inlineStr">
        <is>
          <t>The student's submission had several issues. They failed to submit code for Task 1: Dataset Class, and their implementation of the model class, training and validation loops, and running training were all incorrect. However, they were able to visualize the predictions against the ground truth for several images, which is why they received some credit for Task 5: Visualizing Predictions.
Breakdown:
- Task 1: Dataset Class: 0.0/?
- Task 2: Model Class: 0.0/?
- Task 3: Training and Validation Loops: 0.0/?
- Task 4: Running Training: 0.0/?
- Task 5: Visualizing Predictions: 6.0/?</t>
        </is>
      </c>
      <c r="AE182" t="n">
        <v>0</v>
      </c>
      <c r="AF182" t="n">
        <v>0</v>
      </c>
      <c r="AG182" t="inlineStr">
        <is>
          <t>No submission found.</t>
        </is>
      </c>
      <c r="AH182" t="n">
        <v>16</v>
      </c>
      <c r="AI182" t="n">
        <v>0</v>
      </c>
    </row>
    <row r="183">
      <c r="A183" t="n">
        <v>182</v>
      </c>
      <c r="B183" t="inlineStr">
        <is>
          <t>TA_4</t>
        </is>
      </c>
      <c r="C183" t="inlineStr">
        <is>
          <t>TA_14</t>
        </is>
      </c>
      <c r="D183" t="n">
        <v>10.5</v>
      </c>
      <c r="E183" t="n">
        <v>0</v>
      </c>
      <c r="F183" t="n">
        <v>11</v>
      </c>
      <c r="G183" t="n">
        <v>4</v>
      </c>
      <c r="H183" t="n">
        <v>7</v>
      </c>
      <c r="I183" t="n">
        <v>5</v>
      </c>
      <c r="J183" t="n">
        <v>10.5</v>
      </c>
      <c r="K183" t="n">
        <v>0</v>
      </c>
      <c r="L183" t="n">
        <v>11</v>
      </c>
      <c r="M183" t="n">
        <v>4</v>
      </c>
      <c r="N183" t="n">
        <v>10</v>
      </c>
      <c r="O183" t="n">
        <v>5</v>
      </c>
      <c r="P183">
        <f>Table1[[#This Row],[TA 1 - Q1 Score]]+Table1[[#This Row],[TA 1 - Q2 Score]]+Table1[[#This Row],[TA 1 - Q3 Score]]</f>
        <v/>
      </c>
      <c r="Q183">
        <f>Table1[[#This Row],[TA 1 - Q1 Bonus]]+Table1[[#This Row],[TA 1 - Q2 Bonus]]+Table1[[#This Row],[TA 1 - Q4 Bonus]]</f>
        <v/>
      </c>
      <c r="R183">
        <f>Table1[[#This Row],[TA 2 - Q1 Score]]+Table1[[#This Row],[TA 2 - Q2 Score]]+Table1[[#This Row],[TA 2 - Q3 Score]]</f>
        <v/>
      </c>
      <c r="S183">
        <f>Table1[[#This Row],[TA 2 - Q1 Bonus]]+Table1[[#This Row],[TA 2 - Q2 Bonus]]+Table1[[#This Row],[TA 2 - Q4 Bonus]]</f>
        <v/>
      </c>
      <c r="T183">
        <f>(Table1[[#This Row],[TA 1 - Total Score (out of 35)]]+Table1[[#This Row],[TA 2 - Total Score (out of 35)]])/2</f>
        <v/>
      </c>
      <c r="U183">
        <f>(Table1[[#This Row],[TA 1 - Total Bonus (out of 13)]]+Table1[[#This Row],[TA 2 - Total Bonus (out of 13)]])/2</f>
        <v/>
      </c>
      <c r="V183">
        <f>Table1[[#This Row],[Average Questions]]/35*20+Table1[[#This Row],[Average Bonus]]/13*5</f>
        <v/>
      </c>
      <c r="W183" t="n">
        <v>6</v>
      </c>
      <c r="X183" t="n">
        <v>0</v>
      </c>
      <c r="Y18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 and accuracy curves,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2.0/?
- Part 5: Bonus — Test Time Augmentation: 0.0/?</t>
        </is>
      </c>
      <c r="Z183" t="n">
        <v>6</v>
      </c>
      <c r="AA183" t="n">
        <v>0</v>
      </c>
      <c r="AB183" t="inlineStr">
        <is>
          <t>The student's submission failed to meet the requirements for several tasks. In Part 1, the student did not create a custom Dataset class or use ImageFolder, and the transforms were not applied correctly. In Part 2, the CNN model class was not created with 5 convolutional layers. In Part 3, the training and validation loop functions were not defined. In Part 4, the student was able to train the model, but the validation loop function was not used. In Part 5, the student did not add a residual connection to the CNN model. As a result, the student's submission was awarded 2 points for Part 4 and 0 points for the other tasks.
Breakdown:
- Part 1: Load and Prepare Data: 0.0/?
- Part 2: Build the CNN Model: 0.0/?
- Part 3: Training and Validation Functions: 0.0/?
- Part 4: Training: 2.0/?
- Part 5: Bonus — Residual Connection: 0.0/?</t>
        </is>
      </c>
      <c r="AC183" t="n">
        <v>6</v>
      </c>
      <c r="AD183"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183" t="n">
        <v>0</v>
      </c>
      <c r="AF183" t="n">
        <v>0</v>
      </c>
      <c r="AG183" t="inlineStr">
        <is>
          <t>The student's submission failed to implement the `ColorizationDataset` class correctly, resulting in a score of 0.0 for the base task. The bonus task was not attempted, resulting in a score of 0.0 for the bonus. The student's code attempted to load the CIFAR-10 dataset and create a `ColorizationDataset` instance, but the implementation was incomplete and contained syntax/logic mistakes.
Breakdown:
- Correctly implemented `ColorizationDataset` class:: 0.0/?</t>
        </is>
      </c>
      <c r="AH183" t="n">
        <v>18</v>
      </c>
      <c r="AI183" t="n">
        <v>0</v>
      </c>
    </row>
    <row r="184">
      <c r="A184" t="n">
        <v>183</v>
      </c>
      <c r="B184" t="inlineStr">
        <is>
          <t>TA_4</t>
        </is>
      </c>
      <c r="C184" t="inlineStr">
        <is>
          <t>TA_14</t>
        </is>
      </c>
      <c r="D184" t="n">
        <v>12</v>
      </c>
      <c r="E184" t="n">
        <v>4</v>
      </c>
      <c r="F184" t="n">
        <v>9</v>
      </c>
      <c r="G184" t="n">
        <v>0</v>
      </c>
      <c r="H184" t="n">
        <v>12</v>
      </c>
      <c r="I184" t="n">
        <v>5</v>
      </c>
      <c r="J184" t="n">
        <v>12</v>
      </c>
      <c r="K184" t="n">
        <v>0</v>
      </c>
      <c r="L184" t="n">
        <v>9</v>
      </c>
      <c r="M184" t="n">
        <v>0</v>
      </c>
      <c r="N184" t="n">
        <v>12</v>
      </c>
      <c r="O184" t="n">
        <v>0</v>
      </c>
      <c r="P184">
        <f>Table1[[#This Row],[TA 1 - Q1 Score]]+Table1[[#This Row],[TA 1 - Q2 Score]]+Table1[[#This Row],[TA 1 - Q3 Score]]</f>
        <v/>
      </c>
      <c r="Q184">
        <f>Table1[[#This Row],[TA 1 - Q1 Bonus]]+Table1[[#This Row],[TA 1 - Q2 Bonus]]+Table1[[#This Row],[TA 1 - Q4 Bonus]]</f>
        <v/>
      </c>
      <c r="R184">
        <f>Table1[[#This Row],[TA 2 - Q1 Score]]+Table1[[#This Row],[TA 2 - Q2 Score]]+Table1[[#This Row],[TA 2 - Q3 Score]]</f>
        <v/>
      </c>
      <c r="S184">
        <f>Table1[[#This Row],[TA 2 - Q1 Bonus]]+Table1[[#This Row],[TA 2 - Q2 Bonus]]+Table1[[#This Row],[TA 2 - Q4 Bonus]]</f>
        <v/>
      </c>
      <c r="T184">
        <f>(Table1[[#This Row],[TA 1 - Total Score (out of 35)]]+Table1[[#This Row],[TA 2 - Total Score (out of 35)]])/2</f>
        <v/>
      </c>
      <c r="U184">
        <f>(Table1[[#This Row],[TA 1 - Total Bonus (out of 13)]]+Table1[[#This Row],[TA 2 - Total Bonus (out of 13)]])/2</f>
        <v/>
      </c>
      <c r="V184">
        <f>Table1[[#This Row],[Average Questions]]/35*20+Table1[[#This Row],[Average Bonus]]/13*5</f>
        <v/>
      </c>
      <c r="W184" t="n">
        <v>6</v>
      </c>
      <c r="X184" t="n">
        <v>0</v>
      </c>
      <c r="Y184"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failed to run end-to-end. The bonus task, Test Time Augmentation, was also not implemented correctly. As a result, the student's submission was awarded a score of 6.0, reflecting the partial credit earned for the training and validation functions task.
Breakdown:
- Part 1: Load and Prepare Data: 0.0/?
- Part 2: Load Pretrained Model and Adapt: 0.0/?
- Part 3: Training and Validation Functions: 1.5/?
- Part 4: Training: 0.0/?
- Part 5: Bonus — Test Time Augmentation: 0.0/?</t>
        </is>
      </c>
      <c r="Z184" t="n">
        <v>6</v>
      </c>
      <c r="AA184" t="n">
        <v>0</v>
      </c>
      <c r="AB184"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outcome and was awarded partial credit for the training task. The bonus task was not attempted, resulting in a score of 0.
Breakdown:
- Part 1: Load and Prepare Data: 0.0/?
- Part 2: Build the CNN Model: 0.0/?
- Part 3: Training and Validation Functions: 0.0/?
- Part 4: Training: 2.0/?
- Part 5: Bonus — Residual Connection: 0.0/?</t>
        </is>
      </c>
      <c r="AC184" t="n">
        <v>6</v>
      </c>
      <c r="AD184" t="inlineStr">
        <is>
          <t>The student's submission was incomplete and lacked code for most tasks. However, the code for visualizing predictions was mostly correct, but it did not display the ground truth masks correctly. The student attempted to display the ground truth masks, but they were not shown correctly. The rest of the tasks were not attempted, and therefore, no credit was awarded for them.
Breakdown:
- Task 1: Dataset Class: 0.0/?
- Task 2: Model Class: 0.0/?
- Task 3: Training and Validation Loops: 0.0/?
- Task 4: Running Training: 0.0/?
- Task 5: Visualizing Predictions: 6.0/?</t>
        </is>
      </c>
      <c r="AE184" t="n">
        <v>0</v>
      </c>
      <c r="AF184" t="n">
        <v>0</v>
      </c>
      <c r="AG184" t="inlineStr">
        <is>
          <t>The student's submission does not meet the requirements of the task. The `ColorizationDataset` class is not correctly implemented, and the code does not run end-to-end. The student attempted to implement the class, but made several mistakes, including incorrect method implementations and missing functionality. As a result, the student did not earn any points for this task.
Breakdown:
- Correctly implemented `ColorizationDataset` class:: 0.0/?</t>
        </is>
      </c>
      <c r="AH184" t="n">
        <v>18</v>
      </c>
      <c r="AI184" t="n">
        <v>0</v>
      </c>
    </row>
    <row r="185">
      <c r="A185" t="n">
        <v>184</v>
      </c>
      <c r="B185" t="inlineStr">
        <is>
          <t>TA_4</t>
        </is>
      </c>
      <c r="C185" t="inlineStr">
        <is>
          <t>TA_14</t>
        </is>
      </c>
      <c r="D185" t="n">
        <v>12</v>
      </c>
      <c r="E185" t="n">
        <v>0</v>
      </c>
      <c r="F185" t="n">
        <v>8.5</v>
      </c>
      <c r="G185" t="n">
        <v>0</v>
      </c>
      <c r="H185" t="n">
        <v>12</v>
      </c>
      <c r="I185" t="n">
        <v>0</v>
      </c>
      <c r="J185" t="n">
        <v>10.5</v>
      </c>
      <c r="K185" t="n">
        <v>0</v>
      </c>
      <c r="L185" t="n">
        <v>9</v>
      </c>
      <c r="M185" t="n">
        <v>0</v>
      </c>
      <c r="N185" t="n">
        <v>12</v>
      </c>
      <c r="O185" t="n">
        <v>0</v>
      </c>
      <c r="P185">
        <f>Table1[[#This Row],[TA 1 - Q1 Score]]+Table1[[#This Row],[TA 1 - Q2 Score]]+Table1[[#This Row],[TA 1 - Q3 Score]]</f>
        <v/>
      </c>
      <c r="Q185">
        <f>Table1[[#This Row],[TA 1 - Q1 Bonus]]+Table1[[#This Row],[TA 1 - Q2 Bonus]]+Table1[[#This Row],[TA 1 - Q4 Bonus]]</f>
        <v/>
      </c>
      <c r="R185">
        <f>Table1[[#This Row],[TA 2 - Q1 Score]]+Table1[[#This Row],[TA 2 - Q2 Score]]+Table1[[#This Row],[TA 2 - Q3 Score]]</f>
        <v/>
      </c>
      <c r="S185">
        <f>Table1[[#This Row],[TA 2 - Q1 Bonus]]+Table1[[#This Row],[TA 2 - Q2 Bonus]]+Table1[[#This Row],[TA 2 - Q4 Bonus]]</f>
        <v/>
      </c>
      <c r="T185">
        <f>(Table1[[#This Row],[TA 1 - Total Score (out of 35)]]+Table1[[#This Row],[TA 2 - Total Score (out of 35)]])/2</f>
        <v/>
      </c>
      <c r="U185">
        <f>(Table1[[#This Row],[TA 1 - Total Bonus (out of 13)]]+Table1[[#This Row],[TA 2 - Total Bonus (out of 13)]])/2</f>
        <v/>
      </c>
      <c r="V185">
        <f>Table1[[#This Row],[Average Questions]]/35*20+Table1[[#This Row],[Average Bonus]]/13*5</f>
        <v/>
      </c>
      <c r="W185" t="n">
        <v>6</v>
      </c>
      <c r="X185" t="n">
        <v>0</v>
      </c>
      <c r="Y185" t="inlineStr">
        <is>
          <t>The student's submission failed to complete several key tasks, including loading and preparing the data, loading a pretrained model and adapting it, and training the model. While the student made an attempt at the training and validation functions, the code contained syntax errors and did not run correctly. The bonus task of implementing test time augmentation was not attempted.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185" t="n">
        <v>4</v>
      </c>
      <c r="AA185" t="n">
        <v>0</v>
      </c>
      <c r="AB185"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disorganized and does not run end-to-end. As a result, the student receives 0% for each task.
Breakdown:
- Part 1: Load and Prepare Data: 0.0/?
- Part 2: Build the CNN Model: 0.0/?
- Part 3: Training and Validation Functions: 0.0/?
- Part 4: Training: 0.0/?
- Part 5: Bonus — Residual Connection: 0.0/?</t>
        </is>
      </c>
      <c r="AC185" t="n">
        <v>6</v>
      </c>
      <c r="AD185"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85" t="n">
        <v>0</v>
      </c>
      <c r="AF185" t="n">
        <v>0</v>
      </c>
      <c r="AG185" t="inlineStr">
        <is>
          <t>No submission found.</t>
        </is>
      </c>
      <c r="AH185" t="n">
        <v>16</v>
      </c>
      <c r="AI185" t="n">
        <v>0</v>
      </c>
    </row>
    <row r="186">
      <c r="A186" t="n">
        <v>185</v>
      </c>
      <c r="B186" t="inlineStr">
        <is>
          <t>TA_4</t>
        </is>
      </c>
      <c r="C186" t="inlineStr">
        <is>
          <t>TA_14</t>
        </is>
      </c>
      <c r="D186" t="n">
        <v>12</v>
      </c>
      <c r="E186" t="n">
        <v>0</v>
      </c>
      <c r="F186" t="n">
        <v>8.5</v>
      </c>
      <c r="G186" t="n">
        <v>0</v>
      </c>
      <c r="H186" t="n">
        <v>12</v>
      </c>
      <c r="I186" t="n">
        <v>0</v>
      </c>
      <c r="J186" t="n">
        <v>12</v>
      </c>
      <c r="K186" t="n">
        <v>0</v>
      </c>
      <c r="L186" t="n">
        <v>8.5</v>
      </c>
      <c r="M186" t="n">
        <v>0</v>
      </c>
      <c r="N186" t="n">
        <v>12</v>
      </c>
      <c r="O186" t="n">
        <v>0</v>
      </c>
      <c r="P186">
        <f>Table1[[#This Row],[TA 1 - Q1 Score]]+Table1[[#This Row],[TA 1 - Q2 Score]]+Table1[[#This Row],[TA 1 - Q3 Score]]</f>
        <v/>
      </c>
      <c r="Q186">
        <f>Table1[[#This Row],[TA 1 - Q1 Bonus]]+Table1[[#This Row],[TA 1 - Q2 Bonus]]+Table1[[#This Row],[TA 1 - Q4 Bonus]]</f>
        <v/>
      </c>
      <c r="R186">
        <f>Table1[[#This Row],[TA 2 - Q1 Score]]+Table1[[#This Row],[TA 2 - Q2 Score]]+Table1[[#This Row],[TA 2 - Q3 Score]]</f>
        <v/>
      </c>
      <c r="S186">
        <f>Table1[[#This Row],[TA 2 - Q1 Bonus]]+Table1[[#This Row],[TA 2 - Q2 Bonus]]+Table1[[#This Row],[TA 2 - Q4 Bonus]]</f>
        <v/>
      </c>
      <c r="T186">
        <f>(Table1[[#This Row],[TA 1 - Total Score (out of 35)]]+Table1[[#This Row],[TA 2 - Total Score (out of 35)]])/2</f>
        <v/>
      </c>
      <c r="U186">
        <f>(Table1[[#This Row],[TA 1 - Total Bonus (out of 13)]]+Table1[[#This Row],[TA 2 - Total Bonus (out of 13)]])/2</f>
        <v/>
      </c>
      <c r="V186">
        <f>Table1[[#This Row],[Average Questions]]/35*20+Table1[[#This Row],[Average Bonus]]/13*5</f>
        <v/>
      </c>
      <c r="W186" t="n">
        <v>6</v>
      </c>
      <c r="X186" t="n">
        <v>0</v>
      </c>
      <c r="Y186" t="inlineStr">
        <is>
          <t>The student's submission failed to complete several key tasks, including loading and preparing the data, loading a pretrained model, and adapting it for the EMNIST dataset. The training and validation functions were partially implemented, but the student failed to fix the labels, resulting in a penalty. The training loop was also incomplete. The bonus task on test time augmentation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2.5/?
- Part 5: Bonus — Test Time Augmentation: 0.0/?</t>
        </is>
      </c>
      <c r="Z186" t="n">
        <v>4</v>
      </c>
      <c r="AA186" t="n">
        <v>0</v>
      </c>
      <c r="AB186" t="inlineStr">
        <is>
          <t>The submission failed to load and prepare the data correctly, as the dataset class or ImageFolder was not used. The CNN model was not built with the correct architecture, and the training and validation functions were not implemented. The training process was also not executed. The bonus task of adding a residual connection was not attempted. The code had several syntax and logic mistakes, and it did not run end-to-end.
Breakdown:
- Part 1: Load and Prepare Data: 0.0/?
- Part 2: Build the CNN Model: 0.0/?
- Part 3: Training and Validation Functions: 0.0/?
- Part 4: Training: 0.0/?
- Part 5: Bonus — Residual Connection: 0.0/?</t>
        </is>
      </c>
      <c r="AC186" t="n">
        <v>6</v>
      </c>
      <c r="AD186" t="inlineStr">
        <is>
          <t>The student's submission was incomplete, with no code submitted for Tasks 1-4. However, the code for Task 5 was mostly correct, with some minor issues. The student's approach to visualizing predictions was mostly correct, but it lacked the necessary functionality to display the ground truth and predicted masks for multiple images.
Breakdown:
- Task 1: Dataset Class: 0.0/?
- Task 2: Model Class: 0.0/?
- Task 3: Training and Validation Loops: 0.0/?
- Task 4: Running Training: 0.0/?
- Task 5: Visualizing Predictions: 6.0/?</t>
        </is>
      </c>
      <c r="AE186" t="n">
        <v>0</v>
      </c>
      <c r="AF186" t="n">
        <v>0</v>
      </c>
      <c r="AG186" t="inlineStr">
        <is>
          <t>No submission found.</t>
        </is>
      </c>
      <c r="AH186" t="n">
        <v>16</v>
      </c>
      <c r="AI186" t="n">
        <v>0</v>
      </c>
    </row>
    <row r="187">
      <c r="A187" t="n">
        <v>186</v>
      </c>
      <c r="B187" t="inlineStr">
        <is>
          <t>TA_4</t>
        </is>
      </c>
      <c r="C187" t="inlineStr">
        <is>
          <t>TA_14</t>
        </is>
      </c>
      <c r="D187" t="n">
        <v>12</v>
      </c>
      <c r="E187" t="n">
        <v>0</v>
      </c>
      <c r="F187" t="n">
        <v>9</v>
      </c>
      <c r="G187" t="n">
        <v>0</v>
      </c>
      <c r="H187" t="n">
        <v>4.5</v>
      </c>
      <c r="I187" t="n">
        <v>0</v>
      </c>
      <c r="J187" t="n">
        <v>12</v>
      </c>
      <c r="K187" t="n">
        <v>0</v>
      </c>
      <c r="L187" t="n">
        <v>9</v>
      </c>
      <c r="M187" t="n">
        <v>0</v>
      </c>
      <c r="N187" t="n">
        <v>3</v>
      </c>
      <c r="O187" t="n">
        <v>0</v>
      </c>
      <c r="P187">
        <f>Table1[[#This Row],[TA 1 - Q1 Score]]+Table1[[#This Row],[TA 1 - Q2 Score]]+Table1[[#This Row],[TA 1 - Q3 Score]]</f>
        <v/>
      </c>
      <c r="Q187">
        <f>Table1[[#This Row],[TA 1 - Q1 Bonus]]+Table1[[#This Row],[TA 1 - Q2 Bonus]]+Table1[[#This Row],[TA 1 - Q4 Bonus]]</f>
        <v/>
      </c>
      <c r="R187">
        <f>Table1[[#This Row],[TA 2 - Q1 Score]]+Table1[[#This Row],[TA 2 - Q2 Score]]+Table1[[#This Row],[TA 2 - Q3 Score]]</f>
        <v/>
      </c>
      <c r="S187">
        <f>Table1[[#This Row],[TA 2 - Q1 Bonus]]+Table1[[#This Row],[TA 2 - Q2 Bonus]]+Table1[[#This Row],[TA 2 - Q4 Bonus]]</f>
        <v/>
      </c>
      <c r="T187">
        <f>(Table1[[#This Row],[TA 1 - Total Score (out of 35)]]+Table1[[#This Row],[TA 2 - Total Score (out of 35)]])/2</f>
        <v/>
      </c>
      <c r="U187">
        <f>(Table1[[#This Row],[TA 1 - Total Bonus (out of 13)]]+Table1[[#This Row],[TA 2 - Total Bonus (out of 13)]])/2</f>
        <v/>
      </c>
      <c r="V187">
        <f>Table1[[#This Row],[Average Questions]]/35*20+Table1[[#This Row],[Average Bonus]]/13*5</f>
        <v/>
      </c>
      <c r="W187" t="n">
        <v>6</v>
      </c>
      <c r="X187" t="n">
        <v>0</v>
      </c>
      <c r="Y18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2.0/?
- Part 5: Bonus — Test Time Augmentation: 0.0/?</t>
        </is>
      </c>
      <c r="Z187" t="n">
        <v>4</v>
      </c>
      <c r="AA187" t="n">
        <v>0</v>
      </c>
      <c r="AB187"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87" t="n">
        <v>6</v>
      </c>
      <c r="AD187" t="inlineStr">
        <is>
          <t>The student's submission failed to meet the requirements of the task. The code was not organized in a way that allowed it to run end-to-end, and several tasks were not completed correctly. The student did not define the dataset class, model class, training and validation loops, or running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87" t="n">
        <v>0</v>
      </c>
      <c r="AF187" t="n">
        <v>0</v>
      </c>
      <c r="AG187" t="inlineStr">
        <is>
          <t>No submission found.</t>
        </is>
      </c>
      <c r="AH187" t="n">
        <v>16</v>
      </c>
      <c r="AI187" t="n">
        <v>0</v>
      </c>
    </row>
    <row r="188">
      <c r="A188" t="n">
        <v>187</v>
      </c>
      <c r="B188" t="inlineStr">
        <is>
          <t>TA_4</t>
        </is>
      </c>
      <c r="C188" t="inlineStr">
        <is>
          <t>TA_14</t>
        </is>
      </c>
      <c r="D188" t="n">
        <v>6</v>
      </c>
      <c r="E188" t="n">
        <v>0</v>
      </c>
      <c r="F188" t="n">
        <v>8.5</v>
      </c>
      <c r="G188" t="n">
        <v>0</v>
      </c>
      <c r="H188" t="n">
        <v>8</v>
      </c>
      <c r="I188" t="n">
        <v>0</v>
      </c>
      <c r="J188" t="n">
        <v>5</v>
      </c>
      <c r="K188" t="n">
        <v>0</v>
      </c>
      <c r="L188" t="n">
        <v>9</v>
      </c>
      <c r="M188" t="n">
        <v>0</v>
      </c>
      <c r="N188" t="n">
        <v>6.5</v>
      </c>
      <c r="O188" t="n">
        <v>0</v>
      </c>
      <c r="P188">
        <f>Table1[[#This Row],[TA 1 - Q1 Score]]+Table1[[#This Row],[TA 1 - Q2 Score]]+Table1[[#This Row],[TA 1 - Q3 Score]]</f>
        <v/>
      </c>
      <c r="Q188">
        <f>Table1[[#This Row],[TA 1 - Q1 Bonus]]+Table1[[#This Row],[TA 1 - Q2 Bonus]]+Table1[[#This Row],[TA 1 - Q4 Bonus]]</f>
        <v/>
      </c>
      <c r="R188">
        <f>Table1[[#This Row],[TA 2 - Q1 Score]]+Table1[[#This Row],[TA 2 - Q2 Score]]+Table1[[#This Row],[TA 2 - Q3 Score]]</f>
        <v/>
      </c>
      <c r="S188">
        <f>Table1[[#This Row],[TA 2 - Q1 Bonus]]+Table1[[#This Row],[TA 2 - Q2 Bonus]]+Table1[[#This Row],[TA 2 - Q4 Bonus]]</f>
        <v/>
      </c>
      <c r="T188">
        <f>(Table1[[#This Row],[TA 1 - Total Score (out of 35)]]+Table1[[#This Row],[TA 2 - Total Score (out of 35)]])/2</f>
        <v/>
      </c>
      <c r="U188">
        <f>(Table1[[#This Row],[TA 1 - Total Bonus (out of 13)]]+Table1[[#This Row],[TA 2 - Total Bonus (out of 13)]])/2</f>
        <v/>
      </c>
      <c r="V188">
        <f>Table1[[#This Row],[Average Questions]]/35*20+Table1[[#This Row],[Average Bonus]]/13*5</f>
        <v/>
      </c>
      <c r="W188" t="n">
        <v>6</v>
      </c>
      <c r="X188" t="n">
        <v>0</v>
      </c>
      <c r="Y188" t="inlineStr">
        <is>
          <t>The student's submission failed to complete several key tasks, including loading and preparing the data, loading a pretrained model and adapting it, and implementing training and validation functions. While the student made an attempt at training the model, their code contained several errors and did not run end-to-end. The bonus task of implementing test time augmentation was also not completed. Overall, the student's submission demonstrated a lack of understanding of the key concepts and failed to execute the tasks correctly.
Breakdown:
- Part 1: Load and Prepare Data: 0.0/?
- Part 2: Load Pretrained Model and Adapt: 0.0/?
- Part 3: Training and Validation Functions: 0.0/?
- Part 4: Training: 6.0/?
- Part 5: Bonus — Test Time Augmentation: 0.0/?</t>
        </is>
      </c>
      <c r="Z188" t="n">
        <v>4</v>
      </c>
      <c r="AA188" t="n">
        <v>0</v>
      </c>
      <c r="AB188"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88" t="n">
        <v>6</v>
      </c>
      <c r="AD188" t="inlineStr">
        <is>
          <t>The student's submission failed to meet the requirements of the task. The code was not organized correctly, and several tasks were not completed. The model class was not defined correctly, and the training and validation loops were not executed correctly. The loss and optimizer were not defined correctly, and the training process was not executed correctly. The predictions were not visualized correctly, and the model was not evaluated correctly. As a result, the student did not earn any points for this task.
Breakdown:
- Task 1: Dataset Class: 0.0/?
- Task 2: Model Class: 0.0/?
- Task 3: Training and Validation Loops: 0.0/?
- Task 4: Running Training: 0.0/?
- Task 5: Visualizing Predictions: 0.0/?</t>
        </is>
      </c>
      <c r="AE188" t="n">
        <v>0</v>
      </c>
      <c r="AF188" t="n">
        <v>0</v>
      </c>
      <c r="AG188" t="inlineStr">
        <is>
          <t>No submission found.</t>
        </is>
      </c>
      <c r="AH188" t="n">
        <v>16</v>
      </c>
      <c r="AI188" t="n">
        <v>0</v>
      </c>
    </row>
    <row r="189">
      <c r="A189" t="n">
        <v>188</v>
      </c>
      <c r="B189" t="inlineStr">
        <is>
          <t>TA_4</t>
        </is>
      </c>
      <c r="C189" t="inlineStr">
        <is>
          <t>TA_14</t>
        </is>
      </c>
      <c r="D189" t="n">
        <v>10.5</v>
      </c>
      <c r="E189" t="n">
        <v>0</v>
      </c>
      <c r="F189" t="n">
        <v>11</v>
      </c>
      <c r="G189" t="n">
        <v>0</v>
      </c>
      <c r="H189" t="n">
        <v>12</v>
      </c>
      <c r="I189" t="n">
        <v>0</v>
      </c>
      <c r="J189" t="n">
        <v>10.5</v>
      </c>
      <c r="K189" t="n">
        <v>0</v>
      </c>
      <c r="L189" t="n">
        <v>10.25</v>
      </c>
      <c r="M189" t="n">
        <v>0</v>
      </c>
      <c r="N189" t="n">
        <v>12</v>
      </c>
      <c r="O189" t="n">
        <v>0</v>
      </c>
      <c r="P189">
        <f>Table1[[#This Row],[TA 1 - Q1 Score]]+Table1[[#This Row],[TA 1 - Q2 Score]]+Table1[[#This Row],[TA 1 - Q3 Score]]</f>
        <v/>
      </c>
      <c r="Q189">
        <f>Table1[[#This Row],[TA 1 - Q1 Bonus]]+Table1[[#This Row],[TA 1 - Q2 Bonus]]+Table1[[#This Row],[TA 1 - Q4 Bonus]]</f>
        <v/>
      </c>
      <c r="R189">
        <f>Table1[[#This Row],[TA 2 - Q1 Score]]+Table1[[#This Row],[TA 2 - Q2 Score]]+Table1[[#This Row],[TA 2 - Q3 Score]]</f>
        <v/>
      </c>
      <c r="S189">
        <f>Table1[[#This Row],[TA 2 - Q1 Bonus]]+Table1[[#This Row],[TA 2 - Q2 Bonus]]+Table1[[#This Row],[TA 2 - Q4 Bonus]]</f>
        <v/>
      </c>
      <c r="T189">
        <f>(Table1[[#This Row],[TA 1 - Total Score (out of 35)]]+Table1[[#This Row],[TA 2 - Total Score (out of 35)]])/2</f>
        <v/>
      </c>
      <c r="U189">
        <f>(Table1[[#This Row],[TA 1 - Total Bonus (out of 13)]]+Table1[[#This Row],[TA 2 - Total Bonus (out of 13)]])/2</f>
        <v/>
      </c>
      <c r="V189">
        <f>Table1[[#This Row],[Average Questions]]/35*20+Table1[[#This Row],[Average Bonus]]/13*5</f>
        <v/>
      </c>
      <c r="W189" t="n">
        <v>6</v>
      </c>
      <c r="X189" t="n">
        <v>0</v>
      </c>
      <c r="Y189" t="inlineStr">
        <is>
          <t>The student's submission failed to complete several key tasks, including loading and preparing the data, loading a pretrained model, and implementing training and validation functions. While the student did attempt to train the model, their implementation was incomplete and did not follow the reference solution. As a result, the student was unable to achieve the full potential of the model and their submission was not evaluated for bonus tasks.
Breakdown:
- Part 1: Load and Prepare Data: 0.0/?
- Part 2: Load Pretrained Model and Adapt: 0.0/?
- Part 3: Training and Validation Functions: 0.0/?
- Part 4: Training: 2.0/?
- Part 5: Bonus — Test Time Augmentation: 0.0/?</t>
        </is>
      </c>
      <c r="Z189" t="n">
        <v>4</v>
      </c>
      <c r="AA189" t="n">
        <v>0</v>
      </c>
      <c r="AB18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points for each task, resulting in a total score of 0.
Breakdown:
- Part 1: Load and Prepare Data: 0.0/?
- Part 2: Build the CNN Model: 0.0/?
- Part 3: Training and Validation Functions: 0.0/?
- Part 4: Training: 0.0/?
- Part 5: Bonus — Residual Connection: 0.0/?</t>
        </is>
      </c>
      <c r="AC189" t="n">
        <v>6</v>
      </c>
      <c r="AD189" t="inlineStr">
        <is>
          <t>The student's submission was incomplete, with no code submitted for Tasks 1-4. However, the code for Task 5 was mostly correct, with the student successfully visualizing the predictions. The only issue was that the ground truth masks were not displayed correctly.
Breakdown:
- Task 1: Dataset Class: 0.0/?
- Task 2: Model Class: 0.0/?
- Task 3: Training and Validation Loops: 0.0/?
- Task 4: Running Training: 0.0/?
- Task 5: Visualizing Predictions: 6.0/?</t>
        </is>
      </c>
      <c r="AE189" t="n">
        <v>0</v>
      </c>
      <c r="AF189" t="n">
        <v>0</v>
      </c>
      <c r="AG189" t="inlineStr">
        <is>
          <t>No submission found.</t>
        </is>
      </c>
      <c r="AH189" t="n">
        <v>16</v>
      </c>
      <c r="AI189" t="n">
        <v>0</v>
      </c>
    </row>
    <row r="190">
      <c r="A190" t="n">
        <v>189</v>
      </c>
      <c r="B190" t="inlineStr">
        <is>
          <t>TA_4</t>
        </is>
      </c>
      <c r="C190" t="inlineStr">
        <is>
          <t>TA_14</t>
        </is>
      </c>
      <c r="D190" t="n">
        <v>12</v>
      </c>
      <c r="E190" t="n">
        <v>4</v>
      </c>
      <c r="F190" t="n">
        <v>11</v>
      </c>
      <c r="G190" t="n">
        <v>0</v>
      </c>
      <c r="H190" t="n">
        <v>0</v>
      </c>
      <c r="I190" t="n">
        <v>0</v>
      </c>
      <c r="J190" t="n">
        <v>12</v>
      </c>
      <c r="K190" t="n">
        <v>4</v>
      </c>
      <c r="L190" t="n">
        <v>10.5</v>
      </c>
      <c r="M190" t="n">
        <v>0</v>
      </c>
      <c r="N190" t="n">
        <v>0</v>
      </c>
      <c r="O190" t="n">
        <v>0</v>
      </c>
      <c r="P190">
        <f>Table1[[#This Row],[TA 1 - Q1 Score]]+Table1[[#This Row],[TA 1 - Q2 Score]]+Table1[[#This Row],[TA 1 - Q3 Score]]</f>
        <v/>
      </c>
      <c r="Q190">
        <f>Table1[[#This Row],[TA 1 - Q1 Bonus]]+Table1[[#This Row],[TA 1 - Q2 Bonus]]+Table1[[#This Row],[TA 1 - Q4 Bonus]]</f>
        <v/>
      </c>
      <c r="R190">
        <f>Table1[[#This Row],[TA 2 - Q1 Score]]+Table1[[#This Row],[TA 2 - Q2 Score]]+Table1[[#This Row],[TA 2 - Q3 Score]]</f>
        <v/>
      </c>
      <c r="S190">
        <f>Table1[[#This Row],[TA 2 - Q1 Bonus]]+Table1[[#This Row],[TA 2 - Q2 Bonus]]+Table1[[#This Row],[TA 2 - Q4 Bonus]]</f>
        <v/>
      </c>
      <c r="T190">
        <f>(Table1[[#This Row],[TA 1 - Total Score (out of 35)]]+Table1[[#This Row],[TA 2 - Total Score (out of 35)]])/2</f>
        <v/>
      </c>
      <c r="U190">
        <f>(Table1[[#This Row],[TA 1 - Total Bonus (out of 13)]]+Table1[[#This Row],[TA 2 - Total Bonus (out of 13)]])/2</f>
        <v/>
      </c>
      <c r="V190">
        <f>Table1[[#This Row],[Average Questions]]/35*20+Table1[[#This Row],[Average Bonus]]/13*5</f>
        <v/>
      </c>
      <c r="W190" t="n">
        <v>8</v>
      </c>
      <c r="X190" t="n">
        <v>0</v>
      </c>
      <c r="Y190" t="inlineStr">
        <is>
          <t>The student's submission failed to complete several key tasks, including loading and preparing the data, loading the pretrained model and adapting it, and implementing test time augmentation. While the student made an attempt at training and validation functions, the code contained syntax errors and did not run correctly. As a result, the student was unable to complete the training process and did not achieve the desired accuracy. The lack of correct implementation of key tasks resulted in a low overall score.
Breakdown:
- Part 1: Load and Prepare Data: 0.0/?
- Part 2: Load Pretrained Model and Adapt: 0.0/?
- Part 3: Training and Validation Functions: 1.5/?
- Part 4: Training: 2.5/?
- Part 5: Bonus — Test Time Augmentation: 0.0/?</t>
        </is>
      </c>
      <c r="Z190" t="n">
        <v>4</v>
      </c>
      <c r="AA190" t="n">
        <v>0</v>
      </c>
      <c r="AB190" t="inlineStr">
        <is>
          <t>The student's submission failed to load and prepare the data correctly, as the dataset class or ImageFolder was not implemented. The CNN model was not built with the required 5 convolutional layers, and the training and validation functions were not defined. The training process was also not implemented. The bonus task of adding a residual connection was not attempted. The student's code had several syntax and logic mistakes, and it did not run end-to-end.
Breakdown:
- Part 1: Load and Prepare Data: 0.0/?
- Part 2: Build the CNN Model: 0.0/?
- Part 3: Training and Validation Functions: 0.0/?
- Part 4: Training: 0.0/?
- Part 5: Bonus — Residual Connection: 0.0/?</t>
        </is>
      </c>
      <c r="AC190" t="n">
        <v>6</v>
      </c>
      <c r="AD190" t="inlineStr">
        <is>
          <t>The student's submission failed to address any of the tasks in Question 3. The code provided is incomplete and does not attempt to solve any of the tasks. As a result, the student receives 0 points for each task.
Breakdown:
- Task 1: Dataset Class: 0.0/?
- Task 2: Model Class: 0.0/?
- Task 3: Training and Validation Loops: 0.0/?
- Task 4: Running Training: 0.0/?
- Task 5: Visualizing Predictions: 0.0/?</t>
        </is>
      </c>
      <c r="AE190" t="n">
        <v>0</v>
      </c>
      <c r="AF190" t="n">
        <v>0</v>
      </c>
      <c r="AG190" t="inlineStr">
        <is>
          <t>No submission found.</t>
        </is>
      </c>
      <c r="AH190" t="n">
        <v>18</v>
      </c>
      <c r="AI190" t="n">
        <v>0</v>
      </c>
    </row>
    <row r="191">
      <c r="A191" t="n">
        <v>190</v>
      </c>
      <c r="B191" t="inlineStr">
        <is>
          <t>TA_4</t>
        </is>
      </c>
      <c r="C191" t="inlineStr">
        <is>
          <t>TA_14</t>
        </is>
      </c>
      <c r="D191" t="n">
        <v>12</v>
      </c>
      <c r="E191" t="n">
        <v>4</v>
      </c>
      <c r="F191" t="n">
        <v>10.5</v>
      </c>
      <c r="G191" t="n">
        <v>0</v>
      </c>
      <c r="H191" t="n">
        <v>12</v>
      </c>
      <c r="I191" t="n">
        <v>0</v>
      </c>
      <c r="J191" t="n">
        <v>11.5</v>
      </c>
      <c r="K191" t="n">
        <v>2</v>
      </c>
      <c r="L191" t="n">
        <v>10.25</v>
      </c>
      <c r="M191" t="n">
        <v>0</v>
      </c>
      <c r="N191" t="n">
        <v>11</v>
      </c>
      <c r="O191" t="n">
        <v>0</v>
      </c>
      <c r="P191">
        <f>Table1[[#This Row],[TA 1 - Q1 Score]]+Table1[[#This Row],[TA 1 - Q2 Score]]+Table1[[#This Row],[TA 1 - Q3 Score]]</f>
        <v/>
      </c>
      <c r="Q191">
        <f>Table1[[#This Row],[TA 1 - Q1 Bonus]]+Table1[[#This Row],[TA 1 - Q2 Bonus]]+Table1[[#This Row],[TA 1 - Q4 Bonus]]</f>
        <v/>
      </c>
      <c r="R191">
        <f>Table1[[#This Row],[TA 2 - Q1 Score]]+Table1[[#This Row],[TA 2 - Q2 Score]]+Table1[[#This Row],[TA 2 - Q3 Score]]</f>
        <v/>
      </c>
      <c r="S191">
        <f>Table1[[#This Row],[TA 2 - Q1 Bonus]]+Table1[[#This Row],[TA 2 - Q2 Bonus]]+Table1[[#This Row],[TA 2 - Q4 Bonus]]</f>
        <v/>
      </c>
      <c r="T191">
        <f>(Table1[[#This Row],[TA 1 - Total Score (out of 35)]]+Table1[[#This Row],[TA 2 - Total Score (out of 35)]])/2</f>
        <v/>
      </c>
      <c r="U191">
        <f>(Table1[[#This Row],[TA 1 - Total Bonus (out of 13)]]+Table1[[#This Row],[TA 2 - Total Bonus (out of 13)]])/2</f>
        <v/>
      </c>
      <c r="V191">
        <f>Table1[[#This Row],[Average Questions]]/35*20+Table1[[#This Row],[Average Bonus]]/13*5</f>
        <v/>
      </c>
      <c r="W191" t="n">
        <v>6</v>
      </c>
      <c r="X191" t="n">
        <v>0</v>
      </c>
      <c r="Y191" t="inlineStr">
        <is>
          <t>The student's submission failed to complete several key tasks, including loading and preparing the data, loading a pretrained model, and training the model. While the student attempted to implement the training and validation functions, the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191" t="n">
        <v>4</v>
      </c>
      <c r="AA191" t="n">
        <v>0</v>
      </c>
      <c r="AB19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191" t="n">
        <v>6</v>
      </c>
      <c r="AD191" t="inlineStr">
        <is>
          <t>The student's submission was incomplete and failed to run end-to-end for most tasks. While the code for visualizing predictions was mostly correct, it was not enough to award full credit for the task. The student's approach to the other tasks was incorrect or incomplete, resulting in a score of 0 for each task.
Breakdown:
- Task 1: Dataset Class: 0.0/?
- Task 2: Model Class: 0.0/?
- Task 3: Training and Validation Loops: 0.0/?
- Task 4: Running Training: 0.0/?
- Task 5: Visualizing Predictions: 6.0/?</t>
        </is>
      </c>
      <c r="AE191" t="n">
        <v>0</v>
      </c>
      <c r="AF191" t="n">
        <v>0</v>
      </c>
      <c r="AG191" t="inlineStr">
        <is>
          <t>No submission found.</t>
        </is>
      </c>
      <c r="AH191" t="n">
        <v>16</v>
      </c>
      <c r="AI191" t="n">
        <v>0</v>
      </c>
    </row>
    <row r="192">
      <c r="A192" t="n">
        <v>191</v>
      </c>
      <c r="B192" t="inlineStr">
        <is>
          <t>TA_4</t>
        </is>
      </c>
      <c r="C192" t="inlineStr">
        <is>
          <t>TA_14</t>
        </is>
      </c>
      <c r="D192" t="n">
        <v>12</v>
      </c>
      <c r="E192" t="n">
        <v>0</v>
      </c>
      <c r="F192" t="n">
        <v>11</v>
      </c>
      <c r="G192" t="n">
        <v>0</v>
      </c>
      <c r="H192" t="n">
        <v>6</v>
      </c>
      <c r="I192" t="n">
        <v>0</v>
      </c>
      <c r="J192" t="n">
        <v>12</v>
      </c>
      <c r="K192" t="n">
        <v>0</v>
      </c>
      <c r="L192" t="n">
        <v>11</v>
      </c>
      <c r="M192" t="n">
        <v>0</v>
      </c>
      <c r="N192" t="n">
        <v>4</v>
      </c>
      <c r="O192" t="n">
        <v>0</v>
      </c>
      <c r="P192">
        <f>Table1[[#This Row],[TA 1 - Q1 Score]]+Table1[[#This Row],[TA 1 - Q2 Score]]+Table1[[#This Row],[TA 1 - Q3 Score]]</f>
        <v/>
      </c>
      <c r="Q192">
        <f>Table1[[#This Row],[TA 1 - Q1 Bonus]]+Table1[[#This Row],[TA 1 - Q2 Bonus]]+Table1[[#This Row],[TA 1 - Q4 Bonus]]</f>
        <v/>
      </c>
      <c r="R192">
        <f>Table1[[#This Row],[TA 2 - Q1 Score]]+Table1[[#This Row],[TA 2 - Q2 Score]]+Table1[[#This Row],[TA 2 - Q3 Score]]</f>
        <v/>
      </c>
      <c r="S192">
        <f>Table1[[#This Row],[TA 2 - Q1 Bonus]]+Table1[[#This Row],[TA 2 - Q2 Bonus]]+Table1[[#This Row],[TA 2 - Q4 Bonus]]</f>
        <v/>
      </c>
      <c r="T192">
        <f>(Table1[[#This Row],[TA 1 - Total Score (out of 35)]]+Table1[[#This Row],[TA 2 - Total Score (out of 35)]])/2</f>
        <v/>
      </c>
      <c r="U192">
        <f>(Table1[[#This Row],[TA 1 - Total Bonus (out of 13)]]+Table1[[#This Row],[TA 2 - Total Bonus (out of 13)]])/2</f>
        <v/>
      </c>
      <c r="V192">
        <f>Table1[[#This Row],[Average Questions]]/35*20+Table1[[#This Row],[Average Bonus]]/13*5</f>
        <v/>
      </c>
      <c r="W192" t="n">
        <v>6</v>
      </c>
      <c r="X192" t="n">
        <v>0</v>
      </c>
      <c r="Y192"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 was unable to achieve the full potential of the model and their submission was not evaluated for bonus points.
Breakdown:
- Part 1: Load and Prepare Data: 0.0/?
- Part 2: Load Pretrained Model and Adapt: 0.0/?
- Part 3: Training and Validation Functions: 0.0/?
- Part 4: Training: 2.0/?
- Part 5: Bonus — Test Time Augmentation: 0.0/?</t>
        </is>
      </c>
      <c r="Z192" t="n">
        <v>4</v>
      </c>
      <c r="AA192" t="n">
        <v>4</v>
      </c>
      <c r="AB192" t="inlineStr">
        <is>
          <t>The student's submission failed to meet the requirements for most tasks. They did not create a custom Dataset class or use ImageFolder, and their CNN model class did not have 5 convolutional layers. The training and validation functions were not defined, and the model was not trained. However, the student did attempt to implement a residual connection in the CNN model, which earned them the full 4 points for the bonus task.
Breakdown:
- Part 1: Load and Prepare Data: 0.0/?
- Part 2: Build the CNN Model: 0.0/?
- Part 3: Training and Validation Functions: 0.0/?
- Part 4: Training: 0.0/?
- Part 5: Bonus — Residual Connection: 4.0/?</t>
        </is>
      </c>
      <c r="AC192" t="n">
        <v>6</v>
      </c>
      <c r="AD192" t="inlineStr">
        <is>
          <t>The student's submission failed to meet the requirements of the task. The code was not organized in a way that was easy to follow, and several tasks were not implemented correctly. The student's approach to the tasks was not optimal, and they failed to address several key aspects of the task. As a result, the student's submission was awarded a score of 6.0, with no bonus points.
Breakdown:
- Task 1: Dataset Class: 0.0/?
- Task 2: Model Class: 0.0/?
- Task 3: Training and Validation Loops: 0.0/?
- Task 4: Running Training: 0.0/?
- Task 5: Visualizing Predictions: 0.0/?</t>
        </is>
      </c>
      <c r="AE192" t="n">
        <v>0</v>
      </c>
      <c r="AF192" t="n">
        <v>0</v>
      </c>
      <c r="AG192" t="inlineStr">
        <is>
          <t>The student's submission did not implement the `ColorizationDataset` class correctly, resulting in a score of 0.0 for the base task. Since the student did not implement the class correctly, they did not attempt the bonus task, resulting in a score of 0.0 for the bonus task.
Breakdown:
- Correctly implemented `ColorizationDataset` class:: 0.0/?
- Any mistake in implementation: 0.0/?</t>
        </is>
      </c>
      <c r="AH192" t="n">
        <v>16</v>
      </c>
      <c r="AI192" t="n">
        <v>4</v>
      </c>
    </row>
    <row r="193">
      <c r="A193" t="n">
        <v>192</v>
      </c>
      <c r="B193" t="inlineStr">
        <is>
          <t>TA_4</t>
        </is>
      </c>
      <c r="C193" t="inlineStr">
        <is>
          <t>TA_14</t>
        </is>
      </c>
      <c r="D193" t="n">
        <v>10</v>
      </c>
      <c r="E193" t="n">
        <v>0</v>
      </c>
      <c r="F193" t="n">
        <v>11</v>
      </c>
      <c r="G193" t="n">
        <v>0</v>
      </c>
      <c r="H193" t="n">
        <v>12</v>
      </c>
      <c r="I193" t="n">
        <v>0</v>
      </c>
      <c r="J193" t="n">
        <v>10</v>
      </c>
      <c r="K193" t="n">
        <v>0</v>
      </c>
      <c r="L193" t="n">
        <v>9</v>
      </c>
      <c r="M193" t="n">
        <v>0</v>
      </c>
      <c r="N193" t="n">
        <v>12</v>
      </c>
      <c r="O193" t="n">
        <v>0</v>
      </c>
      <c r="P193">
        <f>Table1[[#This Row],[TA 1 - Q1 Score]]+Table1[[#This Row],[TA 1 - Q2 Score]]+Table1[[#This Row],[TA 1 - Q3 Score]]</f>
        <v/>
      </c>
      <c r="Q193">
        <f>Table1[[#This Row],[TA 1 - Q1 Bonus]]+Table1[[#This Row],[TA 1 - Q2 Bonus]]+Table1[[#This Row],[TA 1 - Q4 Bonus]]</f>
        <v/>
      </c>
      <c r="R193">
        <f>Table1[[#This Row],[TA 2 - Q1 Score]]+Table1[[#This Row],[TA 2 - Q2 Score]]+Table1[[#This Row],[TA 2 - Q3 Score]]</f>
        <v/>
      </c>
      <c r="S193">
        <f>Table1[[#This Row],[TA 2 - Q1 Bonus]]+Table1[[#This Row],[TA 2 - Q2 Bonus]]+Table1[[#This Row],[TA 2 - Q4 Bonus]]</f>
        <v/>
      </c>
      <c r="T193">
        <f>(Table1[[#This Row],[TA 1 - Total Score (out of 35)]]+Table1[[#This Row],[TA 2 - Total Score (out of 35)]])/2</f>
        <v/>
      </c>
      <c r="U193">
        <f>(Table1[[#This Row],[TA 1 - Total Bonus (out of 13)]]+Table1[[#This Row],[TA 2 - Total Bonus (out of 13)]])/2</f>
        <v/>
      </c>
      <c r="V193">
        <f>Table1[[#This Row],[Average Questions]]/35*20+Table1[[#This Row],[Average Bonus]]/13*5</f>
        <v/>
      </c>
      <c r="W193" t="n">
        <v>6</v>
      </c>
      <c r="X193" t="n">
        <v>0</v>
      </c>
      <c r="Y19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3.0/?
- Part 5: Bonus — Test Time Augmentation: 0.0/?</t>
        </is>
      </c>
      <c r="Z193" t="n">
        <v>4</v>
      </c>
      <c r="AA193" t="n">
        <v>0</v>
      </c>
      <c r="AB193"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93" t="n">
        <v>6</v>
      </c>
      <c r="AD193" t="inlineStr">
        <is>
          <t>The student's submission is incomplete and lacks code for several tasks. While they attempted to visualize predictions, their code is not fully functional and does not meet the requirements of the task.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193" t="n">
        <v>0</v>
      </c>
      <c r="AF193" t="n">
        <v>0</v>
      </c>
      <c r="AG193" t="inlineStr">
        <is>
          <t>No submission found.</t>
        </is>
      </c>
      <c r="AH193" t="n">
        <v>16</v>
      </c>
      <c r="AI193" t="n">
        <v>0</v>
      </c>
    </row>
    <row r="194">
      <c r="A194" t="n">
        <v>193</v>
      </c>
      <c r="B194" t="inlineStr">
        <is>
          <t>TA_4</t>
        </is>
      </c>
      <c r="C194" t="inlineStr">
        <is>
          <t>TA_14</t>
        </is>
      </c>
      <c r="D194" t="n">
        <v>9.5</v>
      </c>
      <c r="E194" t="n">
        <v>0</v>
      </c>
      <c r="F194" t="n">
        <v>8.5</v>
      </c>
      <c r="G194" t="n">
        <v>0</v>
      </c>
      <c r="H194" t="n">
        <v>8.75</v>
      </c>
      <c r="I194" t="n">
        <v>0</v>
      </c>
      <c r="J194" t="n">
        <v>9.5</v>
      </c>
      <c r="K194" t="n">
        <v>0</v>
      </c>
      <c r="L194" t="n">
        <v>9</v>
      </c>
      <c r="M194" t="n">
        <v>0</v>
      </c>
      <c r="N194" t="n">
        <v>7.5</v>
      </c>
      <c r="O194" t="n">
        <v>0</v>
      </c>
      <c r="P194">
        <f>Table1[[#This Row],[TA 1 - Q1 Score]]+Table1[[#This Row],[TA 1 - Q2 Score]]+Table1[[#This Row],[TA 1 - Q3 Score]]</f>
        <v/>
      </c>
      <c r="Q194">
        <f>Table1[[#This Row],[TA 1 - Q1 Bonus]]+Table1[[#This Row],[TA 1 - Q2 Bonus]]+Table1[[#This Row],[TA 1 - Q4 Bonus]]</f>
        <v/>
      </c>
      <c r="R194">
        <f>Table1[[#This Row],[TA 2 - Q1 Score]]+Table1[[#This Row],[TA 2 - Q2 Score]]+Table1[[#This Row],[TA 2 - Q3 Score]]</f>
        <v/>
      </c>
      <c r="S194">
        <f>Table1[[#This Row],[TA 2 - Q1 Bonus]]+Table1[[#This Row],[TA 2 - Q2 Bonus]]+Table1[[#This Row],[TA 2 - Q4 Bonus]]</f>
        <v/>
      </c>
      <c r="T194">
        <f>(Table1[[#This Row],[TA 1 - Total Score (out of 35)]]+Table1[[#This Row],[TA 2 - Total Score (out of 35)]])/2</f>
        <v/>
      </c>
      <c r="U194">
        <f>(Table1[[#This Row],[TA 1 - Total Bonus (out of 13)]]+Table1[[#This Row],[TA 2 - Total Bonus (out of 13)]])/2</f>
        <v/>
      </c>
      <c r="V194">
        <f>Table1[[#This Row],[Average Questions]]/35*20+Table1[[#This Row],[Average Bonus]]/13*5</f>
        <v/>
      </c>
      <c r="W194" t="n">
        <v>6</v>
      </c>
      <c r="X194" t="n">
        <v>0</v>
      </c>
      <c r="Y19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2.0/?
- Part 5: Bonus — Test Time Augmentation: 0.0/?</t>
        </is>
      </c>
      <c r="Z194" t="n">
        <v>4</v>
      </c>
      <c r="AA194" t="n">
        <v>0</v>
      </c>
      <c r="AB19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each task.
Breakdown:
- Part 1: Load and Prepare Data: 0.0/?
- Part 2: Build the CNN Model: 0.0/?
- Part 3: Training and Validation Functions: 0.0/?
- Part 4: Training: 0.0/?
- Part 5: Bonus — Residual Connection: 0.0/?</t>
        </is>
      </c>
      <c r="AC194" t="n">
        <v>6</v>
      </c>
      <c r="AD194" t="inlineStr">
        <is>
          <t>The student's submission failed to address any of the tasks in Question 3. The code provided does not attempt to build a custom dataset class, define a model class, implement training and validation loops, run training, or visualize predictions. As a result, the student earned 0 points for each task.
Breakdown:
- Task 1: Dataset Class: 0.0/?
- Task 2: Model Class: 0.0/?
- Task 3: Training and Validation Loops: 0.0/?
- Task 4: Running Training: 0.0/?
- Task 5: Visualizing Predictions: 0.0/?</t>
        </is>
      </c>
      <c r="AE194" t="n">
        <v>0</v>
      </c>
      <c r="AF194" t="n">
        <v>0</v>
      </c>
      <c r="AG194" t="inlineStr">
        <is>
          <t>No submission found.</t>
        </is>
      </c>
      <c r="AH194" t="n">
        <v>16</v>
      </c>
      <c r="AI194" t="n">
        <v>0</v>
      </c>
    </row>
    <row r="195">
      <c r="A195" t="n">
        <v>194</v>
      </c>
      <c r="B195" t="inlineStr">
        <is>
          <t>TA_4</t>
        </is>
      </c>
      <c r="C195" t="inlineStr">
        <is>
          <t>TA_14</t>
        </is>
      </c>
      <c r="D195" t="n">
        <v>12</v>
      </c>
      <c r="E195" t="n">
        <v>0</v>
      </c>
      <c r="F195" t="n">
        <v>10.5</v>
      </c>
      <c r="G195" t="n">
        <v>0</v>
      </c>
      <c r="H195" t="n">
        <v>1</v>
      </c>
      <c r="I195" t="n">
        <v>0</v>
      </c>
      <c r="J195" t="n">
        <v>12</v>
      </c>
      <c r="K195" t="n">
        <v>0</v>
      </c>
      <c r="L195" t="n">
        <v>11</v>
      </c>
      <c r="M195" t="n">
        <v>0</v>
      </c>
      <c r="N195" t="n">
        <v>0.5</v>
      </c>
      <c r="O195" t="n">
        <v>0</v>
      </c>
      <c r="P195">
        <f>Table1[[#This Row],[TA 1 - Q1 Score]]+Table1[[#This Row],[TA 1 - Q2 Score]]+Table1[[#This Row],[TA 1 - Q3 Score]]</f>
        <v/>
      </c>
      <c r="Q195">
        <f>Table1[[#This Row],[TA 1 - Q1 Bonus]]+Table1[[#This Row],[TA 1 - Q2 Bonus]]+Table1[[#This Row],[TA 1 - Q4 Bonus]]</f>
        <v/>
      </c>
      <c r="R195">
        <f>Table1[[#This Row],[TA 2 - Q1 Score]]+Table1[[#This Row],[TA 2 - Q2 Score]]+Table1[[#This Row],[TA 2 - Q3 Score]]</f>
        <v/>
      </c>
      <c r="S195">
        <f>Table1[[#This Row],[TA 2 - Q1 Bonus]]+Table1[[#This Row],[TA 2 - Q2 Bonus]]+Table1[[#This Row],[TA 2 - Q4 Bonus]]</f>
        <v/>
      </c>
      <c r="T195">
        <f>(Table1[[#This Row],[TA 1 - Total Score (out of 35)]]+Table1[[#This Row],[TA 2 - Total Score (out of 35)]])/2</f>
        <v/>
      </c>
      <c r="U195">
        <f>(Table1[[#This Row],[TA 1 - Total Bonus (out of 13)]]+Table1[[#This Row],[TA 2 - Total Bonus (out of 13)]])/2</f>
        <v/>
      </c>
      <c r="V195">
        <f>Table1[[#This Row],[Average Questions]]/35*20+Table1[[#This Row],[Average Bonus]]/13*5</f>
        <v/>
      </c>
      <c r="W195" t="n">
        <v>6</v>
      </c>
      <c r="X195" t="n">
        <v>0</v>
      </c>
      <c r="Y195"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195" t="n">
        <v>6</v>
      </c>
      <c r="AA195" t="n">
        <v>0</v>
      </c>
      <c r="AB195" t="inlineStr">
        <is>
          <t>The student's submission failed to meet the requirements for most tasks. In Part 1, the student created a custom dataset class but failed to create the training and testing datasets and their DataLoaders. In Part 2, the student defined a CNN model class but it did not meet the specifications. In Part 3, the student defined the training and validation loop functions but they were incomplete. In Part 4, the student set up the device, model, loss function, and optimizer, and trained the model, but the training and validation losses and accuracy were not plotted. In Part 5, the student failed to redefine the CNN model with a residual connection and retrain the model.
Breakdown:
- Part 1: Load and Prepare Data: 0.0/?
- Part 2: Build the CNN Model: 0.0/?
- Part 3: Training and Validation Functions: 0.0/?
- Part 4: Training: 1.0/?
- Part 5: Bonus — Residual Connection: 0.0/?</t>
        </is>
      </c>
      <c r="AC195" t="n">
        <v>6</v>
      </c>
      <c r="AD195" t="inlineStr">
        <is>
          <t>The student's submission failed to meet the requirements of the task. The code was not organized in a way that allowed it to run end-to-end, and several key components were missing or incorrect. The student did not attempt to define a custom dataset class, and the model class was not defined correctly. The training and validation loops were also not defined correctly, and the model was not trained. Finally, the predictions were not visualized correctly. As a result, the student earned 0 points for each task.
Breakdown:
- Task 1: Dataset Class: 0.0/?
- Task 2: Model Class: 0.0/?
- Task 3: Training and Validation Loops: 0.0/?
- Task 4: Running Training: 0.0/?
- Task 5: Visualizing Predictions: 0.0/?</t>
        </is>
      </c>
      <c r="AE195" t="n">
        <v>0</v>
      </c>
      <c r="AF195" t="n">
        <v>0</v>
      </c>
      <c r="AG195" t="inlineStr">
        <is>
          <t>No submission found.</t>
        </is>
      </c>
      <c r="AH195" t="n">
        <v>18</v>
      </c>
      <c r="AI195" t="n">
        <v>0</v>
      </c>
    </row>
    <row r="196">
      <c r="A196" t="n">
        <v>195</v>
      </c>
      <c r="B196" t="inlineStr">
        <is>
          <t>TA_4</t>
        </is>
      </c>
      <c r="C196" t="inlineStr">
        <is>
          <t>TA_14</t>
        </is>
      </c>
      <c r="D196" t="n">
        <v>12</v>
      </c>
      <c r="E196" t="n">
        <v>4</v>
      </c>
      <c r="F196" t="n">
        <v>11</v>
      </c>
      <c r="G196" t="n">
        <v>0</v>
      </c>
      <c r="H196" t="n">
        <v>11.5</v>
      </c>
      <c r="I196" t="n">
        <v>0</v>
      </c>
      <c r="J196" t="n">
        <v>12</v>
      </c>
      <c r="K196" t="n">
        <v>3</v>
      </c>
      <c r="L196" t="n">
        <v>11</v>
      </c>
      <c r="M196" t="n">
        <v>0</v>
      </c>
      <c r="N196" t="n">
        <v>11.5</v>
      </c>
      <c r="P196">
        <f>Table1[[#This Row],[TA 1 - Q1 Score]]+Table1[[#This Row],[TA 1 - Q2 Score]]+Table1[[#This Row],[TA 1 - Q3 Score]]</f>
        <v/>
      </c>
      <c r="Q196">
        <f>Table1[[#This Row],[TA 1 - Q1 Bonus]]+Table1[[#This Row],[TA 1 - Q2 Bonus]]+Table1[[#This Row],[TA 1 - Q4 Bonus]]</f>
        <v/>
      </c>
      <c r="R196">
        <f>Table1[[#This Row],[TA 2 - Q1 Score]]+Table1[[#This Row],[TA 2 - Q2 Score]]+Table1[[#This Row],[TA 2 - Q3 Score]]</f>
        <v/>
      </c>
      <c r="S196">
        <f>Table1[[#This Row],[TA 2 - Q1 Bonus]]+Table1[[#This Row],[TA 2 - Q2 Bonus]]+Table1[[#This Row],[TA 2 - Q4 Bonus]]</f>
        <v/>
      </c>
      <c r="T196">
        <f>(Table1[[#This Row],[TA 1 - Total Score (out of 35)]]+Table1[[#This Row],[TA 2 - Total Score (out of 35)]])/2</f>
        <v/>
      </c>
      <c r="U196">
        <f>(Table1[[#This Row],[TA 1 - Total Bonus (out of 13)]]+Table1[[#This Row],[TA 2 - Total Bonus (out of 13)]])/2</f>
        <v/>
      </c>
      <c r="V196">
        <f>Table1[[#This Row],[Average Questions]]/35*20+Table1[[#This Row],[Average Bonus]]/13*5</f>
        <v/>
      </c>
      <c r="W196" t="n">
        <v>6</v>
      </c>
      <c r="X196" t="n">
        <v>0</v>
      </c>
      <c r="Y196"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2.0/?
- Part 5: Bonus — Test Time Augmentation: 0.0/?</t>
        </is>
      </c>
      <c r="Z196" t="n">
        <v>6</v>
      </c>
      <c r="AA196" t="n">
        <v>0</v>
      </c>
      <c r="AB19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any points for the base tasks. The bonus task was also not completed, resulting in a score of 0 for the bonus.
Breakdown:
- Part 1: Load and Prepare Data: 0.0/?
- Part 2: Build the CNN Model: 0.0/?
- Part 3: Training and Validation Functions: 0.0/?
- Part 4: Training: 2.0/?
- Part 5: Bonus — Residual Connection: 0.0/?</t>
        </is>
      </c>
      <c r="AC196" t="n">
        <v>6</v>
      </c>
      <c r="AD196" t="inlineStr">
        <is>
          <t>The student's submission was incomplete and lacked code for several tasks. While the code for visualizing predictions was mostly correct, it did not run end-to-end due to missing imports and incorrect usage of the model. As a result, the student was awarded partial credit for this task only.
Breakdown:
- Task 1: Dataset Class: 0.0/?
- Task 2: Model Class: 0.0/?
- Task 3: Training and Validation Loops: 0.0/?
- Task 4: Running Training: 0.0/?
- Task 5: Visualizing Predictions: 6.0/?</t>
        </is>
      </c>
      <c r="AE196" t="n">
        <v>0</v>
      </c>
      <c r="AF196" t="n">
        <v>0</v>
      </c>
      <c r="AG196" t="inlineStr">
        <is>
          <t>The student's submission does not meet the requirements of the task. The `ColorizationDataset` class is not implemented correctly, and the methods are not implemented as required. The student's code does not run end-to-end and does not produce the correct output.
Breakdown:
- Correctly implemented `ColorizationDataset` class: 0.0/?</t>
        </is>
      </c>
      <c r="AH196" t="n">
        <v>18</v>
      </c>
      <c r="AI196" t="n">
        <v>0</v>
      </c>
    </row>
    <row r="197">
      <c r="A197" t="n">
        <v>196</v>
      </c>
      <c r="B197" t="inlineStr">
        <is>
          <t>TA_4</t>
        </is>
      </c>
      <c r="C197" t="inlineStr">
        <is>
          <t>TA_14</t>
        </is>
      </c>
      <c r="D197" t="n">
        <v>6</v>
      </c>
      <c r="E197" t="n">
        <v>0</v>
      </c>
      <c r="F197" t="n">
        <v>8</v>
      </c>
      <c r="G197" t="n">
        <v>0</v>
      </c>
      <c r="H197" t="n">
        <v>10.5</v>
      </c>
      <c r="I197" t="n">
        <v>0</v>
      </c>
      <c r="J197" t="n">
        <v>3</v>
      </c>
      <c r="K197" t="n">
        <v>0</v>
      </c>
      <c r="L197" t="n">
        <v>5.5</v>
      </c>
      <c r="M197" t="n">
        <v>0</v>
      </c>
      <c r="N197" t="n">
        <v>6.5</v>
      </c>
      <c r="O197" t="n">
        <v>0</v>
      </c>
      <c r="P197">
        <f>Table1[[#This Row],[TA 1 - Q1 Score]]+Table1[[#This Row],[TA 1 - Q2 Score]]+Table1[[#This Row],[TA 1 - Q3 Score]]</f>
        <v/>
      </c>
      <c r="Q197">
        <f>Table1[[#This Row],[TA 1 - Q1 Bonus]]+Table1[[#This Row],[TA 1 - Q2 Bonus]]+Table1[[#This Row],[TA 1 - Q4 Bonus]]</f>
        <v/>
      </c>
      <c r="R197">
        <f>Table1[[#This Row],[TA 2 - Q1 Score]]+Table1[[#This Row],[TA 2 - Q2 Score]]+Table1[[#This Row],[TA 2 - Q3 Score]]</f>
        <v/>
      </c>
      <c r="S197">
        <f>Table1[[#This Row],[TA 2 - Q1 Bonus]]+Table1[[#This Row],[TA 2 - Q2 Bonus]]+Table1[[#This Row],[TA 2 - Q4 Bonus]]</f>
        <v/>
      </c>
      <c r="T197">
        <f>(Table1[[#This Row],[TA 1 - Total Score (out of 35)]]+Table1[[#This Row],[TA 2 - Total Score (out of 35)]])/2</f>
        <v/>
      </c>
      <c r="U197">
        <f>(Table1[[#This Row],[TA 1 - Total Bonus (out of 13)]]+Table1[[#This Row],[TA 2 - Total Bonus (out of 13)]])/2</f>
        <v/>
      </c>
      <c r="V197">
        <f>Table1[[#This Row],[Average Questions]]/35*20+Table1[[#This Row],[Average Bonus]]/13*5</f>
        <v/>
      </c>
      <c r="W197" t="n">
        <v>6</v>
      </c>
      <c r="X197" t="n">
        <v>0</v>
      </c>
      <c r="Y197" t="inlineStr">
        <is>
          <t>The student's submission failed to address any of the tasks outlined in the rubric. The code provided does not attempt to load and prepare data, load a pretrained model, define training and validation functions, or implement test time augmentation. As a result, the student earns 0% for each task, resulting in a total score of 6.0.
Breakdown:
- Part 1: Load and Prepare Data: 0.0/?
- Part 2: Load Pretrained Model and Adapt: 0.0/?
- Part 3: Training and Validation Functions: 0.0/?
- Part 4: Training: 0.0/?
- Part 5: Bonus — Test Time Augmentation: 0.0/?</t>
        </is>
      </c>
      <c r="Z197" t="n">
        <v>4</v>
      </c>
      <c r="AA197" t="n">
        <v>0</v>
      </c>
      <c r="AB197" t="inlineStr">
        <is>
          <t>The student's submission failed to meet the requirements of the task. The code was not organized in a clear and structured manner, and many tasks were not completed correctly. The CNN model was not defined correctly, and the training and validation functions were not implemented as required. The student also failed to plot the losses and accuracy correctly. As a result, the student did not earn any points for this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197" t="n">
        <v>6</v>
      </c>
      <c r="AD197"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197" t="n">
        <v>0</v>
      </c>
      <c r="AF197" t="n">
        <v>0</v>
      </c>
      <c r="AG197" t="inlineStr">
        <is>
          <t>No submission found.</t>
        </is>
      </c>
      <c r="AH197" t="n">
        <v>16</v>
      </c>
      <c r="AI197" t="n">
        <v>0</v>
      </c>
    </row>
    <row r="198">
      <c r="A198" t="n">
        <v>197</v>
      </c>
      <c r="B198" t="inlineStr">
        <is>
          <t>TA_4</t>
        </is>
      </c>
      <c r="C198" t="inlineStr">
        <is>
          <t>TA_14</t>
        </is>
      </c>
      <c r="D198" t="n">
        <v>12</v>
      </c>
      <c r="E198" t="n">
        <v>0</v>
      </c>
      <c r="F198" t="n">
        <v>9</v>
      </c>
      <c r="G198" t="n">
        <v>0</v>
      </c>
      <c r="H198" t="n">
        <v>11</v>
      </c>
      <c r="I198" t="n">
        <v>0</v>
      </c>
      <c r="J198" t="n">
        <v>11.5</v>
      </c>
      <c r="K198" t="n">
        <v>0</v>
      </c>
      <c r="L198" t="n">
        <v>9</v>
      </c>
      <c r="M198" t="n">
        <v>0</v>
      </c>
      <c r="N198" t="n">
        <v>7</v>
      </c>
      <c r="P198">
        <f>Table1[[#This Row],[TA 1 - Q1 Score]]+Table1[[#This Row],[TA 1 - Q2 Score]]+Table1[[#This Row],[TA 1 - Q3 Score]]</f>
        <v/>
      </c>
      <c r="Q198">
        <f>Table1[[#This Row],[TA 1 - Q1 Bonus]]+Table1[[#This Row],[TA 1 - Q2 Bonus]]+Table1[[#This Row],[TA 1 - Q4 Bonus]]</f>
        <v/>
      </c>
      <c r="R198">
        <f>Table1[[#This Row],[TA 2 - Q1 Score]]+Table1[[#This Row],[TA 2 - Q2 Score]]+Table1[[#This Row],[TA 2 - Q3 Score]]</f>
        <v/>
      </c>
      <c r="S198">
        <f>Table1[[#This Row],[TA 2 - Q1 Bonus]]+Table1[[#This Row],[TA 2 - Q2 Bonus]]+Table1[[#This Row],[TA 2 - Q4 Bonus]]</f>
        <v/>
      </c>
      <c r="T198">
        <f>(Table1[[#This Row],[TA 1 - Total Score (out of 35)]]+Table1[[#This Row],[TA 2 - Total Score (out of 35)]])/2</f>
        <v/>
      </c>
      <c r="U198">
        <f>(Table1[[#This Row],[TA 1 - Total Bonus (out of 13)]]+Table1[[#This Row],[TA 2 - Total Bonus (out of 13)]])/2</f>
        <v/>
      </c>
      <c r="V198">
        <f>Table1[[#This Row],[Average Questions]]/35*20+Table1[[#This Row],[Average Bonus]]/13*5</f>
        <v/>
      </c>
      <c r="W198" t="n">
        <v>6</v>
      </c>
      <c r="X198" t="n">
        <v>0</v>
      </c>
      <c r="Y198"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resulting in a low overall score. The bonus task was not attempted.
Breakdown:
- Part 1: Load and Prepare Data: 0.0/?
- Part 2: Load Pretrained Model and Adapt: 0.0/?
- Part 3: Training and Validation Functions: 0.0/?
- Part 4: Training: 3.0/?
- Part 5: Bonus — Test Time Augmentation: 0.0/?</t>
        </is>
      </c>
      <c r="Z198" t="n">
        <v>4</v>
      </c>
      <c r="AA198" t="n">
        <v>0</v>
      </c>
      <c r="AB198"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198" t="n">
        <v>6</v>
      </c>
      <c r="AD198" t="inlineStr">
        <is>
          <t>The student's submission was incomplete and lacked code for several tasks. While the code for visualizing predictions was mostly correct, it did not run end-to-end due to missing dependencies and incomplete implementation. As a result, the student was awarded partial credit for this task only.
Breakdown:
- Task 1: Dataset Class: 0.0/?
- Task 2: Model Class: 0.0/?
- Task 3: Training and Validation Loops: 0.0/?
- Task 4: Running Training: 0.0/?
- Task 5: Visualizing Predictions: 6.0/?</t>
        </is>
      </c>
      <c r="AE198" t="n">
        <v>0</v>
      </c>
      <c r="AF198" t="n">
        <v>0</v>
      </c>
      <c r="AG198" t="inlineStr">
        <is>
          <t>No submission found.</t>
        </is>
      </c>
      <c r="AH198" t="n">
        <v>16</v>
      </c>
      <c r="AI198" t="n">
        <v>0</v>
      </c>
    </row>
    <row r="199">
      <c r="A199" t="n">
        <v>198</v>
      </c>
      <c r="B199" t="inlineStr">
        <is>
          <t>TA_4</t>
        </is>
      </c>
      <c r="C199" t="inlineStr">
        <is>
          <t>TA_14</t>
        </is>
      </c>
      <c r="D199" t="n">
        <v>5.5</v>
      </c>
      <c r="E199" t="n">
        <v>0</v>
      </c>
      <c r="F199" t="n">
        <v>9</v>
      </c>
      <c r="G199" t="n">
        <v>0</v>
      </c>
      <c r="H199" t="n">
        <v>11.5</v>
      </c>
      <c r="I199" t="n">
        <v>0</v>
      </c>
      <c r="J199" t="n">
        <v>4.5</v>
      </c>
      <c r="K199" t="n">
        <v>0</v>
      </c>
      <c r="L199" t="n">
        <v>9</v>
      </c>
      <c r="M199" t="n">
        <v>0</v>
      </c>
      <c r="N199" t="n">
        <v>10.5</v>
      </c>
      <c r="O199" t="n">
        <v>0</v>
      </c>
      <c r="P199">
        <f>Table1[[#This Row],[TA 1 - Q1 Score]]+Table1[[#This Row],[TA 1 - Q2 Score]]+Table1[[#This Row],[TA 1 - Q3 Score]]</f>
        <v/>
      </c>
      <c r="Q199">
        <f>Table1[[#This Row],[TA 1 - Q1 Bonus]]+Table1[[#This Row],[TA 1 - Q2 Bonus]]+Table1[[#This Row],[TA 1 - Q4 Bonus]]</f>
        <v/>
      </c>
      <c r="R199">
        <f>Table1[[#This Row],[TA 2 - Q1 Score]]+Table1[[#This Row],[TA 2 - Q2 Score]]+Table1[[#This Row],[TA 2 - Q3 Score]]</f>
        <v/>
      </c>
      <c r="S199">
        <f>Table1[[#This Row],[TA 2 - Q1 Bonus]]+Table1[[#This Row],[TA 2 - Q2 Bonus]]+Table1[[#This Row],[TA 2 - Q4 Bonus]]</f>
        <v/>
      </c>
      <c r="T199">
        <f>(Table1[[#This Row],[TA 1 - Total Score (out of 35)]]+Table1[[#This Row],[TA 2 - Total Score (out of 35)]])/2</f>
        <v/>
      </c>
      <c r="U199">
        <f>(Table1[[#This Row],[TA 1 - Total Bonus (out of 13)]]+Table1[[#This Row],[TA 2 - Total Bonus (out of 13)]])/2</f>
        <v/>
      </c>
      <c r="V199">
        <f>Table1[[#This Row],[Average Questions]]/35*20+Table1[[#This Row],[Average Bonus]]/13*5</f>
        <v/>
      </c>
      <c r="W199" t="n">
        <v>6</v>
      </c>
      <c r="X199" t="n">
        <v>0</v>
      </c>
      <c r="Y199" t="inlineStr">
        <is>
          <t>The student's submission failed to complete several key tasks, including loading and preparing the data, loading the pretrained model and adapting it, and training the model. While they did attempt to implement the training and validation functions, their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199" t="n">
        <v>6</v>
      </c>
      <c r="AA199" t="n">
        <v>0</v>
      </c>
      <c r="AB19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outcome and was awarded partial credit for the training task. The bonus task was not attempted.
Breakdown:
- Part 1: Load and Prepare Data: 0.0/?
- Part 2: Build the CNN Model: 0.0/?
- Part 3: Training and Validation Functions: 0.0/?
- Part 4: Training: 2.0/?
- Part 5: Bonus — Residual Connection: 0.0/?</t>
        </is>
      </c>
      <c r="AC199" t="n">
        <v>6</v>
      </c>
      <c r="AD199" t="inlineStr">
        <is>
          <t>The student's submission is incomplete and lacks code for several tasks. While they attempted to visualize predictions, their code is not fully functional and does not meet the requirements of the task.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199" t="n">
        <v>0</v>
      </c>
      <c r="AF199" t="n">
        <v>0</v>
      </c>
      <c r="AG199" t="inlineStr">
        <is>
          <t>No submission found.</t>
        </is>
      </c>
      <c r="AH199" t="n">
        <v>18</v>
      </c>
      <c r="AI199" t="n">
        <v>0</v>
      </c>
    </row>
    <row r="200">
      <c r="A200" t="n">
        <v>199</v>
      </c>
      <c r="B200" t="inlineStr">
        <is>
          <t>TA_4</t>
        </is>
      </c>
      <c r="C200" t="inlineStr">
        <is>
          <t>TA_14</t>
        </is>
      </c>
      <c r="D200" t="n">
        <v>12</v>
      </c>
      <c r="E200" t="n">
        <v>0</v>
      </c>
      <c r="F200" t="n">
        <v>-5.5</v>
      </c>
      <c r="G200" t="n">
        <v>0</v>
      </c>
      <c r="H200" t="n">
        <v>12</v>
      </c>
      <c r="I200" t="n">
        <v>0</v>
      </c>
      <c r="J200" t="n">
        <v>12</v>
      </c>
      <c r="K200" t="n">
        <v>0</v>
      </c>
      <c r="L200" t="n">
        <v>3.25</v>
      </c>
      <c r="M200" t="n">
        <v>0</v>
      </c>
      <c r="N200" t="n">
        <v>9</v>
      </c>
      <c r="O200" t="n">
        <v>0</v>
      </c>
      <c r="P200">
        <f>Table1[[#This Row],[TA 1 - Q1 Score]]+Table1[[#This Row],[TA 1 - Q2 Score]]+Table1[[#This Row],[TA 1 - Q3 Score]]</f>
        <v/>
      </c>
      <c r="Q200">
        <f>Table1[[#This Row],[TA 1 - Q1 Bonus]]+Table1[[#This Row],[TA 1 - Q2 Bonus]]+Table1[[#This Row],[TA 1 - Q4 Bonus]]</f>
        <v/>
      </c>
      <c r="R200">
        <f>Table1[[#This Row],[TA 2 - Q1 Score]]+Table1[[#This Row],[TA 2 - Q2 Score]]+Table1[[#This Row],[TA 2 - Q3 Score]]</f>
        <v/>
      </c>
      <c r="S200">
        <f>Table1[[#This Row],[TA 2 - Q1 Bonus]]+Table1[[#This Row],[TA 2 - Q2 Bonus]]+Table1[[#This Row],[TA 2 - Q4 Bonus]]</f>
        <v/>
      </c>
      <c r="T200">
        <f>(Table1[[#This Row],[TA 1 - Total Score (out of 35)]]+Table1[[#This Row],[TA 2 - Total Score (out of 35)]])/2</f>
        <v/>
      </c>
      <c r="U200">
        <f>(Table1[[#This Row],[TA 1 - Total Bonus (out of 13)]]+Table1[[#This Row],[TA 2 - Total Bonus (out of 13)]])/2</f>
        <v/>
      </c>
      <c r="V200">
        <f>Table1[[#This Row],[Average Questions]]/35*20+Table1[[#This Row],[Average Bonus]]/13*5</f>
        <v/>
      </c>
      <c r="W200" t="n">
        <v>6</v>
      </c>
      <c r="X200" t="n">
        <v>0</v>
      </c>
      <c r="Y200" t="inlineStr">
        <is>
          <t>The student's submission failed to complete several key tasks, including loading and preparing data, loading a pretrained model,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200" t="n">
        <v>4</v>
      </c>
      <c r="AA200" t="n">
        <v>0</v>
      </c>
      <c r="AB200"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200" t="n">
        <v>6</v>
      </c>
      <c r="AD200" t="inlineStr">
        <is>
          <t>The student's submission is incomplete and lacks code for several tasks. While they attempted to visualize predictions, their code is not fully functional and does not meet the requirements of the task. As a result, the student earns 0 points for the majority of the tasks and 6 points for the task of visualizing predictions.
Breakdown:
- Task 1: Dataset Class: 0.0/?
- Task 2: Model Class: 0.0/?
- Task 3: Training and Validation Loops: 0.0/?
- Task 4: Running Training: 0.0/?
- Task 5: Visualizing Predictions: 6.0/?</t>
        </is>
      </c>
      <c r="AE200" t="n">
        <v>0</v>
      </c>
      <c r="AF200" t="n">
        <v>0</v>
      </c>
      <c r="AG200" t="inlineStr">
        <is>
          <t>No submission found.</t>
        </is>
      </c>
      <c r="AH200" t="n">
        <v>16</v>
      </c>
      <c r="AI200" t="n">
        <v>0</v>
      </c>
    </row>
    <row r="201">
      <c r="A201" t="n">
        <v>200</v>
      </c>
      <c r="B201" t="inlineStr">
        <is>
          <t>TA_4</t>
        </is>
      </c>
      <c r="C201" t="inlineStr">
        <is>
          <t>TA_14</t>
        </is>
      </c>
      <c r="D201" t="n">
        <v>4.5</v>
      </c>
      <c r="E201" t="n">
        <v>0</v>
      </c>
      <c r="F201" t="n">
        <v>6.5</v>
      </c>
      <c r="G201" t="n">
        <v>0</v>
      </c>
      <c r="H201" t="n">
        <v>6.5</v>
      </c>
      <c r="I201" t="n">
        <v>0</v>
      </c>
      <c r="J201" t="n">
        <v>0.5</v>
      </c>
      <c r="K201" t="n">
        <v>0</v>
      </c>
      <c r="L201" t="n">
        <v>5.5</v>
      </c>
      <c r="M201" t="n">
        <v>0</v>
      </c>
      <c r="N201" t="n">
        <v>4</v>
      </c>
      <c r="O201" t="n">
        <v>0</v>
      </c>
      <c r="P201">
        <f>Table1[[#This Row],[TA 1 - Q1 Score]]+Table1[[#This Row],[TA 1 - Q2 Score]]+Table1[[#This Row],[TA 1 - Q3 Score]]</f>
        <v/>
      </c>
      <c r="Q201">
        <f>Table1[[#This Row],[TA 1 - Q1 Bonus]]+Table1[[#This Row],[TA 1 - Q2 Bonus]]+Table1[[#This Row],[TA 1 - Q4 Bonus]]</f>
        <v/>
      </c>
      <c r="R201">
        <f>Table1[[#This Row],[TA 2 - Q1 Score]]+Table1[[#This Row],[TA 2 - Q2 Score]]+Table1[[#This Row],[TA 2 - Q3 Score]]</f>
        <v/>
      </c>
      <c r="S201">
        <f>Table1[[#This Row],[TA 2 - Q1 Bonus]]+Table1[[#This Row],[TA 2 - Q2 Bonus]]+Table1[[#This Row],[TA 2 - Q4 Bonus]]</f>
        <v/>
      </c>
      <c r="T201">
        <f>(Table1[[#This Row],[TA 1 - Total Score (out of 35)]]+Table1[[#This Row],[TA 2 - Total Score (out of 35)]])/2</f>
        <v/>
      </c>
      <c r="U201">
        <f>(Table1[[#This Row],[TA 1 - Total Bonus (out of 13)]]+Table1[[#This Row],[TA 2 - Total Bonus (out of 13)]])/2</f>
        <v/>
      </c>
      <c r="V201">
        <f>Table1[[#This Row],[Average Questions]]/35*20+Table1[[#This Row],[Average Bonus]]/13*5</f>
        <v/>
      </c>
      <c r="W201" t="n">
        <v>6</v>
      </c>
      <c r="X201" t="n">
        <v>0</v>
      </c>
      <c r="Y201" t="inlineStr">
        <is>
          <t>The student failed to complete the data loading and preparation, model adaptation, and training and validation functions tasks. The training task was partially completed, but the student did not implement test time augmentation correctly. The student's code had several syntax and logic mistakes, and they failed to follow the instructions for the dataset and model.
Breakdown:
- Part 1: Load and Prepare Data: 0.0/?
- Part 2: Load Pretrained Model and Adapt: 0.0/?
- Part 3: Training and Validation Functions: 0.0/?
- Part 4: Training: 2.5/?
- Part 5: Bonus — Test Time Augmentation: 0.0/?</t>
        </is>
      </c>
      <c r="Z201" t="n">
        <v>4</v>
      </c>
      <c r="AA201" t="n">
        <v>0</v>
      </c>
      <c r="AB201"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not organized and does not follow the structure of the reference solution. As a result, the student did not earn any points for this task.
Breakdown:
- Part 1: Load and Prepare Data: 0.0/?
- Part 2: Build the CNN Model: 0.0/?
- Part 3: Training and Validation Functions: 0.0/?
- Part 4: Training: 0.0/?
- Part 5: Bonus — Residual Connection: 0.0/?</t>
        </is>
      </c>
      <c r="AC201" t="n">
        <v>6</v>
      </c>
      <c r="AD201" t="inlineStr">
        <is>
          <t>The student's submission was incomplete and lacked code for several tasks. While the code for visualizing predictions was mostly correct, it did not run end-to-end due to missing imports and incorrect usage of the model. As a result, the student was awarded 0 points for the first four tasks and 6 points for the fifth task.
Breakdown:
- Task 1: Dataset Class: 0.0/?
- Task 2: Model Class: 0.0/?
- Task 3: Training and Validation Loops: 0.0/?
- Task 4: Running Training: 0.0/?
- Task 5: Visualizing Predictions: 6.0/?</t>
        </is>
      </c>
      <c r="AE201" t="n">
        <v>0</v>
      </c>
      <c r="AF201" t="n">
        <v>0</v>
      </c>
      <c r="AG201" t="inlineStr">
        <is>
          <t>The student's submission does not implement the `ColorizationDataset` class correctly. The `__init__` method is not used to store the dataset, and the `rgb_to_grayscale` method is not used to convert an RGB image to grayscale. The `__getitem__` method returns an image and a label instead of a grayscale image and a color image. Therefore, the student does not receive any points for this task.
Breakdown:
- Correctly implemented `ColorizationDataset` class:: 0.0/?
- Any mistake in implementation: 0.0/?</t>
        </is>
      </c>
      <c r="AH201" t="n">
        <v>16</v>
      </c>
      <c r="AI201" t="n">
        <v>0</v>
      </c>
    </row>
    <row r="202">
      <c r="A202" t="n">
        <v>201</v>
      </c>
      <c r="B202" t="inlineStr">
        <is>
          <t>TA_4</t>
        </is>
      </c>
      <c r="C202" t="inlineStr">
        <is>
          <t>TA_14</t>
        </is>
      </c>
      <c r="D202" t="n">
        <v>4.5</v>
      </c>
      <c r="E202" t="n">
        <v>0</v>
      </c>
      <c r="F202" t="n">
        <v>9</v>
      </c>
      <c r="G202" t="n">
        <v>0</v>
      </c>
      <c r="H202" t="n">
        <v>6.5</v>
      </c>
      <c r="I202" t="n">
        <v>0</v>
      </c>
      <c r="J202" t="n">
        <v>9.5</v>
      </c>
      <c r="K202" t="n">
        <v>0</v>
      </c>
      <c r="L202" t="n">
        <v>8.5</v>
      </c>
      <c r="M202" t="n">
        <v>0</v>
      </c>
      <c r="N202" t="n">
        <v>6.75</v>
      </c>
      <c r="O202" t="n">
        <v>0</v>
      </c>
      <c r="P202">
        <f>Table1[[#This Row],[TA 1 - Q1 Score]]+Table1[[#This Row],[TA 1 - Q2 Score]]+Table1[[#This Row],[TA 1 - Q3 Score]]</f>
        <v/>
      </c>
      <c r="Q202">
        <f>Table1[[#This Row],[TA 1 - Q1 Bonus]]+Table1[[#This Row],[TA 1 - Q2 Bonus]]+Table1[[#This Row],[TA 1 - Q4 Bonus]]</f>
        <v/>
      </c>
      <c r="R202">
        <f>Table1[[#This Row],[TA 2 - Q1 Score]]+Table1[[#This Row],[TA 2 - Q2 Score]]+Table1[[#This Row],[TA 2 - Q3 Score]]</f>
        <v/>
      </c>
      <c r="S202">
        <f>Table1[[#This Row],[TA 2 - Q1 Bonus]]+Table1[[#This Row],[TA 2 - Q2 Bonus]]+Table1[[#This Row],[TA 2 - Q4 Bonus]]</f>
        <v/>
      </c>
      <c r="T202">
        <f>(Table1[[#This Row],[TA 1 - Total Score (out of 35)]]+Table1[[#This Row],[TA 2 - Total Score (out of 35)]])/2</f>
        <v/>
      </c>
      <c r="U202">
        <f>(Table1[[#This Row],[TA 1 - Total Bonus (out of 13)]]+Table1[[#This Row],[TA 2 - Total Bonus (out of 13)]])/2</f>
        <v/>
      </c>
      <c r="V202">
        <f>Table1[[#This Row],[Average Questions]]/35*20+Table1[[#This Row],[Average Bonus]]/13*5</f>
        <v/>
      </c>
      <c r="W202" t="n">
        <v>6</v>
      </c>
      <c r="X202" t="n">
        <v>0</v>
      </c>
      <c r="Y202" t="inlineStr">
        <is>
          <t>The student's submission failed to complete several key tasks, including loading and preparing the data, loading the pretrained model and adapting it, and training the model. While the student attempted to implement the training and validation functions, their code contained significant errors, including incorrect usage of the Adam optimizer and incorrect handling of the labels. The student's submission also failed to implement test time augmentation, a key bonus task. As a result, the student's score is significantly lower than the maximum possible score.
Breakdown:
- Part 1: Load and Prepare Data: 0.0/?
- Part 2: Load Pretrained Model and Adapt: 0.0/?
- Part 3: Training and Validation Functions: 1.5/?
- Part 4: Training: 0.0/?
- Part 5: Bonus — Test Time Augmentation: 0.0/?</t>
        </is>
      </c>
      <c r="Z202" t="n">
        <v>4</v>
      </c>
      <c r="AA202" t="n">
        <v>0</v>
      </c>
      <c r="AB202"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02" t="n">
        <v>6</v>
      </c>
      <c r="AD202" t="inlineStr">
        <is>
          <t>The student's submission failed to meet the requirements of several tasks. The dataset class was not implemented correctly, and the model class used a different encoder. The training and validation loops were also not implemented correctly, and the training process did not print the training and validation losses. Finally, the predictions were not visualized correctly, and the ground truth and prediction masks were not displayed for multiple images.
Breakdown:
- Task 1: Dataset Class: 0.0/?
- Task 2: Model Class: 0.0/?
- Task 3: Training and Validation Loops: 0.0/?
- Task 4: Running Training: 0.0/?
- Task 5: Visualizing Predictions: 0.0/?</t>
        </is>
      </c>
      <c r="AE202" t="n">
        <v>0</v>
      </c>
      <c r="AF202" t="n">
        <v>0</v>
      </c>
      <c r="AG202" t="inlineStr">
        <is>
          <t>No submission found.</t>
        </is>
      </c>
      <c r="AH202" t="n">
        <v>16</v>
      </c>
      <c r="AI202" t="n">
        <v>0</v>
      </c>
    </row>
    <row r="203">
      <c r="A203" t="n">
        <v>202</v>
      </c>
      <c r="B203" t="inlineStr">
        <is>
          <t>TA_4</t>
        </is>
      </c>
      <c r="C203" t="inlineStr">
        <is>
          <t>TA_14</t>
        </is>
      </c>
      <c r="D203" t="n">
        <v>12</v>
      </c>
      <c r="E203" t="n">
        <v>0</v>
      </c>
      <c r="F203" t="n">
        <v>11</v>
      </c>
      <c r="G203" t="n">
        <v>0</v>
      </c>
      <c r="H203" t="n">
        <v>8</v>
      </c>
      <c r="I203" t="n">
        <v>0</v>
      </c>
      <c r="J203" t="n">
        <v>12</v>
      </c>
      <c r="K203" t="n">
        <v>0</v>
      </c>
      <c r="L203" t="n">
        <v>10</v>
      </c>
      <c r="M203" t="n">
        <v>0</v>
      </c>
      <c r="N203" t="n">
        <v>6.5</v>
      </c>
      <c r="O203" t="n">
        <v>0</v>
      </c>
      <c r="P203">
        <f>Table1[[#This Row],[TA 1 - Q1 Score]]+Table1[[#This Row],[TA 1 - Q2 Score]]+Table1[[#This Row],[TA 1 - Q3 Score]]</f>
        <v/>
      </c>
      <c r="Q203">
        <f>Table1[[#This Row],[TA 1 - Q1 Bonus]]+Table1[[#This Row],[TA 1 - Q2 Bonus]]+Table1[[#This Row],[TA 1 - Q4 Bonus]]</f>
        <v/>
      </c>
      <c r="R203">
        <f>Table1[[#This Row],[TA 2 - Q1 Score]]+Table1[[#This Row],[TA 2 - Q2 Score]]+Table1[[#This Row],[TA 2 - Q3 Score]]</f>
        <v/>
      </c>
      <c r="S203">
        <f>Table1[[#This Row],[TA 2 - Q1 Bonus]]+Table1[[#This Row],[TA 2 - Q2 Bonus]]+Table1[[#This Row],[TA 2 - Q4 Bonus]]</f>
        <v/>
      </c>
      <c r="T203">
        <f>(Table1[[#This Row],[TA 1 - Total Score (out of 35)]]+Table1[[#This Row],[TA 2 - Total Score (out of 35)]])/2</f>
        <v/>
      </c>
      <c r="U203">
        <f>(Table1[[#This Row],[TA 1 - Total Bonus (out of 13)]]+Table1[[#This Row],[TA 2 - Total Bonus (out of 13)]])/2</f>
        <v/>
      </c>
      <c r="V203">
        <f>Table1[[#This Row],[Average Questions]]/35*20+Table1[[#This Row],[Average Bonus]]/13*5</f>
        <v/>
      </c>
      <c r="W203" t="n">
        <v>6</v>
      </c>
      <c r="X203" t="n">
        <v>0</v>
      </c>
      <c r="Y20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203" t="n">
        <v>4</v>
      </c>
      <c r="AA203" t="n">
        <v>0</v>
      </c>
      <c r="AB203" t="inlineStr">
        <is>
          <t>The submission failed to load and prepare the data correctly, as the dataset class was not implemented. The CNN model was not built with the required 5 convolutional layers. The training and validation functions were not defined. The model was not trained, and the losses and accuracy were not plotted. The bonus task of adding a residual connection was not attempted.
Breakdown:
- Part 1: Load and Prepare Data: 0.0/?
- Part 2: Build the CNN Model: 0.0/?
- Part 3: Training and Validation Functions: 0.0/?
- Part 4: Training: 0.0/?
- Part 5: Bonus — Residual Connection: 0.0/?</t>
        </is>
      </c>
      <c r="AC203" t="n">
        <v>6</v>
      </c>
      <c r="AD203"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03" t="n">
        <v>0</v>
      </c>
      <c r="AF203" t="n">
        <v>0</v>
      </c>
      <c r="AG203" t="inlineStr">
        <is>
          <t>No submission found.</t>
        </is>
      </c>
      <c r="AH203" t="n">
        <v>16</v>
      </c>
      <c r="AI203" t="n">
        <v>0</v>
      </c>
    </row>
    <row r="204">
      <c r="A204" t="n">
        <v>203</v>
      </c>
      <c r="B204" t="inlineStr">
        <is>
          <t>TA_4</t>
        </is>
      </c>
      <c r="C204" t="inlineStr">
        <is>
          <t>TA_14</t>
        </is>
      </c>
      <c r="D204" t="n">
        <v>12</v>
      </c>
      <c r="E204" t="n">
        <v>4</v>
      </c>
      <c r="F204" t="n">
        <v>11</v>
      </c>
      <c r="G204" t="n">
        <v>4</v>
      </c>
      <c r="H204" t="n">
        <v>12</v>
      </c>
      <c r="I204" t="n">
        <v>5</v>
      </c>
      <c r="J204" t="n">
        <v>12</v>
      </c>
      <c r="K204" t="n">
        <v>4</v>
      </c>
      <c r="L204" t="n">
        <v>11</v>
      </c>
      <c r="M204" t="n">
        <v>4</v>
      </c>
      <c r="N204" t="n">
        <v>11.5</v>
      </c>
      <c r="O204" t="n">
        <v>5</v>
      </c>
      <c r="P204">
        <f>Table1[[#This Row],[TA 1 - Q1 Score]]+Table1[[#This Row],[TA 1 - Q2 Score]]+Table1[[#This Row],[TA 1 - Q3 Score]]</f>
        <v/>
      </c>
      <c r="Q204">
        <f>Table1[[#This Row],[TA 1 - Q1 Bonus]]+Table1[[#This Row],[TA 1 - Q2 Bonus]]+Table1[[#This Row],[TA 1 - Q4 Bonus]]</f>
        <v/>
      </c>
      <c r="R204">
        <f>Table1[[#This Row],[TA 2 - Q1 Score]]+Table1[[#This Row],[TA 2 - Q2 Score]]+Table1[[#This Row],[TA 2 - Q3 Score]]</f>
        <v/>
      </c>
      <c r="S204">
        <f>Table1[[#This Row],[TA 2 - Q1 Bonus]]+Table1[[#This Row],[TA 2 - Q2 Bonus]]+Table1[[#This Row],[TA 2 - Q4 Bonus]]</f>
        <v/>
      </c>
      <c r="T204">
        <f>(Table1[[#This Row],[TA 1 - Total Score (out of 35)]]+Table1[[#This Row],[TA 2 - Total Score (out of 35)]])/2</f>
        <v/>
      </c>
      <c r="U204">
        <f>(Table1[[#This Row],[TA 1 - Total Bonus (out of 13)]]+Table1[[#This Row],[TA 2 - Total Bonus (out of 13)]])/2</f>
        <v/>
      </c>
      <c r="V204">
        <f>Table1[[#This Row],[Average Questions]]/35*20+Table1[[#This Row],[Average Bonus]]/13*5</f>
        <v/>
      </c>
      <c r="W204" t="n">
        <v>6</v>
      </c>
      <c r="X204" t="n">
        <v>0</v>
      </c>
      <c r="Y20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3.0/?
- Part 5: Bonus — Test Time Augmentation: 0.0/?</t>
        </is>
      </c>
      <c r="Z204" t="n">
        <v>6</v>
      </c>
      <c r="AA204" t="n">
        <v>0</v>
      </c>
      <c r="AB204" t="inlineStr">
        <is>
          <t>The student's submission failed to load and prepare the data correctly, as the dataset class or ImageFolder was not implemented. The CNN model was not built with the required 5 convolutional layers, and batch normalization was not added. The training and validation functions were not defined. Although the student attempted to train the model, the training loop function was not implemented correctly. The bonus task of adding a residual connection was not attempted.
Breakdown:
- Part 1: Load and Prepare Data: 0.0/?
- Part 2: Build the CNN Model: 0.0/?
- Part 3: Training and Validation Functions: 0.0/?
- Part 4: Training: 1.0/?
- Part 5: Bonus — Residual Connection: 0.0/?</t>
        </is>
      </c>
      <c r="AC204" t="n">
        <v>6</v>
      </c>
      <c r="AD204" t="inlineStr">
        <is>
          <t>The student's submission failed to meet the requirements of the task. The code was not organized in the same structure as the reference solution, and several tasks were not implemented correctly. The student did not use the provided functions and did not follow the instructions. As a result, the student did not receive any points for this task.
Breakdown:
- Task 1: Dataset Class: 0.0/?
- Task 2: Model Class: 0.0/?
- Task 3: Training and Validation Loops: 0.0/?
- Task 4: Running Training: 0.0/?
- Task 5: Visualizing Predictions: 0.0/?</t>
        </is>
      </c>
      <c r="AE204" t="n">
        <v>0</v>
      </c>
      <c r="AF204" t="n">
        <v>1</v>
      </c>
      <c r="AG204" t="inlineStr">
        <is>
          <t>The student's submission demonstrates a good understanding of the ColorizationDataset class. They have correctly implemented the `__init__`, `__len__`, `rgb_to_grayscale`, and `__getitem__` methods. However, the `rgb_to_grayscale` method does not correctly apply the formula, resulting in a 25-75% score for that task. The student has also correctly implemented the visualization and DataLoader tests, but the `rgb_to_grayscale` method's mistake affects the overall score. The student has attempted to implement the task, but with a critical error, resulting in a 0% score for the bonus task.
Breakdown:
- Correctly implemented `ColorizationDataset` class: 4.0/?
- Any mistake in implementation: 0.0/?</t>
        </is>
      </c>
      <c r="AH204" t="n">
        <v>18</v>
      </c>
      <c r="AI204" t="n">
        <v>1</v>
      </c>
    </row>
    <row r="205">
      <c r="A205" t="n">
        <v>204</v>
      </c>
      <c r="B205" t="inlineStr">
        <is>
          <t>TA_4</t>
        </is>
      </c>
      <c r="C205" t="inlineStr">
        <is>
          <t>TA_14</t>
        </is>
      </c>
      <c r="D205" t="n">
        <v>12</v>
      </c>
      <c r="E205" t="n">
        <v>0</v>
      </c>
      <c r="F205" t="n">
        <v>9</v>
      </c>
      <c r="G205" t="n">
        <v>0</v>
      </c>
      <c r="H205" t="n">
        <v>7</v>
      </c>
      <c r="I205" t="n">
        <v>0</v>
      </c>
      <c r="J205" t="n">
        <v>12</v>
      </c>
      <c r="K205" t="n">
        <v>0</v>
      </c>
      <c r="L205" t="n">
        <v>9</v>
      </c>
      <c r="M205" t="n">
        <v>0</v>
      </c>
      <c r="N205" t="n">
        <v>7.5</v>
      </c>
      <c r="O205" t="n">
        <v>0</v>
      </c>
      <c r="P205">
        <f>Table1[[#This Row],[TA 1 - Q1 Score]]+Table1[[#This Row],[TA 1 - Q2 Score]]+Table1[[#This Row],[TA 1 - Q3 Score]]</f>
        <v/>
      </c>
      <c r="Q205">
        <f>Table1[[#This Row],[TA 1 - Q1 Bonus]]+Table1[[#This Row],[TA 1 - Q2 Bonus]]+Table1[[#This Row],[TA 1 - Q4 Bonus]]</f>
        <v/>
      </c>
      <c r="R205">
        <f>Table1[[#This Row],[TA 2 - Q1 Score]]+Table1[[#This Row],[TA 2 - Q2 Score]]+Table1[[#This Row],[TA 2 - Q3 Score]]</f>
        <v/>
      </c>
      <c r="S205">
        <f>Table1[[#This Row],[TA 2 - Q1 Bonus]]+Table1[[#This Row],[TA 2 - Q2 Bonus]]+Table1[[#This Row],[TA 2 - Q4 Bonus]]</f>
        <v/>
      </c>
      <c r="T205">
        <f>(Table1[[#This Row],[TA 1 - Total Score (out of 35)]]+Table1[[#This Row],[TA 2 - Total Score (out of 35)]])/2</f>
        <v/>
      </c>
      <c r="U205">
        <f>(Table1[[#This Row],[TA 1 - Total Bonus (out of 13)]]+Table1[[#This Row],[TA 2 - Total Bonus (out of 13)]])/2</f>
        <v/>
      </c>
      <c r="V205">
        <f>Table1[[#This Row],[Average Questions]]/35*20+Table1[[#This Row],[Average Bonus]]/13*5</f>
        <v/>
      </c>
      <c r="W205" t="n">
        <v>6</v>
      </c>
      <c r="X205" t="n">
        <v>0</v>
      </c>
      <c r="Y205" t="inlineStr">
        <is>
          <t>The student's submission failed to complete several key tasks, including loading and preparing the data, loading the pretrained model and adapting it, and implementing the training and validation functions. Although the student attempted to train the model and plot the losses and accuracy, their code contained several syntax and logic mistakes. The student did not implement the bonus task of test time augmentation. Overall, the submission demonstrates a lack of understanding of the required tasks and concepts.
Breakdown:
- Part 1: Load and Prepare Data: 0.0/?
- Part 2: Load Pretrained Model and Adapt: 0.0/?
- Part 3: Training and Validation Functions: 0.0/?
- Part 4: Training: 2.0/?
- Part 5: Bonus — Test Time Augmentation: 0.0/?</t>
        </is>
      </c>
      <c r="Z205" t="n">
        <v>4</v>
      </c>
      <c r="AA205" t="n">
        <v>0</v>
      </c>
      <c r="AB205"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add a residual connection to the model. As a result, the student did not earn any points for this task.
Breakdown:
- Part 1: Load and Prepare Data: 0.0/?
- Part 2: Build the CNN Model: 0.0/?
- Part 3: Training and Validation Functions: 0.0/?
- Part 4: Training: 0.0/?
- Part 5: Bonus — Residual Connection: 0.0/?</t>
        </is>
      </c>
      <c r="AC205" t="n">
        <v>6</v>
      </c>
      <c r="AD205" t="inlineStr">
        <is>
          <t>The student's submission failed to meet the requirements of the task, with significant errors and omissions in the code. The student failed to create a custom dataset class, define the model class, define the training and validation loops, and train the model. The code is disorganized and does not follow the reference solution. As a result, the student's submission does not meet the requirements of the task and does not demonstrate a clear understanding of the concepts.
Breakdown:
- Task 1: Dataset Class: 0.0/?
- Task 2: Model Class: 0.0/?
- Task 3: Training and Validation Loops: 0.0/?
- Task 4: Running Training: 0.0/?
- Task 5: Visualizing Predictions: 0.0/?</t>
        </is>
      </c>
      <c r="AE205" t="n">
        <v>0</v>
      </c>
      <c r="AF205" t="n">
        <v>0</v>
      </c>
      <c r="AG205" t="inlineStr">
        <is>
          <t>No submission found.</t>
        </is>
      </c>
      <c r="AH205" t="n">
        <v>16</v>
      </c>
      <c r="AI205" t="n">
        <v>0</v>
      </c>
    </row>
    <row r="206">
      <c r="A206" t="n">
        <v>205</v>
      </c>
      <c r="B206" t="inlineStr">
        <is>
          <t>TA_4</t>
        </is>
      </c>
      <c r="C206" t="inlineStr">
        <is>
          <t>TA_14</t>
        </is>
      </c>
      <c r="D206" t="n">
        <v>7</v>
      </c>
      <c r="E206" t="n">
        <v>0</v>
      </c>
      <c r="F206" t="n">
        <v>6.5</v>
      </c>
      <c r="G206" t="n">
        <v>0</v>
      </c>
      <c r="H206" t="n">
        <v>8</v>
      </c>
      <c r="I206" t="n">
        <v>0</v>
      </c>
      <c r="J206" t="n">
        <v>6.25</v>
      </c>
      <c r="K206" t="n">
        <v>0</v>
      </c>
      <c r="L206" t="n">
        <v>5.5</v>
      </c>
      <c r="M206" t="n">
        <v>0</v>
      </c>
      <c r="N206" t="n">
        <v>3.75</v>
      </c>
      <c r="O206" t="n">
        <v>0</v>
      </c>
      <c r="P206">
        <f>Table1[[#This Row],[TA 1 - Q1 Score]]+Table1[[#This Row],[TA 1 - Q2 Score]]+Table1[[#This Row],[TA 1 - Q3 Score]]</f>
        <v/>
      </c>
      <c r="Q206">
        <f>Table1[[#This Row],[TA 1 - Q1 Bonus]]+Table1[[#This Row],[TA 1 - Q2 Bonus]]+Table1[[#This Row],[TA 1 - Q4 Bonus]]</f>
        <v/>
      </c>
      <c r="R206">
        <f>Table1[[#This Row],[TA 2 - Q1 Score]]+Table1[[#This Row],[TA 2 - Q2 Score]]+Table1[[#This Row],[TA 2 - Q3 Score]]</f>
        <v/>
      </c>
      <c r="S206">
        <f>Table1[[#This Row],[TA 2 - Q1 Bonus]]+Table1[[#This Row],[TA 2 - Q2 Bonus]]+Table1[[#This Row],[TA 2 - Q4 Bonus]]</f>
        <v/>
      </c>
      <c r="T206">
        <f>(Table1[[#This Row],[TA 1 - Total Score (out of 35)]]+Table1[[#This Row],[TA 2 - Total Score (out of 35)]])/2</f>
        <v/>
      </c>
      <c r="U206">
        <f>(Table1[[#This Row],[TA 1 - Total Bonus (out of 13)]]+Table1[[#This Row],[TA 2 - Total Bonus (out of 13)]])/2</f>
        <v/>
      </c>
      <c r="V206">
        <f>Table1[[#This Row],[Average Questions]]/35*20+Table1[[#This Row],[Average Bonus]]/13*5</f>
        <v/>
      </c>
      <c r="W206" t="n">
        <v>6</v>
      </c>
      <c r="X206" t="n">
        <v>0</v>
      </c>
      <c r="Y206" t="inlineStr">
        <is>
          <t>The student's submission failed to complete several key tasks, including loading and preparing the data, loading a pretrained model and adapting it, and implementing training and validation functions. While the student did attempt to train the model, their implementation was incomplete and did not follow the reference solution. As a result, the student did not earn any points for the base tasks, and their bonus task was also not completed.
Breakdown:
- Part 1: Load and Prepare Data: 0.0/?
- Part 2: Load Pretrained Model and Adapt: 0.0/?
- Part 3: Training and Validation Functions: 0.0/?
- Part 4: Training: 2.0/?
- Part 5: Bonus — Test Time Augmentation: 0.0/?</t>
        </is>
      </c>
      <c r="Z206" t="n">
        <v>4</v>
      </c>
      <c r="AA206" t="n">
        <v>0</v>
      </c>
      <c r="AB20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points for each task, resulting in a total score of 0.
Breakdown:
- Part 1: Load and Prepare Data: 0.0/?
- Part 2: Build the CNN Model: 0.0/?
- Part 3: Training and Validation Functions: 0.0/?
- Part 4: Training: 0.0/?
- Part 5: Bonus — Residual Connection: 0.0/?</t>
        </is>
      </c>
      <c r="AC206" t="n">
        <v>6</v>
      </c>
      <c r="AD206" t="inlineStr">
        <is>
          <t>The student's submission failed to meet the requirements of the task. The code was not able to run end-to-end and did not produce the correct output. The student attempted to define the dataset class, model class, training and validation loops, running training, and visualizing predictions, but the code was incorrect and did not meet the requirements of the task. As a result, the student received 0 points for each task.
Breakdown:
- Task 1: Dataset Class: 0.0/?
- Task 2: Model Class: 0.0/?
- Task 3: Training and Validation Loops: 0.0/?
- Task 4: Running Training: 0.0/?
- Task 5: Visualizing Predictions: 0.0/?</t>
        </is>
      </c>
      <c r="AE206" t="n">
        <v>0</v>
      </c>
      <c r="AF206" t="n">
        <v>0</v>
      </c>
      <c r="AG206" t="inlineStr">
        <is>
          <t>No submission found.</t>
        </is>
      </c>
      <c r="AH206" t="n">
        <v>16</v>
      </c>
      <c r="AI206" t="n">
        <v>0</v>
      </c>
    </row>
    <row r="207">
      <c r="A207" t="n">
        <v>206</v>
      </c>
      <c r="B207" t="inlineStr">
        <is>
          <t>TA_4</t>
        </is>
      </c>
      <c r="C207" t="inlineStr">
        <is>
          <t>TA_14</t>
        </is>
      </c>
      <c r="D207" t="n">
        <v>12</v>
      </c>
      <c r="E207" t="n">
        <v>4</v>
      </c>
      <c r="F207" t="n">
        <v>11</v>
      </c>
      <c r="G207" t="n">
        <v>0</v>
      </c>
      <c r="H207" t="n">
        <v>12</v>
      </c>
      <c r="I207" t="n">
        <v>5</v>
      </c>
      <c r="J207" t="n">
        <v>12</v>
      </c>
      <c r="K207" t="n">
        <v>4</v>
      </c>
      <c r="L207" t="n">
        <v>11</v>
      </c>
      <c r="M207" t="n">
        <v>0</v>
      </c>
      <c r="N207" t="n">
        <v>12</v>
      </c>
      <c r="O207" t="n">
        <v>5</v>
      </c>
      <c r="P207">
        <f>Table1[[#This Row],[TA 1 - Q1 Score]]+Table1[[#This Row],[TA 1 - Q2 Score]]+Table1[[#This Row],[TA 1 - Q3 Score]]</f>
        <v/>
      </c>
      <c r="Q207">
        <f>Table1[[#This Row],[TA 1 - Q1 Bonus]]+Table1[[#This Row],[TA 1 - Q2 Bonus]]+Table1[[#This Row],[TA 1 - Q4 Bonus]]</f>
        <v/>
      </c>
      <c r="R207">
        <f>Table1[[#This Row],[TA 2 - Q1 Score]]+Table1[[#This Row],[TA 2 - Q2 Score]]+Table1[[#This Row],[TA 2 - Q3 Score]]</f>
        <v/>
      </c>
      <c r="S207">
        <f>Table1[[#This Row],[TA 2 - Q1 Bonus]]+Table1[[#This Row],[TA 2 - Q2 Bonus]]+Table1[[#This Row],[TA 2 - Q4 Bonus]]</f>
        <v/>
      </c>
      <c r="T207">
        <f>(Table1[[#This Row],[TA 1 - Total Score (out of 35)]]+Table1[[#This Row],[TA 2 - Total Score (out of 35)]])/2</f>
        <v/>
      </c>
      <c r="U207">
        <f>(Table1[[#This Row],[TA 1 - Total Bonus (out of 13)]]+Table1[[#This Row],[TA 2 - Total Bonus (out of 13)]])/2</f>
        <v/>
      </c>
      <c r="V207">
        <f>Table1[[#This Row],[Average Questions]]/35*20+Table1[[#This Row],[Average Bonus]]/13*5</f>
        <v/>
      </c>
      <c r="W207" t="n">
        <v>6</v>
      </c>
      <c r="X207" t="n">
        <v>0</v>
      </c>
      <c r="Y207" t="inlineStr">
        <is>
          <t>The student failed to complete the required tasks for loading and preparing data, loading a pretrained model, and training the model. The training and validation functions were partially implemented, but the student failed to fix the labels for 0-indexing. The bonus task of test time augmentation was not implemented.
Breakdown:
- Part 1: Load and Prepare Data: 0.0/?
- Part 2: Load Pretrained Model and Adapt: 0.0/?
- Part 3: Training and Validation Functions: 1.5/?
- Part 4: Training: 0.0/?
- Part 5: Bonus — Test Time Augmentation: 0.0/?</t>
        </is>
      </c>
      <c r="Z207" t="n">
        <v>6</v>
      </c>
      <c r="AA207" t="n">
        <v>0</v>
      </c>
      <c r="AB20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207" t="n">
        <v>6</v>
      </c>
      <c r="AD207" t="inlineStr">
        <is>
          <t>The student's submission failed to meet the requirements of the task. The code was not organized in a way that allowed it to run end-to-end, and several key components were missing or incorrect. The student attempted to implement some tasks, but the code contained syntax and logic mistakes. Overall, the submission did not demonstrate a clear understanding of the task requirements.
Breakdown:
- Task 1: Dataset Class: 0.0/?
- Task 2: Model Class: 0.0/?
- Task 3: Training and Validation Loops: 0.0/?
- Task 4: Running Training: 0.0/?
- Task 5: Visualizing Predictions: 0.0/?</t>
        </is>
      </c>
      <c r="AE207" t="n">
        <v>0</v>
      </c>
      <c r="AF207" t="n">
        <v>0</v>
      </c>
      <c r="AG207" t="inlineStr">
        <is>
          <t>The student's submission failed to implement the `ColorizationDataset` class correctly, resulting in a score of 0.0 for the base task. The `rgb_to_grayscale` method has a logical mistake in the calculation of the grayscale value, which further reduces the score. As a result, the student did not earn any bonus points for this question.
Breakdown:
- Correctly implemented `ColorizationDataset` class:: 0.0/?</t>
        </is>
      </c>
      <c r="AH207" t="n">
        <v>18</v>
      </c>
      <c r="AI207" t="n">
        <v>0</v>
      </c>
    </row>
    <row r="208">
      <c r="A208" t="n">
        <v>207</v>
      </c>
      <c r="B208" t="inlineStr">
        <is>
          <t>TA_4</t>
        </is>
      </c>
      <c r="C208" t="inlineStr">
        <is>
          <t>TA_14</t>
        </is>
      </c>
      <c r="D208" t="n">
        <v>11</v>
      </c>
      <c r="E208" t="n">
        <v>4</v>
      </c>
      <c r="F208" t="n">
        <v>11</v>
      </c>
      <c r="G208" t="n">
        <v>4</v>
      </c>
      <c r="H208" t="n">
        <v>12</v>
      </c>
      <c r="I208" t="n">
        <v>5</v>
      </c>
      <c r="J208" t="n">
        <v>11</v>
      </c>
      <c r="K208" t="n">
        <v>4</v>
      </c>
      <c r="L208" t="n">
        <v>11</v>
      </c>
      <c r="M208" t="n">
        <v>0</v>
      </c>
      <c r="N208" t="n">
        <v>12</v>
      </c>
      <c r="O208" t="n">
        <v>0</v>
      </c>
      <c r="P208">
        <f>Table1[[#This Row],[TA 1 - Q1 Score]]+Table1[[#This Row],[TA 1 - Q2 Score]]+Table1[[#This Row],[TA 1 - Q3 Score]]</f>
        <v/>
      </c>
      <c r="Q208">
        <f>Table1[[#This Row],[TA 1 - Q1 Bonus]]+Table1[[#This Row],[TA 1 - Q2 Bonus]]+Table1[[#This Row],[TA 1 - Q4 Bonus]]</f>
        <v/>
      </c>
      <c r="R208">
        <f>Table1[[#This Row],[TA 2 - Q1 Score]]+Table1[[#This Row],[TA 2 - Q2 Score]]+Table1[[#This Row],[TA 2 - Q3 Score]]</f>
        <v/>
      </c>
      <c r="S208">
        <f>Table1[[#This Row],[TA 2 - Q1 Bonus]]+Table1[[#This Row],[TA 2 - Q2 Bonus]]+Table1[[#This Row],[TA 2 - Q4 Bonus]]</f>
        <v/>
      </c>
      <c r="T208">
        <f>(Table1[[#This Row],[TA 1 - Total Score (out of 35)]]+Table1[[#This Row],[TA 2 - Total Score (out of 35)]])/2</f>
        <v/>
      </c>
      <c r="U208">
        <f>(Table1[[#This Row],[TA 1 - Total Bonus (out of 13)]]+Table1[[#This Row],[TA 2 - Total Bonus (out of 13)]])/2</f>
        <v/>
      </c>
      <c r="V208">
        <f>Table1[[#This Row],[Average Questions]]/35*20+Table1[[#This Row],[Average Bonus]]/13*5</f>
        <v/>
      </c>
      <c r="W208" t="n">
        <v>9</v>
      </c>
      <c r="X208" t="n">
        <v>0</v>
      </c>
      <c r="Y208" t="inlineStr">
        <is>
          <t>The student's submission failed to complete several key tasks, including loading and preparing the data, loading a pretrained model and adapting it for the task, and implementing test time augmentation. While the student made an attempt at training and validation functions, the code contained syntax errors and did not run correctly. As a result, the student was unable to complete the training process and plot the losses and accuracy. The lack of correct implementation of these tasks resulted in a low overall score.
Breakdown:
- Part 1: Load and Prepare Data: 0.0/?
- Part 2: Load Pretrained Model and Adapt: 0.0/?
- Part 3: Training and Validation Functions: 1.5/?
- Part 4: Training: 2.5/?
- Part 5: Bonus — Test Time Augmentation: 0.0/?</t>
        </is>
      </c>
      <c r="Z208" t="n">
        <v>6</v>
      </c>
      <c r="AA208" t="n">
        <v>0</v>
      </c>
      <c r="AB208" t="inlineStr">
        <is>
          <t>The student's submission failed to meet the requirements for several tasks. In Part 1, the student failed to create a custom Dataset class or use ImageFolder, and did not display sample images with labels. In Part 2, the student did not build a CNN model with 5 convolutional layers. In Part 3, the student did not define the training loop function. In Part 4, the student only partially completed the task by setting up the device, model, loss, and optimizer, but did not train the model or plot the losses and accuracy. In Part 5, the student did not redefine the CNN model with a residual connection, retrain the model, or plot the losses and accuracy.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208" t="n">
        <v>6</v>
      </c>
      <c r="AD208" t="inlineStr">
        <is>
          <t>The student's submission failed to meet the requirements of the task. The code was not organized in a way that allowed it to run end-to-end, and several key components were missing or incorrect. The student attempted to define a dataset class, but it was not used correctly. The model class was not defined correctly, and the training and validation loops were not implemented. The loss and optimizer were not defined correctly, and the model was not trained. Finally, the predictions were not visualized correctly. Overall, the submission demonstrated a lack of understanding of the task requirements and a failure to implement key components.
Breakdown:
- Task 1: Dataset Class: 0.0/?
- Task 2: Model Class: 0.0/?
- Task 3: Training and Validation Loops: 0.0/?
- Task 4: Running Training: 0.0/?
- Task 5: Visualizing Predictions: 0.0/?</t>
        </is>
      </c>
      <c r="AE208" t="n">
        <v>0</v>
      </c>
      <c r="AF208" t="n">
        <v>0</v>
      </c>
      <c r="AG208" t="inlineStr">
        <is>
          <t>The student's submission for Question 4 is incomplete and contains several errors. The `ColorizationDataset` class is missing key methods, and the implementation of the `rgb_to_grayscale` method is incorrect. As a result, the submission does not meet the requirements of the task and does not award any points.
Breakdown:
- Correctly implemented `ColorizationDataset` class:: 0.0/?
- Any mistake in implementation: 0.0/?</t>
        </is>
      </c>
      <c r="AH208" t="n">
        <v>21</v>
      </c>
      <c r="AI208" t="n">
        <v>0</v>
      </c>
    </row>
    <row r="209">
      <c r="A209" t="n">
        <v>208</v>
      </c>
      <c r="B209" t="inlineStr">
        <is>
          <t>TA_4</t>
        </is>
      </c>
      <c r="C209" t="inlineStr">
        <is>
          <t>TA_14</t>
        </is>
      </c>
      <c r="D209" t="n">
        <v>12</v>
      </c>
      <c r="E209" t="n">
        <v>0</v>
      </c>
      <c r="F209" t="n">
        <v>9</v>
      </c>
      <c r="G209" t="n">
        <v>0</v>
      </c>
      <c r="H209" t="n">
        <v>12</v>
      </c>
      <c r="I209" t="n">
        <v>0</v>
      </c>
      <c r="J209" t="n">
        <v>12</v>
      </c>
      <c r="K209" t="n">
        <v>0</v>
      </c>
      <c r="L209" t="n">
        <v>9</v>
      </c>
      <c r="M209" t="n">
        <v>0</v>
      </c>
      <c r="N209" t="n">
        <v>12</v>
      </c>
      <c r="O209" t="n">
        <v>0</v>
      </c>
      <c r="P209">
        <f>Table1[[#This Row],[TA 1 - Q1 Score]]+Table1[[#This Row],[TA 1 - Q2 Score]]+Table1[[#This Row],[TA 1 - Q3 Score]]</f>
        <v/>
      </c>
      <c r="Q209">
        <f>Table1[[#This Row],[TA 1 - Q1 Bonus]]+Table1[[#This Row],[TA 1 - Q2 Bonus]]+Table1[[#This Row],[TA 1 - Q4 Bonus]]</f>
        <v/>
      </c>
      <c r="R209">
        <f>Table1[[#This Row],[TA 2 - Q1 Score]]+Table1[[#This Row],[TA 2 - Q2 Score]]+Table1[[#This Row],[TA 2 - Q3 Score]]</f>
        <v/>
      </c>
      <c r="S209">
        <f>Table1[[#This Row],[TA 2 - Q1 Bonus]]+Table1[[#This Row],[TA 2 - Q2 Bonus]]+Table1[[#This Row],[TA 2 - Q4 Bonus]]</f>
        <v/>
      </c>
      <c r="T209">
        <f>(Table1[[#This Row],[TA 1 - Total Score (out of 35)]]+Table1[[#This Row],[TA 2 - Total Score (out of 35)]])/2</f>
        <v/>
      </c>
      <c r="U209">
        <f>(Table1[[#This Row],[TA 1 - Total Bonus (out of 13)]]+Table1[[#This Row],[TA 2 - Total Bonus (out of 13)]])/2</f>
        <v/>
      </c>
      <c r="V209">
        <f>Table1[[#This Row],[Average Questions]]/35*20+Table1[[#This Row],[Average Bonus]]/13*5</f>
        <v/>
      </c>
      <c r="W209" t="n">
        <v>6</v>
      </c>
      <c r="X209" t="n">
        <v>0</v>
      </c>
      <c r="Y20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2.5/?
- Part 5: Bonus — Test Time Augmentation: 0.0/?</t>
        </is>
      </c>
      <c r="Z209" t="n">
        <v>4</v>
      </c>
      <c r="AA209" t="n">
        <v>0</v>
      </c>
      <c r="AB209"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09" t="n">
        <v>6</v>
      </c>
      <c r="AD209" t="inlineStr">
        <is>
          <t>The student's submission is incomplete and lacks code for several tasks. While they attempted to visualize predictions, their code is not fully functional and does not meet the requirements of the task. As a result, the student earns 0 points for the majority of the tasks and 6 points for the task of visualizing predictions.
Breakdown:
- Task 1: Dataset Class: 0.0/?
- Task 2: Model Class: 0.0/?
- Task 3: Training and Validation Loops: 0.0/?
- Task 4: Running Training: 0.0/?
- Task 5: Visualizing Predictions: 6.0/?</t>
        </is>
      </c>
      <c r="AE209" t="n">
        <v>0</v>
      </c>
      <c r="AF209" t="n">
        <v>0</v>
      </c>
      <c r="AG209" t="inlineStr">
        <is>
          <t>The student's submission does not meet the requirements of the task. The `ColorizationDataset` class is not implemented correctly, and the code has several syntax errors and logical mistakes. As a result, the student does not receive any points for this task.
Breakdown:
- Correctly implemented `ColorizationDataset` class:: 0.0/?</t>
        </is>
      </c>
      <c r="AH209" t="n">
        <v>16</v>
      </c>
      <c r="AI209" t="n">
        <v>0</v>
      </c>
    </row>
    <row r="210">
      <c r="A210" t="n">
        <v>209</v>
      </c>
      <c r="B210" t="inlineStr">
        <is>
          <t>TA_4</t>
        </is>
      </c>
      <c r="C210" t="inlineStr">
        <is>
          <t>TA_14</t>
        </is>
      </c>
      <c r="D210" t="n">
        <v>8</v>
      </c>
      <c r="E210" t="n">
        <v>0</v>
      </c>
      <c r="F210" t="n">
        <v>9</v>
      </c>
      <c r="G210" t="n">
        <v>0</v>
      </c>
      <c r="H210" t="n">
        <v>8</v>
      </c>
      <c r="I210" t="n">
        <v>0</v>
      </c>
      <c r="J210" t="n">
        <v>7.5</v>
      </c>
      <c r="K210" t="n">
        <v>0</v>
      </c>
      <c r="L210" t="n">
        <v>8.25</v>
      </c>
      <c r="M210" t="n">
        <v>0</v>
      </c>
      <c r="N210" t="n">
        <v>7.5</v>
      </c>
      <c r="O210" t="n">
        <v>0</v>
      </c>
      <c r="P210">
        <f>Table1[[#This Row],[TA 1 - Q1 Score]]+Table1[[#This Row],[TA 1 - Q2 Score]]+Table1[[#This Row],[TA 1 - Q3 Score]]</f>
        <v/>
      </c>
      <c r="Q210">
        <f>Table1[[#This Row],[TA 1 - Q1 Bonus]]+Table1[[#This Row],[TA 1 - Q2 Bonus]]+Table1[[#This Row],[TA 1 - Q4 Bonus]]</f>
        <v/>
      </c>
      <c r="R210">
        <f>Table1[[#This Row],[TA 2 - Q1 Score]]+Table1[[#This Row],[TA 2 - Q2 Score]]+Table1[[#This Row],[TA 2 - Q3 Score]]</f>
        <v/>
      </c>
      <c r="S210">
        <f>Table1[[#This Row],[TA 2 - Q1 Bonus]]+Table1[[#This Row],[TA 2 - Q2 Bonus]]+Table1[[#This Row],[TA 2 - Q4 Bonus]]</f>
        <v/>
      </c>
      <c r="T210">
        <f>(Table1[[#This Row],[TA 1 - Total Score (out of 35)]]+Table1[[#This Row],[TA 2 - Total Score (out of 35)]])/2</f>
        <v/>
      </c>
      <c r="U210">
        <f>(Table1[[#This Row],[TA 1 - Total Bonus (out of 13)]]+Table1[[#This Row],[TA 2 - Total Bonus (out of 13)]])/2</f>
        <v/>
      </c>
      <c r="V210">
        <f>Table1[[#This Row],[Average Questions]]/35*20+Table1[[#This Row],[Average Bonus]]/13*5</f>
        <v/>
      </c>
      <c r="W210" t="n">
        <v>6</v>
      </c>
      <c r="X210" t="n">
        <v>0</v>
      </c>
      <c r="Y210"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210" t="n">
        <v>4</v>
      </c>
      <c r="AA210" t="n">
        <v>0</v>
      </c>
      <c r="AB210"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210" t="n">
        <v>6</v>
      </c>
      <c r="AD210" t="inlineStr">
        <is>
          <t>The student's submission was incomplete and lacked code for several tasks. While the code for visualizing predictions was partially correct, it did not run end-to-end due to missing imports and incorrect usage of the model. As a result, the student was awarded 0 points for the majority of the tasks and 6 points for the task of visualizing predictions.
Breakdown:
- Task 1: Dataset Class: 0.0/?
- Task 2: Model Class: 0.0/?
- Task 3: Training and Validation Loops: 0.0/?
- Task 4: Running Training: 0.0/?
- Task 5: Visualizing Predictions: 6.0/?</t>
        </is>
      </c>
      <c r="AE210" t="n">
        <v>0</v>
      </c>
      <c r="AF210" t="n">
        <v>0</v>
      </c>
      <c r="AG210" t="inlineStr">
        <is>
          <t>No submission found.</t>
        </is>
      </c>
      <c r="AH210" t="n">
        <v>16</v>
      </c>
      <c r="AI210" t="n">
        <v>0</v>
      </c>
    </row>
    <row r="211">
      <c r="A211" t="n">
        <v>210</v>
      </c>
      <c r="B211" t="inlineStr">
        <is>
          <t>TA_4</t>
        </is>
      </c>
      <c r="C211" t="inlineStr">
        <is>
          <t>TA_14</t>
        </is>
      </c>
      <c r="D211" t="n">
        <v>11</v>
      </c>
      <c r="E211" t="n">
        <v>0</v>
      </c>
      <c r="F211" t="n">
        <v>11</v>
      </c>
      <c r="G211" t="n">
        <v>0</v>
      </c>
      <c r="H211" t="n">
        <v>9</v>
      </c>
      <c r="I211" t="n">
        <v>5</v>
      </c>
      <c r="J211" t="n">
        <v>11</v>
      </c>
      <c r="K211" t="n">
        <v>0</v>
      </c>
      <c r="L211" t="n">
        <v>10.5</v>
      </c>
      <c r="M211" t="n">
        <v>0</v>
      </c>
      <c r="N211" t="n">
        <v>8.5</v>
      </c>
      <c r="O211" t="n">
        <v>0</v>
      </c>
      <c r="P211">
        <f>Table1[[#This Row],[TA 1 - Q1 Score]]+Table1[[#This Row],[TA 1 - Q2 Score]]+Table1[[#This Row],[TA 1 - Q3 Score]]</f>
        <v/>
      </c>
      <c r="Q211">
        <f>Table1[[#This Row],[TA 1 - Q1 Bonus]]+Table1[[#This Row],[TA 1 - Q2 Bonus]]+Table1[[#This Row],[TA 1 - Q4 Bonus]]</f>
        <v/>
      </c>
      <c r="R211">
        <f>Table1[[#This Row],[TA 2 - Q1 Score]]+Table1[[#This Row],[TA 2 - Q2 Score]]+Table1[[#This Row],[TA 2 - Q3 Score]]</f>
        <v/>
      </c>
      <c r="S211">
        <f>Table1[[#This Row],[TA 2 - Q1 Bonus]]+Table1[[#This Row],[TA 2 - Q2 Bonus]]+Table1[[#This Row],[TA 2 - Q4 Bonus]]</f>
        <v/>
      </c>
      <c r="T211">
        <f>(Table1[[#This Row],[TA 1 - Total Score (out of 35)]]+Table1[[#This Row],[TA 2 - Total Score (out of 35)]])/2</f>
        <v/>
      </c>
      <c r="U211">
        <f>(Table1[[#This Row],[TA 1 - Total Bonus (out of 13)]]+Table1[[#This Row],[TA 2 - Total Bonus (out of 13)]])/2</f>
        <v/>
      </c>
      <c r="V211">
        <f>Table1[[#This Row],[Average Questions]]/35*20+Table1[[#This Row],[Average Bonus]]/13*5</f>
        <v/>
      </c>
      <c r="W211" t="n">
        <v>6</v>
      </c>
      <c r="X211" t="n">
        <v>0</v>
      </c>
      <c r="Y211" t="inlineStr">
        <is>
          <t>The student failed to complete the required tasks for loading and preparing data, loading a pretrained model, and adapting it. The training and validation functions were partially implemented, but the training process was not executed correctly. The bonus task of implementing test time augmentation was not attempted.
Breakdown:
- Part 1: Load and Prepare Data: 0.0/?
- Part 2: Load Pretrained Model and Adapt: 0.0/?
- Part 3: Training and Validation Functions: 1.5/?
- Part 4: Training: 0.0/?
- Part 5: Bonus — Test Time Augmentation: 0.0/?</t>
        </is>
      </c>
      <c r="Z211" t="n">
        <v>6</v>
      </c>
      <c r="AA211" t="n">
        <v>0</v>
      </c>
      <c r="AB21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not attempted at all. As a result, the student's score is limited to the points awarded for the training task, which was partially completed.
Breakdown:
- Part 1: Load and Prepare Data: 0.0/?
- Part 2: Build the CNN Model: 0.0/?
- Part 3: Training and Validation Functions: 0.0/?
- Part 4: Training: 2.0/?
- Part 5: Bonus — Residual Connection: 0.0/?</t>
        </is>
      </c>
      <c r="AC211" t="n">
        <v>6</v>
      </c>
      <c r="AD211" t="inlineStr">
        <is>
          <t>The student's submission was incomplete, with no code submitted for Tasks 1-4. However, the code for Task 5: Visualizing Predictions was correct and ran, earning 6 points. The student's approach to the other tasks was not attempted, resulting in a score of 0 for each of those tasks.
Breakdown:
- Task 1: Dataset Class: 0.0/?
- Task 2: Model Class: 0.0/?
- Task 3: Training and Validation Loops: 0.0/?
- Task 4: Running Training: 0.0/?
- Task 5: Visualizing Predictions: 6.0/?</t>
        </is>
      </c>
      <c r="AE211" t="n">
        <v>0</v>
      </c>
      <c r="AF211" t="n">
        <v>0</v>
      </c>
      <c r="AG211" t="inlineStr">
        <is>
          <t>The student's submission does not meet the requirements of the task. The `ColorizationDataset` class is not correctly implemented, and the `rgb_to_grayscale` method does not handle the channel dimension. The `__getitem__` method does not return the grayscale image. As a result, the submission does not run end-to-end and does not produce the correct output.
Breakdown:
- Correctly implemented `ColorizationDataset` class:: 0.0/?
- Any mistake in implementation: 0.0/?</t>
        </is>
      </c>
      <c r="AH211" t="n">
        <v>18</v>
      </c>
      <c r="AI211" t="n">
        <v>0</v>
      </c>
    </row>
    <row r="212">
      <c r="A212" t="n">
        <v>211</v>
      </c>
      <c r="B212" t="inlineStr">
        <is>
          <t>TA_4</t>
        </is>
      </c>
      <c r="C212" t="inlineStr">
        <is>
          <t>TA_14</t>
        </is>
      </c>
      <c r="D212" t="n">
        <v>6.5</v>
      </c>
      <c r="E212" t="n">
        <v>0</v>
      </c>
      <c r="F212" t="n">
        <v>8</v>
      </c>
      <c r="G212" t="n">
        <v>0</v>
      </c>
      <c r="H212" t="n">
        <v>11</v>
      </c>
      <c r="I212" t="n">
        <v>0</v>
      </c>
      <c r="J212" t="n">
        <v>6.5</v>
      </c>
      <c r="K212" t="n">
        <v>0</v>
      </c>
      <c r="L212" t="n">
        <v>8</v>
      </c>
      <c r="M212" t="n">
        <v>0</v>
      </c>
      <c r="N212" t="n">
        <v>11.5</v>
      </c>
      <c r="O212" t="n">
        <v>0</v>
      </c>
      <c r="P212">
        <f>Table1[[#This Row],[TA 1 - Q1 Score]]+Table1[[#This Row],[TA 1 - Q2 Score]]+Table1[[#This Row],[TA 1 - Q3 Score]]</f>
        <v/>
      </c>
      <c r="Q212">
        <f>Table1[[#This Row],[TA 1 - Q1 Bonus]]+Table1[[#This Row],[TA 1 - Q2 Bonus]]+Table1[[#This Row],[TA 1 - Q4 Bonus]]</f>
        <v/>
      </c>
      <c r="R212">
        <f>Table1[[#This Row],[TA 2 - Q1 Score]]+Table1[[#This Row],[TA 2 - Q2 Score]]+Table1[[#This Row],[TA 2 - Q3 Score]]</f>
        <v/>
      </c>
      <c r="S212">
        <f>Table1[[#This Row],[TA 2 - Q1 Bonus]]+Table1[[#This Row],[TA 2 - Q2 Bonus]]+Table1[[#This Row],[TA 2 - Q4 Bonus]]</f>
        <v/>
      </c>
      <c r="T212">
        <f>(Table1[[#This Row],[TA 1 - Total Score (out of 35)]]+Table1[[#This Row],[TA 2 - Total Score (out of 35)]])/2</f>
        <v/>
      </c>
      <c r="U212">
        <f>(Table1[[#This Row],[TA 1 - Total Bonus (out of 13)]]+Table1[[#This Row],[TA 2 - Total Bonus (out of 13)]])/2</f>
        <v/>
      </c>
      <c r="V212">
        <f>Table1[[#This Row],[Average Questions]]/35*20+Table1[[#This Row],[Average Bonus]]/13*5</f>
        <v/>
      </c>
      <c r="W212" t="n">
        <v>6</v>
      </c>
      <c r="X212" t="n">
        <v>0</v>
      </c>
      <c r="Y212"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student's submission was awarded 0 points for several tasks, with the remaining points awarded for the training task. The student did not attempt the bonus task, so no bonus points were awarded.
Breakdown:
- Part 1: Load and Prepare Data: 0.0/?
- Part 2: Load Pretrained Model and Adapt: 0.0/?
- Part 3: Training and Validation Functions: 0.0/?
- Part 4: Training: 6.0/?
- Part 5: Bonus — Test Time Augmentation: 0.0/?</t>
        </is>
      </c>
      <c r="Z212" t="n">
        <v>4</v>
      </c>
      <c r="AA212" t="n">
        <v>0</v>
      </c>
      <c r="AB212"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disorganized and does not run end-to-end. As a result, the student receives 0% for each task.
Breakdown:
- Part 1: Load and Prepare Data: 0.0/?
- Part 2: Build the CNN Model: 0.0/?
- Part 3: Training and Validation Functions: 0.0/?
- Part 4: Training: 0.0/?
- Part 5: Bonus — Residual Connection: 0.0/?</t>
        </is>
      </c>
      <c r="AC212" t="n">
        <v>6</v>
      </c>
      <c r="AD212"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12" t="n">
        <v>0</v>
      </c>
      <c r="AF212" t="n">
        <v>0</v>
      </c>
      <c r="AG212" t="inlineStr">
        <is>
          <t>No submission found.</t>
        </is>
      </c>
      <c r="AH212" t="n">
        <v>16</v>
      </c>
      <c r="AI212" t="n">
        <v>0</v>
      </c>
    </row>
    <row r="213">
      <c r="A213" t="n">
        <v>212</v>
      </c>
      <c r="B213" t="inlineStr">
        <is>
          <t>TA_4</t>
        </is>
      </c>
      <c r="C213" t="inlineStr">
        <is>
          <t>TA_14</t>
        </is>
      </c>
      <c r="D213" t="n">
        <v>12</v>
      </c>
      <c r="E213" t="n">
        <v>4</v>
      </c>
      <c r="F213" t="n">
        <v>11</v>
      </c>
      <c r="G213" t="n">
        <v>0</v>
      </c>
      <c r="H213" t="n">
        <v>12</v>
      </c>
      <c r="I213" t="n">
        <v>0</v>
      </c>
      <c r="J213" t="n">
        <v>12</v>
      </c>
      <c r="K213" t="n">
        <v>4</v>
      </c>
      <c r="L213" t="n">
        <v>10.75</v>
      </c>
      <c r="M213" t="n">
        <v>4</v>
      </c>
      <c r="N213" t="n">
        <v>12</v>
      </c>
      <c r="O213" t="n">
        <v>0</v>
      </c>
      <c r="P213">
        <f>Table1[[#This Row],[TA 1 - Q1 Score]]+Table1[[#This Row],[TA 1 - Q2 Score]]+Table1[[#This Row],[TA 1 - Q3 Score]]</f>
        <v/>
      </c>
      <c r="Q213">
        <f>Table1[[#This Row],[TA 1 - Q1 Bonus]]+Table1[[#This Row],[TA 1 - Q2 Bonus]]+Table1[[#This Row],[TA 1 - Q4 Bonus]]</f>
        <v/>
      </c>
      <c r="R213">
        <f>Table1[[#This Row],[TA 2 - Q1 Score]]+Table1[[#This Row],[TA 2 - Q2 Score]]+Table1[[#This Row],[TA 2 - Q3 Score]]</f>
        <v/>
      </c>
      <c r="S213">
        <f>Table1[[#This Row],[TA 2 - Q1 Bonus]]+Table1[[#This Row],[TA 2 - Q2 Bonus]]+Table1[[#This Row],[TA 2 - Q4 Bonus]]</f>
        <v/>
      </c>
      <c r="T213">
        <f>(Table1[[#This Row],[TA 1 - Total Score (out of 35)]]+Table1[[#This Row],[TA 2 - Total Score (out of 35)]])/2</f>
        <v/>
      </c>
      <c r="U213">
        <f>(Table1[[#This Row],[TA 1 - Total Bonus (out of 13)]]+Table1[[#This Row],[TA 2 - Total Bonus (out of 13)]])/2</f>
        <v/>
      </c>
      <c r="V213">
        <f>Table1[[#This Row],[Average Questions]]/35*20+Table1[[#This Row],[Average Bonus]]/13*5</f>
        <v/>
      </c>
      <c r="W213" t="n">
        <v>9</v>
      </c>
      <c r="X213" t="n">
        <v>0</v>
      </c>
      <c r="Y213" t="inlineStr">
        <is>
          <t>The student's submission failed to complete several key tasks, including loading and preparing the data, loading the pretrained model and adapting it, and implementing test time augmentation. While they made an attempt at training and validation functions, their implementation was incomplete and did not follow the reference solution. As a result, the student was unable to achieve the full potential of the model and their submission was not evaluated for accuracy.
Breakdown:
- Part 1: Load and Prepare Data: 0.0/?
- Part 2: Load Pretrained Model and Adapt: 0.0/?
- Part 3: Training and Validation Functions: 1.5/?
- Part 4: Training: 2.5/?
- Part 5: Bonus — Test Time Augmentation: 0.0/?</t>
        </is>
      </c>
      <c r="Z213" t="n">
        <v>6</v>
      </c>
      <c r="AA213" t="n">
        <v>0</v>
      </c>
      <c r="AB21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As a result, the student's score is limited to the 2 points awarded for the training task.
Breakdown:
- Part 1: Load and Prepare Data: 0.0/?
- Part 2: Build the CNN Model: 0.0/?
- Part 3: Training and Validation Functions: 0.0/?
- Part 4: Training: 2.0/?
- Part 5: Bonus — Residual Connection: 0.0/?</t>
        </is>
      </c>
      <c r="AC213" t="n">
        <v>6</v>
      </c>
      <c r="AD213" t="inlineStr">
        <is>
          <t>The student's submission failed to meet the requirements of the task. They did not provide a correct dataset class, model class, training and validation loops, or a way to run the training process. Additionally, they did not visualize the predictions correctly. As a result, the student did not earn any points for this task.
Breakdown:
- Task 1: Dataset Class: 0.0/?
- Task 2: Model Class: 0.0/?
- Task 3: Training and Validation Loops: 0.0/?
- Task 4: Running Training: 0.0/?
- Task 5: Visualizing Predictions: 0.0/?</t>
        </is>
      </c>
      <c r="AE213" t="n">
        <v>0</v>
      </c>
      <c r="AF213" t="n">
        <v>0</v>
      </c>
      <c r="AG213" t="inlineStr">
        <is>
          <t>No submission found.</t>
        </is>
      </c>
      <c r="AH213" t="n">
        <v>21</v>
      </c>
      <c r="AI213" t="n">
        <v>0</v>
      </c>
    </row>
    <row r="214">
      <c r="A214" t="n">
        <v>213</v>
      </c>
      <c r="B214" t="inlineStr">
        <is>
          <t>TA_4</t>
        </is>
      </c>
      <c r="C214" t="inlineStr">
        <is>
          <t>TA_14</t>
        </is>
      </c>
      <c r="D214" t="n">
        <v>12</v>
      </c>
      <c r="E214" t="n">
        <v>4</v>
      </c>
      <c r="F214" t="n">
        <v>11</v>
      </c>
      <c r="G214" t="n">
        <v>4</v>
      </c>
      <c r="H214" t="n">
        <v>12</v>
      </c>
      <c r="I214" t="n">
        <v>5</v>
      </c>
      <c r="J214" t="n">
        <v>12</v>
      </c>
      <c r="K214" t="n">
        <v>4</v>
      </c>
      <c r="L214" t="n">
        <v>11</v>
      </c>
      <c r="M214" t="n">
        <v>4</v>
      </c>
      <c r="N214" t="n">
        <v>12</v>
      </c>
      <c r="O214" t="n">
        <v>5</v>
      </c>
      <c r="P214">
        <f>Table1[[#This Row],[TA 1 - Q1 Score]]+Table1[[#This Row],[TA 1 - Q2 Score]]+Table1[[#This Row],[TA 1 - Q3 Score]]</f>
        <v/>
      </c>
      <c r="Q214">
        <f>Table1[[#This Row],[TA 1 - Q1 Bonus]]+Table1[[#This Row],[TA 1 - Q2 Bonus]]+Table1[[#This Row],[TA 1 - Q4 Bonus]]</f>
        <v/>
      </c>
      <c r="R214">
        <f>Table1[[#This Row],[TA 2 - Q1 Score]]+Table1[[#This Row],[TA 2 - Q2 Score]]+Table1[[#This Row],[TA 2 - Q3 Score]]</f>
        <v/>
      </c>
      <c r="S214">
        <f>Table1[[#This Row],[TA 2 - Q1 Bonus]]+Table1[[#This Row],[TA 2 - Q2 Bonus]]+Table1[[#This Row],[TA 2 - Q4 Bonus]]</f>
        <v/>
      </c>
      <c r="T214">
        <f>(Table1[[#This Row],[TA 1 - Total Score (out of 35)]]+Table1[[#This Row],[TA 2 - Total Score (out of 35)]])/2</f>
        <v/>
      </c>
      <c r="U214">
        <f>(Table1[[#This Row],[TA 1 - Total Bonus (out of 13)]]+Table1[[#This Row],[TA 2 - Total Bonus (out of 13)]])/2</f>
        <v/>
      </c>
      <c r="V214">
        <f>Table1[[#This Row],[Average Questions]]/35*20+Table1[[#This Row],[Average Bonus]]/13*5</f>
        <v/>
      </c>
      <c r="W214" t="n">
        <v>6</v>
      </c>
      <c r="X214" t="n">
        <v>0</v>
      </c>
      <c r="Y214"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failed to run end-to-end. The bonus task,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214" t="n">
        <v>6</v>
      </c>
      <c r="AA214" t="n">
        <v>0</v>
      </c>
      <c r="AB214" t="inlineStr">
        <is>
          <t>The student's submission failed to address several key tasks, including loading and preparing the data, building the CNN model, and implementing training and validation functions. While the student did write code for the training process, it was not entirely correct. The bonus task of implementing a residual connection was also not attempted. Overall, the submission demonstrates a lack of understanding of the required tasks and concepts.
Breakdown:
- Part 1: Load and Prepare Data: 0.0/?
- Part 2: Build the CNN Model: 0.0/?
- Part 3: Training and Validation Functions: 0.0/?
- Part 4: Training: 2.0/?
- Part 5: Bonus — Residual Connection: 0.0/?</t>
        </is>
      </c>
      <c r="AC214" t="n">
        <v>6</v>
      </c>
      <c r="AD214" t="inlineStr">
        <is>
          <t>The student's submission was incomplete and lacked code for several tasks. While the code for visualizing predictions was mostly correct, it did not run end-to-end due to missing imports and incorrect usage of the model. As a result, the student was awarded 0 points for the first four tasks and 6 points for the fifth task.
Breakdown:
- Task 1: Dataset Class: 0.0/?
- Task 2: Model Class: 0.0/?
- Task 3: Training and Validation Loops: 0.0/?
- Task 4: Running Training: 0.0/?
- Task 5: Visualizing Predictions: 6.0/?</t>
        </is>
      </c>
      <c r="AE214" t="n">
        <v>0</v>
      </c>
      <c r="AF214" t="n">
        <v>0</v>
      </c>
      <c r="AG214" t="inlineStr">
        <is>
          <t>The student's submission does not fully implement the `ColorizationDataset` class. The `__init__` method is correct, but the `__len__` method does not return the correct length. The `rgb_to_grayscale` method has a syntax error and does not correctly convert the image to grayscale. The `__getitem__` method returns the grayscale and color images, but the visualization is not correct. Therefore, the student does not receive any points for this task.
Breakdown:
- Correctly implemented `ColorizationDataset` class:: 0.0/?</t>
        </is>
      </c>
      <c r="AH214" t="n">
        <v>18</v>
      </c>
      <c r="AI214" t="n">
        <v>0</v>
      </c>
    </row>
    <row r="215">
      <c r="A215" t="n">
        <v>214</v>
      </c>
      <c r="B215" t="inlineStr">
        <is>
          <t>TA_4</t>
        </is>
      </c>
      <c r="C215" t="inlineStr">
        <is>
          <t>TA_14</t>
        </is>
      </c>
      <c r="D215" t="n">
        <v>10.5</v>
      </c>
      <c r="E215" t="n">
        <v>0</v>
      </c>
      <c r="F215" t="n">
        <v>9</v>
      </c>
      <c r="G215" t="n">
        <v>0</v>
      </c>
      <c r="H215" t="n">
        <v>7.5</v>
      </c>
      <c r="I215" t="n">
        <v>0</v>
      </c>
      <c r="J215" t="n">
        <v>8.5</v>
      </c>
      <c r="K215" t="n">
        <v>0</v>
      </c>
      <c r="L215" t="n">
        <v>8.25</v>
      </c>
      <c r="M215" t="n">
        <v>0</v>
      </c>
      <c r="N215" t="n">
        <v>8</v>
      </c>
      <c r="O215" t="n">
        <v>0</v>
      </c>
      <c r="P215">
        <f>Table1[[#This Row],[TA 1 - Q1 Score]]+Table1[[#This Row],[TA 1 - Q2 Score]]+Table1[[#This Row],[TA 1 - Q3 Score]]</f>
        <v/>
      </c>
      <c r="Q215">
        <f>Table1[[#This Row],[TA 1 - Q1 Bonus]]+Table1[[#This Row],[TA 1 - Q2 Bonus]]+Table1[[#This Row],[TA 1 - Q4 Bonus]]</f>
        <v/>
      </c>
      <c r="R215">
        <f>Table1[[#This Row],[TA 2 - Q1 Score]]+Table1[[#This Row],[TA 2 - Q2 Score]]+Table1[[#This Row],[TA 2 - Q3 Score]]</f>
        <v/>
      </c>
      <c r="S215">
        <f>Table1[[#This Row],[TA 2 - Q1 Bonus]]+Table1[[#This Row],[TA 2 - Q2 Bonus]]+Table1[[#This Row],[TA 2 - Q4 Bonus]]</f>
        <v/>
      </c>
      <c r="T215">
        <f>(Table1[[#This Row],[TA 1 - Total Score (out of 35)]]+Table1[[#This Row],[TA 2 - Total Score (out of 35)]])/2</f>
        <v/>
      </c>
      <c r="U215">
        <f>(Table1[[#This Row],[TA 1 - Total Bonus (out of 13)]]+Table1[[#This Row],[TA 2 - Total Bonus (out of 13)]])/2</f>
        <v/>
      </c>
      <c r="V215">
        <f>Table1[[#This Row],[Average Questions]]/35*20+Table1[[#This Row],[Average Bonus]]/13*5</f>
        <v/>
      </c>
      <c r="W215" t="n">
        <v>6</v>
      </c>
      <c r="X215" t="n">
        <v>0</v>
      </c>
      <c r="Y215"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code had several syntax and logic mistakes. The bonus task of implementing test time augmentation was not attempted at all. Overall, the submission demonstrates a lack of understanding of the required tasks and concepts.
Breakdown:
- Part 1: Load and Prepare Data: 0.0/?
- Part 2: Load Pretrained Model and Adapt: 0.0/?
- Part 3: Training and Validation Functions: 0.0/?
- Part 4: Training: 2.0/?
- Part 5: Bonus — Test Time Augmentation: 0.0/?</t>
        </is>
      </c>
      <c r="Z215" t="n">
        <v>4</v>
      </c>
      <c r="AA215" t="n">
        <v>0</v>
      </c>
      <c r="AB215" t="inlineStr">
        <is>
          <t>The student's submission failed to meet the requirements of the task. The code was not organized in a way that follows the reference solution, and it did not run end-to-end. The student attempted to load and prepare the data, but the code was not correct. The CNN model was not built correctly, and the training and validation functions were not implemented. The training process was not executed, and the residual connection was not added to the model. The student's submission did not demonstrate a clear understanding of the task and the requirements.
Breakdown:
- Part 1: Load and Prepare Data: 0.0/?
- Part 2: Build the CNN Model: 0.0/?
- Part 3: Training and Validation Functions: 0.0/?
- Part 4: Training: 0.0/?
- Part 5: Bonus — Residual Connection: 0.0/?</t>
        </is>
      </c>
      <c r="AC215" t="n">
        <v>6</v>
      </c>
      <c r="AD215" t="inlineStr">
        <is>
          <t>The student's submission failed to meet the requirements of several tasks. The dataset class was not implemented, the model class was not defined correctly, the training and validation loops were not implemented, the training process was not completed,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215" t="n">
        <v>0</v>
      </c>
      <c r="AF215" t="n">
        <v>0</v>
      </c>
      <c r="AG215" t="inlineStr">
        <is>
          <t>No submission found.</t>
        </is>
      </c>
      <c r="AH215" t="n">
        <v>16</v>
      </c>
      <c r="AI215" t="n">
        <v>0</v>
      </c>
    </row>
    <row r="216">
      <c r="A216" t="n">
        <v>215</v>
      </c>
      <c r="B216" t="inlineStr">
        <is>
          <t>TA_4</t>
        </is>
      </c>
      <c r="C216" t="inlineStr">
        <is>
          <t>TA_14</t>
        </is>
      </c>
      <c r="D216" t="n">
        <v>5.5</v>
      </c>
      <c r="E216" t="n">
        <v>0</v>
      </c>
      <c r="F216" t="n">
        <v>9</v>
      </c>
      <c r="G216" t="n">
        <v>0</v>
      </c>
      <c r="H216" t="n">
        <v>10.5</v>
      </c>
      <c r="I216" t="n">
        <v>0</v>
      </c>
      <c r="J216" t="n">
        <v>4.75</v>
      </c>
      <c r="K216" t="n">
        <v>0</v>
      </c>
      <c r="L216" t="n">
        <v>8</v>
      </c>
      <c r="M216" t="n">
        <v>0</v>
      </c>
      <c r="N216" t="n">
        <v>11.25</v>
      </c>
      <c r="O216" t="n">
        <v>0</v>
      </c>
      <c r="P216">
        <f>Table1[[#This Row],[TA 1 - Q1 Score]]+Table1[[#This Row],[TA 1 - Q2 Score]]+Table1[[#This Row],[TA 1 - Q3 Score]]</f>
        <v/>
      </c>
      <c r="Q216">
        <f>Table1[[#This Row],[TA 1 - Q1 Bonus]]+Table1[[#This Row],[TA 1 - Q2 Bonus]]+Table1[[#This Row],[TA 1 - Q4 Bonus]]</f>
        <v/>
      </c>
      <c r="R216">
        <f>Table1[[#This Row],[TA 2 - Q1 Score]]+Table1[[#This Row],[TA 2 - Q2 Score]]+Table1[[#This Row],[TA 2 - Q3 Score]]</f>
        <v/>
      </c>
      <c r="S216">
        <f>Table1[[#This Row],[TA 2 - Q1 Bonus]]+Table1[[#This Row],[TA 2 - Q2 Bonus]]+Table1[[#This Row],[TA 2 - Q4 Bonus]]</f>
        <v/>
      </c>
      <c r="T216">
        <f>(Table1[[#This Row],[TA 1 - Total Score (out of 35)]]+Table1[[#This Row],[TA 2 - Total Score (out of 35)]])/2</f>
        <v/>
      </c>
      <c r="U216">
        <f>(Table1[[#This Row],[TA 1 - Total Bonus (out of 13)]]+Table1[[#This Row],[TA 2 - Total Bonus (out of 13)]])/2</f>
        <v/>
      </c>
      <c r="V216">
        <f>Table1[[#This Row],[Average Questions]]/35*20+Table1[[#This Row],[Average Bonus]]/13*5</f>
        <v/>
      </c>
      <c r="W216" t="n">
        <v>6</v>
      </c>
      <c r="X216" t="n">
        <v>0</v>
      </c>
      <c r="Y216"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implementation was incomplete and contained several errors. The bonus task of implementing test time augmentation was also not attempted. Overall, the student's submission demonstrated a lack of understanding of the key concepts and failed to complete several critical tasks.
Breakdown:
- Part 1: Load and Prepare Data: 0.0/?
- Part 2: Load Pretrained Model and Adapt: 0.0/?
- Part 3: Training and Validation Functions: 0.0/?
- Part 4: Training: 2.0/?
- Part 5: Bonus — Test Time Augmentation: 0.0/?</t>
        </is>
      </c>
      <c r="Z216" t="n">
        <v>4</v>
      </c>
      <c r="AA216" t="n">
        <v>0</v>
      </c>
      <c r="AB216"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216" t="n">
        <v>6</v>
      </c>
      <c r="AD216" t="inlineStr">
        <is>
          <t>The student's submission was incomplete and lacked code for several tasks. While the code for visualizing predictions was partially correct, it did not run end-to-end due to missing imports and incorrect usage of the model. As a result, the student was awarded 0 points for the first four tasks and 6 points for the fifth task.
Breakdown:
- Task 1: Dataset Class: 0.0/?
- Task 2: Model Class: 0.0/?
- Task 3: Training and Validation Loops: 0.0/?
- Task 4: Running Training: 0.0/?
- Task 5: Visualizing Predictions: 6.0/?</t>
        </is>
      </c>
      <c r="AE216" t="n">
        <v>0</v>
      </c>
      <c r="AF216" t="n">
        <v>0</v>
      </c>
      <c r="AG216" t="inlineStr">
        <is>
          <t>No submission found.</t>
        </is>
      </c>
      <c r="AH216" t="n">
        <v>16</v>
      </c>
      <c r="AI216" t="n">
        <v>0</v>
      </c>
    </row>
    <row r="217">
      <c r="A217" t="n">
        <v>216</v>
      </c>
      <c r="B217" t="inlineStr">
        <is>
          <t>TA_4</t>
        </is>
      </c>
      <c r="C217" t="inlineStr">
        <is>
          <t>TA_14</t>
        </is>
      </c>
      <c r="D217" t="n">
        <v>6.5</v>
      </c>
      <c r="E217" t="n">
        <v>0</v>
      </c>
      <c r="F217" t="n">
        <v>9</v>
      </c>
      <c r="G217" t="n">
        <v>0</v>
      </c>
      <c r="H217" t="n">
        <v>7.5</v>
      </c>
      <c r="I217" t="n">
        <v>0</v>
      </c>
      <c r="J217" t="n">
        <v>5.75</v>
      </c>
      <c r="K217" t="n">
        <v>0</v>
      </c>
      <c r="L217" t="n">
        <v>7</v>
      </c>
      <c r="M217" t="n">
        <v>0</v>
      </c>
      <c r="N217" t="n">
        <v>7.5</v>
      </c>
      <c r="O217" t="n">
        <v>0</v>
      </c>
      <c r="P217">
        <f>Table1[[#This Row],[TA 1 - Q1 Score]]+Table1[[#This Row],[TA 1 - Q2 Score]]+Table1[[#This Row],[TA 1 - Q3 Score]]</f>
        <v/>
      </c>
      <c r="Q217">
        <f>Table1[[#This Row],[TA 1 - Q1 Bonus]]+Table1[[#This Row],[TA 1 - Q2 Bonus]]+Table1[[#This Row],[TA 1 - Q4 Bonus]]</f>
        <v/>
      </c>
      <c r="R217">
        <f>Table1[[#This Row],[TA 2 - Q1 Score]]+Table1[[#This Row],[TA 2 - Q2 Score]]+Table1[[#This Row],[TA 2 - Q3 Score]]</f>
        <v/>
      </c>
      <c r="S217">
        <f>Table1[[#This Row],[TA 2 - Q1 Bonus]]+Table1[[#This Row],[TA 2 - Q2 Bonus]]+Table1[[#This Row],[TA 2 - Q4 Bonus]]</f>
        <v/>
      </c>
      <c r="T217">
        <f>(Table1[[#This Row],[TA 1 - Total Score (out of 35)]]+Table1[[#This Row],[TA 2 - Total Score (out of 35)]])/2</f>
        <v/>
      </c>
      <c r="U217">
        <f>(Table1[[#This Row],[TA 1 - Total Bonus (out of 13)]]+Table1[[#This Row],[TA 2 - Total Bonus (out of 13)]])/2</f>
        <v/>
      </c>
      <c r="V217">
        <f>Table1[[#This Row],[Average Questions]]/35*20+Table1[[#This Row],[Average Bonus]]/13*5</f>
        <v/>
      </c>
      <c r="W217" t="n">
        <v>6</v>
      </c>
      <c r="X217" t="n">
        <v>0</v>
      </c>
      <c r="Y217"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217" t="n">
        <v>4</v>
      </c>
      <c r="AA217" t="n">
        <v>0</v>
      </c>
      <c r="AB217" t="inlineStr">
        <is>
          <t>The student's submission failed to meet the requirements of the task. The code is disorganized and does not follow the structure of the reference solution. The student attempted to load and prepare the data, but the code is incomplete and does not produce the expected output. The CNN model is not built correctly, and the training and validation functions are not implemented. The student did not attempt to train the model or implement the residual connection.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217" t="n">
        <v>6</v>
      </c>
      <c r="AD217" t="inlineStr">
        <is>
          <t>The student's submission failed to meet the requirements of the task. The code is disorganized and does not follow the reference solution. The student failed to create a custom dataset class, define a pretrained U-Net, and implement the training and validation loops. The student also failed to visualize the model's predictions. As a result, the student did not earn any points for this task.
Breakdown:
- Task 1: Dataset Class: 0.0/?
- Task 2: Model Class: 0.0/?
- Task 3: Training and Validation Loops: 0.0/?
- Task 4: Running Training: 0.0/?
- Task 5: Visualizing Predictions: 0.0/?</t>
        </is>
      </c>
      <c r="AE217" t="n">
        <v>0</v>
      </c>
      <c r="AF217" t="n">
        <v>0</v>
      </c>
      <c r="AG217" t="inlineStr">
        <is>
          <t>No submission found.</t>
        </is>
      </c>
      <c r="AH217" t="n">
        <v>16</v>
      </c>
      <c r="AI217" t="n">
        <v>0</v>
      </c>
    </row>
    <row r="218">
      <c r="A218" t="n">
        <v>217</v>
      </c>
      <c r="B218" t="inlineStr">
        <is>
          <t>TA_4</t>
        </is>
      </c>
      <c r="C218" t="inlineStr">
        <is>
          <t>TA_14</t>
        </is>
      </c>
      <c r="D218" t="n">
        <v>11</v>
      </c>
      <c r="E218" t="n">
        <v>3</v>
      </c>
      <c r="F218" t="n">
        <v>9</v>
      </c>
      <c r="G218" t="n">
        <v>0</v>
      </c>
      <c r="H218" t="n">
        <v>12</v>
      </c>
      <c r="I218" t="n">
        <v>0</v>
      </c>
      <c r="J218" t="n">
        <v>11.5</v>
      </c>
      <c r="K218" t="n">
        <v>2</v>
      </c>
      <c r="L218" t="n">
        <v>11</v>
      </c>
      <c r="M218" t="n">
        <v>0</v>
      </c>
      <c r="N218" t="n">
        <v>12</v>
      </c>
      <c r="O218" t="n">
        <v>0</v>
      </c>
      <c r="P218">
        <f>Table1[[#This Row],[TA 1 - Q1 Score]]+Table1[[#This Row],[TA 1 - Q2 Score]]+Table1[[#This Row],[TA 1 - Q3 Score]]</f>
        <v/>
      </c>
      <c r="Q218">
        <f>Table1[[#This Row],[TA 1 - Q1 Bonus]]+Table1[[#This Row],[TA 1 - Q2 Bonus]]+Table1[[#This Row],[TA 1 - Q4 Bonus]]</f>
        <v/>
      </c>
      <c r="R218">
        <f>Table1[[#This Row],[TA 2 - Q1 Score]]+Table1[[#This Row],[TA 2 - Q2 Score]]+Table1[[#This Row],[TA 2 - Q3 Score]]</f>
        <v/>
      </c>
      <c r="S218">
        <f>Table1[[#This Row],[TA 2 - Q1 Bonus]]+Table1[[#This Row],[TA 2 - Q2 Bonus]]+Table1[[#This Row],[TA 2 - Q4 Bonus]]</f>
        <v/>
      </c>
      <c r="T218">
        <f>(Table1[[#This Row],[TA 1 - Total Score (out of 35)]]+Table1[[#This Row],[TA 2 - Total Score (out of 35)]])/2</f>
        <v/>
      </c>
      <c r="U218">
        <f>(Table1[[#This Row],[TA 1 - Total Bonus (out of 13)]]+Table1[[#This Row],[TA 2 - Total Bonus (out of 13)]])/2</f>
        <v/>
      </c>
      <c r="V218">
        <f>Table1[[#This Row],[Average Questions]]/35*20+Table1[[#This Row],[Average Bonus]]/13*5</f>
        <v/>
      </c>
      <c r="W218" t="n">
        <v>6</v>
      </c>
      <c r="X218" t="n">
        <v>0</v>
      </c>
      <c r="Y218" t="inlineStr">
        <is>
          <t>The student's submission failed to complete several key tasks, including loading and preparing the data, loading a pretrained model and adapting it, and implementing test time augmentation. While they made an attempt at training and validation functions, their code contained syntax errors and did not run end-to-end. As a result, the student was unable to train the model or achieve the desired accuracy. The lack of correct code for several key tasks resulted in a low overall score.
Breakdown:
- Part 1: Load and Prepare Data: 0.0/?
- Part 2: Load Pretrained Model and Adapt: 0.0/?
- Part 3: Training and Validation Functions: 1.5/?
- Part 4: Training: 2.5/?
- Part 5: Bonus — Test Time Augmentation: 0.0/?</t>
        </is>
      </c>
      <c r="Z218" t="n">
        <v>6</v>
      </c>
      <c r="AA218" t="n">
        <v>0</v>
      </c>
      <c r="AB218" t="inlineStr">
        <is>
          <t>The student's submission failed to load and prepare the data correctly, as they did not use the provided dataset class or ImageFolder. They also did not implement the training and validation functions correctly. The CNN model was partially implemented, but it lacked batch normalization. The training process was not executed correctly, and the residual connection bonus task was not attempted.
Breakdown:
- Part 1: Load and Prepare Data: 0.0/?
- Part 2: Build the CNN Model: 2.0/?
- Part 3: Training and Validation Functions: 0.0/?
- Part 4: Training: 0.0/?
- Part 5: Bonus — Residual Connection: 0.0/?</t>
        </is>
      </c>
      <c r="AC218" t="n">
        <v>6</v>
      </c>
      <c r="AD218" t="inlineStr">
        <is>
          <t>The student's submission was incomplete and lacked code for several tasks. While the code for visualizing predictions was mostly correct, it did not meet the requirements of the task. As a result, the student received a score of 6.0 out of 12.0 for the base tasks and 0.0 out of 0.0 for the bonus tasks.
Breakdown:
- Task 1: Dataset Class: 0.0/?
- Task 2: Model Class: 0.0/?
- Task 3: Training and Validation Loops: 0.0/?
- Task 4: Running Training: 0.0/?
- Task 5: Visualizing Predictions: 6.0/?</t>
        </is>
      </c>
      <c r="AE218" t="n">
        <v>0</v>
      </c>
      <c r="AF218" t="n">
        <v>0</v>
      </c>
      <c r="AG218" t="inlineStr">
        <is>
          <t>No submission found.</t>
        </is>
      </c>
      <c r="AH218" t="n">
        <v>18</v>
      </c>
      <c r="AI218" t="n">
        <v>0</v>
      </c>
    </row>
    <row r="219">
      <c r="A219" t="n">
        <v>218</v>
      </c>
      <c r="B219" t="inlineStr">
        <is>
          <t>TA_4</t>
        </is>
      </c>
      <c r="C219" t="inlineStr">
        <is>
          <t>TA_14</t>
        </is>
      </c>
      <c r="D219" t="n">
        <v>12</v>
      </c>
      <c r="E219" t="n">
        <v>0</v>
      </c>
      <c r="F219" t="n">
        <v>9</v>
      </c>
      <c r="G219" t="n">
        <v>0</v>
      </c>
      <c r="H219" t="n">
        <v>11</v>
      </c>
      <c r="I219" t="n">
        <v>0</v>
      </c>
      <c r="J219" t="n">
        <v>11.25</v>
      </c>
      <c r="K219" t="n">
        <v>0</v>
      </c>
      <c r="L219" t="n">
        <v>7.5</v>
      </c>
      <c r="M219" t="n">
        <v>0</v>
      </c>
      <c r="N219" t="n">
        <v>10.5</v>
      </c>
      <c r="O219" t="n">
        <v>0</v>
      </c>
      <c r="P219">
        <f>Table1[[#This Row],[TA 1 - Q1 Score]]+Table1[[#This Row],[TA 1 - Q2 Score]]+Table1[[#This Row],[TA 1 - Q3 Score]]</f>
        <v/>
      </c>
      <c r="Q219">
        <f>Table1[[#This Row],[TA 1 - Q1 Bonus]]+Table1[[#This Row],[TA 1 - Q2 Bonus]]+Table1[[#This Row],[TA 1 - Q4 Bonus]]</f>
        <v/>
      </c>
      <c r="R219">
        <f>Table1[[#This Row],[TA 2 - Q1 Score]]+Table1[[#This Row],[TA 2 - Q2 Score]]+Table1[[#This Row],[TA 2 - Q3 Score]]</f>
        <v/>
      </c>
      <c r="S219">
        <f>Table1[[#This Row],[TA 2 - Q1 Bonus]]+Table1[[#This Row],[TA 2 - Q2 Bonus]]+Table1[[#This Row],[TA 2 - Q4 Bonus]]</f>
        <v/>
      </c>
      <c r="T219">
        <f>(Table1[[#This Row],[TA 1 - Total Score (out of 35)]]+Table1[[#This Row],[TA 2 - Total Score (out of 35)]])/2</f>
        <v/>
      </c>
      <c r="U219">
        <f>(Table1[[#This Row],[TA 1 - Total Bonus (out of 13)]]+Table1[[#This Row],[TA 2 - Total Bonus (out of 13)]])/2</f>
        <v/>
      </c>
      <c r="V219">
        <f>Table1[[#This Row],[Average Questions]]/35*20+Table1[[#This Row],[Average Bonus]]/13*5</f>
        <v/>
      </c>
      <c r="W219" t="n">
        <v>6</v>
      </c>
      <c r="X219" t="n">
        <v>0</v>
      </c>
      <c r="Y219"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219" t="n">
        <v>4</v>
      </c>
      <c r="AA219" t="n">
        <v>0</v>
      </c>
      <c r="AB219" t="inlineStr">
        <is>
          <t>The student's submission failed to meet the requirements of the task. The code was disorganized and did not follow the structure of the reference solution. The student attempted to load and prepare the data, but the code was incomplete and did not run end-to-end. The CNN model was not built correctly, and the training and validation functions were not implemented. The student did not attempt to train the model or implement the residual connection.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219" t="n">
        <v>6</v>
      </c>
      <c r="AD219" t="inlineStr">
        <is>
          <t>The student's submission failed to meet the requirements of the task. The code was not organized, and the tasks were not completed correctly. The student did not use the provided functions and classes, and the code was not run end-to-end. As a result, the student did not earn any points for this task.
Breakdown:
- Task 1: Dataset Class: 0.0/?
- Task 2: Model Class: 0.0/?
- Task 3: Training and Validation Loops: 0.0/?
- Task 4: Running Training: 0.0/?
- Task 5: Visualizing Predictions: 0.0/?</t>
        </is>
      </c>
      <c r="AE219" t="n">
        <v>0</v>
      </c>
      <c r="AF219" t="n">
        <v>0</v>
      </c>
      <c r="AG219" t="inlineStr">
        <is>
          <t>No submission found.</t>
        </is>
      </c>
      <c r="AH219" t="n">
        <v>16</v>
      </c>
      <c r="AI219" t="n">
        <v>0</v>
      </c>
    </row>
    <row r="220">
      <c r="A220" t="n">
        <v>219</v>
      </c>
      <c r="B220" t="inlineStr">
        <is>
          <t>TA_4</t>
        </is>
      </c>
      <c r="C220" t="inlineStr">
        <is>
          <t>TA_14</t>
        </is>
      </c>
      <c r="D220" t="n">
        <v>12</v>
      </c>
      <c r="E220" t="n">
        <v>4</v>
      </c>
      <c r="F220" t="n">
        <v>11</v>
      </c>
      <c r="G220" t="n">
        <v>4</v>
      </c>
      <c r="H220" t="n">
        <v>12</v>
      </c>
      <c r="I220" t="n">
        <v>5</v>
      </c>
      <c r="J220" t="n">
        <v>12</v>
      </c>
      <c r="K220" t="n">
        <v>4</v>
      </c>
      <c r="L220" t="n">
        <v>11</v>
      </c>
      <c r="M220" t="n">
        <v>4</v>
      </c>
      <c r="N220" t="n">
        <v>11.5</v>
      </c>
      <c r="O220" t="n">
        <v>5</v>
      </c>
      <c r="P220">
        <f>Table1[[#This Row],[TA 1 - Q1 Score]]+Table1[[#This Row],[TA 1 - Q2 Score]]+Table1[[#This Row],[TA 1 - Q3 Score]]</f>
        <v/>
      </c>
      <c r="Q220">
        <f>Table1[[#This Row],[TA 1 - Q1 Bonus]]+Table1[[#This Row],[TA 1 - Q2 Bonus]]+Table1[[#This Row],[TA 1 - Q4 Bonus]]</f>
        <v/>
      </c>
      <c r="R220">
        <f>Table1[[#This Row],[TA 2 - Q1 Score]]+Table1[[#This Row],[TA 2 - Q2 Score]]+Table1[[#This Row],[TA 2 - Q3 Score]]</f>
        <v/>
      </c>
      <c r="S220">
        <f>Table1[[#This Row],[TA 2 - Q1 Bonus]]+Table1[[#This Row],[TA 2 - Q2 Bonus]]+Table1[[#This Row],[TA 2 - Q4 Bonus]]</f>
        <v/>
      </c>
      <c r="T220">
        <f>(Table1[[#This Row],[TA 1 - Total Score (out of 35)]]+Table1[[#This Row],[TA 2 - Total Score (out of 35)]])/2</f>
        <v/>
      </c>
      <c r="U220">
        <f>(Table1[[#This Row],[TA 1 - Total Bonus (out of 13)]]+Table1[[#This Row],[TA 2 - Total Bonus (out of 13)]])/2</f>
        <v/>
      </c>
      <c r="V220">
        <f>Table1[[#This Row],[Average Questions]]/35*20+Table1[[#This Row],[Average Bonus]]/13*5</f>
        <v/>
      </c>
      <c r="W220" t="n">
        <v>6</v>
      </c>
      <c r="X220" t="n">
        <v>0</v>
      </c>
      <c r="Y220" t="inlineStr">
        <is>
          <t>The student's submission failed to complete several key tasks, including loading and preparing the data, loading a pretrained model and adapting it, and training the model. While they attempted to implement the training and validation functions, their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220" t="n">
        <v>4</v>
      </c>
      <c r="AA220" t="n">
        <v>0</v>
      </c>
      <c r="AB22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20" t="n">
        <v>6</v>
      </c>
      <c r="AD220"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220" t="n">
        <v>0</v>
      </c>
      <c r="AF220" t="n">
        <v>0</v>
      </c>
      <c r="AG220" t="inlineStr">
        <is>
          <t>The student's submission failed to implement the `ColorizationDataset` class correctly. The `__init__` method was missing, and the `rgb_to_grayscale` method had incorrect implementation. Additionally, the `__getitem__` method was also incorrect. As a result, the student did not receive any points for this task.
Breakdown:
- Correctly implemented `ColorizationDataset` class:: 0.0/?</t>
        </is>
      </c>
      <c r="AH220" t="n">
        <v>16</v>
      </c>
      <c r="AI220" t="n">
        <v>0</v>
      </c>
    </row>
    <row r="221">
      <c r="A221" t="n">
        <v>220</v>
      </c>
      <c r="B221" t="inlineStr">
        <is>
          <t>TA_4</t>
        </is>
      </c>
      <c r="C221" t="inlineStr">
        <is>
          <t>TA_14</t>
        </is>
      </c>
      <c r="D221" t="n">
        <v>6.5</v>
      </c>
      <c r="E221" t="n">
        <v>4</v>
      </c>
      <c r="F221" t="n">
        <v>0</v>
      </c>
      <c r="G221" t="n">
        <v>0</v>
      </c>
      <c r="H221" t="n">
        <v>0</v>
      </c>
      <c r="I221" t="n">
        <v>0</v>
      </c>
      <c r="J221" t="n">
        <v>4.75</v>
      </c>
      <c r="K221" t="n">
        <v>4</v>
      </c>
      <c r="L221" t="n">
        <v>0</v>
      </c>
      <c r="M221" t="n">
        <v>0</v>
      </c>
      <c r="N221" t="n">
        <v>0</v>
      </c>
      <c r="O221" t="n">
        <v>0</v>
      </c>
      <c r="P221">
        <f>Table1[[#This Row],[TA 1 - Q1 Score]]+Table1[[#This Row],[TA 1 - Q2 Score]]+Table1[[#This Row],[TA 1 - Q3 Score]]</f>
        <v/>
      </c>
      <c r="Q221">
        <f>Table1[[#This Row],[TA 1 - Q1 Bonus]]+Table1[[#This Row],[TA 1 - Q2 Bonus]]+Table1[[#This Row],[TA 1 - Q4 Bonus]]</f>
        <v/>
      </c>
      <c r="R221">
        <f>Table1[[#This Row],[TA 2 - Q1 Score]]+Table1[[#This Row],[TA 2 - Q2 Score]]+Table1[[#This Row],[TA 2 - Q3 Score]]</f>
        <v/>
      </c>
      <c r="S221">
        <f>Table1[[#This Row],[TA 2 - Q1 Bonus]]+Table1[[#This Row],[TA 2 - Q2 Bonus]]+Table1[[#This Row],[TA 2 - Q4 Bonus]]</f>
        <v/>
      </c>
      <c r="T221">
        <f>(Table1[[#This Row],[TA 1 - Total Score (out of 35)]]+Table1[[#This Row],[TA 2 - Total Score (out of 35)]])/2</f>
        <v/>
      </c>
      <c r="U221">
        <f>(Table1[[#This Row],[TA 1 - Total Bonus (out of 13)]]+Table1[[#This Row],[TA 2 - Total Bonus (out of 13)]])/2</f>
        <v/>
      </c>
      <c r="V221">
        <f>Table1[[#This Row],[Average Questions]]/35*20+Table1[[#This Row],[Average Bonus]]/13*5</f>
        <v/>
      </c>
      <c r="W221" t="n">
        <v>6</v>
      </c>
      <c r="X221" t="n">
        <v>0</v>
      </c>
      <c r="Y221" t="inlineStr">
        <is>
          <t>The student's submission failed to complete several key tasks, including loading and preparing the data, loading a pretrained model and adapting it, and implementing training and validation functions. While the student did attempt to train the model, their implementation was incomplete and did not follow the reference solution. As a result, the student earned a score of 6.0, with the majority of the points coming from the training task. The student did not attempt the bonus task, so they earned 0 bonus points.
Breakdown:
- Part 1: Load and Prepare Data: 0.0/?
- Part 2: Load Pretrained Model and Adapt: 0.0/?
- Part 3: Training and Validation Functions: 0.0/?
- Part 4: Training: 6.0/?
- Part 5: Bonus — Test Time Augmentation: 0.0/?</t>
        </is>
      </c>
      <c r="Z221" t="n">
        <v>4</v>
      </c>
      <c r="AA221" t="n">
        <v>0</v>
      </c>
      <c r="AB221" t="inlineStr">
        <is>
          <t>The student's submission is incomplete and lacks any meaningful attempt at the tasks. The code provided does not run end-to-end and fails to address the requirements of the problem. As a result, no credit can be awarded for any of the tasks. The student's submission does not demonstrate any understanding of the problem or the required concepts.
Breakdown:
- Part 1: Load and Prepare Data: 0.0/?
- Part 2: Build the CNN Model: 0.0/?
- Part 3: Training and Validation Functions: 0.0/?
- Part 4: Training: 0.0/?
- Part 5: Bonus — Residual Connection: 0.0/?</t>
        </is>
      </c>
      <c r="AC221" t="n">
        <v>6</v>
      </c>
      <c r="AD221" t="inlineStr">
        <is>
          <t>The student's submission failed to address any of the tasks in Question 3. The code provided is incomplete and does not attempt to solve any of the tasks. As a result, the student receives 0 points for each task.
Breakdown:
- Task 1: Dataset Class: 0.0/?
- Task 2: Model Class: 0.0/?
- Task 3: Training and Validation Loops: 0.0/?
- Task 4: Running Training: 0.0/?
- Task 5: Visualizing Predictions: 0.0/?</t>
        </is>
      </c>
      <c r="AE221" t="n">
        <v>0</v>
      </c>
      <c r="AF221" t="n">
        <v>0</v>
      </c>
      <c r="AG221" t="inlineStr">
        <is>
          <t>No submission found.</t>
        </is>
      </c>
      <c r="AH221" t="n">
        <v>16</v>
      </c>
      <c r="AI221" t="n">
        <v>0</v>
      </c>
    </row>
    <row r="222">
      <c r="A222" t="n">
        <v>221</v>
      </c>
      <c r="B222" t="inlineStr">
        <is>
          <t>TA_4</t>
        </is>
      </c>
      <c r="C222" t="inlineStr">
        <is>
          <t>TA_14</t>
        </is>
      </c>
      <c r="D222" t="n">
        <v>12</v>
      </c>
      <c r="E222" t="n">
        <v>4</v>
      </c>
      <c r="F222" t="n">
        <v>9</v>
      </c>
      <c r="G222" t="n">
        <v>0</v>
      </c>
      <c r="H222" t="n">
        <v>10</v>
      </c>
      <c r="I222" t="n">
        <v>0</v>
      </c>
      <c r="J222" t="n">
        <v>11</v>
      </c>
      <c r="K222" t="n">
        <v>4</v>
      </c>
      <c r="L222" t="n">
        <v>8.5</v>
      </c>
      <c r="M222" t="n">
        <v>0</v>
      </c>
      <c r="N222" t="n">
        <v>8.25</v>
      </c>
      <c r="O222" t="n">
        <v>0</v>
      </c>
      <c r="P222">
        <f>Table1[[#This Row],[TA 1 - Q1 Score]]+Table1[[#This Row],[TA 1 - Q2 Score]]+Table1[[#This Row],[TA 1 - Q3 Score]]</f>
        <v/>
      </c>
      <c r="Q222">
        <f>Table1[[#This Row],[TA 1 - Q1 Bonus]]+Table1[[#This Row],[TA 1 - Q2 Bonus]]+Table1[[#This Row],[TA 1 - Q4 Bonus]]</f>
        <v/>
      </c>
      <c r="R222">
        <f>Table1[[#This Row],[TA 2 - Q1 Score]]+Table1[[#This Row],[TA 2 - Q2 Score]]+Table1[[#This Row],[TA 2 - Q3 Score]]</f>
        <v/>
      </c>
      <c r="S222">
        <f>Table1[[#This Row],[TA 2 - Q1 Bonus]]+Table1[[#This Row],[TA 2 - Q2 Bonus]]+Table1[[#This Row],[TA 2 - Q4 Bonus]]</f>
        <v/>
      </c>
      <c r="T222">
        <f>(Table1[[#This Row],[TA 1 - Total Score (out of 35)]]+Table1[[#This Row],[TA 2 - Total Score (out of 35)]])/2</f>
        <v/>
      </c>
      <c r="U222">
        <f>(Table1[[#This Row],[TA 1 - Total Bonus (out of 13)]]+Table1[[#This Row],[TA 2 - Total Bonus (out of 13)]])/2</f>
        <v/>
      </c>
      <c r="V222">
        <f>Table1[[#This Row],[Average Questions]]/35*20+Table1[[#This Row],[Average Bonus]]/13*5</f>
        <v/>
      </c>
      <c r="W222" t="n">
        <v>6</v>
      </c>
      <c r="X222" t="n">
        <v>0</v>
      </c>
      <c r="Y222"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 was unable to complete the bonus task of implementing test time augmentation.
Breakdown:
- Part 1: Load and Prepare Data: 0.0/?
- Part 2: Load Pretrained Model and Adapt: 0.0/?
- Part 3: Training and Validation Functions: 0.0/?
- Part 4: Training: 3.0/?
- Part 5: Bonus — Test Time Augmentation: 0.0/?</t>
        </is>
      </c>
      <c r="Z222" t="n">
        <v>4</v>
      </c>
      <c r="AA222" t="n">
        <v>0</v>
      </c>
      <c r="AB222"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22" t="n">
        <v>6</v>
      </c>
      <c r="AD222" t="inlineStr">
        <is>
          <t>The student's submission failed to meet the requirements of the task. They did not complete any of the tasks correctly, and their code was not well-organized. The student's approach was not correct, and they did not follow the instructions provided. As a result, they did not earn any points for this task.
Breakdown:
- Task 1: Dataset Class: 0.0/?
- Task 2: Model Class: 0.0/?
- Task 3: Training and Validation Loops: 0.0/?
- Task 4: Running Training: 0.0/?
- Task 5: Visualizing Predictions: 0.0/?</t>
        </is>
      </c>
      <c r="AE222" t="n">
        <v>0</v>
      </c>
      <c r="AF222" t="n">
        <v>0</v>
      </c>
      <c r="AG222" t="inlineStr">
        <is>
          <t>No submission found.</t>
        </is>
      </c>
      <c r="AH222" t="n">
        <v>16</v>
      </c>
      <c r="AI222" t="n">
        <v>0</v>
      </c>
    </row>
    <row r="223">
      <c r="A223" t="n">
        <v>222</v>
      </c>
      <c r="B223" t="inlineStr">
        <is>
          <t>TA_4</t>
        </is>
      </c>
      <c r="C223" t="inlineStr">
        <is>
          <t>TA_14</t>
        </is>
      </c>
      <c r="D223" t="n">
        <v>7</v>
      </c>
      <c r="E223" t="n">
        <v>4</v>
      </c>
      <c r="F223" t="n">
        <v>11</v>
      </c>
      <c r="G223" t="n">
        <v>0</v>
      </c>
      <c r="H223" t="n">
        <v>10</v>
      </c>
      <c r="I223" t="n">
        <v>0</v>
      </c>
      <c r="J223" t="n">
        <v>7</v>
      </c>
      <c r="K223" t="n">
        <v>0</v>
      </c>
      <c r="L223" t="n">
        <v>8.25</v>
      </c>
      <c r="M223" t="n">
        <v>0</v>
      </c>
      <c r="N223" t="n">
        <v>7.5</v>
      </c>
      <c r="O223" t="n">
        <v>0</v>
      </c>
      <c r="P223">
        <f>Table1[[#This Row],[TA 1 - Q1 Score]]+Table1[[#This Row],[TA 1 - Q2 Score]]+Table1[[#This Row],[TA 1 - Q3 Score]]</f>
        <v/>
      </c>
      <c r="Q223">
        <f>Table1[[#This Row],[TA 1 - Q1 Bonus]]+Table1[[#This Row],[TA 1 - Q2 Bonus]]+Table1[[#This Row],[TA 1 - Q4 Bonus]]</f>
        <v/>
      </c>
      <c r="R223">
        <f>Table1[[#This Row],[TA 2 - Q1 Score]]+Table1[[#This Row],[TA 2 - Q2 Score]]+Table1[[#This Row],[TA 2 - Q3 Score]]</f>
        <v/>
      </c>
      <c r="S223">
        <f>Table1[[#This Row],[TA 2 - Q1 Bonus]]+Table1[[#This Row],[TA 2 - Q2 Bonus]]+Table1[[#This Row],[TA 2 - Q4 Bonus]]</f>
        <v/>
      </c>
      <c r="T223">
        <f>(Table1[[#This Row],[TA 1 - Total Score (out of 35)]]+Table1[[#This Row],[TA 2 - Total Score (out of 35)]])/2</f>
        <v/>
      </c>
      <c r="U223">
        <f>(Table1[[#This Row],[TA 1 - Total Bonus (out of 13)]]+Table1[[#This Row],[TA 2 - Total Bonus (out of 13)]])/2</f>
        <v/>
      </c>
      <c r="V223">
        <f>Table1[[#This Row],[Average Questions]]/35*20+Table1[[#This Row],[Average Bonus]]/13*5</f>
        <v/>
      </c>
      <c r="W223" t="n">
        <v>6</v>
      </c>
      <c r="X223" t="n">
        <v>0</v>
      </c>
      <c r="Y223" t="inlineStr">
        <is>
          <t>The student's submission failed to complete several key tasks, including loading and preparing the data, loading the pretrained model and adapting it, and implementing the training and validation functions. While the student did attempt to train the model and implement test time augmentation, their code contained significant errors and did not run end-to-end. As a result, the student was unable to demonstrate a complete understanding of the task and was awarded partial credit only for the training task.
Breakdown:
- Part 1: Load and Prepare Data: 0.0/?
- Part 2: Load Pretrained Model and Adapt: 0.0/?
- Part 3: Training and Validation Functions: 0.0/?
- Part 4: Training: 3.0/?
- Part 5: Bonus — Test Time Augmentation: 0.0/?</t>
        </is>
      </c>
      <c r="Z223" t="n">
        <v>4</v>
      </c>
      <c r="AA223" t="n">
        <v>0</v>
      </c>
      <c r="AB223"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not organized and does not follow the structure of the reference solution. As a result, the student's submission does not meet the requirements of the task and does not demonstrate an understanding of the concepts.
Breakdown:
- Part 1: Load and Prepare Data: 0.0/?
- Part 2: Build the CNN Model: 0.0/?
- Part 3: Training and Validation Functions: 0.0/?
- Part 4: Training: 0.0/?
- Part 5: Bonus — Residual Connection: 0.0/?</t>
        </is>
      </c>
      <c r="AC223" t="n">
        <v>6</v>
      </c>
      <c r="AD223" t="inlineStr">
        <is>
          <t>The student's submission failed to meet the requirements of the task. They failed to create a custom dataset class, used the wrong encoder for the U-Net model, and failed to define the loss and optimizer correctly. Additionally, they failed to print the training and validation losses and visualize the predictions against the ground truth. The code is incomplete and does not run end-to-end.
Breakdown:
- Task 1: Dataset Class: 0.0/?
- Task 2: Model Class: 0.0/?
- Task 3: Training and Validation Loops: 0.0/?
- Task 4: Running Training: 0.0/?
- Task 5: Visualizing Predictions: 0.0/?</t>
        </is>
      </c>
      <c r="AE223" t="n">
        <v>0</v>
      </c>
      <c r="AF223" t="n">
        <v>0</v>
      </c>
      <c r="AG223" t="inlineStr">
        <is>
          <t>The student's submission did not implement the `ColorizationDataset` class correctly, resulting in a score of 0.0 for the base task. Since the student did not implement the class correctly, they did not attempt the bonus task, resulting in a score of 0.0 for the bonus task.
Breakdown:
- Correctly implemented `ColorizationDataset` class:: 0.0/?
- Any mistake in implementation: 0.0/?</t>
        </is>
      </c>
      <c r="AH223" t="n">
        <v>16</v>
      </c>
      <c r="AI223" t="n">
        <v>0</v>
      </c>
    </row>
    <row r="224">
      <c r="A224" t="n">
        <v>223</v>
      </c>
      <c r="B224" t="inlineStr">
        <is>
          <t>TA_4</t>
        </is>
      </c>
      <c r="C224" t="inlineStr">
        <is>
          <t>TA_14</t>
        </is>
      </c>
      <c r="D224" t="n">
        <v>5.5</v>
      </c>
      <c r="E224" t="n">
        <v>0</v>
      </c>
      <c r="F224" t="n">
        <v>8</v>
      </c>
      <c r="G224" t="n">
        <v>0</v>
      </c>
      <c r="H224" t="n">
        <v>6</v>
      </c>
      <c r="I224" t="n">
        <v>0</v>
      </c>
      <c r="J224" t="n">
        <v>6.75</v>
      </c>
      <c r="K224" t="n">
        <v>0</v>
      </c>
      <c r="L224" t="n">
        <v>5.75</v>
      </c>
      <c r="M224" t="n">
        <v>0</v>
      </c>
      <c r="N224" t="n">
        <v>5.25</v>
      </c>
      <c r="O224" t="n">
        <v>0</v>
      </c>
      <c r="P224">
        <f>Table1[[#This Row],[TA 1 - Q1 Score]]+Table1[[#This Row],[TA 1 - Q2 Score]]+Table1[[#This Row],[TA 1 - Q3 Score]]</f>
        <v/>
      </c>
      <c r="Q224">
        <f>Table1[[#This Row],[TA 1 - Q1 Bonus]]+Table1[[#This Row],[TA 1 - Q2 Bonus]]+Table1[[#This Row],[TA 1 - Q4 Bonus]]</f>
        <v/>
      </c>
      <c r="R224">
        <f>Table1[[#This Row],[TA 2 - Q1 Score]]+Table1[[#This Row],[TA 2 - Q2 Score]]+Table1[[#This Row],[TA 2 - Q3 Score]]</f>
        <v/>
      </c>
      <c r="S224">
        <f>Table1[[#This Row],[TA 2 - Q1 Bonus]]+Table1[[#This Row],[TA 2 - Q2 Bonus]]+Table1[[#This Row],[TA 2 - Q4 Bonus]]</f>
        <v/>
      </c>
      <c r="T224">
        <f>(Table1[[#This Row],[TA 1 - Total Score (out of 35)]]+Table1[[#This Row],[TA 2 - Total Score (out of 35)]])/2</f>
        <v/>
      </c>
      <c r="U224">
        <f>(Table1[[#This Row],[TA 1 - Total Bonus (out of 13)]]+Table1[[#This Row],[TA 2 - Total Bonus (out of 13)]])/2</f>
        <v/>
      </c>
      <c r="V224">
        <f>Table1[[#This Row],[Average Questions]]/35*20+Table1[[#This Row],[Average Bonus]]/13*5</f>
        <v/>
      </c>
      <c r="W224" t="n">
        <v>6</v>
      </c>
      <c r="X224" t="n">
        <v>0</v>
      </c>
      <c r="Y22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disregarding the explicit instructions provided in the reference solution.
Breakdown:
- Part 1: Load and Prepare Data: 0.0/?
- Part 2: Load Pretrained Model and Adapt: 0.0/?
- Part 3: Training and Validation Functions: 0.0/?
- Part 4: Training: 2.5/?
- Part 5: Bonus — Test Time Augmentation: 0.0/?</t>
        </is>
      </c>
      <c r="Z224" t="n">
        <v>4</v>
      </c>
      <c r="AA224" t="n">
        <v>0</v>
      </c>
      <c r="AB224"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add a residual connection to the model. As a result, the student did not earn any points for this task.
Breakdown:
- Part 1: Load and Prepare Data: 0.0/?
- Part 2: Build the CNN Model: 0.0/?
- Part 3: Training and Validation Functions: 0.0/?
- Part 4: Training: 0.0/?
- Part 5: Bonus — Residual Connection: 0.0/?</t>
        </is>
      </c>
      <c r="AC224" t="n">
        <v>6</v>
      </c>
      <c r="AD224" t="inlineStr">
        <is>
          <t>The student's submission failed to meet the requirements of the task. The code was not organized in a way that was easy to follow, and there were several syntax and logic mistakes throughout the submission. The student failed to define the dataset class, model class, training and validation loops, and visualization of predictions correctly. The student also used the wrong loss function and optimizer, which resulted in incorrect training and validation losses. Overall, the submission did not demonstrate a clear understanding of the task and the requirements.
Breakdown:
- Task 1: Dataset Class: 0.0/?
- Task 2: Model Class: 0.0/?
- Task 3: Training and Validation Loops: 0.0/?
- Task 4: Running Training: 0.0/?
- Task 5: Visualizing Predictions: 0.0/?</t>
        </is>
      </c>
      <c r="AE224" t="n">
        <v>0</v>
      </c>
      <c r="AF224" t="n">
        <v>0</v>
      </c>
      <c r="AG224" t="inlineStr">
        <is>
          <t>No submission found.</t>
        </is>
      </c>
      <c r="AH224" t="n">
        <v>16</v>
      </c>
      <c r="AI224" t="n">
        <v>0</v>
      </c>
    </row>
    <row r="225">
      <c r="A225" t="n">
        <v>224</v>
      </c>
      <c r="B225" t="inlineStr">
        <is>
          <t>TA_4</t>
        </is>
      </c>
      <c r="C225" t="inlineStr">
        <is>
          <t>TA_14</t>
        </is>
      </c>
      <c r="D225" t="n">
        <v>11</v>
      </c>
      <c r="E225" t="n">
        <v>0</v>
      </c>
      <c r="F225" t="n">
        <v>11</v>
      </c>
      <c r="G225" t="n">
        <v>0</v>
      </c>
      <c r="H225" t="n">
        <v>11</v>
      </c>
      <c r="I225" t="n">
        <v>0</v>
      </c>
      <c r="J225" t="n">
        <v>9.25</v>
      </c>
      <c r="K225" t="n">
        <v>0</v>
      </c>
      <c r="L225" t="n">
        <v>11</v>
      </c>
      <c r="M225" t="n">
        <v>0</v>
      </c>
      <c r="N225" t="n">
        <v>8.5</v>
      </c>
      <c r="O225" t="n">
        <v>0</v>
      </c>
      <c r="P225">
        <f>Table1[[#This Row],[TA 1 - Q1 Score]]+Table1[[#This Row],[TA 1 - Q2 Score]]+Table1[[#This Row],[TA 1 - Q3 Score]]</f>
        <v/>
      </c>
      <c r="Q225">
        <f>Table1[[#This Row],[TA 1 - Q1 Bonus]]+Table1[[#This Row],[TA 1 - Q2 Bonus]]+Table1[[#This Row],[TA 1 - Q4 Bonus]]</f>
        <v/>
      </c>
      <c r="R225">
        <f>Table1[[#This Row],[TA 2 - Q1 Score]]+Table1[[#This Row],[TA 2 - Q2 Score]]+Table1[[#This Row],[TA 2 - Q3 Score]]</f>
        <v/>
      </c>
      <c r="S225">
        <f>Table1[[#This Row],[TA 2 - Q1 Bonus]]+Table1[[#This Row],[TA 2 - Q2 Bonus]]+Table1[[#This Row],[TA 2 - Q4 Bonus]]</f>
        <v/>
      </c>
      <c r="T225">
        <f>(Table1[[#This Row],[TA 1 - Total Score (out of 35)]]+Table1[[#This Row],[TA 2 - Total Score (out of 35)]])/2</f>
        <v/>
      </c>
      <c r="U225">
        <f>(Table1[[#This Row],[TA 1 - Total Bonus (out of 13)]]+Table1[[#This Row],[TA 2 - Total Bonus (out of 13)]])/2</f>
        <v/>
      </c>
      <c r="V225">
        <f>Table1[[#This Row],[Average Questions]]/35*20+Table1[[#This Row],[Average Bonus]]/13*5</f>
        <v/>
      </c>
      <c r="W225" t="n">
        <v>6</v>
      </c>
      <c r="X225" t="n">
        <v>0</v>
      </c>
      <c r="Y225" t="inlineStr">
        <is>
          <t>The student's submission failed to complete several key tasks, including loading and preparing the data, loading a pretrained model and adapting it, and implementing training and validation functions. While the student did attempt to train the model, their submission lacked critical components, such as data loading and model adaptation, which prevented the model from running end-to-end. As a result, the student's submission was awarded 0 points for several tasks, with the remaining points awarded for the training task, which was partially completed.
Breakdown:
- Part 1: Load and Prepare Data: 0.0/?
- Part 2: Load Pretrained Model and Adapt: 0.0/?
- Part 3: Training and Validation Functions: 0.0/?
- Part 4: Training: 2.5/?
- Part 5: Bonus — Test Time Augmentation: 0.0/?</t>
        </is>
      </c>
      <c r="Z225" t="n">
        <v>6</v>
      </c>
      <c r="AA225" t="n">
        <v>0</v>
      </c>
      <c r="AB225"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225" t="n">
        <v>6</v>
      </c>
      <c r="AD225"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25" t="n">
        <v>0</v>
      </c>
      <c r="AF225" t="n">
        <v>0</v>
      </c>
      <c r="AG225" t="inlineStr">
        <is>
          <t>No submission found.</t>
        </is>
      </c>
      <c r="AH225" t="n">
        <v>18</v>
      </c>
      <c r="AI225" t="n">
        <v>0</v>
      </c>
    </row>
    <row r="226">
      <c r="A226" t="n">
        <v>225</v>
      </c>
      <c r="B226" t="inlineStr">
        <is>
          <t>TA_4</t>
        </is>
      </c>
      <c r="C226" t="inlineStr">
        <is>
          <t>TA_14</t>
        </is>
      </c>
      <c r="D226" t="n">
        <v>11</v>
      </c>
      <c r="E226" t="n">
        <v>0</v>
      </c>
      <c r="F226" t="n">
        <v>7.5</v>
      </c>
      <c r="G226" t="n">
        <v>0</v>
      </c>
      <c r="H226" t="n">
        <v>6.75</v>
      </c>
      <c r="I226" t="n">
        <v>0</v>
      </c>
      <c r="J226" t="n">
        <v>11</v>
      </c>
      <c r="K226" t="n">
        <v>0</v>
      </c>
      <c r="L226" t="n">
        <v>7.5</v>
      </c>
      <c r="M226" t="n">
        <v>0</v>
      </c>
      <c r="N226" t="n">
        <v>6.75</v>
      </c>
      <c r="O226" t="n">
        <v>0</v>
      </c>
      <c r="P226">
        <f>Table1[[#This Row],[TA 1 - Q1 Score]]+Table1[[#This Row],[TA 1 - Q2 Score]]+Table1[[#This Row],[TA 1 - Q3 Score]]</f>
        <v/>
      </c>
      <c r="Q226">
        <f>Table1[[#This Row],[TA 1 - Q1 Bonus]]+Table1[[#This Row],[TA 1 - Q2 Bonus]]+Table1[[#This Row],[TA 1 - Q4 Bonus]]</f>
        <v/>
      </c>
      <c r="R226">
        <f>Table1[[#This Row],[TA 2 - Q1 Score]]+Table1[[#This Row],[TA 2 - Q2 Score]]+Table1[[#This Row],[TA 2 - Q3 Score]]</f>
        <v/>
      </c>
      <c r="S226">
        <f>Table1[[#This Row],[TA 2 - Q1 Bonus]]+Table1[[#This Row],[TA 2 - Q2 Bonus]]+Table1[[#This Row],[TA 2 - Q4 Bonus]]</f>
        <v/>
      </c>
      <c r="T226">
        <f>(Table1[[#This Row],[TA 1 - Total Score (out of 35)]]+Table1[[#This Row],[TA 2 - Total Score (out of 35)]])/2</f>
        <v/>
      </c>
      <c r="U226">
        <f>(Table1[[#This Row],[TA 1 - Total Bonus (out of 13)]]+Table1[[#This Row],[TA 2 - Total Bonus (out of 13)]])/2</f>
        <v/>
      </c>
      <c r="V226">
        <f>Table1[[#This Row],[Average Questions]]/35*20+Table1[[#This Row],[Average Bonus]]/13*5</f>
        <v/>
      </c>
      <c r="W226" t="n">
        <v>6</v>
      </c>
      <c r="X226" t="n">
        <v>0</v>
      </c>
      <c r="Y226"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226" t="n">
        <v>4</v>
      </c>
      <c r="AA226" t="n">
        <v>0</v>
      </c>
      <c r="AB226"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26" t="n">
        <v>6</v>
      </c>
      <c r="AD226"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226" t="n">
        <v>0</v>
      </c>
      <c r="AF226" t="n">
        <v>0</v>
      </c>
      <c r="AG226" t="inlineStr">
        <is>
          <t>No submission found.</t>
        </is>
      </c>
      <c r="AH226" t="n">
        <v>16</v>
      </c>
      <c r="AI226" t="n">
        <v>0</v>
      </c>
    </row>
    <row r="227">
      <c r="A227" t="n">
        <v>226</v>
      </c>
      <c r="B227" t="inlineStr">
        <is>
          <t>TA_4</t>
        </is>
      </c>
      <c r="C227" t="inlineStr">
        <is>
          <t>TA_14</t>
        </is>
      </c>
      <c r="D227" t="n">
        <v>12</v>
      </c>
      <c r="E227" t="n">
        <v>0</v>
      </c>
      <c r="F227" t="n">
        <v>11</v>
      </c>
      <c r="G227" t="n">
        <v>0</v>
      </c>
      <c r="H227" t="n">
        <v>7</v>
      </c>
      <c r="I227" t="n">
        <v>0</v>
      </c>
      <c r="J227" t="n">
        <v>10.5</v>
      </c>
      <c r="K227" t="n">
        <v>0</v>
      </c>
      <c r="L227" t="n">
        <v>11</v>
      </c>
      <c r="M227" t="n">
        <v>0</v>
      </c>
      <c r="N227" t="n">
        <v>7</v>
      </c>
      <c r="O227" t="n">
        <v>0</v>
      </c>
      <c r="P227">
        <f>Table1[[#This Row],[TA 1 - Q1 Score]]+Table1[[#This Row],[TA 1 - Q2 Score]]+Table1[[#This Row],[TA 1 - Q3 Score]]</f>
        <v/>
      </c>
      <c r="Q227">
        <f>Table1[[#This Row],[TA 1 - Q1 Bonus]]+Table1[[#This Row],[TA 1 - Q2 Bonus]]+Table1[[#This Row],[TA 1 - Q4 Bonus]]</f>
        <v/>
      </c>
      <c r="R227">
        <f>Table1[[#This Row],[TA 2 - Q1 Score]]+Table1[[#This Row],[TA 2 - Q2 Score]]+Table1[[#This Row],[TA 2 - Q3 Score]]</f>
        <v/>
      </c>
      <c r="S227">
        <f>Table1[[#This Row],[TA 2 - Q1 Bonus]]+Table1[[#This Row],[TA 2 - Q2 Bonus]]+Table1[[#This Row],[TA 2 - Q4 Bonus]]</f>
        <v/>
      </c>
      <c r="T227">
        <f>(Table1[[#This Row],[TA 1 - Total Score (out of 35)]]+Table1[[#This Row],[TA 2 - Total Score (out of 35)]])/2</f>
        <v/>
      </c>
      <c r="U227">
        <f>(Table1[[#This Row],[TA 1 - Total Bonus (out of 13)]]+Table1[[#This Row],[TA 2 - Total Bonus (out of 13)]])/2</f>
        <v/>
      </c>
      <c r="V227">
        <f>Table1[[#This Row],[Average Questions]]/35*20+Table1[[#This Row],[Average Bonus]]/13*5</f>
        <v/>
      </c>
      <c r="W227" t="n">
        <v>6</v>
      </c>
      <c r="X227" t="n">
        <v>0</v>
      </c>
      <c r="Y22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their code contained several syntax and logic mistakes. The student's approach to the bonus task was entirely wrong, disregarding the explicit instructions provided in the reference solution.
Breakdown:
- Part 1: Load and Prepare Data: 0.0/?
- Part 2: Load Pretrained Model and Adapt: 0.0/?
- Part 3: Training and Validation Functions: 0.0/?
- Part 4: Training: 2.0/?
- Part 5: Bonus — Test Time Augmentation: 0.0/?</t>
        </is>
      </c>
      <c r="Z227" t="n">
        <v>4</v>
      </c>
      <c r="AA227" t="n">
        <v>0</v>
      </c>
      <c r="AB227" t="inlineStr">
        <is>
          <t>The student's submission failed to meet the requirements of the task. The code was disorganized and did not follow the structure of the reference solution. The student attempted to load and prepare the data, but the code was incomplete and did not run end-to-end. The CNN model was not built correctly, and the training and validation functions were not implemented. The student did not attempt to train the model or implement the residual connection.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227" t="n">
        <v>6</v>
      </c>
      <c r="AD227" t="inlineStr">
        <is>
          <t>The student's submission failed to meet the requirements of the task. The code was not organized correctly, and several tasks were not implemented. The model class was not defined correctly, and the training and validation loops were not specified. The training process was not implemented,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27" t="n">
        <v>0</v>
      </c>
      <c r="AF227" t="n">
        <v>0</v>
      </c>
      <c r="AG227" t="inlineStr">
        <is>
          <t>No submission found.</t>
        </is>
      </c>
      <c r="AH227" t="n">
        <v>16</v>
      </c>
      <c r="AI227" t="n">
        <v>0</v>
      </c>
    </row>
    <row r="228">
      <c r="A228" t="n">
        <v>227</v>
      </c>
      <c r="B228" t="inlineStr">
        <is>
          <t>TA_4</t>
        </is>
      </c>
      <c r="C228" t="inlineStr">
        <is>
          <t>TA_14</t>
        </is>
      </c>
      <c r="D228" t="n">
        <v>12</v>
      </c>
      <c r="E228" t="n">
        <v>0</v>
      </c>
      <c r="F228" t="n">
        <v>11</v>
      </c>
      <c r="G228" t="n">
        <v>0</v>
      </c>
      <c r="H228" t="n">
        <v>6</v>
      </c>
      <c r="I228" t="n">
        <v>0</v>
      </c>
      <c r="J228" t="n">
        <v>11</v>
      </c>
      <c r="K228" t="n">
        <v>0</v>
      </c>
      <c r="L228" t="n">
        <v>10.5</v>
      </c>
      <c r="M228" t="n">
        <v>0</v>
      </c>
      <c r="N228" t="n">
        <v>4.5</v>
      </c>
      <c r="O228" t="n">
        <v>0</v>
      </c>
      <c r="P228">
        <f>Table1[[#This Row],[TA 1 - Q1 Score]]+Table1[[#This Row],[TA 1 - Q2 Score]]+Table1[[#This Row],[TA 1 - Q3 Score]]</f>
        <v/>
      </c>
      <c r="Q228">
        <f>Table1[[#This Row],[TA 1 - Q1 Bonus]]+Table1[[#This Row],[TA 1 - Q2 Bonus]]+Table1[[#This Row],[TA 1 - Q4 Bonus]]</f>
        <v/>
      </c>
      <c r="R228">
        <f>Table1[[#This Row],[TA 2 - Q1 Score]]+Table1[[#This Row],[TA 2 - Q2 Score]]+Table1[[#This Row],[TA 2 - Q3 Score]]</f>
        <v/>
      </c>
      <c r="S228">
        <f>Table1[[#This Row],[TA 2 - Q1 Bonus]]+Table1[[#This Row],[TA 2 - Q2 Bonus]]+Table1[[#This Row],[TA 2 - Q4 Bonus]]</f>
        <v/>
      </c>
      <c r="T228">
        <f>(Table1[[#This Row],[TA 1 - Total Score (out of 35)]]+Table1[[#This Row],[TA 2 - Total Score (out of 35)]])/2</f>
        <v/>
      </c>
      <c r="U228">
        <f>(Table1[[#This Row],[TA 1 - Total Bonus (out of 13)]]+Table1[[#This Row],[TA 2 - Total Bonus (out of 13)]])/2</f>
        <v/>
      </c>
      <c r="V228">
        <f>Table1[[#This Row],[Average Questions]]/35*20+Table1[[#This Row],[Average Bonus]]/13*5</f>
        <v/>
      </c>
      <c r="W228" t="n">
        <v>6</v>
      </c>
      <c r="X228" t="n">
        <v>0</v>
      </c>
      <c r="Y228" t="inlineStr">
        <is>
          <t>The student's submission failed to complete several key tasks, including loading and preparing the data, loading a pretrained model and adapting it, and training the model. While they did attempt to implement the training and validation functions, their code contained several syntax errors and failed to run end-to-end. The bonus task of implementing test time augmentation was also not completed. Overall, the student's submission demonstrated a lack of understanding of the key concepts and failed to execute the tasks correctly.
Breakdown:
- Part 1: Load and Prepare Data: 0.0/?
- Part 2: Load Pretrained Model and Adapt: 0.0/?
- Part 3: Training and Validation Functions: 1.5/?
- Part 4: Training: 0.0/?
- Part 5: Bonus — Test Time Augmentation: 0.0/?</t>
        </is>
      </c>
      <c r="Z228" t="n">
        <v>4</v>
      </c>
      <c r="AA228" t="n">
        <v>0</v>
      </c>
      <c r="AB228" t="inlineStr">
        <is>
          <t>The student's submission failed to meet the requirements of the task. The code was not organized in a way that followed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28" t="n">
        <v>6</v>
      </c>
      <c r="AD228" t="inlineStr">
        <is>
          <t>The student's submission failed to meet the requirements of several tasks. The dataset class was not defined correctly, the model class had an incorrect number of classes, the training and validation loops had incorrect loss functions, the training loop had an incorrect number of epochs, and no code was submitted for visualizing predictions. As a result, the student received 0 points for each of these tasks.
Breakdown:
- Task 1: Dataset Class: 0.0/?
- Task 2: Model Class: 0.0/?
- Task 3: Training and Validation Loops: 0.0/?
- Task 4: Running Training: 0.0/?
- Task 5: Visualizing Predictions: 0.0/?</t>
        </is>
      </c>
      <c r="AE228" t="n">
        <v>0</v>
      </c>
      <c r="AF228" t="n">
        <v>0</v>
      </c>
      <c r="AG228" t="inlineStr">
        <is>
          <t>No submission found.</t>
        </is>
      </c>
      <c r="AH228" t="n">
        <v>16</v>
      </c>
      <c r="AI228" t="n">
        <v>0</v>
      </c>
    </row>
    <row r="229">
      <c r="A229" t="n">
        <v>228</v>
      </c>
      <c r="B229" t="inlineStr">
        <is>
          <t>TA_5</t>
        </is>
      </c>
      <c r="C229" t="inlineStr">
        <is>
          <t>TA_15</t>
        </is>
      </c>
      <c r="D229" t="n">
        <v>11</v>
      </c>
      <c r="E229" t="n">
        <v>0</v>
      </c>
      <c r="F229" t="n">
        <v>7</v>
      </c>
      <c r="G229" t="n">
        <v>0</v>
      </c>
      <c r="H229" t="n">
        <v>11.5</v>
      </c>
      <c r="I229" t="n">
        <v>0</v>
      </c>
      <c r="J229" t="n">
        <v>11</v>
      </c>
      <c r="K229" t="n">
        <v>0</v>
      </c>
      <c r="L229" t="n">
        <v>8.6</v>
      </c>
      <c r="M229" t="n">
        <v>0</v>
      </c>
      <c r="N229" t="n">
        <v>11.5</v>
      </c>
      <c r="O229" t="n">
        <v>0</v>
      </c>
      <c r="P229">
        <f>Table1[[#This Row],[TA 1 - Q1 Score]]+Table1[[#This Row],[TA 1 - Q2 Score]]+Table1[[#This Row],[TA 1 - Q3 Score]]</f>
        <v/>
      </c>
      <c r="Q229">
        <f>Table1[[#This Row],[TA 1 - Q1 Bonus]]+Table1[[#This Row],[TA 1 - Q2 Bonus]]+Table1[[#This Row],[TA 1 - Q4 Bonus]]</f>
        <v/>
      </c>
      <c r="R229">
        <f>Table1[[#This Row],[TA 2 - Q1 Score]]+Table1[[#This Row],[TA 2 - Q2 Score]]+Table1[[#This Row],[TA 2 - Q3 Score]]</f>
        <v/>
      </c>
      <c r="S229">
        <f>Table1[[#This Row],[TA 2 - Q1 Bonus]]+Table1[[#This Row],[TA 2 - Q2 Bonus]]+Table1[[#This Row],[TA 2 - Q4 Bonus]]</f>
        <v/>
      </c>
      <c r="T229">
        <f>(Table1[[#This Row],[TA 1 - Total Score (out of 35)]]+Table1[[#This Row],[TA 2 - Total Score (out of 35)]])/2</f>
        <v/>
      </c>
      <c r="U229">
        <f>(Table1[[#This Row],[TA 1 - Total Bonus (out of 13)]]+Table1[[#This Row],[TA 2 - Total Bonus (out of 13)]])/2</f>
        <v/>
      </c>
      <c r="V229">
        <f>Table1[[#This Row],[Average Questions]]/35*20+Table1[[#This Row],[Average Bonus]]/13*5</f>
        <v/>
      </c>
      <c r="W229" t="n">
        <v>6</v>
      </c>
      <c r="X229" t="n">
        <v>0</v>
      </c>
      <c r="Y229" t="inlineStr">
        <is>
          <t>The student's submission failed to complete several key tasks, including loading and preparing the data, loading a pretrained model and adapting it, and implementing training and validation functions. While the student did attempt to train the model and plot the loss and accuracy curves, their code contained several syntax and logic mistakes. The student's approach to training the model was also incorrect, as they failed to adjust the labels and did not use the correct device. Overall, the student's submission demonstrated a lack of understanding of the key concepts and tasks required to complete the question.
Breakdown:
- Part 1: Load and Prepare Data: 0.0/?
- Part 2: Load Pretrained Model and Adapt: 0.0/?
- Part 3: Training and Validation Functions: 0.0/?
- Part 4: Training: 6.0/?
- Part 5: Bonus — Test Time Augmentation: 0.0/?</t>
        </is>
      </c>
      <c r="Z229" t="n">
        <v>6</v>
      </c>
      <c r="AA229" t="n">
        <v>0</v>
      </c>
      <c r="AB22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any points for the base tasks, and their bonus task was also not completed.
Breakdown:
- Part 1: Load and Prepare Data: 0.0/?
- Part 2: Build the CNN Model: 0.0/?
- Part 3: Training and Validation Functions: 0.0/?
- Part 4: Training: 2.0/?
- Part 5: Bonus — Residual Connection: 0.0/?</t>
        </is>
      </c>
      <c r="AC229" t="n">
        <v>6</v>
      </c>
      <c r="AD229"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229" t="n">
        <v>0</v>
      </c>
      <c r="AF229" t="n">
        <v>0</v>
      </c>
      <c r="AG229" t="inlineStr">
        <is>
          <t>No submission found.</t>
        </is>
      </c>
      <c r="AH229" t="n">
        <v>18</v>
      </c>
      <c r="AI229" t="n">
        <v>0</v>
      </c>
    </row>
    <row r="230">
      <c r="A230" t="n">
        <v>229</v>
      </c>
      <c r="B230" t="inlineStr">
        <is>
          <t>TA_5</t>
        </is>
      </c>
      <c r="C230" t="inlineStr">
        <is>
          <t>TA_15</t>
        </is>
      </c>
      <c r="D230" t="n">
        <v>12</v>
      </c>
      <c r="E230" t="n">
        <v>0</v>
      </c>
      <c r="F230" t="n">
        <v>7.5</v>
      </c>
      <c r="G230" t="n">
        <v>0</v>
      </c>
      <c r="H230" t="n">
        <v>12</v>
      </c>
      <c r="I230" t="n">
        <v>0</v>
      </c>
      <c r="J230" t="n">
        <v>12</v>
      </c>
      <c r="K230" t="n">
        <v>0</v>
      </c>
      <c r="L230" t="n">
        <v>8.5</v>
      </c>
      <c r="M230" t="n">
        <v>0</v>
      </c>
      <c r="N230" t="n">
        <v>12</v>
      </c>
      <c r="O230" t="n">
        <v>0</v>
      </c>
      <c r="P230">
        <f>Table1[[#This Row],[TA 1 - Q1 Score]]+Table1[[#This Row],[TA 1 - Q2 Score]]+Table1[[#This Row],[TA 1 - Q3 Score]]</f>
        <v/>
      </c>
      <c r="Q230">
        <f>Table1[[#This Row],[TA 1 - Q1 Bonus]]+Table1[[#This Row],[TA 1 - Q2 Bonus]]+Table1[[#This Row],[TA 1 - Q4 Bonus]]</f>
        <v/>
      </c>
      <c r="R230">
        <f>Table1[[#This Row],[TA 2 - Q1 Score]]+Table1[[#This Row],[TA 2 - Q2 Score]]+Table1[[#This Row],[TA 2 - Q3 Score]]</f>
        <v/>
      </c>
      <c r="S230">
        <f>Table1[[#This Row],[TA 2 - Q1 Bonus]]+Table1[[#This Row],[TA 2 - Q2 Bonus]]+Table1[[#This Row],[TA 2 - Q4 Bonus]]</f>
        <v/>
      </c>
      <c r="T230">
        <f>(Table1[[#This Row],[TA 1 - Total Score (out of 35)]]+Table1[[#This Row],[TA 2 - Total Score (out of 35)]])/2</f>
        <v/>
      </c>
      <c r="U230">
        <f>(Table1[[#This Row],[TA 1 - Total Bonus (out of 13)]]+Table1[[#This Row],[TA 2 - Total Bonus (out of 13)]])/2</f>
        <v/>
      </c>
      <c r="V230">
        <f>Table1[[#This Row],[Average Questions]]/35*20+Table1[[#This Row],[Average Bonus]]/13*5</f>
        <v/>
      </c>
      <c r="W230" t="n">
        <v>6</v>
      </c>
      <c r="X230" t="n">
        <v>0</v>
      </c>
      <c r="Y230"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errors and did not run end-to-end. The bonus task of implementing test time augmentation was also not completed. As a result, the student's score is 6.0, reflecting the partial credit awarded for the training task.
Breakdown:
- Part 1: Load and Prepare Data: 0.0/?
- Part 2: Load Pretrained Model and Adapt: 0.0/?
- Part 3: Training and Validation Functions: 0.0/?
- Part 4: Training: 6.0/?
- Part 5: Bonus — Test Time Augmentation: 0.0/?</t>
        </is>
      </c>
      <c r="Z230" t="n">
        <v>6</v>
      </c>
      <c r="AA230" t="n">
        <v>0</v>
      </c>
      <c r="AB230" t="inlineStr">
        <is>
          <t>The student's submission failed to complete several key tasks, including loading and preparing the data, building the CNN model, and defining the training and validation functions. While the student did attempt to train the model, their implementation was incomplete and did not follow the reference solution. The bonus task of adding a residual connection was also not attempted. As a result, the student's score is limited to the points awarded for the training task.
Breakdown:
- Part 1: Load and Prepare Data: 0.0/?
- Part 2: Build the CNN Model: 0.0/?
- Part 3: Training and Validation Functions: 0.0/?
- Part 4: Training: 2.0/?
- Part 5: Bonus — Residual Connection: 0.0/?</t>
        </is>
      </c>
      <c r="AC230" t="n">
        <v>6</v>
      </c>
      <c r="AD230" t="inlineStr">
        <is>
          <t>The student's submission failed to meet the requirements of the task. The code was not organized in a way that was easy to follow, and many tasks were not completed correctly. The student did not define the dataset class, model class, training and validation loops, or run the training correctly. The predictions were not visualized correctly, and the model's predictions were not compared to the ground truth for multiple images.
Breakdown:
- Task 1: Dataset Class: 0.0/?
- Task 2: Model Class: 0.0/?
- Task 3: Training and Validation Loops: 0.0/?
- Task 4: Running Training: 0.0/?
- Task 5: Visualizing Predictions: 0.0/?</t>
        </is>
      </c>
      <c r="AE230" t="n">
        <v>0</v>
      </c>
      <c r="AF230" t="n">
        <v>0</v>
      </c>
      <c r="AG230" t="inlineStr">
        <is>
          <t>The student's submission does not meet the requirements of the task. The `ColorizationDataset` class is not implemented correctly, and the code does not run end-to-end. The student attempted to implement the class, but made several mistakes, including not storing the dataset, not returning the correct length, and not correctly converting the image to grayscale. As a result, the student did not earn any points for this task.
Breakdown:
- Correctly implemented `ColorizationDataset` class:: 0.0/?</t>
        </is>
      </c>
      <c r="AH230" t="n">
        <v>18</v>
      </c>
      <c r="AI230" t="n">
        <v>0</v>
      </c>
    </row>
    <row r="231">
      <c r="A231" t="n">
        <v>230</v>
      </c>
      <c r="B231" t="inlineStr">
        <is>
          <t>TA_5</t>
        </is>
      </c>
      <c r="C231" t="inlineStr">
        <is>
          <t>TA_15</t>
        </is>
      </c>
      <c r="D231" t="n">
        <v>11</v>
      </c>
      <c r="E231" t="n">
        <v>0</v>
      </c>
      <c r="F231" t="n">
        <v>9.5</v>
      </c>
      <c r="G231" t="n">
        <v>0</v>
      </c>
      <c r="H231" t="n">
        <v>11.5</v>
      </c>
      <c r="I231" t="n">
        <v>0</v>
      </c>
      <c r="J231" t="n">
        <v>11</v>
      </c>
      <c r="K231" t="n">
        <v>0</v>
      </c>
      <c r="L231" t="n">
        <v>10</v>
      </c>
      <c r="M231" t="n">
        <v>0</v>
      </c>
      <c r="N231" t="n">
        <v>11.5</v>
      </c>
      <c r="O231" t="n">
        <v>0</v>
      </c>
      <c r="P231">
        <f>Table1[[#This Row],[TA 1 - Q1 Score]]+Table1[[#This Row],[TA 1 - Q2 Score]]+Table1[[#This Row],[TA 1 - Q3 Score]]</f>
        <v/>
      </c>
      <c r="Q231">
        <f>Table1[[#This Row],[TA 1 - Q1 Bonus]]+Table1[[#This Row],[TA 1 - Q2 Bonus]]+Table1[[#This Row],[TA 1 - Q4 Bonus]]</f>
        <v/>
      </c>
      <c r="R231">
        <f>Table1[[#This Row],[TA 2 - Q1 Score]]+Table1[[#This Row],[TA 2 - Q2 Score]]+Table1[[#This Row],[TA 2 - Q3 Score]]</f>
        <v/>
      </c>
      <c r="S231">
        <f>Table1[[#This Row],[TA 2 - Q1 Bonus]]+Table1[[#This Row],[TA 2 - Q2 Bonus]]+Table1[[#This Row],[TA 2 - Q4 Bonus]]</f>
        <v/>
      </c>
      <c r="T231">
        <f>(Table1[[#This Row],[TA 1 - Total Score (out of 35)]]+Table1[[#This Row],[TA 2 - Total Score (out of 35)]])/2</f>
        <v/>
      </c>
      <c r="U231">
        <f>(Table1[[#This Row],[TA 1 - Total Bonus (out of 13)]]+Table1[[#This Row],[TA 2 - Total Bonus (out of 13)]])/2</f>
        <v/>
      </c>
      <c r="V231">
        <f>Table1[[#This Row],[Average Questions]]/35*20+Table1[[#This Row],[Average Bonus]]/13*5</f>
        <v/>
      </c>
      <c r="W231" t="n">
        <v>6</v>
      </c>
      <c r="X231" t="n">
        <v>0</v>
      </c>
      <c r="Y231" t="inlineStr">
        <is>
          <t>The student's submission failed to complete several key tasks, including loading and preparing the data, loading a pretrained model and adapting it, and training the model. While the student made an attempt at the training and validation functions, the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231" t="n">
        <v>4</v>
      </c>
      <c r="AA231" t="n">
        <v>0</v>
      </c>
      <c r="AB231"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disorganized and does not run end-to-end. As a result, the student receives 0 points for each task.
Breakdown:
- Part 1: Load and Prepare Data: 0.0/?
- Part 2: Build the CNN Model: 0.0/?
- Part 3: Training and Validation Functions: 0.0/?
- Part 4: Training: 0.0/?
- Part 5: Bonus — Residual Connection: 0.0/?</t>
        </is>
      </c>
      <c r="AC231" t="n">
        <v>6</v>
      </c>
      <c r="AD231" t="inlineStr">
        <is>
          <t>The student's submission was incomplete and contained several errors. They failed to complete tasks 1, 2, 3, and 4, and their implementation of task 5 was not entirely correct. The student's code was not well-organized and did not follow the provided structure. As a result, the student was only able to earn 6 points out of a possible 12.
Breakdown:
- Task 1: Dataset Class: 0.0/?
- Task 2: Model Class: 0.0/?
- Task 3: Training and Validation Loops: 0.0/?
- Task 4: Running Training: 0.0/?
- Task 5: Visualizing Predictions: 6.0/?</t>
        </is>
      </c>
      <c r="AE231" t="n">
        <v>0</v>
      </c>
      <c r="AF231" t="n">
        <v>0</v>
      </c>
      <c r="AG231" t="inlineStr">
        <is>
          <t>The student's submission did not implement the `ColorizationDataset` class correctly, resulting in a score of 0.0 for the base task. Since the student did not implement the class correctly, they did not attempt the bonus task, resulting in a score of 0.0 for the bonus task.
Breakdown:
- Correctly implemented `ColorizationDataset` class:: 0.0/?
- Any mistake in implementation: 0.0/?</t>
        </is>
      </c>
      <c r="AH231" t="n">
        <v>16</v>
      </c>
      <c r="AI231" t="n">
        <v>0</v>
      </c>
    </row>
    <row r="232">
      <c r="A232" t="n">
        <v>231</v>
      </c>
      <c r="B232" t="inlineStr">
        <is>
          <t>TA_5</t>
        </is>
      </c>
      <c r="C232" t="inlineStr">
        <is>
          <t>TA_15</t>
        </is>
      </c>
      <c r="D232" t="n">
        <v>12</v>
      </c>
      <c r="E232" t="n">
        <v>0</v>
      </c>
      <c r="F232" t="n">
        <v>11</v>
      </c>
      <c r="G232" t="n">
        <v>0</v>
      </c>
      <c r="H232" t="n">
        <v>7</v>
      </c>
      <c r="I232" t="n">
        <v>0</v>
      </c>
      <c r="J232" t="n">
        <v>12</v>
      </c>
      <c r="K232" t="n">
        <v>0</v>
      </c>
      <c r="L232" t="n">
        <v>10.5</v>
      </c>
      <c r="M232" t="n">
        <v>0</v>
      </c>
      <c r="N232" t="n">
        <v>10.25</v>
      </c>
      <c r="O232" t="n">
        <v>0</v>
      </c>
      <c r="P232">
        <f>Table1[[#This Row],[TA 1 - Q1 Score]]+Table1[[#This Row],[TA 1 - Q2 Score]]+Table1[[#This Row],[TA 1 - Q3 Score]]</f>
        <v/>
      </c>
      <c r="Q232">
        <f>Table1[[#This Row],[TA 1 - Q1 Bonus]]+Table1[[#This Row],[TA 1 - Q2 Bonus]]+Table1[[#This Row],[TA 1 - Q4 Bonus]]</f>
        <v/>
      </c>
      <c r="R232">
        <f>Table1[[#This Row],[TA 2 - Q1 Score]]+Table1[[#This Row],[TA 2 - Q2 Score]]+Table1[[#This Row],[TA 2 - Q3 Score]]</f>
        <v/>
      </c>
      <c r="S232">
        <f>Table1[[#This Row],[TA 2 - Q1 Bonus]]+Table1[[#This Row],[TA 2 - Q2 Bonus]]+Table1[[#This Row],[TA 2 - Q4 Bonus]]</f>
        <v/>
      </c>
      <c r="T232">
        <f>(Table1[[#This Row],[TA 1 - Total Score (out of 35)]]+Table1[[#This Row],[TA 2 - Total Score (out of 35)]])/2</f>
        <v/>
      </c>
      <c r="U232">
        <f>(Table1[[#This Row],[TA 1 - Total Bonus (out of 13)]]+Table1[[#This Row],[TA 2 - Total Bonus (out of 13)]])/2</f>
        <v/>
      </c>
      <c r="V232">
        <f>Table1[[#This Row],[Average Questions]]/35*20+Table1[[#This Row],[Average Bonus]]/13*5</f>
        <v/>
      </c>
      <c r="W232" t="n">
        <v>6</v>
      </c>
      <c r="X232" t="n">
        <v>0</v>
      </c>
      <c r="Y232"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 also failed to implement test time augmentation, a key bonus task. Overall, the submission demonstrates a lack of understanding of the required tasks and a failure to execute them correctly.
Breakdown:
- Part 1: Load and Prepare Data: 0.0/?
- Part 2: Load Pretrained Model and Adapt: 0.0/?
- Part 3: Training and Validation Functions: 0.0/?
- Part 4: Training: 3.0/?
- Part 5: Bonus — Test Time Augmentation: 0.0/?</t>
        </is>
      </c>
      <c r="Z232" t="n">
        <v>4</v>
      </c>
      <c r="AA232" t="n">
        <v>0</v>
      </c>
      <c r="AB232"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232" t="n">
        <v>6</v>
      </c>
      <c r="AD232"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232" t="n">
        <v>0</v>
      </c>
      <c r="AF232" t="n">
        <v>0</v>
      </c>
      <c r="AG232" t="inlineStr">
        <is>
          <t>No submission found.</t>
        </is>
      </c>
      <c r="AH232" t="n">
        <v>16</v>
      </c>
      <c r="AI232" t="n">
        <v>0</v>
      </c>
    </row>
    <row r="233">
      <c r="A233" t="n">
        <v>232</v>
      </c>
      <c r="B233" t="inlineStr">
        <is>
          <t>TA_5</t>
        </is>
      </c>
      <c r="C233" t="inlineStr">
        <is>
          <t>TA_15</t>
        </is>
      </c>
      <c r="D233" t="n">
        <v>6.5</v>
      </c>
      <c r="E233" t="n">
        <v>0</v>
      </c>
      <c r="F233" t="n">
        <v>1</v>
      </c>
      <c r="G233" t="n">
        <v>0</v>
      </c>
      <c r="H233" t="n">
        <v>11.5</v>
      </c>
      <c r="I233" t="n">
        <v>0</v>
      </c>
      <c r="J233" t="n">
        <v>6</v>
      </c>
      <c r="K233" t="n">
        <v>0</v>
      </c>
      <c r="L233" t="n">
        <v>10.25</v>
      </c>
      <c r="M233" t="n">
        <v>0</v>
      </c>
      <c r="N233" t="n">
        <v>11</v>
      </c>
      <c r="O233" t="n">
        <v>0</v>
      </c>
      <c r="P233">
        <f>Table1[[#This Row],[TA 1 - Q1 Score]]+Table1[[#This Row],[TA 1 - Q2 Score]]+Table1[[#This Row],[TA 1 - Q3 Score]]</f>
        <v/>
      </c>
      <c r="Q233">
        <f>Table1[[#This Row],[TA 1 - Q1 Bonus]]+Table1[[#This Row],[TA 1 - Q2 Bonus]]+Table1[[#This Row],[TA 1 - Q4 Bonus]]</f>
        <v/>
      </c>
      <c r="R233">
        <f>Table1[[#This Row],[TA 2 - Q1 Score]]+Table1[[#This Row],[TA 2 - Q2 Score]]+Table1[[#This Row],[TA 2 - Q3 Score]]</f>
        <v/>
      </c>
      <c r="S233">
        <f>Table1[[#This Row],[TA 2 - Q1 Bonus]]+Table1[[#This Row],[TA 2 - Q2 Bonus]]+Table1[[#This Row],[TA 2 - Q4 Bonus]]</f>
        <v/>
      </c>
      <c r="T233">
        <f>(Table1[[#This Row],[TA 1 - Total Score (out of 35)]]+Table1[[#This Row],[TA 2 - Total Score (out of 35)]])/2</f>
        <v/>
      </c>
      <c r="U233">
        <f>(Table1[[#This Row],[TA 1 - Total Bonus (out of 13)]]+Table1[[#This Row],[TA 2 - Total Bonus (out of 13)]])/2</f>
        <v/>
      </c>
      <c r="V233">
        <f>Table1[[#This Row],[Average Questions]]/35*20+Table1[[#This Row],[Average Bonus]]/13*5</f>
        <v/>
      </c>
      <c r="W233" t="n">
        <v>6</v>
      </c>
      <c r="X233" t="n">
        <v>0</v>
      </c>
      <c r="Y233" t="inlineStr">
        <is>
          <t>The student's submission failed to complete several key tasks, including loading and preparing the data, loading a pretrained model and adapting it, and training the model. While the student made an attempt at training and validation functions, the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233" t="n">
        <v>4</v>
      </c>
      <c r="AA233" t="n">
        <v>0</v>
      </c>
      <c r="AB233" t="inlineStr">
        <is>
          <t>The student's submission failed to address the majority of the tasks in the rubric. The code provided does not follow the structure of the reference solution and lacks essential components such as dataset loading, model building, and training functions. Although the student attempted to implement a CNN model, it is incomplete and does not match the specifications outlined in the rubric. As a result, the student did not demonstrate a clear understanding of the required tasks, and their submission does not meet the minimum requirements for a passing grade.
Breakdown:
- Part 1: Load and Prepare Data: 0.0/?
- Part 2: Build the CNN Model: 0.0/?
- Part 3: Training and Validation Functions: 0.0/?
- Part 4: Training: 0.0/?
- Part 5: Bonus — Residual Connection: 0.0/?</t>
        </is>
      </c>
      <c r="AC233" t="n">
        <v>6</v>
      </c>
      <c r="AD233" t="inlineStr">
        <is>
          <t>The student's submission failed to meet the requirements of the task. They did not implement the dataset class, model class, training and validation loops, running training, and visualizing predictions correctly. As a result, they did not earn any points for these tasks.
Breakdown:
- Task 1: Dataset Class: 0.0/?
- Task 2: Model Class: 0.0/?
- Task 3: Training and Validation Loops: 0.0/?
- Task 4: Running Training: 0.0/?
- Task 5: Visualizing Predictions: 0.0/?</t>
        </is>
      </c>
      <c r="AE233" t="n">
        <v>0</v>
      </c>
      <c r="AF233" t="n">
        <v>0</v>
      </c>
      <c r="AG233" t="inlineStr">
        <is>
          <t>No submission found.</t>
        </is>
      </c>
      <c r="AH233" t="n">
        <v>16</v>
      </c>
      <c r="AI233" t="n">
        <v>0</v>
      </c>
    </row>
    <row r="234">
      <c r="A234" t="n">
        <v>233</v>
      </c>
      <c r="B234" t="inlineStr">
        <is>
          <t>TA_5</t>
        </is>
      </c>
      <c r="C234" t="inlineStr">
        <is>
          <t>TA_15</t>
        </is>
      </c>
      <c r="D234" t="n">
        <v>7</v>
      </c>
      <c r="E234" t="n">
        <v>0</v>
      </c>
      <c r="F234" t="n">
        <v>9</v>
      </c>
      <c r="G234" t="n">
        <v>0</v>
      </c>
      <c r="H234" t="n">
        <v>7</v>
      </c>
      <c r="I234" t="n">
        <v>0</v>
      </c>
      <c r="J234" t="n">
        <v>6.5</v>
      </c>
      <c r="K234" t="n">
        <v>0</v>
      </c>
      <c r="L234" t="n">
        <v>9</v>
      </c>
      <c r="M234" t="n">
        <v>0</v>
      </c>
      <c r="N234" t="n">
        <v>4.5</v>
      </c>
      <c r="O234" t="n">
        <v>0</v>
      </c>
      <c r="P234">
        <f>Table1[[#This Row],[TA 1 - Q1 Score]]+Table1[[#This Row],[TA 1 - Q2 Score]]+Table1[[#This Row],[TA 1 - Q3 Score]]</f>
        <v/>
      </c>
      <c r="Q234">
        <f>Table1[[#This Row],[TA 1 - Q1 Bonus]]+Table1[[#This Row],[TA 1 - Q2 Bonus]]+Table1[[#This Row],[TA 1 - Q4 Bonus]]</f>
        <v/>
      </c>
      <c r="R234">
        <f>Table1[[#This Row],[TA 2 - Q1 Score]]+Table1[[#This Row],[TA 2 - Q2 Score]]+Table1[[#This Row],[TA 2 - Q3 Score]]</f>
        <v/>
      </c>
      <c r="S234">
        <f>Table1[[#This Row],[TA 2 - Q1 Bonus]]+Table1[[#This Row],[TA 2 - Q2 Bonus]]+Table1[[#This Row],[TA 2 - Q4 Bonus]]</f>
        <v/>
      </c>
      <c r="T234">
        <f>(Table1[[#This Row],[TA 1 - Total Score (out of 35)]]+Table1[[#This Row],[TA 2 - Total Score (out of 35)]])/2</f>
        <v/>
      </c>
      <c r="U234">
        <f>(Table1[[#This Row],[TA 1 - Total Bonus (out of 13)]]+Table1[[#This Row],[TA 2 - Total Bonus (out of 13)]])/2</f>
        <v/>
      </c>
      <c r="V234">
        <f>Table1[[#This Row],[Average Questions]]/35*20+Table1[[#This Row],[Average Bonus]]/13*5</f>
        <v/>
      </c>
      <c r="W234" t="n">
        <v>6</v>
      </c>
      <c r="X234" t="n">
        <v>0</v>
      </c>
      <c r="Y234"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errors and did not run end-to-end. The student's implementation of test time augmentation was also incomplete. Overall, the submission demonstrated a lack of understanding of the required tasks and a failure to execute the code correctly.
Breakdown:
- Part 1: Load and Prepare Data: 0.0/?
- Part 2: Load Pretrained Model and Adapt: 0.0/?
- Part 3: Training and Validation Functions: 0.0/?
- Part 4: Training: 3.0/?
- Part 5: Bonus — Test Time Augmentation: 0.0/?</t>
        </is>
      </c>
      <c r="Z234" t="n">
        <v>4</v>
      </c>
      <c r="AA234" t="n">
        <v>0</v>
      </c>
      <c r="AB234"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34" t="n">
        <v>6</v>
      </c>
      <c r="AD234" t="inlineStr">
        <is>
          <t>The student's submission failed to meet the requirements of the task. The code was not organized in a way that allowed it to run end-to-end, and several key components were missing or incorrect. The student attempted to define a custom dataset class, but it was not implemented correctly. The model class was not defined correctly, and the training and validation loops were not implemented. The loss and optimizer were not defined correctly, and the training loop was not implemented. The predictions were not visualized correctly, and the code for visualization was not implemented. Overall, the submission demonstrated a lack of understanding of the task requirements and a failure to implement key components.
Breakdown:
- Task 1: Dataset Class: 0.0/?
- Task 2: Model Class: 0.0/?
- Task 3: Training and Validation Loops: 0.0/?
- Task 4: Running Training: 0.0/?
- Task 5: Visualizing Predictions: 0.0/?</t>
        </is>
      </c>
      <c r="AE234" t="n">
        <v>0</v>
      </c>
      <c r="AF234" t="n">
        <v>0</v>
      </c>
      <c r="AG234" t="inlineStr">
        <is>
          <t>No submission found.</t>
        </is>
      </c>
      <c r="AH234" t="n">
        <v>16</v>
      </c>
      <c r="AI234" t="n">
        <v>0</v>
      </c>
    </row>
    <row r="235">
      <c r="A235" t="n">
        <v>234</v>
      </c>
      <c r="B235" t="inlineStr">
        <is>
          <t>TA_5</t>
        </is>
      </c>
      <c r="C235" t="inlineStr">
        <is>
          <t>TA_15</t>
        </is>
      </c>
      <c r="D235" t="n">
        <v>7.5</v>
      </c>
      <c r="E235" t="n">
        <v>0</v>
      </c>
      <c r="F235" t="n">
        <v>8</v>
      </c>
      <c r="G235" t="n">
        <v>0</v>
      </c>
      <c r="H235" t="n">
        <v>0</v>
      </c>
      <c r="I235" t="n">
        <v>0</v>
      </c>
      <c r="J235" t="n">
        <v>8</v>
      </c>
      <c r="K235" t="n">
        <v>0</v>
      </c>
      <c r="L235" t="n">
        <v>8</v>
      </c>
      <c r="M235" t="n">
        <v>0</v>
      </c>
      <c r="N235" t="n">
        <v>4.75</v>
      </c>
      <c r="O235" t="n">
        <v>0</v>
      </c>
      <c r="P235">
        <f>Table1[[#This Row],[TA 1 - Q1 Score]]+Table1[[#This Row],[TA 1 - Q2 Score]]+Table1[[#This Row],[TA 1 - Q3 Score]]</f>
        <v/>
      </c>
      <c r="Q235">
        <f>Table1[[#This Row],[TA 1 - Q1 Bonus]]+Table1[[#This Row],[TA 1 - Q2 Bonus]]+Table1[[#This Row],[TA 1 - Q4 Bonus]]</f>
        <v/>
      </c>
      <c r="R235">
        <f>Table1[[#This Row],[TA 2 - Q1 Score]]+Table1[[#This Row],[TA 2 - Q2 Score]]+Table1[[#This Row],[TA 2 - Q3 Score]]</f>
        <v/>
      </c>
      <c r="S235">
        <f>Table1[[#This Row],[TA 2 - Q1 Bonus]]+Table1[[#This Row],[TA 2 - Q2 Bonus]]+Table1[[#This Row],[TA 2 - Q4 Bonus]]</f>
        <v/>
      </c>
      <c r="T235">
        <f>(Table1[[#This Row],[TA 1 - Total Score (out of 35)]]+Table1[[#This Row],[TA 2 - Total Score (out of 35)]])/2</f>
        <v/>
      </c>
      <c r="U235">
        <f>(Table1[[#This Row],[TA 1 - Total Bonus (out of 13)]]+Table1[[#This Row],[TA 2 - Total Bonus (out of 13)]])/2</f>
        <v/>
      </c>
      <c r="V235">
        <f>Table1[[#This Row],[Average Questions]]/35*20+Table1[[#This Row],[Average Bonus]]/13*5</f>
        <v/>
      </c>
      <c r="W235" t="n">
        <v>6</v>
      </c>
      <c r="X235" t="n">
        <v>0</v>
      </c>
      <c r="Y235" t="inlineStr">
        <is>
          <t>The student failed to complete Part 1: Load and Prepare Data, as the transforms were not correctly applied. In Part 2: Load Pretrained Model and Adapt, the student failed to freeze the backbone of the model. In Part 3: Training and Validation Functions, the student failed to correctly implement the training and validation loops. The student completed Part 4: Training, but the bonus task in Part 5: Bonus — Test Time Augmentation was not attempted.
Breakdown:
- Part 1: Load and Prepare Data: 0.0/?
- Part 2: Load Pretrained Model and Adapt: 0.0/?
- Part 3: Training and Validation Functions: 0.0/?
- Part 4: Training: 2.5/?
- Part 5: Bonus — Test Time Augmentation: 0.0/?</t>
        </is>
      </c>
      <c r="Z235" t="n">
        <v>6</v>
      </c>
      <c r="AA235" t="n">
        <v>0</v>
      </c>
      <c r="AB235"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any points for the base tasks, and their bonus task was also not completed.
Breakdown:
- Part 1: Load and Prepare Data: 0.0/?
- Part 2: Build the CNN Model: 0.0/?
- Part 3: Training and Validation Functions: 0.0/?
- Part 4: Training: 2.0/?
- Part 5: Bonus — Residual Connection: 0.0/?</t>
        </is>
      </c>
      <c r="AC235" t="n">
        <v>6</v>
      </c>
      <c r="AD235" t="inlineStr">
        <is>
          <t>The student's submission failed to meet the requirements of the task. The code was not able to run end-to-end and did not produce the correct output. The student did not attempt to complete the tasks correctly, resulting in a score of 0 for each task.
Breakdown:
- Task 1: Dataset Class: 0.0/?
- Task 2: Model Class: 0.0/?
- Task 3: Training and Validation Loops: 0.0/?
- Task 4: Running Training: 0.0/?
- Task 5: Visualizing Predictions: 0.0/?</t>
        </is>
      </c>
      <c r="AE235" t="n">
        <v>0</v>
      </c>
      <c r="AF235" t="n">
        <v>0</v>
      </c>
      <c r="AG235" t="inlineStr">
        <is>
          <t>No submission found.</t>
        </is>
      </c>
      <c r="AH235" t="n">
        <v>18</v>
      </c>
      <c r="AI235" t="n">
        <v>0</v>
      </c>
    </row>
    <row r="236">
      <c r="A236" t="n">
        <v>235</v>
      </c>
      <c r="B236" t="inlineStr">
        <is>
          <t>TA_5</t>
        </is>
      </c>
      <c r="C236" t="inlineStr">
        <is>
          <t>TA_15</t>
        </is>
      </c>
      <c r="D236" t="n">
        <v>12</v>
      </c>
      <c r="E236" t="n">
        <v>3</v>
      </c>
      <c r="F236" t="n">
        <v>9</v>
      </c>
      <c r="G236" t="n">
        <v>0</v>
      </c>
      <c r="H236" t="n">
        <v>5</v>
      </c>
      <c r="I236" t="n">
        <v>0</v>
      </c>
      <c r="J236" t="n">
        <v>11.5</v>
      </c>
      <c r="K236" t="n">
        <v>3</v>
      </c>
      <c r="L236" t="n">
        <v>8.5</v>
      </c>
      <c r="M236" t="n">
        <v>0</v>
      </c>
      <c r="N236" t="n">
        <v>8.5</v>
      </c>
      <c r="O236" t="n">
        <v>0</v>
      </c>
      <c r="P236">
        <f>Table1[[#This Row],[TA 1 - Q1 Score]]+Table1[[#This Row],[TA 1 - Q2 Score]]+Table1[[#This Row],[TA 1 - Q3 Score]]</f>
        <v/>
      </c>
      <c r="Q236">
        <f>Table1[[#This Row],[TA 1 - Q1 Bonus]]+Table1[[#This Row],[TA 1 - Q2 Bonus]]+Table1[[#This Row],[TA 1 - Q4 Bonus]]</f>
        <v/>
      </c>
      <c r="R236">
        <f>Table1[[#This Row],[TA 2 - Q1 Score]]+Table1[[#This Row],[TA 2 - Q2 Score]]+Table1[[#This Row],[TA 2 - Q3 Score]]</f>
        <v/>
      </c>
      <c r="S236">
        <f>Table1[[#This Row],[TA 2 - Q1 Bonus]]+Table1[[#This Row],[TA 2 - Q2 Bonus]]+Table1[[#This Row],[TA 2 - Q4 Bonus]]</f>
        <v/>
      </c>
      <c r="T236">
        <f>(Table1[[#This Row],[TA 1 - Total Score (out of 35)]]+Table1[[#This Row],[TA 2 - Total Score (out of 35)]])/2</f>
        <v/>
      </c>
      <c r="U236">
        <f>(Table1[[#This Row],[TA 1 - Total Bonus (out of 13)]]+Table1[[#This Row],[TA 2 - Total Bonus (out of 13)]])/2</f>
        <v/>
      </c>
      <c r="V236">
        <f>Table1[[#This Row],[Average Questions]]/35*20+Table1[[#This Row],[Average Bonus]]/13*5</f>
        <v/>
      </c>
      <c r="W236" t="n">
        <v>6</v>
      </c>
      <c r="X236" t="n">
        <v>0</v>
      </c>
      <c r="Y236"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236" t="n">
        <v>4</v>
      </c>
      <c r="AA236" t="n">
        <v>0</v>
      </c>
      <c r="AB236" t="inlineStr">
        <is>
          <t>The student's submission failed to meet the requirements of the task. The code was not organized in a way that follows the reference solution, and it did not run end-to-end. The student attempted to load and prepare the data, but the code was not correct. The CNN model was not built correctly, and the training and validation functions were not implemented. The training process was not executed, and the residual connection was not added to the model. The student's submission did not demonstrate a clear understanding of the task and the requirements.
Breakdown:
- Part 1: Load and Prepare Data: 0.0/?
- Part 2: Build the CNN Model: 0.0/?
- Part 3: Training and Validation Functions: 0.0/?
- Part 4: Training: 0.0/?
- Part 5: Bonus — Residual Connection: 0.0/?</t>
        </is>
      </c>
      <c r="AC236" t="n">
        <v>6</v>
      </c>
      <c r="AD236"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36" t="n">
        <v>0</v>
      </c>
      <c r="AF236" t="n">
        <v>0</v>
      </c>
      <c r="AG236" t="inlineStr">
        <is>
          <t>No submission found.</t>
        </is>
      </c>
      <c r="AH236" t="n">
        <v>16</v>
      </c>
      <c r="AI236" t="n">
        <v>0</v>
      </c>
    </row>
    <row r="237">
      <c r="A237" t="n">
        <v>236</v>
      </c>
      <c r="B237" t="inlineStr">
        <is>
          <t>TA_5</t>
        </is>
      </c>
      <c r="C237" t="inlineStr">
        <is>
          <t>TA_15</t>
        </is>
      </c>
      <c r="D237" t="n">
        <v>12</v>
      </c>
      <c r="E237" t="n">
        <v>4</v>
      </c>
      <c r="F237" t="n">
        <v>11</v>
      </c>
      <c r="G237" t="n">
        <v>3</v>
      </c>
      <c r="H237" t="n">
        <v>12</v>
      </c>
      <c r="I237" t="n">
        <v>5</v>
      </c>
      <c r="J237" t="n">
        <v>12</v>
      </c>
      <c r="K237" t="n">
        <v>4</v>
      </c>
      <c r="L237" t="n">
        <v>11</v>
      </c>
      <c r="M237" t="n">
        <v>3</v>
      </c>
      <c r="N237" t="n">
        <v>12</v>
      </c>
      <c r="O237" t="n">
        <v>5</v>
      </c>
      <c r="P237">
        <f>Table1[[#This Row],[TA 1 - Q1 Score]]+Table1[[#This Row],[TA 1 - Q2 Score]]+Table1[[#This Row],[TA 1 - Q3 Score]]</f>
        <v/>
      </c>
      <c r="Q237">
        <f>Table1[[#This Row],[TA 1 - Q1 Bonus]]+Table1[[#This Row],[TA 1 - Q2 Bonus]]+Table1[[#This Row],[TA 1 - Q4 Bonus]]</f>
        <v/>
      </c>
      <c r="R237">
        <f>Table1[[#This Row],[TA 2 - Q1 Score]]+Table1[[#This Row],[TA 2 - Q2 Score]]+Table1[[#This Row],[TA 2 - Q3 Score]]</f>
        <v/>
      </c>
      <c r="S237">
        <f>Table1[[#This Row],[TA 2 - Q1 Bonus]]+Table1[[#This Row],[TA 2 - Q2 Bonus]]+Table1[[#This Row],[TA 2 - Q4 Bonus]]</f>
        <v/>
      </c>
      <c r="T237">
        <f>(Table1[[#This Row],[TA 1 - Total Score (out of 35)]]+Table1[[#This Row],[TA 2 - Total Score (out of 35)]])/2</f>
        <v/>
      </c>
      <c r="U237">
        <f>(Table1[[#This Row],[TA 1 - Total Bonus (out of 13)]]+Table1[[#This Row],[TA 2 - Total Bonus (out of 13)]])/2</f>
        <v/>
      </c>
      <c r="V237">
        <f>Table1[[#This Row],[Average Questions]]/35*20+Table1[[#This Row],[Average Bonus]]/13*5</f>
        <v/>
      </c>
      <c r="W237" t="n">
        <v>6</v>
      </c>
      <c r="X237" t="n">
        <v>0</v>
      </c>
      <c r="Y23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3.0/?
- Part 5: Bonus — Test Time Augmentation: 0.0/?</t>
        </is>
      </c>
      <c r="Z237" t="n">
        <v>4</v>
      </c>
      <c r="AA237" t="n">
        <v>0</v>
      </c>
      <c r="AB237" t="inlineStr">
        <is>
          <t>The student's submission is incomplete and lacks any meaningful attempt at the tasks. The code provided does not run end-to-end and fails to address the requirements of the problem. As a result, no credit can be awarded for any of the tasks. The student's submission does not demonstrate any understanding of the problem or the required concepts.
Breakdown:
- Part 1: Load and Prepare Data: 0.0/?
- Part 2: Build the CNN Model: 0.0/?
- Part 3: Training and Validation Functions: 0.0/?
- Part 4: Training: 0.0/?
- Part 5: Bonus — Residual Connection: 0.0/?</t>
        </is>
      </c>
      <c r="AC237" t="n">
        <v>6</v>
      </c>
      <c r="AD237" t="inlineStr">
        <is>
          <t>The student's submission failed to meet the requirements of the task. The code was not organized in the same structure as the reference solution, and several tasks were not implemented correctly. The student did not use the provided functions and did not follow the instructions. As a result, the student did not earn any points for this task.
Breakdown:
- Task 1: Dataset Class: 0.0/?
- Task 2: Model Class: 0.0/?
- Task 3: Training and Validation Loops: 0.0/?
- Task 4: Running Training: 0.0/?
- Task 5: Visualizing Predictions: 0.0/?</t>
        </is>
      </c>
      <c r="AE237" t="n">
        <v>0</v>
      </c>
      <c r="AF237" t="n">
        <v>1</v>
      </c>
      <c r="AG237" t="inlineStr">
        <is>
          <t>The student's submission demonstrates a good understanding of the ColorizationDataset class. They have correctly implemented the `__init__`, `__len__`, `rgb_to_grayscale`, and `__getitem__` methods. However, they have made a mistake in the `rgb_to_grayscale` method by not adding a channel dimension to the grayscale image. This mistake results in a 1-point deduction from the maximum score. The student's code also runs end-to-end and produces the correct output, which is a good sign. Overall, the submission shows a good effort and understanding of the task, but with some minor mistakes.
Breakdown:
- Correctly implemented `ColorizationDataset` class: 4.0/?
- Any mistake in implementation: 0.0/?</t>
        </is>
      </c>
      <c r="AH237" t="n">
        <v>16</v>
      </c>
      <c r="AI237" t="n">
        <v>1</v>
      </c>
    </row>
    <row r="238">
      <c r="A238" t="n">
        <v>237</v>
      </c>
      <c r="B238" t="inlineStr">
        <is>
          <t>TA_5</t>
        </is>
      </c>
      <c r="C238" t="inlineStr">
        <is>
          <t>TA_15</t>
        </is>
      </c>
      <c r="D238" t="n">
        <v>12</v>
      </c>
      <c r="E238" t="n">
        <v>0</v>
      </c>
      <c r="F238" t="n">
        <v>11</v>
      </c>
      <c r="G238" t="n">
        <v>0</v>
      </c>
      <c r="H238" t="n">
        <v>12</v>
      </c>
      <c r="I238" t="n">
        <v>0</v>
      </c>
      <c r="J238" t="n">
        <v>12</v>
      </c>
      <c r="K238" t="n">
        <v>0</v>
      </c>
      <c r="L238" t="n">
        <v>11</v>
      </c>
      <c r="M238" t="n">
        <v>0</v>
      </c>
      <c r="N238" t="n">
        <v>12</v>
      </c>
      <c r="O238" t="n">
        <v>0</v>
      </c>
      <c r="P238">
        <f>Table1[[#This Row],[TA 1 - Q1 Score]]+Table1[[#This Row],[TA 1 - Q2 Score]]+Table1[[#This Row],[TA 1 - Q3 Score]]</f>
        <v/>
      </c>
      <c r="Q238">
        <f>Table1[[#This Row],[TA 1 - Q1 Bonus]]+Table1[[#This Row],[TA 1 - Q2 Bonus]]+Table1[[#This Row],[TA 1 - Q4 Bonus]]</f>
        <v/>
      </c>
      <c r="R238">
        <f>Table1[[#This Row],[TA 2 - Q1 Score]]+Table1[[#This Row],[TA 2 - Q2 Score]]+Table1[[#This Row],[TA 2 - Q3 Score]]</f>
        <v/>
      </c>
      <c r="S238">
        <f>Table1[[#This Row],[TA 2 - Q1 Bonus]]+Table1[[#This Row],[TA 2 - Q2 Bonus]]+Table1[[#This Row],[TA 2 - Q4 Bonus]]</f>
        <v/>
      </c>
      <c r="T238">
        <f>(Table1[[#This Row],[TA 1 - Total Score (out of 35)]]+Table1[[#This Row],[TA 2 - Total Score (out of 35)]])/2</f>
        <v/>
      </c>
      <c r="U238">
        <f>(Table1[[#This Row],[TA 1 - Total Bonus (out of 13)]]+Table1[[#This Row],[TA 2 - Total Bonus (out of 13)]])/2</f>
        <v/>
      </c>
      <c r="V238">
        <f>Table1[[#This Row],[Average Questions]]/35*20+Table1[[#This Row],[Average Bonus]]/13*5</f>
        <v/>
      </c>
      <c r="W238" t="n">
        <v>6</v>
      </c>
      <c r="X238" t="n">
        <v>0</v>
      </c>
      <c r="Y23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2.0/?
- Part 5: Bonus — Test Time Augmentation: 0.0/?</t>
        </is>
      </c>
      <c r="Z238" t="n">
        <v>4</v>
      </c>
      <c r="AA238" t="n">
        <v>0</v>
      </c>
      <c r="AB238" t="inlineStr">
        <is>
          <t>The student's submission failed to meet the requirements of the task. The code was not organized, and the structure was different from the reference solution. The student did not attempt to implement the CNN model, training loop function, or residual connection. As a result, the student did not earn any points for these tasks.
Breakdown:
- Part 1: Load and Prepare Data: 0.0/?
- Part 2: Build the CNN Model: 0.0/?
- Part 3: Training and Validation Functions: 0.0/?
- Part 4: Training: 0.0/?
- Part 5: Bonus — Residual Connection: 0.0/?</t>
        </is>
      </c>
      <c r="AC238" t="n">
        <v>6</v>
      </c>
      <c r="AD238" t="inlineStr">
        <is>
          <t>The student's submission failed to meet the requirements of the task. The code was not organized, and the tasks were not completed correctly. The student did not use the provided functions and did not implement the tasks as described in the reference solution. As a result, the student did not earn any points for this task.
Breakdown:
- Task 1: Dataset Class: 0.0/?
- Task 2: Model Class: 0.0/?
- Task 3: Training and Validation Loops: 0.0/?
- Task 4: Running Training: 0.0/?
- Task 5: Visualizing Predictions: 0.0/?</t>
        </is>
      </c>
      <c r="AE238" t="n">
        <v>0</v>
      </c>
      <c r="AF238" t="n">
        <v>0</v>
      </c>
      <c r="AG238" t="inlineStr">
        <is>
          <t>No submission found.</t>
        </is>
      </c>
      <c r="AH238" t="n">
        <v>16</v>
      </c>
      <c r="AI238" t="n">
        <v>0</v>
      </c>
    </row>
    <row r="239">
      <c r="A239" t="n">
        <v>238</v>
      </c>
      <c r="B239" t="inlineStr">
        <is>
          <t>TA_5</t>
        </is>
      </c>
      <c r="C239" t="inlineStr">
        <is>
          <t>TA_15</t>
        </is>
      </c>
      <c r="D239" t="n">
        <v>8.5</v>
      </c>
      <c r="E239" t="n">
        <v>0</v>
      </c>
      <c r="F239" t="n">
        <v>7</v>
      </c>
      <c r="G239" t="n">
        <v>0</v>
      </c>
      <c r="H239" t="n">
        <v>3.5</v>
      </c>
      <c r="I239" t="n">
        <v>0</v>
      </c>
      <c r="J239" t="n">
        <v>7.75</v>
      </c>
      <c r="K239" t="n">
        <v>0</v>
      </c>
      <c r="L239" t="n">
        <v>7.5</v>
      </c>
      <c r="M239" t="n">
        <v>0</v>
      </c>
      <c r="N239" t="n">
        <v>7.75</v>
      </c>
      <c r="O239" t="n">
        <v>0</v>
      </c>
      <c r="P239">
        <f>Table1[[#This Row],[TA 1 - Q1 Score]]+Table1[[#This Row],[TA 1 - Q2 Score]]+Table1[[#This Row],[TA 1 - Q3 Score]]</f>
        <v/>
      </c>
      <c r="Q239">
        <f>Table1[[#This Row],[TA 1 - Q1 Bonus]]+Table1[[#This Row],[TA 1 - Q2 Bonus]]+Table1[[#This Row],[TA 1 - Q4 Bonus]]</f>
        <v/>
      </c>
      <c r="R239">
        <f>Table1[[#This Row],[TA 2 - Q1 Score]]+Table1[[#This Row],[TA 2 - Q2 Score]]+Table1[[#This Row],[TA 2 - Q3 Score]]</f>
        <v/>
      </c>
      <c r="S239">
        <f>Table1[[#This Row],[TA 2 - Q1 Bonus]]+Table1[[#This Row],[TA 2 - Q2 Bonus]]+Table1[[#This Row],[TA 2 - Q4 Bonus]]</f>
        <v/>
      </c>
      <c r="T239">
        <f>(Table1[[#This Row],[TA 1 - Total Score (out of 35)]]+Table1[[#This Row],[TA 2 - Total Score (out of 35)]])/2</f>
        <v/>
      </c>
      <c r="U239">
        <f>(Table1[[#This Row],[TA 1 - Total Bonus (out of 13)]]+Table1[[#This Row],[TA 2 - Total Bonus (out of 13)]])/2</f>
        <v/>
      </c>
      <c r="V239">
        <f>Table1[[#This Row],[Average Questions]]/35*20+Table1[[#This Row],[Average Bonus]]/13*5</f>
        <v/>
      </c>
      <c r="W239" t="n">
        <v>6</v>
      </c>
      <c r="X239" t="n">
        <v>0</v>
      </c>
      <c r="Y239"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syntax and logic mistakes, resulting in a score of 6.0 for this task. Unfortunately, the student did not complete the bonus task, resulting in a score of 0.0 for this task. Overall, the student's submission demonstrates a lack of understanding of the key concepts and requirements of the task.
Breakdown:
- Part 1: Load and Prepare Data: 0.0/?
- Part 2: Load Pretrained Model and Adapt: 0.0/?
- Part 3: Training and Validation Functions: 0.0/?
- Part 4: Training: 6.0/?
- Part 5: Bonus — Test Time Augmentation: 0.0/?</t>
        </is>
      </c>
      <c r="Z239" t="n">
        <v>4</v>
      </c>
      <c r="AA239" t="n">
        <v>0</v>
      </c>
      <c r="AB239" t="inlineStr">
        <is>
          <t>The submission failed to load and prepare the data correctly, as it used the wrong dataset and did not apply the required transforms. The CNN model was not built with the correct architecture, and the training and validation functions were not implemented. The training process was not executed, and the residual connection bonus task was not attempted. The submission demonstrates a lack of understanding of the required tasks and does not provide a functional solution.
Breakdown:
- Part 1: Load and Prepare Data: 0.0/?
- Part 2: Build the CNN Model: 0.0/?
- Part 3: Training and Validation Functions: 0.0/?
- Part 4: Training: 0.0/?
- Part 5: Bonus — Residual Connection: 0.0/?</t>
        </is>
      </c>
      <c r="AC239" t="n">
        <v>6</v>
      </c>
      <c r="AD239" t="inlineStr">
        <is>
          <t>The student's submission failed to address several key tasks, including building a custom dataset class, defining a model class, and implementing training and validation loops. While the student did attempt to visualize predictions, their code did not meet the requirements of the task, which included displaying the ground truth and prediction for multiple images.
Breakdown:
- Task 1: Dataset Class: 0.0/?
- Task 2: Model Class: 0.0/?
- Task 3: Training and Validation Loops: 0.0/?
- Task 4: Running Training: 0.0/?
- Task 5: Visualizing Predictions: 6.0/?</t>
        </is>
      </c>
      <c r="AE239" t="n">
        <v>0</v>
      </c>
      <c r="AF239" t="n">
        <v>0</v>
      </c>
      <c r="AG239" t="inlineStr">
        <is>
          <t>No submission found.</t>
        </is>
      </c>
      <c r="AH239" t="n">
        <v>16</v>
      </c>
      <c r="AI239" t="n">
        <v>0</v>
      </c>
    </row>
    <row r="240">
      <c r="A240" t="n">
        <v>239</v>
      </c>
      <c r="B240" t="inlineStr">
        <is>
          <t>TA_5</t>
        </is>
      </c>
      <c r="C240" t="inlineStr">
        <is>
          <t>TA_15</t>
        </is>
      </c>
      <c r="D240" t="n">
        <v>11</v>
      </c>
      <c r="E240" t="n">
        <v>2</v>
      </c>
      <c r="F240" t="n">
        <v>11</v>
      </c>
      <c r="G240" t="n">
        <v>4</v>
      </c>
      <c r="H240" t="n">
        <v>7.5</v>
      </c>
      <c r="I240" t="n">
        <v>5</v>
      </c>
      <c r="J240" t="n">
        <v>9.25</v>
      </c>
      <c r="K240" t="n">
        <v>0</v>
      </c>
      <c r="L240" t="n">
        <v>10.5</v>
      </c>
      <c r="M240" t="n">
        <v>4</v>
      </c>
      <c r="N240" t="n">
        <v>6.75</v>
      </c>
      <c r="O240" t="n">
        <v>5</v>
      </c>
      <c r="P240">
        <f>Table1[[#This Row],[TA 1 - Q1 Score]]+Table1[[#This Row],[TA 1 - Q2 Score]]+Table1[[#This Row],[TA 1 - Q3 Score]]</f>
        <v/>
      </c>
      <c r="Q240">
        <f>Table1[[#This Row],[TA 1 - Q1 Bonus]]+Table1[[#This Row],[TA 1 - Q2 Bonus]]+Table1[[#This Row],[TA 1 - Q4 Bonus]]</f>
        <v/>
      </c>
      <c r="R240">
        <f>Table1[[#This Row],[TA 2 - Q1 Score]]+Table1[[#This Row],[TA 2 - Q2 Score]]+Table1[[#This Row],[TA 2 - Q3 Score]]</f>
        <v/>
      </c>
      <c r="S240">
        <f>Table1[[#This Row],[TA 2 - Q1 Bonus]]+Table1[[#This Row],[TA 2 - Q2 Bonus]]+Table1[[#This Row],[TA 2 - Q4 Bonus]]</f>
        <v/>
      </c>
      <c r="T240">
        <f>(Table1[[#This Row],[TA 1 - Total Score (out of 35)]]+Table1[[#This Row],[TA 2 - Total Score (out of 35)]])/2</f>
        <v/>
      </c>
      <c r="U240">
        <f>(Table1[[#This Row],[TA 1 - Total Bonus (out of 13)]]+Table1[[#This Row],[TA 2 - Total Bonus (out of 13)]])/2</f>
        <v/>
      </c>
      <c r="V240">
        <f>Table1[[#This Row],[Average Questions]]/35*20+Table1[[#This Row],[Average Bonus]]/13*5</f>
        <v/>
      </c>
      <c r="W240" t="n">
        <v>6</v>
      </c>
      <c r="X240" t="n">
        <v>0</v>
      </c>
      <c r="Y240" t="inlineStr">
        <is>
          <t>The student's submission failed to complete several key tasks, including loading and preparing the data, loading the pretrained model and adapting it, and implementing the training and validation functions. While the student attempted to train the model, their implementation was incomplete and did not follow the reference solution. The bonus task, Test Time Augmentation, was also not implemented correctly. As a result, the student's submission was awarded a score of 6.0, reflecting the partial completion of the training task.
Breakdown:
- Part 1: Load and Prepare Data: 0.0/?
- Part 2: Load Pretrained Model and Adapt: 0.0/?
- Part 3: Training and Validation Functions: 0.0/?
- Part 4: Training: 2.0/?
- Part 5: Bonus — Test Time Augmentation: 0.0/?</t>
        </is>
      </c>
      <c r="Z240" t="n">
        <v>6</v>
      </c>
      <c r="AA240" t="n">
        <v>0</v>
      </c>
      <c r="AB240"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and batch normalization was not added. In Part 3, the training and validation loop functions were not defined. In Part 4, the model was trained, but the validation loop function was not used. In Part 5, the residual connection was not implemented correctly. The student's code had several syntax and logic mistakes, and some tasks were not attempted at all.
Breakdown:
- Part 1: Load and Prepare Data: 0.0/?
- Part 2: Build the CNN Model: 0.0/?
- Part 3: Training and Validation Functions: 0.0/?
- Part 4: Training: 2.0/?
- Part 5: Bonus — Residual Connection: 0.0/?</t>
        </is>
      </c>
      <c r="AC240" t="n">
        <v>6</v>
      </c>
      <c r="AD240" t="inlineStr">
        <is>
          <t>The student's submission failed to meet the requirements of the task. The code was not able to run end-to-end and did not produce the correct output. The student attempted to define the dataset class, model class, training and validation loops, and running training, but the code was incorrect and did not meet the requirements of the task. The student also failed to visualize the predictions correctly. As a result, the student received 0 points for each task.
Breakdown:
- Task 1: Dataset Class: 0.0/?
- Task 2: Model Class: 0.0/?
- Task 3: Training and Validation Loops: 0.0/?
- Task 4: Running Training: 0.0/?
- Task 5: Visualizing Predictions: 0.0/?</t>
        </is>
      </c>
      <c r="AE240" t="n">
        <v>0</v>
      </c>
      <c r="AF240" t="n">
        <v>0</v>
      </c>
      <c r="AG240" t="inlineStr">
        <is>
          <t>The student's submission does not fully implement the `ColorizationDataset` class. The `__init__` method does not store the dataset, the `__len__` method does not return the correct length, the `rgb_to_grayscale` method has incorrect dimensions and does not handle the case where the input image has more than 3 channels, and the `__getitem__` method does not return the correct (grayscale, color) tuple. As a result, the submission does not meet the requirements of the task and does not earn any points.
Breakdown:
- Correctly implemented `ColorizationDataset` class: 0.0/?</t>
        </is>
      </c>
      <c r="AH240" t="n">
        <v>18</v>
      </c>
      <c r="AI240" t="n">
        <v>0</v>
      </c>
    </row>
    <row r="241">
      <c r="A241" t="n">
        <v>240</v>
      </c>
      <c r="B241" t="inlineStr">
        <is>
          <t>TA_5</t>
        </is>
      </c>
      <c r="C241" t="inlineStr">
        <is>
          <t>TA_15</t>
        </is>
      </c>
      <c r="D241" t="n">
        <v>6.5</v>
      </c>
      <c r="E241" t="n">
        <v>0</v>
      </c>
      <c r="F241" t="n">
        <v>8.5</v>
      </c>
      <c r="G241" t="n">
        <v>0</v>
      </c>
      <c r="H241" t="n">
        <v>12</v>
      </c>
      <c r="I241" t="n">
        <v>0</v>
      </c>
      <c r="J241" t="n">
        <v>6.5</v>
      </c>
      <c r="K241" t="n">
        <v>0</v>
      </c>
      <c r="L241" t="n">
        <v>10.5</v>
      </c>
      <c r="M241" t="n">
        <v>0</v>
      </c>
      <c r="N241" t="n">
        <v>12</v>
      </c>
      <c r="O241" t="n">
        <v>0</v>
      </c>
      <c r="P241">
        <f>Table1[[#This Row],[TA 1 - Q1 Score]]+Table1[[#This Row],[TA 1 - Q2 Score]]+Table1[[#This Row],[TA 1 - Q3 Score]]</f>
        <v/>
      </c>
      <c r="Q241">
        <f>Table1[[#This Row],[TA 1 - Q1 Bonus]]+Table1[[#This Row],[TA 1 - Q2 Bonus]]+Table1[[#This Row],[TA 1 - Q4 Bonus]]</f>
        <v/>
      </c>
      <c r="R241">
        <f>Table1[[#This Row],[TA 2 - Q1 Score]]+Table1[[#This Row],[TA 2 - Q2 Score]]+Table1[[#This Row],[TA 2 - Q3 Score]]</f>
        <v/>
      </c>
      <c r="S241">
        <f>Table1[[#This Row],[TA 2 - Q1 Bonus]]+Table1[[#This Row],[TA 2 - Q2 Bonus]]+Table1[[#This Row],[TA 2 - Q4 Bonus]]</f>
        <v/>
      </c>
      <c r="T241">
        <f>(Table1[[#This Row],[TA 1 - Total Score (out of 35)]]+Table1[[#This Row],[TA 2 - Total Score (out of 35)]])/2</f>
        <v/>
      </c>
      <c r="U241">
        <f>(Table1[[#This Row],[TA 1 - Total Bonus (out of 13)]]+Table1[[#This Row],[TA 2 - Total Bonus (out of 13)]])/2</f>
        <v/>
      </c>
      <c r="V241">
        <f>Table1[[#This Row],[Average Questions]]/35*20+Table1[[#This Row],[Average Bonus]]/13*5</f>
        <v/>
      </c>
      <c r="W241" t="n">
        <v>6</v>
      </c>
      <c r="X241" t="n">
        <v>0</v>
      </c>
      <c r="Y241"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produce a working solution.
Breakdown:
- Part 1: Load and Prepare Data: 0.0/?
- Part 2: Load Pretrained Model and Adapt: 0.0/?
- Part 3: Training and Validation Functions: 1.5/?
- Part 4: Training: 0.0/?
- Part 5: Bonus — Test Time Augmentation: 0.0/?</t>
        </is>
      </c>
      <c r="Z241" t="n">
        <v>4</v>
      </c>
      <c r="AA241" t="n">
        <v>0</v>
      </c>
      <c r="AB241"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41" t="n">
        <v>6</v>
      </c>
      <c r="AD241" t="inlineStr">
        <is>
          <t>The student's submission was incomplete and lacked code for most tasks. The only task that was attempted was Task 5: Visualizing Predictions, where the student's code was mostly correct but had some minor issues. The student's approach to the other tasks was not evident, and no code was submitted for them.
Breakdown:
- Task 1: Dataset Class: 0.0/?
- Task 2: Model Class: 0.0/?
- Task 3: Training and Validation Loops: 0.0/?
- Task 4: Running Training: 0.0/?
- Task 5: Visualizing Predictions: 6.0/?</t>
        </is>
      </c>
      <c r="AE241" t="n">
        <v>0</v>
      </c>
      <c r="AF241" t="n">
        <v>0</v>
      </c>
      <c r="AG241" t="inlineStr">
        <is>
          <t>The student's submission does not meet the requirements of the task. The `ColorizationDataset` class is not implemented correctly, and the `rgb_to_grayscale` method is incorrect. Additionally, the `__getitem__` method returns the color image instead of the grayscale image. As a result, the student does not receive any points for this task.
Breakdown:
- Correctly implemented `ColorizationDataset` class:: 0.0/?</t>
        </is>
      </c>
      <c r="AH241" t="n">
        <v>16</v>
      </c>
      <c r="AI241" t="n">
        <v>0</v>
      </c>
    </row>
    <row r="242">
      <c r="A242" t="n">
        <v>241</v>
      </c>
      <c r="B242" t="inlineStr">
        <is>
          <t>TA_5</t>
        </is>
      </c>
      <c r="C242" t="inlineStr">
        <is>
          <t>TA_15</t>
        </is>
      </c>
      <c r="D242" t="n">
        <v>6.5</v>
      </c>
      <c r="E242" t="n">
        <v>0</v>
      </c>
      <c r="F242" t="n">
        <v>6.25</v>
      </c>
      <c r="G242" t="n">
        <v>0</v>
      </c>
      <c r="H242" t="n">
        <v>6</v>
      </c>
      <c r="I242" t="n">
        <v>0</v>
      </c>
      <c r="J242" t="n">
        <v>7.5</v>
      </c>
      <c r="K242" t="n">
        <v>0</v>
      </c>
      <c r="L242" t="n">
        <v>8.25</v>
      </c>
      <c r="M242" t="n">
        <v>0</v>
      </c>
      <c r="N242" t="n">
        <v>5</v>
      </c>
      <c r="O242" t="n">
        <v>0</v>
      </c>
      <c r="P242">
        <f>Table1[[#This Row],[TA 1 - Q1 Score]]+Table1[[#This Row],[TA 1 - Q2 Score]]+Table1[[#This Row],[TA 1 - Q3 Score]]</f>
        <v/>
      </c>
      <c r="Q242">
        <f>Table1[[#This Row],[TA 1 - Q1 Bonus]]+Table1[[#This Row],[TA 1 - Q2 Bonus]]+Table1[[#This Row],[TA 1 - Q4 Bonus]]</f>
        <v/>
      </c>
      <c r="R242">
        <f>Table1[[#This Row],[TA 2 - Q1 Score]]+Table1[[#This Row],[TA 2 - Q2 Score]]+Table1[[#This Row],[TA 2 - Q3 Score]]</f>
        <v/>
      </c>
      <c r="S242">
        <f>Table1[[#This Row],[TA 2 - Q1 Bonus]]+Table1[[#This Row],[TA 2 - Q2 Bonus]]+Table1[[#This Row],[TA 2 - Q4 Bonus]]</f>
        <v/>
      </c>
      <c r="T242">
        <f>(Table1[[#This Row],[TA 1 - Total Score (out of 35)]]+Table1[[#This Row],[TA 2 - Total Score (out of 35)]])/2</f>
        <v/>
      </c>
      <c r="U242">
        <f>(Table1[[#This Row],[TA 1 - Total Bonus (out of 13)]]+Table1[[#This Row],[TA 2 - Total Bonus (out of 13)]])/2</f>
        <v/>
      </c>
      <c r="V242">
        <f>Table1[[#This Row],[Average Questions]]/35*20+Table1[[#This Row],[Average Bonus]]/13*5</f>
        <v/>
      </c>
      <c r="W242" t="n">
        <v>6</v>
      </c>
      <c r="X242" t="n">
        <v>0</v>
      </c>
      <c r="Y242" t="inlineStr">
        <is>
          <t>The student's submission failed to address several key tasks, including loading and preparing data, loading a pretrained model, and implementing training and validation functions. While the student did write some code for the training task, it was incomplete. As a result, the student's submission was unable to run end-to-end and failed to demonstrate a clear understanding of the required concepts.
Breakdown:
- Part 1: Load and Prepare Data: 0.0/?
- Part 2: Load Pretrained Model and Adapt: 0.0/?
- Part 3: Training and Validation Functions: 0.0/?
- Part 4: Training: 2.5/?
- Part 5: Bonus — Test Time Augmentation: 0.0/?</t>
        </is>
      </c>
      <c r="Z242" t="n">
        <v>4</v>
      </c>
      <c r="AA242" t="n">
        <v>0</v>
      </c>
      <c r="AB242" t="inlineStr">
        <is>
          <t>The student's submission failed to meet the requirements of the task. The code was not organized, and the tasks were not completed. The CNN model class with 5 convolutional layers was not implemented, and the training loop function and validation loop function were not defined. The model was not trained, and the losses and accuracy were not plotted. The residual connection was not implemented, and the model was not retrained with the residual connection. As a result, the student did not earn any points for this task.
Breakdown:
- Part 1: Load and Prepare Data: 0.0/?
- Part 2: Build the CNN Model: 0.0/?
- Part 3: Training and Validation Functions: 0.0/?
- Part 4: Training: 0.0/?
- Part 5: Bonus — Residual Connection: 0.0/?</t>
        </is>
      </c>
      <c r="AC242" t="n">
        <v>6</v>
      </c>
      <c r="AD242" t="inlineStr">
        <is>
          <t>The student's submission failed to meet the requirements of the task. The code was not organized, and the student did not follow the instructions correctly. The student attempted to implement some tasks, but the code was not correct, and the student did not use the correct approach. As a result, the student did not receive any points for this task.
Breakdown:
- Task 1: Dataset Class: 0.0/?
- Task 2: Model Class: 0.0/?
- Task 3: Training and Validation Loops: 0.0/?
- Task 4: Running Training: 0.0/?
- Task 5: Visualizing Predictions: 0.0/?</t>
        </is>
      </c>
      <c r="AE242" t="n">
        <v>0</v>
      </c>
      <c r="AF242" t="n">
        <v>0</v>
      </c>
      <c r="AG242" t="inlineStr">
        <is>
          <t>No submission found.</t>
        </is>
      </c>
      <c r="AH242" t="n">
        <v>16</v>
      </c>
      <c r="AI242" t="n">
        <v>0</v>
      </c>
    </row>
    <row r="243">
      <c r="A243" t="n">
        <v>242</v>
      </c>
      <c r="B243" t="inlineStr">
        <is>
          <t>TA_5</t>
        </is>
      </c>
      <c r="C243" t="inlineStr">
        <is>
          <t>TA_15</t>
        </is>
      </c>
      <c r="D243" t="n">
        <v>10.5</v>
      </c>
      <c r="E243" t="n">
        <v>4</v>
      </c>
      <c r="F243" t="n">
        <v>11</v>
      </c>
      <c r="G243" t="n">
        <v>2</v>
      </c>
      <c r="H243" t="n">
        <v>12</v>
      </c>
      <c r="I243" t="n">
        <v>0</v>
      </c>
      <c r="J243" t="n">
        <v>10</v>
      </c>
      <c r="K243" t="n">
        <v>2</v>
      </c>
      <c r="L243" t="n">
        <v>9.75</v>
      </c>
      <c r="M243" t="n">
        <v>1</v>
      </c>
      <c r="N243" t="n">
        <v>12</v>
      </c>
      <c r="O243" t="n">
        <v>0</v>
      </c>
      <c r="P243">
        <f>Table1[[#This Row],[TA 1 - Q1 Score]]+Table1[[#This Row],[TA 1 - Q2 Score]]+Table1[[#This Row],[TA 1 - Q3 Score]]</f>
        <v/>
      </c>
      <c r="Q243">
        <f>Table1[[#This Row],[TA 1 - Q1 Bonus]]+Table1[[#This Row],[TA 1 - Q2 Bonus]]+Table1[[#This Row],[TA 1 - Q4 Bonus]]</f>
        <v/>
      </c>
      <c r="R243">
        <f>Table1[[#This Row],[TA 2 - Q1 Score]]+Table1[[#This Row],[TA 2 - Q2 Score]]+Table1[[#This Row],[TA 2 - Q3 Score]]</f>
        <v/>
      </c>
      <c r="S243">
        <f>Table1[[#This Row],[TA 2 - Q1 Bonus]]+Table1[[#This Row],[TA 2 - Q2 Bonus]]+Table1[[#This Row],[TA 2 - Q4 Bonus]]</f>
        <v/>
      </c>
      <c r="T243">
        <f>(Table1[[#This Row],[TA 1 - Total Score (out of 35)]]+Table1[[#This Row],[TA 2 - Total Score (out of 35)]])/2</f>
        <v/>
      </c>
      <c r="U243">
        <f>(Table1[[#This Row],[TA 1 - Total Bonus (out of 13)]]+Table1[[#This Row],[TA 2 - Total Bonus (out of 13)]])/2</f>
        <v/>
      </c>
      <c r="V243">
        <f>Table1[[#This Row],[Average Questions]]/35*20+Table1[[#This Row],[Average Bonus]]/13*5</f>
        <v/>
      </c>
      <c r="W243" t="n">
        <v>6</v>
      </c>
      <c r="X243" t="n">
        <v>0</v>
      </c>
      <c r="Y243" t="inlineStr">
        <is>
          <t>The student's submission failed to complete several key tasks, including loading and preparing the data, loading the pretrained model, and training the model. The code for the training and validation functions was partially correct, but the student failed to fix the labels, resulting in a penalty.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1.75/?
- Part 4: Training: 0.0/?
- Part 5: Bonus — Test Time Augmentation: 0.0/?</t>
        </is>
      </c>
      <c r="Z243" t="n">
        <v>6</v>
      </c>
      <c r="AA243" t="n">
        <v>0</v>
      </c>
      <c r="AB24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completed. As a result, the student's score is limited to the points awarded for the training task.
Breakdown:
- Part 1: Load and Prepare Data: 0.0/?
- Part 2: Build the CNN Model: 0.0/?
- Part 3: Training and Validation Functions: 0.0/?
- Part 4: Training: 2.0/?
- Part 5: Bonus — Residual Connection: 0.0/?</t>
        </is>
      </c>
      <c r="AC243" t="n">
        <v>6</v>
      </c>
      <c r="AD243"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positive aspect of their submission. Overall, the student's submission was incomplete and had several errors, resulting in a low score.
Breakdown:
- Task 1: Dataset Class: 0.0/?
- Task 2: Model Class: 0.0/?
- Task 3: Training and Validation Loops: 0.0/?
- Task 4: Running Training: 0.0/?
- Task 5: Visualizing Predictions: 6.0/?</t>
        </is>
      </c>
      <c r="AE243" t="n">
        <v>0</v>
      </c>
      <c r="AF243" t="n">
        <v>0</v>
      </c>
      <c r="AG243" t="inlineStr">
        <is>
          <t>The student's submission fails to implement the `ColorizationDataset` class correctly, with missing methods and incorrect implementation. As a result, the submission does not meet the requirements of the task and does not award any points.
Breakdown:
- Correctly implemented `ColorizationDataset` class:: 0.0/?
- Any mistake in implementation: 0.0/?</t>
        </is>
      </c>
      <c r="AH243" t="n">
        <v>18</v>
      </c>
      <c r="AI243" t="n">
        <v>0</v>
      </c>
    </row>
    <row r="244">
      <c r="A244" t="n">
        <v>243</v>
      </c>
      <c r="B244" t="inlineStr">
        <is>
          <t>TA_5</t>
        </is>
      </c>
      <c r="C244" t="inlineStr">
        <is>
          <t>TA_15</t>
        </is>
      </c>
      <c r="D244" t="n">
        <v>11</v>
      </c>
      <c r="E244" t="n">
        <v>3</v>
      </c>
      <c r="F244" t="n">
        <v>11</v>
      </c>
      <c r="G244" t="n">
        <v>1</v>
      </c>
      <c r="H244" t="n">
        <v>8</v>
      </c>
      <c r="I244" t="n">
        <v>0</v>
      </c>
      <c r="J244" t="n">
        <v>10.5</v>
      </c>
      <c r="K244" t="n">
        <v>2</v>
      </c>
      <c r="L244" t="n">
        <v>11</v>
      </c>
      <c r="M244" t="n">
        <v>1</v>
      </c>
      <c r="N244" t="n">
        <v>11</v>
      </c>
      <c r="O244" t="n">
        <v>0</v>
      </c>
      <c r="P244">
        <f>Table1[[#This Row],[TA 1 - Q1 Score]]+Table1[[#This Row],[TA 1 - Q2 Score]]+Table1[[#This Row],[TA 1 - Q3 Score]]</f>
        <v/>
      </c>
      <c r="Q244">
        <f>Table1[[#This Row],[TA 1 - Q1 Bonus]]+Table1[[#This Row],[TA 1 - Q2 Bonus]]+Table1[[#This Row],[TA 1 - Q4 Bonus]]</f>
        <v/>
      </c>
      <c r="R244">
        <f>Table1[[#This Row],[TA 2 - Q1 Score]]+Table1[[#This Row],[TA 2 - Q2 Score]]+Table1[[#This Row],[TA 2 - Q3 Score]]</f>
        <v/>
      </c>
      <c r="S244">
        <f>Table1[[#This Row],[TA 2 - Q1 Bonus]]+Table1[[#This Row],[TA 2 - Q2 Bonus]]+Table1[[#This Row],[TA 2 - Q4 Bonus]]</f>
        <v/>
      </c>
      <c r="T244">
        <f>(Table1[[#This Row],[TA 1 - Total Score (out of 35)]]+Table1[[#This Row],[TA 2 - Total Score (out of 35)]])/2</f>
        <v/>
      </c>
      <c r="U244">
        <f>(Table1[[#This Row],[TA 1 - Total Bonus (out of 13)]]+Table1[[#This Row],[TA 2 - Total Bonus (out of 13)]])/2</f>
        <v/>
      </c>
      <c r="V244">
        <f>Table1[[#This Row],[Average Questions]]/35*20+Table1[[#This Row],[Average Bonus]]/13*5</f>
        <v/>
      </c>
      <c r="W244" t="n">
        <v>6</v>
      </c>
      <c r="X244" t="n">
        <v>0</v>
      </c>
      <c r="Y244" t="inlineStr">
        <is>
          <t>The student's submission failed to complete several key tasks, including loading and preparing the data, loading a pretrained model and adapting it, and implementing training and validation functions. While the student did attempt to train the model, their code contained several errors and did not run end-to-end. The bonus task of implementing test time augmentation was also not completed. Overall, the student's submission demonstrated a lack of understanding of the key concepts and failed to execute the tasks correctly.
Breakdown:
- Part 1: Load and Prepare Data: 0.0/?
- Part 2: Load Pretrained Model and Adapt: 0.0/?
- Part 3: Training and Validation Functions: 0.0/?
- Part 4: Training: 2.0/?
- Part 5: Bonus — Test Time Augmentation: 0.0/?</t>
        </is>
      </c>
      <c r="Z244" t="n">
        <v>6</v>
      </c>
      <c r="AA244" t="n">
        <v>0</v>
      </c>
      <c r="AB244"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In Part 3, the training and validation loop functions were not defined. In Part 4, the model was trained, but the validation loop function was not used. In Part 5, the residual connection was not implemented correctly. The student's code had several syntax and logic mistakes, and some tasks were not attempted at all.
Breakdown:
- Part 1: Load and Prepare Data: 0.0/?
- Part 2: Build the CNN Model: 0.0/?
- Part 3: Training and Validation Functions: 0.0/?
- Part 4: Training: 2.0/?
- Part 5: Bonus — Residual Connection: 0.0/?</t>
        </is>
      </c>
      <c r="AC244" t="n">
        <v>6</v>
      </c>
      <c r="AD244" t="inlineStr">
        <is>
          <t>The student's submission failed to meet the requirements of the task, with no code submitted for several tasks and incorrect implementations in the remaining tasks. The student's code attempted to define a dataset class, but it was not used correctly. The model class was not defined correctly, using a different encoder and number of classes. The training and validation loops were not defined correctly, using a different loss function and optimizer. The training process was not executed correctly, with no loss and optimizer defined. Finally, the predictions were not visualized correctly, with no code to display the images and masks.
Breakdown:
- Task 1: Dataset Class: 0.0/?
- Task 2: Model Class: 0.0/?
- Task 3: Training and Validation Loops: 0.0/?
- Task 4: Running Training: 0.0/?
- Task 5: Visualizing Predictions: 0.0/?</t>
        </is>
      </c>
      <c r="AE244" t="n">
        <v>0</v>
      </c>
      <c r="AF244" t="n">
        <v>0</v>
      </c>
      <c r="AG244" t="inlineStr">
        <is>
          <t>No submission found.</t>
        </is>
      </c>
      <c r="AH244" t="n">
        <v>18</v>
      </c>
      <c r="AI244" t="n">
        <v>0</v>
      </c>
    </row>
    <row r="245">
      <c r="A245" t="n">
        <v>244</v>
      </c>
      <c r="B245" t="inlineStr">
        <is>
          <t>TA_5</t>
        </is>
      </c>
      <c r="C245" t="inlineStr">
        <is>
          <t>TA_15</t>
        </is>
      </c>
      <c r="D245" t="n">
        <v>1.5</v>
      </c>
      <c r="E245" t="n">
        <v>0</v>
      </c>
      <c r="F245" t="n">
        <v>1.5</v>
      </c>
      <c r="G245" t="n">
        <v>0</v>
      </c>
      <c r="H245" t="n">
        <v>0</v>
      </c>
      <c r="I245" t="n">
        <v>0</v>
      </c>
      <c r="J245" t="n">
        <v>3.5</v>
      </c>
      <c r="K245" t="n">
        <v>0</v>
      </c>
      <c r="L245" t="n">
        <v>2</v>
      </c>
      <c r="M245" t="n">
        <v>0</v>
      </c>
      <c r="N245" t="n">
        <v>5</v>
      </c>
      <c r="O245" t="n">
        <v>0</v>
      </c>
      <c r="P245">
        <f>Table1[[#This Row],[TA 1 - Q1 Score]]+Table1[[#This Row],[TA 1 - Q2 Score]]+Table1[[#This Row],[TA 1 - Q3 Score]]</f>
        <v/>
      </c>
      <c r="Q245">
        <f>Table1[[#This Row],[TA 1 - Q1 Bonus]]+Table1[[#This Row],[TA 1 - Q2 Bonus]]+Table1[[#This Row],[TA 1 - Q4 Bonus]]</f>
        <v/>
      </c>
      <c r="R245">
        <f>Table1[[#This Row],[TA 2 - Q1 Score]]+Table1[[#This Row],[TA 2 - Q2 Score]]+Table1[[#This Row],[TA 2 - Q3 Score]]</f>
        <v/>
      </c>
      <c r="S245">
        <f>Table1[[#This Row],[TA 2 - Q1 Bonus]]+Table1[[#This Row],[TA 2 - Q2 Bonus]]+Table1[[#This Row],[TA 2 - Q4 Bonus]]</f>
        <v/>
      </c>
      <c r="T245">
        <f>(Table1[[#This Row],[TA 1 - Total Score (out of 35)]]+Table1[[#This Row],[TA 2 - Total Score (out of 35)]])/2</f>
        <v/>
      </c>
      <c r="U245">
        <f>(Table1[[#This Row],[TA 1 - Total Bonus (out of 13)]]+Table1[[#This Row],[TA 2 - Total Bonus (out of 13)]])/2</f>
        <v/>
      </c>
      <c r="V245">
        <f>Table1[[#This Row],[Average Questions]]/35*20+Table1[[#This Row],[Average Bonus]]/13*5</f>
        <v/>
      </c>
      <c r="W245" t="n">
        <v>6</v>
      </c>
      <c r="X245" t="n">
        <v>0</v>
      </c>
      <c r="Y245" t="inlineStr">
        <is>
          <t>The student's submission failed to complete several key tasks, including loading and preparing the data, loading a pretrained model, and training the model. The code for training and validation functions was partially correct, but the student failed to fix the labels, resulting in a loss of 2 points.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245" t="n">
        <v>4</v>
      </c>
      <c r="AA245" t="n">
        <v>0</v>
      </c>
      <c r="AB245"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and the training and validation functions are not implemented. The bonus task of adding a residual connection is not attempted. Overall, the submission demonstrates a lack of understanding of the task requirements and does not demonstrate any correct implementation of the code.
Breakdown:
- Part 1: Load and Prepare Data: 0.0/?
- Part 2: Build the CNN Model: 0.0/?
- Part 3: Training and Validation Functions: 0.0/?
- Part 4: Training: 0.0/?
- Part 5: Bonus — Residual Connection: 0.0/?</t>
        </is>
      </c>
      <c r="AC245" t="n">
        <v>6</v>
      </c>
      <c r="AD245" t="inlineStr">
        <is>
          <t>The student's submission failed to meet the requirements of the task. The code was not organized in a way that allowed it to run end-to-end, and several tasks were not implemented correctly. As a result, the student did not demonstrate a clear understanding of the concepts and did not meet the requirements of the task.
Breakdown:
- Task 1: Dataset Class: 0.0/?
- Task 2: Model Class: 0.0/?
- Task 3: Training and Validation Loops: 0.0/?
- Task 4: Running Training: 0.0/?
- Task 5: Visualizing Predictions: 0.0/?</t>
        </is>
      </c>
      <c r="AE245" t="n">
        <v>0</v>
      </c>
      <c r="AF245" t="n">
        <v>0</v>
      </c>
      <c r="AG245" t="inlineStr">
        <is>
          <t>No submission found.</t>
        </is>
      </c>
      <c r="AH245" t="n">
        <v>16</v>
      </c>
      <c r="AI245" t="n">
        <v>0</v>
      </c>
    </row>
    <row r="246">
      <c r="A246" t="n">
        <v>245</v>
      </c>
      <c r="B246" t="inlineStr">
        <is>
          <t>TA_5</t>
        </is>
      </c>
      <c r="C246" t="inlineStr">
        <is>
          <t>TA_15</t>
        </is>
      </c>
      <c r="D246" t="n">
        <v>9.5</v>
      </c>
      <c r="E246" t="n">
        <v>0</v>
      </c>
      <c r="F246" t="n">
        <v>11</v>
      </c>
      <c r="G246" t="n">
        <v>0</v>
      </c>
      <c r="H246" t="n">
        <v>6</v>
      </c>
      <c r="I246" t="n">
        <v>0</v>
      </c>
      <c r="J246" t="n">
        <v>10</v>
      </c>
      <c r="K246" t="n">
        <v>0</v>
      </c>
      <c r="L246" t="n">
        <v>11</v>
      </c>
      <c r="M246" t="n">
        <v>0</v>
      </c>
      <c r="N246" t="n">
        <v>7.5</v>
      </c>
      <c r="O246" t="n">
        <v>0</v>
      </c>
      <c r="P246">
        <f>Table1[[#This Row],[TA 1 - Q1 Score]]+Table1[[#This Row],[TA 1 - Q2 Score]]+Table1[[#This Row],[TA 1 - Q3 Score]]</f>
        <v/>
      </c>
      <c r="Q246">
        <f>Table1[[#This Row],[TA 1 - Q1 Bonus]]+Table1[[#This Row],[TA 1 - Q2 Bonus]]+Table1[[#This Row],[TA 1 - Q4 Bonus]]</f>
        <v/>
      </c>
      <c r="R246">
        <f>Table1[[#This Row],[TA 2 - Q1 Score]]+Table1[[#This Row],[TA 2 - Q2 Score]]+Table1[[#This Row],[TA 2 - Q3 Score]]</f>
        <v/>
      </c>
      <c r="S246">
        <f>Table1[[#This Row],[TA 2 - Q1 Bonus]]+Table1[[#This Row],[TA 2 - Q2 Bonus]]+Table1[[#This Row],[TA 2 - Q4 Bonus]]</f>
        <v/>
      </c>
      <c r="T246">
        <f>(Table1[[#This Row],[TA 1 - Total Score (out of 35)]]+Table1[[#This Row],[TA 2 - Total Score (out of 35)]])/2</f>
        <v/>
      </c>
      <c r="U246">
        <f>(Table1[[#This Row],[TA 1 - Total Bonus (out of 13)]]+Table1[[#This Row],[TA 2 - Total Bonus (out of 13)]])/2</f>
        <v/>
      </c>
      <c r="V246">
        <f>Table1[[#This Row],[Average Questions]]/35*20+Table1[[#This Row],[Average Bonus]]/13*5</f>
        <v/>
      </c>
      <c r="W246" t="n">
        <v>6</v>
      </c>
      <c r="X246" t="n">
        <v>0</v>
      </c>
      <c r="Y246" t="inlineStr">
        <is>
          <t>The student's submission failed to address any of the tasks outlined in the rubric. Each task was left unattempted, resulting in a score of 0 for each. The student's code did not run end-to-end, and no effort was made to complete the required tasks. As a result, the student's score is 0 for the base tasks and 0 for the bonus task.
Breakdown:
- Part 1: Load and Prepare Data: 0.0/?
- Part 2: Load Pretrained Model and Adapt: 0.0/?
- Part 3: Training and Validation Functions: 0.0/?
- Part 4: Training: 0.0/?
- Part 5: Bonus — Test Time Augmentation: 0.0/?</t>
        </is>
      </c>
      <c r="Z246" t="n">
        <v>6</v>
      </c>
      <c r="AA246" t="n">
        <v>0</v>
      </c>
      <c r="AB24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any points for the base tasks, and their bonus task was also not completed.
Breakdown:
- Part 1: Load and Prepare Data: 0.0/?
- Part 2: Build the CNN Model: 0.0/?
- Part 3: Training and Validation Functions: 0.0/?
- Part 4: Training: 2.0/?
- Part 5: Bonus — Residual Connection: 0.0/?</t>
        </is>
      </c>
      <c r="AC246" t="n">
        <v>6</v>
      </c>
      <c r="AD246" t="inlineStr">
        <is>
          <t>The student's submission failed to meet the requirements of the task. The code was not organized in a way that allowed it to run end-to-end, and several tasks were not completed correctly. The student attempted to define the dataset class, but it was not completed. The model class was not defined correctly, and the training and validation loops were not defined. The loss and optimizer were not defined correctly, and the model was not trained. The predictions were not visualized correctly. Overall, the student's submission did not demonstrate a clear understanding of the task requirements.
Breakdown:
- Task 1: Dataset Class: 0.0/?
- Task 2: Model Class: 0.0/?
- Task 3: Training and Validation Loops: 0.0/?
- Task 4: Running Training: 0.0/?
- Task 5: Visualizing Predictions: 0.0/?</t>
        </is>
      </c>
      <c r="AE246" t="n">
        <v>0</v>
      </c>
      <c r="AF246" t="n">
        <v>0</v>
      </c>
      <c r="AG246" t="inlineStr">
        <is>
          <t>No submission found.</t>
        </is>
      </c>
      <c r="AH246" t="n">
        <v>18</v>
      </c>
      <c r="AI246" t="n">
        <v>0</v>
      </c>
    </row>
    <row r="247">
      <c r="A247" t="n">
        <v>246</v>
      </c>
      <c r="B247" t="inlineStr">
        <is>
          <t>TA_5</t>
        </is>
      </c>
      <c r="C247" t="inlineStr">
        <is>
          <t>TA_15</t>
        </is>
      </c>
      <c r="D247" t="n">
        <v>10</v>
      </c>
      <c r="E247" t="n">
        <v>0</v>
      </c>
      <c r="F247" t="n">
        <v>10</v>
      </c>
      <c r="G247" t="n">
        <v>0</v>
      </c>
      <c r="H247" t="n">
        <v>7.5</v>
      </c>
      <c r="I247" t="n">
        <v>0</v>
      </c>
      <c r="J247" t="n">
        <v>10.5</v>
      </c>
      <c r="K247" t="n">
        <v>0</v>
      </c>
      <c r="L247" t="n">
        <v>9</v>
      </c>
      <c r="M247" t="n">
        <v>1</v>
      </c>
      <c r="N247" t="n">
        <v>7.5</v>
      </c>
      <c r="O247" t="n">
        <v>0</v>
      </c>
      <c r="P247">
        <f>Table1[[#This Row],[TA 1 - Q1 Score]]+Table1[[#This Row],[TA 1 - Q2 Score]]+Table1[[#This Row],[TA 1 - Q3 Score]]</f>
        <v/>
      </c>
      <c r="Q247">
        <f>Table1[[#This Row],[TA 1 - Q1 Bonus]]+Table1[[#This Row],[TA 1 - Q2 Bonus]]+Table1[[#This Row],[TA 1 - Q4 Bonus]]</f>
        <v/>
      </c>
      <c r="R247">
        <f>Table1[[#This Row],[TA 2 - Q1 Score]]+Table1[[#This Row],[TA 2 - Q2 Score]]+Table1[[#This Row],[TA 2 - Q3 Score]]</f>
        <v/>
      </c>
      <c r="S247">
        <f>Table1[[#This Row],[TA 2 - Q1 Bonus]]+Table1[[#This Row],[TA 2 - Q2 Bonus]]+Table1[[#This Row],[TA 2 - Q4 Bonus]]</f>
        <v/>
      </c>
      <c r="T247">
        <f>(Table1[[#This Row],[TA 1 - Total Score (out of 35)]]+Table1[[#This Row],[TA 2 - Total Score (out of 35)]])/2</f>
        <v/>
      </c>
      <c r="U247">
        <f>(Table1[[#This Row],[TA 1 - Total Bonus (out of 13)]]+Table1[[#This Row],[TA 2 - Total Bonus (out of 13)]])/2</f>
        <v/>
      </c>
      <c r="V247">
        <f>Table1[[#This Row],[Average Questions]]/35*20+Table1[[#This Row],[Average Bonus]]/13*5</f>
        <v/>
      </c>
      <c r="W247" t="n">
        <v>6</v>
      </c>
      <c r="X247" t="n">
        <v>0</v>
      </c>
      <c r="Y24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training and validation losses,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2.0/?
- Part 5: Bonus — Test Time Augmentation: 0.0/?</t>
        </is>
      </c>
      <c r="Z247" t="n">
        <v>6</v>
      </c>
      <c r="AA247" t="n">
        <v>0</v>
      </c>
      <c r="AB247" t="inlineStr">
        <is>
          <t>The student's submission failed to complete several key tasks, including loading and preparing the data, building the CNN model, and implementing the training and validation functions. Although the student attempted to train the model, their implementation was incomplete and did not follow the reference solution. The bonus task, which involved adding a residual connection to the CNN model, was not attempted.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247" t="n">
        <v>6</v>
      </c>
      <c r="AD247" t="inlineStr">
        <is>
          <t>The student's submission failed to meet the requirements of the task. The code was not organized in a way that allowed it to run end-to-end, and several tasks were not implemented correctly. The student did not follow the instructions and used different approaches than the reference solution. As a result, the student did not earn any points for this task.
Breakdown:
- Task 1: Dataset Class: 0.0/?
- Task 2: Model Class: 0.0/?
- Task 3: Training and Validation Loops: 0.0/?
- Task 4: Running Training: 0.0/?
- Task 5: Visualizing Predictions: 0.0/?</t>
        </is>
      </c>
      <c r="AE247" t="n">
        <v>0</v>
      </c>
      <c r="AF247" t="n">
        <v>0</v>
      </c>
      <c r="AG247" t="inlineStr">
        <is>
          <t>No submission found.</t>
        </is>
      </c>
      <c r="AH247" t="n">
        <v>18</v>
      </c>
      <c r="AI247" t="n">
        <v>0</v>
      </c>
    </row>
    <row r="248">
      <c r="A248" t="n">
        <v>247</v>
      </c>
      <c r="B248" t="inlineStr">
        <is>
          <t>TA_5</t>
        </is>
      </c>
      <c r="C248" t="inlineStr">
        <is>
          <t>TA_15</t>
        </is>
      </c>
      <c r="D248" t="n">
        <v>10</v>
      </c>
      <c r="E248" t="n">
        <v>0</v>
      </c>
      <c r="F248" t="n">
        <v>7.5</v>
      </c>
      <c r="G248" t="n">
        <v>0</v>
      </c>
      <c r="H248" t="n">
        <v>8</v>
      </c>
      <c r="I248" t="n">
        <v>0</v>
      </c>
      <c r="J248" t="n">
        <v>10</v>
      </c>
      <c r="K248" t="n">
        <v>0</v>
      </c>
      <c r="L248" t="n">
        <v>8.5</v>
      </c>
      <c r="M248" t="n">
        <v>0</v>
      </c>
      <c r="N248" t="n">
        <v>7.25</v>
      </c>
      <c r="O248" t="n">
        <v>0</v>
      </c>
      <c r="P248">
        <f>Table1[[#This Row],[TA 1 - Q1 Score]]+Table1[[#This Row],[TA 1 - Q2 Score]]+Table1[[#This Row],[TA 1 - Q3 Score]]</f>
        <v/>
      </c>
      <c r="Q248">
        <f>Table1[[#This Row],[TA 1 - Q1 Bonus]]+Table1[[#This Row],[TA 1 - Q2 Bonus]]+Table1[[#This Row],[TA 1 - Q4 Bonus]]</f>
        <v/>
      </c>
      <c r="R248">
        <f>Table1[[#This Row],[TA 2 - Q1 Score]]+Table1[[#This Row],[TA 2 - Q2 Score]]+Table1[[#This Row],[TA 2 - Q3 Score]]</f>
        <v/>
      </c>
      <c r="S248">
        <f>Table1[[#This Row],[TA 2 - Q1 Bonus]]+Table1[[#This Row],[TA 2 - Q2 Bonus]]+Table1[[#This Row],[TA 2 - Q4 Bonus]]</f>
        <v/>
      </c>
      <c r="T248">
        <f>(Table1[[#This Row],[TA 1 - Total Score (out of 35)]]+Table1[[#This Row],[TA 2 - Total Score (out of 35)]])/2</f>
        <v/>
      </c>
      <c r="U248">
        <f>(Table1[[#This Row],[TA 1 - Total Bonus (out of 13)]]+Table1[[#This Row],[TA 2 - Total Bonus (out of 13)]])/2</f>
        <v/>
      </c>
      <c r="V248">
        <f>Table1[[#This Row],[Average Questions]]/35*20+Table1[[#This Row],[Average Bonus]]/13*5</f>
        <v/>
      </c>
      <c r="W248" t="n">
        <v>6</v>
      </c>
      <c r="X248" t="n">
        <v>0</v>
      </c>
      <c r="Y24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incorrect, and they failed to implement test time augmentation correctly.
Breakdown:
- Part 1: Load and Prepare Data: 0.0/?
- Part 2: Load Pretrained Model and Adapt: 0.0/?
- Part 3: Training and Validation Functions: 0.0/?
- Part 4: Training: 2.5/?
- Part 5: Bonus — Test Time Augmentation: 0.0/?</t>
        </is>
      </c>
      <c r="Z248" t="n">
        <v>4</v>
      </c>
      <c r="AA248" t="n">
        <v>0</v>
      </c>
      <c r="AB248"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248" t="n">
        <v>6</v>
      </c>
      <c r="AD248"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248" t="n">
        <v>0</v>
      </c>
      <c r="AF248" t="n">
        <v>0</v>
      </c>
      <c r="AG248" t="inlineStr">
        <is>
          <t>No submission found.</t>
        </is>
      </c>
      <c r="AH248" t="n">
        <v>16</v>
      </c>
      <c r="AI248" t="n">
        <v>0</v>
      </c>
    </row>
    <row r="249">
      <c r="A249" t="n">
        <v>248</v>
      </c>
      <c r="B249" t="inlineStr">
        <is>
          <t>TA_5</t>
        </is>
      </c>
      <c r="C249" t="inlineStr">
        <is>
          <t>TA_15</t>
        </is>
      </c>
      <c r="D249" t="n">
        <v>10</v>
      </c>
      <c r="E249" t="n">
        <v>0</v>
      </c>
      <c r="F249" t="n">
        <v>8</v>
      </c>
      <c r="G249" t="n">
        <v>0</v>
      </c>
      <c r="H249" t="n">
        <v>2</v>
      </c>
      <c r="I249" t="n">
        <v>0</v>
      </c>
      <c r="J249" t="n">
        <v>7.5</v>
      </c>
      <c r="K249" t="n">
        <v>0</v>
      </c>
      <c r="L249" t="n">
        <v>6</v>
      </c>
      <c r="M249" t="n">
        <v>0</v>
      </c>
      <c r="N249" t="n">
        <v>1</v>
      </c>
      <c r="O249" t="n">
        <v>0</v>
      </c>
      <c r="P249">
        <f>Table1[[#This Row],[TA 1 - Q1 Score]]+Table1[[#This Row],[TA 1 - Q2 Score]]+Table1[[#This Row],[TA 1 - Q3 Score]]</f>
        <v/>
      </c>
      <c r="Q249">
        <f>Table1[[#This Row],[TA 1 - Q1 Bonus]]+Table1[[#This Row],[TA 1 - Q2 Bonus]]+Table1[[#This Row],[TA 1 - Q4 Bonus]]</f>
        <v/>
      </c>
      <c r="R249">
        <f>Table1[[#This Row],[TA 2 - Q1 Score]]+Table1[[#This Row],[TA 2 - Q2 Score]]+Table1[[#This Row],[TA 2 - Q3 Score]]</f>
        <v/>
      </c>
      <c r="S249">
        <f>Table1[[#This Row],[TA 2 - Q1 Bonus]]+Table1[[#This Row],[TA 2 - Q2 Bonus]]+Table1[[#This Row],[TA 2 - Q4 Bonus]]</f>
        <v/>
      </c>
      <c r="T249">
        <f>(Table1[[#This Row],[TA 1 - Total Score (out of 35)]]+Table1[[#This Row],[TA 2 - Total Score (out of 35)]])/2</f>
        <v/>
      </c>
      <c r="U249">
        <f>(Table1[[#This Row],[TA 1 - Total Bonus (out of 13)]]+Table1[[#This Row],[TA 2 - Total Bonus (out of 13)]])/2</f>
        <v/>
      </c>
      <c r="V249">
        <f>Table1[[#This Row],[Average Questions]]/35*20+Table1[[#This Row],[Average Bonus]]/13*5</f>
        <v/>
      </c>
      <c r="W249" t="n">
        <v>6</v>
      </c>
      <c r="X249" t="n">
        <v>0</v>
      </c>
      <c r="Y24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disregarding the explicit instructions provided in the reference solution.
Breakdown:
- Part 1: Load and Prepare Data: 0.0/?
- Part 2: Load Pretrained Model and Adapt: 0.0/?
- Part 3: Training and Validation Functions: 0.0/?
- Part 4: Training: 3.0/?
- Part 5: Bonus — Test Time Augmentation: 0.0/?</t>
        </is>
      </c>
      <c r="Z249" t="n">
        <v>4</v>
      </c>
      <c r="AA249" t="n">
        <v>0</v>
      </c>
      <c r="AB249"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49" t="n">
        <v>6</v>
      </c>
      <c r="AD249" t="inlineStr">
        <is>
          <t>The student's submission failed to meet the requirements of the task. The code was not organized, and several tasks were not implemented correctly. The student used a different model and did not define the loss and optimizer. The training and validation loops were not implemented, and the model was not trained. The predictions were not visualized correctly. As a result, the student received 0 points for each task.
Breakdown:
- Task 1: Dataset Class: 0.0/?
- Task 2: Model Class: 0.0/?
- Task 3: Training and Validation Loops: 0.0/?
- Task 4: Running Training: 0.0/?
- Task 5: Visualizing Predictions: 0.0/?</t>
        </is>
      </c>
      <c r="AE249" t="n">
        <v>0</v>
      </c>
      <c r="AF249" t="n">
        <v>0</v>
      </c>
      <c r="AG249" t="inlineStr">
        <is>
          <t>No submission found.</t>
        </is>
      </c>
      <c r="AH249" t="n">
        <v>16</v>
      </c>
      <c r="AI249" t="n">
        <v>0</v>
      </c>
    </row>
    <row r="250">
      <c r="A250" t="n">
        <v>249</v>
      </c>
      <c r="B250" t="inlineStr">
        <is>
          <t>TA_5</t>
        </is>
      </c>
      <c r="C250" t="inlineStr">
        <is>
          <t>TA_15</t>
        </is>
      </c>
      <c r="D250" t="n">
        <v>8.5</v>
      </c>
      <c r="E250" t="n">
        <v>0</v>
      </c>
      <c r="F250" t="n">
        <v>10.5</v>
      </c>
      <c r="G250" t="n">
        <v>0</v>
      </c>
      <c r="H250" t="n">
        <v>8</v>
      </c>
      <c r="I250" t="n">
        <v>0</v>
      </c>
      <c r="J250" t="n">
        <v>8</v>
      </c>
      <c r="K250" t="n">
        <v>0</v>
      </c>
      <c r="L250" t="n">
        <v>9</v>
      </c>
      <c r="M250" t="n">
        <v>0</v>
      </c>
      <c r="N250" t="n">
        <v>8.5</v>
      </c>
      <c r="O250" t="n">
        <v>0</v>
      </c>
      <c r="P250">
        <f>Table1[[#This Row],[TA 1 - Q1 Score]]+Table1[[#This Row],[TA 1 - Q2 Score]]+Table1[[#This Row],[TA 1 - Q3 Score]]</f>
        <v/>
      </c>
      <c r="Q250">
        <f>Table1[[#This Row],[TA 1 - Q1 Bonus]]+Table1[[#This Row],[TA 1 - Q2 Bonus]]+Table1[[#This Row],[TA 1 - Q4 Bonus]]</f>
        <v/>
      </c>
      <c r="R250">
        <f>Table1[[#This Row],[TA 2 - Q1 Score]]+Table1[[#This Row],[TA 2 - Q2 Score]]+Table1[[#This Row],[TA 2 - Q3 Score]]</f>
        <v/>
      </c>
      <c r="S250">
        <f>Table1[[#This Row],[TA 2 - Q1 Bonus]]+Table1[[#This Row],[TA 2 - Q2 Bonus]]+Table1[[#This Row],[TA 2 - Q4 Bonus]]</f>
        <v/>
      </c>
      <c r="T250">
        <f>(Table1[[#This Row],[TA 1 - Total Score (out of 35)]]+Table1[[#This Row],[TA 2 - Total Score (out of 35)]])/2</f>
        <v/>
      </c>
      <c r="U250">
        <f>(Table1[[#This Row],[TA 1 - Total Bonus (out of 13)]]+Table1[[#This Row],[TA 2 - Total Bonus (out of 13)]])/2</f>
        <v/>
      </c>
      <c r="V250">
        <f>Table1[[#This Row],[Average Questions]]/35*20+Table1[[#This Row],[Average Bonus]]/13*5</f>
        <v/>
      </c>
      <c r="W250" t="n">
        <v>6</v>
      </c>
      <c r="X250" t="n">
        <v>0</v>
      </c>
      <c r="Y250" t="inlineStr">
        <is>
          <t>The student's submission failed to complete several key tasks, including loading and preparing the data, loading a pretrained model, and training the model. The code for the training and validation functions was partially correct, but the student failed to fix the labels, resulting in a penalty.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250" t="n">
        <v>4</v>
      </c>
      <c r="AA250" t="n">
        <v>0</v>
      </c>
      <c r="AB250" t="inlineStr">
        <is>
          <t>The student's submission failed to complete any of the required tasks. The code is disorganized and does not follow the reference solution structure. The student attempted to load and prepare the data, but the code is incomplete and does not create the necessary datasets or data loaders. The CNN model is not built, and the training and validation functions are not defined. The training loop is also not implemented. The bonus task of adding a residual connection is not attempted. Overall, the submission lacks a clear understanding of the required tasks and does not demonstrate any correct implementation of the code.
Breakdown:
- Part 1: Load and Prepare Data: 0.0/?
- Part 2: Build the CNN Model: 0.0/?
- Part 3: Training and Validation Functions: 0.0/?
- Part 4: Training: 0.0/?
- Part 5: Bonus — Residual Connection: 0.0/?</t>
        </is>
      </c>
      <c r="AC250" t="n">
        <v>6</v>
      </c>
      <c r="AD250" t="inlineStr">
        <is>
          <t>The student's submission failed to meet the requirements of the task. The code was not organized in a way that allowed it to run end-to-end, and several tasks were not completed correctly. The student did not define the dataset class, model class, training and validation loops, or running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50" t="n">
        <v>0</v>
      </c>
      <c r="AF250" t="n">
        <v>0</v>
      </c>
      <c r="AG250" t="inlineStr">
        <is>
          <t>No submission found.</t>
        </is>
      </c>
      <c r="AH250" t="n">
        <v>16</v>
      </c>
      <c r="AI250" t="n">
        <v>0</v>
      </c>
    </row>
    <row r="251">
      <c r="A251" t="n">
        <v>250</v>
      </c>
      <c r="B251" t="inlineStr">
        <is>
          <t>TA_5</t>
        </is>
      </c>
      <c r="C251" t="inlineStr">
        <is>
          <t>TA_15</t>
        </is>
      </c>
      <c r="D251" t="n">
        <v>11</v>
      </c>
      <c r="E251" t="n">
        <v>0</v>
      </c>
      <c r="F251" t="n">
        <v>11</v>
      </c>
      <c r="G251" t="n">
        <v>0</v>
      </c>
      <c r="H251" t="n">
        <v>9</v>
      </c>
      <c r="I251" t="n">
        <v>5</v>
      </c>
      <c r="J251" t="n">
        <v>12</v>
      </c>
      <c r="K251" t="n">
        <v>0</v>
      </c>
      <c r="L251" t="n">
        <v>10</v>
      </c>
      <c r="M251" t="n">
        <v>0</v>
      </c>
      <c r="N251" t="n">
        <v>9</v>
      </c>
      <c r="O251" t="n">
        <v>5</v>
      </c>
      <c r="P251">
        <f>Table1[[#This Row],[TA 1 - Q1 Score]]+Table1[[#This Row],[TA 1 - Q2 Score]]+Table1[[#This Row],[TA 1 - Q3 Score]]</f>
        <v/>
      </c>
      <c r="Q251">
        <f>Table1[[#This Row],[TA 1 - Q1 Bonus]]+Table1[[#This Row],[TA 1 - Q2 Bonus]]+Table1[[#This Row],[TA 1 - Q4 Bonus]]</f>
        <v/>
      </c>
      <c r="R251">
        <f>Table1[[#This Row],[TA 2 - Q1 Score]]+Table1[[#This Row],[TA 2 - Q2 Score]]+Table1[[#This Row],[TA 2 - Q3 Score]]</f>
        <v/>
      </c>
      <c r="S251">
        <f>Table1[[#This Row],[TA 2 - Q1 Bonus]]+Table1[[#This Row],[TA 2 - Q2 Bonus]]+Table1[[#This Row],[TA 2 - Q4 Bonus]]</f>
        <v/>
      </c>
      <c r="T251">
        <f>(Table1[[#This Row],[TA 1 - Total Score (out of 35)]]+Table1[[#This Row],[TA 2 - Total Score (out of 35)]])/2</f>
        <v/>
      </c>
      <c r="U251">
        <f>(Table1[[#This Row],[TA 1 - Total Bonus (out of 13)]]+Table1[[#This Row],[TA 2 - Total Bonus (out of 13)]])/2</f>
        <v/>
      </c>
      <c r="V251">
        <f>Table1[[#This Row],[Average Questions]]/35*20+Table1[[#This Row],[Average Bonus]]/13*5</f>
        <v/>
      </c>
      <c r="W251" t="n">
        <v>6</v>
      </c>
      <c r="X251" t="n">
        <v>0</v>
      </c>
      <c r="Y251" t="inlineStr">
        <is>
          <t>The student's submission failed to address any of the tasks outlined in the rubric. The code provided does not attempt to load and prepare the data, load the pretrained model, adapt it, define the training and validation functions, or implement test time augmentation. As a result, the student earned 0 points for each task, resulting in a total score of 6.0.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251" t="n">
        <v>6</v>
      </c>
      <c r="AA251" t="n">
        <v>0</v>
      </c>
      <c r="AB251" t="inlineStr">
        <is>
          <t>The student's submission failed to meet the requirements for several tasks. In Part 1, the student did not create a custom Dataset class or use ImageFolder, and the DataLoaders were not created correctly. In Part 2, the CNN model class was not defined with 5 convolutional layers, and Batch Normalization was not added. In Part 3, the training and validation loop functions were not defined. In Part 4, the model was trained, but the losses and accuracy were not plotted. In Part 5, the residual connection was not defined correctly, and the model was not retrained with the residual connection. The student's submission did not meet the requirements for any of the tasks, resulting in a score of 2.0 for Part 4 and 0.0 for all other tasks.
Breakdown:
- Part 1: Load and Prepare Data: 0.0/?
- Part 2: Build the CNN Model: 0.0/?
- Part 3: Training and Validation Functions: 0.0/?
- Part 4: Training: 2.0/?
- Part 5: Bonus — Residual Connection: 0.0/?</t>
        </is>
      </c>
      <c r="AC251" t="n">
        <v>6</v>
      </c>
      <c r="AD251" t="inlineStr">
        <is>
          <t>The student's submission is incomplete and lacks code for several tasks. While they attempted to visualize predictions, their code is not fully functional and does not meet the requirements of the task. As a result, the student earns 0 points for the majority of the tasks and 6 points for the task of visualizing predictions, where they demonstrated some understanding of the task but failed to complete it.
Breakdown:
- Task 1: Dataset Class: 0.0/?
- Task 2: Model Class: 0.0/?
- Task 3: Training and Validation Loops: 0.0/?
- Task 4: Running Training: 0.0/?
- Task 5: Visualizing Predictions: 6.0/?</t>
        </is>
      </c>
      <c r="AE251" t="n">
        <v>0</v>
      </c>
      <c r="AF251" t="n">
        <v>0</v>
      </c>
      <c r="AG251" t="inlineStr">
        <is>
          <t>The student's submission has multiple mistakes in the implementation of the `ColorizationDataset` class. The `rgb_to_grayscale` method is missing the channel dimension, and the `__getitem__` method is not implemented correctly. As a result, the student does not receive any points for this task.
Breakdown:
- Correctly implemented `ColorizationDataset` class:: 0.0/?
- Any mistake in implementation: 0.0/?</t>
        </is>
      </c>
      <c r="AH251" t="n">
        <v>18</v>
      </c>
      <c r="AI251" t="n">
        <v>0</v>
      </c>
    </row>
    <row r="252">
      <c r="A252" t="n">
        <v>251</v>
      </c>
      <c r="B252" t="inlineStr">
        <is>
          <t>TA_5</t>
        </is>
      </c>
      <c r="C252" t="inlineStr">
        <is>
          <t>TA_15</t>
        </is>
      </c>
      <c r="D252" t="n">
        <v>4</v>
      </c>
      <c r="E252" t="n">
        <v>0</v>
      </c>
      <c r="F252" t="n">
        <v>7.5</v>
      </c>
      <c r="G252" t="n">
        <v>0</v>
      </c>
      <c r="H252" t="n">
        <v>2</v>
      </c>
      <c r="I252" t="n">
        <v>0</v>
      </c>
      <c r="J252" t="n">
        <v>4.25</v>
      </c>
      <c r="K252" t="n">
        <v>0</v>
      </c>
      <c r="L252" t="n">
        <v>7.25</v>
      </c>
      <c r="M252" t="n">
        <v>0</v>
      </c>
      <c r="N252" t="n">
        <v>5.25</v>
      </c>
      <c r="O252" t="n">
        <v>0</v>
      </c>
      <c r="P252">
        <f>Table1[[#This Row],[TA 1 - Q1 Score]]+Table1[[#This Row],[TA 1 - Q2 Score]]+Table1[[#This Row],[TA 1 - Q3 Score]]</f>
        <v/>
      </c>
      <c r="Q252">
        <f>Table1[[#This Row],[TA 1 - Q1 Bonus]]+Table1[[#This Row],[TA 1 - Q2 Bonus]]+Table1[[#This Row],[TA 1 - Q4 Bonus]]</f>
        <v/>
      </c>
      <c r="R252">
        <f>Table1[[#This Row],[TA 2 - Q1 Score]]+Table1[[#This Row],[TA 2 - Q2 Score]]+Table1[[#This Row],[TA 2 - Q3 Score]]</f>
        <v/>
      </c>
      <c r="S252">
        <f>Table1[[#This Row],[TA 2 - Q1 Bonus]]+Table1[[#This Row],[TA 2 - Q2 Bonus]]+Table1[[#This Row],[TA 2 - Q4 Bonus]]</f>
        <v/>
      </c>
      <c r="T252">
        <f>(Table1[[#This Row],[TA 1 - Total Score (out of 35)]]+Table1[[#This Row],[TA 2 - Total Score (out of 35)]])/2</f>
        <v/>
      </c>
      <c r="U252">
        <f>(Table1[[#This Row],[TA 1 - Total Bonus (out of 13)]]+Table1[[#This Row],[TA 2 - Total Bonus (out of 13)]])/2</f>
        <v/>
      </c>
      <c r="V252">
        <f>Table1[[#This Row],[Average Questions]]/35*20+Table1[[#This Row],[Average Bonus]]/13*5</f>
        <v/>
      </c>
      <c r="W252" t="n">
        <v>6</v>
      </c>
      <c r="X252" t="n">
        <v>0</v>
      </c>
      <c r="Y252" t="inlineStr">
        <is>
          <t>The student's submission failed to complete several key tasks, including loading and preparing the data, loading a pretrained model, and training the model. The code for the training and validation functions was partially correct, but the student failed to fix the labels, resulting in a loss of 2 points.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252" t="n">
        <v>4</v>
      </c>
      <c r="AA252" t="n">
        <v>0</v>
      </c>
      <c r="AB252"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52" t="n">
        <v>6</v>
      </c>
      <c r="AD252" t="inlineStr">
        <is>
          <t>The student's submission is incomplete and lacks code for several tasks. While they attempted to visualize predictions, their code is not fully functional and does not meet the requirements of the task.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252" t="n">
        <v>0</v>
      </c>
      <c r="AF252" t="n">
        <v>0</v>
      </c>
      <c r="AG252" t="inlineStr">
        <is>
          <t>No submission found.</t>
        </is>
      </c>
      <c r="AH252" t="n">
        <v>16</v>
      </c>
      <c r="AI252" t="n">
        <v>0</v>
      </c>
    </row>
    <row r="253">
      <c r="A253" t="n">
        <v>252</v>
      </c>
      <c r="B253" t="inlineStr">
        <is>
          <t>TA_5</t>
        </is>
      </c>
      <c r="C253" t="inlineStr">
        <is>
          <t>TA_15</t>
        </is>
      </c>
      <c r="D253" t="n">
        <v>12</v>
      </c>
      <c r="E253" t="n">
        <v>3</v>
      </c>
      <c r="F253" t="n">
        <v>11</v>
      </c>
      <c r="G253" t="n">
        <v>1.5</v>
      </c>
      <c r="H253" t="n">
        <v>12</v>
      </c>
      <c r="I253" t="n">
        <v>0</v>
      </c>
      <c r="J253" t="n">
        <v>12</v>
      </c>
      <c r="K253" t="n">
        <v>3</v>
      </c>
      <c r="L253" t="n">
        <v>11</v>
      </c>
      <c r="M253" t="n">
        <v>1</v>
      </c>
      <c r="N253" t="n">
        <v>12</v>
      </c>
      <c r="O253" t="n">
        <v>0</v>
      </c>
      <c r="P253">
        <f>Table1[[#This Row],[TA 1 - Q1 Score]]+Table1[[#This Row],[TA 1 - Q2 Score]]+Table1[[#This Row],[TA 1 - Q3 Score]]</f>
        <v/>
      </c>
      <c r="Q253">
        <f>Table1[[#This Row],[TA 1 - Q1 Bonus]]+Table1[[#This Row],[TA 1 - Q2 Bonus]]+Table1[[#This Row],[TA 1 - Q4 Bonus]]</f>
        <v/>
      </c>
      <c r="R253">
        <f>Table1[[#This Row],[TA 2 - Q1 Score]]+Table1[[#This Row],[TA 2 - Q2 Score]]+Table1[[#This Row],[TA 2 - Q3 Score]]</f>
        <v/>
      </c>
      <c r="S253">
        <f>Table1[[#This Row],[TA 2 - Q1 Bonus]]+Table1[[#This Row],[TA 2 - Q2 Bonus]]+Table1[[#This Row],[TA 2 - Q4 Bonus]]</f>
        <v/>
      </c>
      <c r="T253">
        <f>(Table1[[#This Row],[TA 1 - Total Score (out of 35)]]+Table1[[#This Row],[TA 2 - Total Score (out of 35)]])/2</f>
        <v/>
      </c>
      <c r="U253">
        <f>(Table1[[#This Row],[TA 1 - Total Bonus (out of 13)]]+Table1[[#This Row],[TA 2 - Total Bonus (out of 13)]])/2</f>
        <v/>
      </c>
      <c r="V253">
        <f>Table1[[#This Row],[Average Questions]]/35*20+Table1[[#This Row],[Average Bonus]]/13*5</f>
        <v/>
      </c>
      <c r="W253" t="n">
        <v>6</v>
      </c>
      <c r="X253" t="n">
        <v>0</v>
      </c>
      <c r="Y253" t="inlineStr">
        <is>
          <t>The student's submission failed to complete several key tasks, including loading and preparing the data, loading the pretrained model and adapting it, and training the model. While they did attempt to implement the training and validation functions, their code contained significant errors and did not run correctly. The bonus task of implementing test time augmentation was also not completed. Overall, the submission demonstrated a lack of understanding of the required tasks and a failure to execute the code correctly.
Breakdown:
- Part 1: Load and Prepare Data: 0.0/?
- Part 2: Load Pretrained Model and Adapt: 0.0/?
- Part 3: Training and Validation Functions: 1.75/?
- Part 4: Training: 0.0/?
- Part 5: Bonus — Test Time Augmentation: 0.0/?</t>
        </is>
      </c>
      <c r="Z253" t="n">
        <v>4</v>
      </c>
      <c r="AA253" t="n">
        <v>0</v>
      </c>
      <c r="AB253" t="inlineStr">
        <is>
          <t>The student's submission failed to meet the requirements of the task. They did not complete any of the tasks, including loading and preparing the data, building the CNN model, defining the training and validation functions, setting up the device, model, loss, and optimizer, training the model, and plotting the losses and accuracy. Additionally, they did not implement the residual connection correctly and did not retrain the model with the residual connection. As a result, the student's submission was awarded 0 points for each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253" t="n">
        <v>6</v>
      </c>
      <c r="AD253" t="inlineStr">
        <is>
          <t>The student's submission was incomplete, with no code submitted for Tasks 1-4. However, the code for Task 5 was mostly correct, with the student successfully visualizing the predictions and displaying the original images. The only issue was that the ground truth masks were not displayed correctly.
Breakdown:
- Task 1: Dataset Class: 0.0/?
- Task 2: Model Class: 0.0/?
- Task 3: Training and Validation Loops: 0.0/?
- Task 4: Running Training: 0.0/?
- Task 5: Visualizing Predictions: 6.0/?</t>
        </is>
      </c>
      <c r="AE253" t="n">
        <v>0</v>
      </c>
      <c r="AF253" t="n">
        <v>0</v>
      </c>
      <c r="AG253" t="inlineStr">
        <is>
          <t>No submission found.</t>
        </is>
      </c>
      <c r="AH253" t="n">
        <v>16</v>
      </c>
      <c r="AI253" t="n">
        <v>0</v>
      </c>
    </row>
    <row r="254">
      <c r="A254" t="n">
        <v>253</v>
      </c>
      <c r="B254" t="inlineStr">
        <is>
          <t>TA_5</t>
        </is>
      </c>
      <c r="C254" t="inlineStr">
        <is>
          <t>TA_15</t>
        </is>
      </c>
      <c r="D254" t="n">
        <v>4</v>
      </c>
      <c r="E254" t="n">
        <v>0</v>
      </c>
      <c r="F254" t="n">
        <v>7</v>
      </c>
      <c r="G254" t="n">
        <v>0</v>
      </c>
      <c r="H254" t="n">
        <v>10.5</v>
      </c>
      <c r="I254" t="n">
        <v>0</v>
      </c>
      <c r="J254" t="n">
        <v>3.75</v>
      </c>
      <c r="K254" t="n">
        <v>0</v>
      </c>
      <c r="L254" t="n">
        <v>6</v>
      </c>
      <c r="M254" t="n">
        <v>0</v>
      </c>
      <c r="N254" t="n">
        <v>11</v>
      </c>
      <c r="O254" t="n">
        <v>0</v>
      </c>
      <c r="P254">
        <f>Table1[[#This Row],[TA 1 - Q1 Score]]+Table1[[#This Row],[TA 1 - Q2 Score]]+Table1[[#This Row],[TA 1 - Q3 Score]]</f>
        <v/>
      </c>
      <c r="Q254">
        <f>Table1[[#This Row],[TA 1 - Q1 Bonus]]+Table1[[#This Row],[TA 1 - Q2 Bonus]]+Table1[[#This Row],[TA 1 - Q4 Bonus]]</f>
        <v/>
      </c>
      <c r="R254">
        <f>Table1[[#This Row],[TA 2 - Q1 Score]]+Table1[[#This Row],[TA 2 - Q2 Score]]+Table1[[#This Row],[TA 2 - Q3 Score]]</f>
        <v/>
      </c>
      <c r="S254">
        <f>Table1[[#This Row],[TA 2 - Q1 Bonus]]+Table1[[#This Row],[TA 2 - Q2 Bonus]]+Table1[[#This Row],[TA 2 - Q4 Bonus]]</f>
        <v/>
      </c>
      <c r="T254">
        <f>(Table1[[#This Row],[TA 1 - Total Score (out of 35)]]+Table1[[#This Row],[TA 2 - Total Score (out of 35)]])/2</f>
        <v/>
      </c>
      <c r="U254">
        <f>(Table1[[#This Row],[TA 1 - Total Bonus (out of 13)]]+Table1[[#This Row],[TA 2 - Total Bonus (out of 13)]])/2</f>
        <v/>
      </c>
      <c r="V254">
        <f>Table1[[#This Row],[Average Questions]]/35*20+Table1[[#This Row],[Average Bonus]]/13*5</f>
        <v/>
      </c>
      <c r="W254" t="n">
        <v>6</v>
      </c>
      <c r="X254" t="n">
        <v>0</v>
      </c>
      <c r="Y254"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254" t="n">
        <v>4</v>
      </c>
      <c r="AA254" t="n">
        <v>0</v>
      </c>
      <c r="AB254" t="inlineStr">
        <is>
          <t>The submission failed to load and prepare the data correctly, as it did not create the train and test datasets and their DataLoaders. The CNN model was not built correctly, as it did not have the specified number of convolutional layers. The training and validation functions were not implemented correctly, as they did not include the necessary logic for training and validation. The training process was not executed correctly, as the model was not trained and the losses and accuracy were not plotted. The bonus task of adding a residual connection was not attempted.
Breakdown:
- Part 1: Load and Prepare Data: 0.0/?
- Part 2: Build the CNN Model: 0.0/?
- Part 3: Training and Validation Functions: 0.0/?
- Part 4: Training: 0.0/?
- Part 5: Bonus — Residual Connection: 0.0/?</t>
        </is>
      </c>
      <c r="AC254" t="n">
        <v>6</v>
      </c>
      <c r="AD254" t="inlineStr">
        <is>
          <t>The student's submission was incomplete and contained several errors. They failed to complete tasks 1, 2, 3, and 4, and their implementation of task 5 was not entirely correct. The student's code was not well-organized and did not follow the provided structure. As a result, they were unable to demonstrate a complete understanding of the material.
Breakdown:
- Task 1: Dataset Class: 0.0/?
- Task 2: Model Class: 0.0/?
- Task 3: Training and Validation Loops: 0.0/?
- Task 4: Running Training: 0.0/?
- Task 5: Visualizing Predictions: 6.0/?</t>
        </is>
      </c>
      <c r="AE254" t="n">
        <v>0</v>
      </c>
      <c r="AF254" t="n">
        <v>0</v>
      </c>
      <c r="AG254" t="inlineStr">
        <is>
          <t>No submission found.</t>
        </is>
      </c>
      <c r="AH254" t="n">
        <v>16</v>
      </c>
      <c r="AI254" t="n">
        <v>0</v>
      </c>
    </row>
    <row r="255">
      <c r="A255" t="n">
        <v>254</v>
      </c>
      <c r="B255" t="inlineStr">
        <is>
          <t>TA_5</t>
        </is>
      </c>
      <c r="C255" t="inlineStr">
        <is>
          <t>TA_15</t>
        </is>
      </c>
      <c r="D255" t="n">
        <v>2.5</v>
      </c>
      <c r="E255" t="n">
        <v>0</v>
      </c>
      <c r="F255" t="n">
        <v>0</v>
      </c>
      <c r="G255" t="n">
        <v>0</v>
      </c>
      <c r="H255" t="n">
        <v>0</v>
      </c>
      <c r="I255" t="n">
        <v>0</v>
      </c>
      <c r="J255" t="n">
        <v>3</v>
      </c>
      <c r="K255" t="n">
        <v>0</v>
      </c>
      <c r="L255" t="n">
        <v>0</v>
      </c>
      <c r="M255" t="n">
        <v>0</v>
      </c>
      <c r="N255" t="n">
        <v>0</v>
      </c>
      <c r="O255" t="n">
        <v>0</v>
      </c>
      <c r="P255">
        <f>Table1[[#This Row],[TA 1 - Q1 Score]]+Table1[[#This Row],[TA 1 - Q2 Score]]+Table1[[#This Row],[TA 1 - Q3 Score]]</f>
        <v/>
      </c>
      <c r="Q255">
        <f>Table1[[#This Row],[TA 1 - Q1 Bonus]]+Table1[[#This Row],[TA 1 - Q2 Bonus]]+Table1[[#This Row],[TA 1 - Q4 Bonus]]</f>
        <v/>
      </c>
      <c r="R255">
        <f>Table1[[#This Row],[TA 2 - Q1 Score]]+Table1[[#This Row],[TA 2 - Q2 Score]]+Table1[[#This Row],[TA 2 - Q3 Score]]</f>
        <v/>
      </c>
      <c r="S255">
        <f>Table1[[#This Row],[TA 2 - Q1 Bonus]]+Table1[[#This Row],[TA 2 - Q2 Bonus]]+Table1[[#This Row],[TA 2 - Q4 Bonus]]</f>
        <v/>
      </c>
      <c r="T255">
        <f>(Table1[[#This Row],[TA 1 - Total Score (out of 35)]]+Table1[[#This Row],[TA 2 - Total Score (out of 35)]])/2</f>
        <v/>
      </c>
      <c r="U255">
        <f>(Table1[[#This Row],[TA 1 - Total Bonus (out of 13)]]+Table1[[#This Row],[TA 2 - Total Bonus (out of 13)]])/2</f>
        <v/>
      </c>
      <c r="V255">
        <f>Table1[[#This Row],[Average Questions]]/35*20+Table1[[#This Row],[Average Bonus]]/13*5</f>
        <v/>
      </c>
      <c r="W255" t="n">
        <v>6</v>
      </c>
      <c r="X255" t="n">
        <v>0</v>
      </c>
      <c r="Y255" t="inlineStr">
        <is>
          <t>The student's submission failed to complete several key tasks, including loading and preparing the data, loading a pretrained model, and training the model. The code for training and validation functions was partially correct, but the student failed to fix the labels, resulting in a penalty.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255" t="n">
        <v>2</v>
      </c>
      <c r="AA255" t="n">
        <v>0</v>
      </c>
      <c r="AB255" t="inlineStr">
        <is>
          <t>The student's submission failed to address most of the tasks in the rubric. The code is disorganized and does not follow the structure of the reference solution. The student did not attempt to load and prepare the data, build the CNN model, define the training and validation functions, or train the model. The bonus task of adding a residual connection was also not attempted. The student's code is incomplete and does not run end-to-end.
Breakdown:
- Part 1: Load and Prepare Data: 0.0/?
- Part 2: Build the CNN Model: 0.0/?
- Part 3: Training and Validation Functions: 0.0/?
- Part 4: Training: 0.0/?
- Part 5: Bonus — Residual Connection: 0.0/?</t>
        </is>
      </c>
      <c r="AC255" t="n">
        <v>6</v>
      </c>
      <c r="AD255"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for the bonus tasks.
Breakdown:
- Task 1: Dataset Class: 0.0/?
- Task 2: Model Class: 0.0/?
- Task 3: Training and Validation Loops: 0.0/?
- Task 4: Running Training: 0.0/?
- Task 5: Visualizing Predictions: 6.0/?</t>
        </is>
      </c>
      <c r="AE255" t="n">
        <v>0</v>
      </c>
      <c r="AF255" t="n">
        <v>0</v>
      </c>
      <c r="AG255" t="inlineStr">
        <is>
          <t>The student's submission does not meet the requirements of the task. The `ColorizationDataset` class is not implemented correctly, and the code contains syntax and logic mistakes. As a result, the student does not receive any points for this task.
Breakdown:
- Correctly implemented `ColorizationDataset` class:: 0.0/?</t>
        </is>
      </c>
      <c r="AH255" t="n">
        <v>14</v>
      </c>
      <c r="AI255" t="n">
        <v>0</v>
      </c>
    </row>
    <row r="256">
      <c r="A256" t="n">
        <v>255</v>
      </c>
      <c r="B256" t="inlineStr">
        <is>
          <t>TA_5</t>
        </is>
      </c>
      <c r="C256" t="inlineStr">
        <is>
          <t>TA_15</t>
        </is>
      </c>
      <c r="D256" t="n">
        <v>11</v>
      </c>
      <c r="E256" t="n">
        <v>0</v>
      </c>
      <c r="F256" t="n">
        <v>11</v>
      </c>
      <c r="G256" t="n">
        <v>0</v>
      </c>
      <c r="H256" t="n">
        <v>11</v>
      </c>
      <c r="I256" t="n">
        <v>0</v>
      </c>
      <c r="J256" t="n">
        <v>11</v>
      </c>
      <c r="K256" t="n">
        <v>0</v>
      </c>
      <c r="L256" t="n">
        <v>11</v>
      </c>
      <c r="M256" t="n">
        <v>0</v>
      </c>
      <c r="N256" t="n">
        <v>10.5</v>
      </c>
      <c r="O256" t="n">
        <v>0</v>
      </c>
      <c r="P256">
        <f>Table1[[#This Row],[TA 1 - Q1 Score]]+Table1[[#This Row],[TA 1 - Q2 Score]]+Table1[[#This Row],[TA 1 - Q3 Score]]</f>
        <v/>
      </c>
      <c r="Q256">
        <f>Table1[[#This Row],[TA 1 - Q1 Bonus]]+Table1[[#This Row],[TA 1 - Q2 Bonus]]+Table1[[#This Row],[TA 1 - Q4 Bonus]]</f>
        <v/>
      </c>
      <c r="R256">
        <f>Table1[[#This Row],[TA 2 - Q1 Score]]+Table1[[#This Row],[TA 2 - Q2 Score]]+Table1[[#This Row],[TA 2 - Q3 Score]]</f>
        <v/>
      </c>
      <c r="S256">
        <f>Table1[[#This Row],[TA 2 - Q1 Bonus]]+Table1[[#This Row],[TA 2 - Q2 Bonus]]+Table1[[#This Row],[TA 2 - Q4 Bonus]]</f>
        <v/>
      </c>
      <c r="T256">
        <f>(Table1[[#This Row],[TA 1 - Total Score (out of 35)]]+Table1[[#This Row],[TA 2 - Total Score (out of 35)]])/2</f>
        <v/>
      </c>
      <c r="U256">
        <f>(Table1[[#This Row],[TA 1 - Total Bonus (out of 13)]]+Table1[[#This Row],[TA 2 - Total Bonus (out of 13)]])/2</f>
        <v/>
      </c>
      <c r="V256">
        <f>Table1[[#This Row],[Average Questions]]/35*20+Table1[[#This Row],[Average Bonus]]/13*5</f>
        <v/>
      </c>
      <c r="W256" t="n">
        <v>6</v>
      </c>
      <c r="X256" t="n">
        <v>0</v>
      </c>
      <c r="Y256"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2.5/?
- Part 5: Bonus — Test Time Augmentation: 0.0/?</t>
        </is>
      </c>
      <c r="Z256" t="n">
        <v>4</v>
      </c>
      <c r="AA256" t="n">
        <v>0</v>
      </c>
      <c r="AB25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on each task, resulting in a total score of 0.0.
Breakdown:
- Part 1: Load and Prepare Data: 0.0/?
- Part 2: Build the CNN Model: 0.0/?
- Part 3: Training and Validation Functions: 0.0/?
- Part 4: Training: 0.0/?
- Part 5: Bonus — Residual Connection: 0.0/?</t>
        </is>
      </c>
      <c r="AC256" t="n">
        <v>6</v>
      </c>
      <c r="AD256"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256" t="n">
        <v>0</v>
      </c>
      <c r="AF256" t="n">
        <v>0</v>
      </c>
      <c r="AG256" t="inlineStr">
        <is>
          <t>No submission found.</t>
        </is>
      </c>
      <c r="AH256" t="n">
        <v>16</v>
      </c>
      <c r="AI256" t="n">
        <v>0</v>
      </c>
    </row>
    <row r="257">
      <c r="A257" t="n">
        <v>256</v>
      </c>
      <c r="B257" t="inlineStr">
        <is>
          <t>TA_5</t>
        </is>
      </c>
      <c r="C257" t="inlineStr">
        <is>
          <t>TA_15</t>
        </is>
      </c>
      <c r="D257" t="n">
        <v>12</v>
      </c>
      <c r="E257" t="n">
        <v>3</v>
      </c>
      <c r="F257" t="n">
        <v>11</v>
      </c>
      <c r="G257" t="n">
        <v>4</v>
      </c>
      <c r="H257" t="n">
        <v>12</v>
      </c>
      <c r="I257" t="n">
        <v>5</v>
      </c>
      <c r="J257" t="n">
        <v>12</v>
      </c>
      <c r="K257" t="n">
        <v>3</v>
      </c>
      <c r="L257" t="n">
        <v>11</v>
      </c>
      <c r="M257" t="n">
        <v>4</v>
      </c>
      <c r="N257" t="n">
        <v>12</v>
      </c>
      <c r="O257" t="n">
        <v>5</v>
      </c>
      <c r="P257">
        <f>Table1[[#This Row],[TA 1 - Q1 Score]]+Table1[[#This Row],[TA 1 - Q2 Score]]+Table1[[#This Row],[TA 1 - Q3 Score]]</f>
        <v/>
      </c>
      <c r="Q257">
        <f>Table1[[#This Row],[TA 1 - Q1 Bonus]]+Table1[[#This Row],[TA 1 - Q2 Bonus]]+Table1[[#This Row],[TA 1 - Q4 Bonus]]</f>
        <v/>
      </c>
      <c r="R257">
        <f>Table1[[#This Row],[TA 2 - Q1 Score]]+Table1[[#This Row],[TA 2 - Q2 Score]]+Table1[[#This Row],[TA 2 - Q3 Score]]</f>
        <v/>
      </c>
      <c r="S257">
        <f>Table1[[#This Row],[TA 2 - Q1 Bonus]]+Table1[[#This Row],[TA 2 - Q2 Bonus]]+Table1[[#This Row],[TA 2 - Q4 Bonus]]</f>
        <v/>
      </c>
      <c r="T257">
        <f>(Table1[[#This Row],[TA 1 - Total Score (out of 35)]]+Table1[[#This Row],[TA 2 - Total Score (out of 35)]])/2</f>
        <v/>
      </c>
      <c r="U257">
        <f>(Table1[[#This Row],[TA 1 - Total Bonus (out of 13)]]+Table1[[#This Row],[TA 2 - Total Bonus (out of 13)]])/2</f>
        <v/>
      </c>
      <c r="V257">
        <f>Table1[[#This Row],[Average Questions]]/35*20+Table1[[#This Row],[Average Bonus]]/13*5</f>
        <v/>
      </c>
      <c r="W257" t="n">
        <v>8</v>
      </c>
      <c r="X257" t="n">
        <v>0</v>
      </c>
      <c r="Y257" t="inlineStr">
        <is>
          <t>The student's submission failed to complete several key tasks, including loading and preparing the data, loading the pretrained model and adapting it, and implementing test time augmentation. While the student made an attempt at the training and validation functions, their implementation was incomplete and did not run end-to-end. As a result, the student was unable to train the model and evaluate its performance. The submission did not demonstrate a clear understanding of the task requirements and failed to produce a working solution.
Breakdown:
- Part 1: Load and Prepare Data: 0.0/?
- Part 2: Load Pretrained Model and Adapt: 0.0/?
- Part 3: Training and Validation Functions: 1.75/?
- Part 4: Training: 2.5/?
- Part 5: Bonus — Test Time Augmentation: 0.0/?</t>
        </is>
      </c>
      <c r="Z257" t="n">
        <v>4</v>
      </c>
      <c r="AA257" t="n">
        <v>0</v>
      </c>
      <c r="AB257"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57" t="n">
        <v>6</v>
      </c>
      <c r="AD257" t="inlineStr">
        <is>
          <t>The student's submission was incomplete and contained several errors. They failed to complete tasks 1, 2, and 3, and their implementation of task 4 was incorrect. However, they were able to visualize the predictions against the ground truth for several images, which is why they received partial credit for task 5.
Breakdown:
- Task 1: Dataset Class: 0.0/?
- Task 2: Model Class: 0.0/?
- Task 3: Training and Validation Loops: 0.0/?
- Task 4: Running Training: 0.0/?
- Task 5: Visualizing Predictions: 6.0/?</t>
        </is>
      </c>
      <c r="AE257" t="n">
        <v>0</v>
      </c>
      <c r="AF257" t="n">
        <v>0</v>
      </c>
      <c r="AG257" t="inlineStr">
        <is>
          <t>The student's submission for Question 4 is incomplete and contains several errors. The `ColorizationDataset` class is missing the `rgb_to_grayscale` method, which is required for the task. Additionally, the `__getitem__` method is not correctly implemented as it does not return a tuple of (grayscale, color) images. As a result, the submission does not meet the requirements of the task and does not award any points.
Breakdown:
- Correctly implemented `ColorizationDataset` class:: 0.0/?
- Any mistake in implementation: 0.0/?</t>
        </is>
      </c>
      <c r="AH257" t="n">
        <v>18</v>
      </c>
      <c r="AI257" t="n">
        <v>0</v>
      </c>
    </row>
    <row r="258">
      <c r="A258" t="n">
        <v>257</v>
      </c>
      <c r="B258" t="inlineStr">
        <is>
          <t>TA_5</t>
        </is>
      </c>
      <c r="C258" t="inlineStr">
        <is>
          <t>TA_15</t>
        </is>
      </c>
      <c r="D258" t="n">
        <v>11</v>
      </c>
      <c r="E258" t="n">
        <v>0</v>
      </c>
      <c r="F258" t="n">
        <v>9</v>
      </c>
      <c r="G258" t="n">
        <v>0</v>
      </c>
      <c r="H258" t="n">
        <v>6</v>
      </c>
      <c r="I258" t="n">
        <v>0</v>
      </c>
      <c r="J258" t="n">
        <v>9.5</v>
      </c>
      <c r="K258" t="n">
        <v>0</v>
      </c>
      <c r="L258" t="n">
        <v>8</v>
      </c>
      <c r="M258" t="n">
        <v>0</v>
      </c>
      <c r="N258" t="n">
        <v>5.75</v>
      </c>
      <c r="O258" t="n">
        <v>0</v>
      </c>
      <c r="P258">
        <f>Table1[[#This Row],[TA 1 - Q1 Score]]+Table1[[#This Row],[TA 1 - Q2 Score]]+Table1[[#This Row],[TA 1 - Q3 Score]]</f>
        <v/>
      </c>
      <c r="Q258">
        <f>Table1[[#This Row],[TA 1 - Q1 Bonus]]+Table1[[#This Row],[TA 1 - Q2 Bonus]]+Table1[[#This Row],[TA 1 - Q4 Bonus]]</f>
        <v/>
      </c>
      <c r="R258">
        <f>Table1[[#This Row],[TA 2 - Q1 Score]]+Table1[[#This Row],[TA 2 - Q2 Score]]+Table1[[#This Row],[TA 2 - Q3 Score]]</f>
        <v/>
      </c>
      <c r="S258">
        <f>Table1[[#This Row],[TA 2 - Q1 Bonus]]+Table1[[#This Row],[TA 2 - Q2 Bonus]]+Table1[[#This Row],[TA 2 - Q4 Bonus]]</f>
        <v/>
      </c>
      <c r="T258">
        <f>(Table1[[#This Row],[TA 1 - Total Score (out of 35)]]+Table1[[#This Row],[TA 2 - Total Score (out of 35)]])/2</f>
        <v/>
      </c>
      <c r="U258">
        <f>(Table1[[#This Row],[TA 1 - Total Bonus (out of 13)]]+Table1[[#This Row],[TA 2 - Total Bonus (out of 13)]])/2</f>
        <v/>
      </c>
      <c r="V258">
        <f>Table1[[#This Row],[Average Questions]]/35*20+Table1[[#This Row],[Average Bonus]]/13*5</f>
        <v/>
      </c>
      <c r="W258" t="n">
        <v>6</v>
      </c>
      <c r="X258" t="n">
        <v>0</v>
      </c>
      <c r="Y258"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displaying sample images, freezing the backbone, and replacing the classifier head. The bonus task of implementing test time augmentation was also not completed. As a result, the student's submission was awarded a score of 6.0, reflecting the partial completion of the training task.
Breakdown:
- Part 1: Load and Prepare Data: 0.0/?
- Part 2: Load Pretrained Model and Adapt: 0.0/?
- Part 3: Training and Validation Functions: 0.0/?
- Part 4: Training: 2.0/?
- Part 5: Bonus — Test Time Augmentation: 0.0/?</t>
        </is>
      </c>
      <c r="Z258" t="n">
        <v>4</v>
      </c>
      <c r="AA258" t="n">
        <v>0</v>
      </c>
      <c r="AB258"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58" t="n">
        <v>6</v>
      </c>
      <c r="AD258" t="inlineStr">
        <is>
          <t>The student's submission was incomplete and contained several errors. They failed to complete tasks 1, 2, 3, and 4, and their code for task 5 was not fully correct. The student's code attempted to visualize the predictions against the ground truth for several images, but the rest of the tasks were not completed correctly. As a result, the student received a score of 6.0 out of 12.0 for the base tasks and 0.0 out of 0.0 for the bonus tasks.
Breakdown:
- Task 1: Dataset Class: 0.0/?
- Task 2: Model Class: 0.0/?
- Task 3: Training and Validation Loops: 0.0/?
- Task 4: Running Training: 0.0/?
- Task 5: Visualizing Predictions: 6.0/?</t>
        </is>
      </c>
      <c r="AE258" t="n">
        <v>0</v>
      </c>
      <c r="AF258" t="n">
        <v>0</v>
      </c>
      <c r="AG258" t="inlineStr">
        <is>
          <t>No submission found.</t>
        </is>
      </c>
      <c r="AH258" t="n">
        <v>16</v>
      </c>
      <c r="AI258" t="n">
        <v>0</v>
      </c>
    </row>
    <row r="259">
      <c r="A259" t="n">
        <v>258</v>
      </c>
      <c r="B259" t="inlineStr">
        <is>
          <t>TA_5</t>
        </is>
      </c>
      <c r="C259" t="inlineStr">
        <is>
          <t>TA_15</t>
        </is>
      </c>
      <c r="D259" t="n">
        <v>10</v>
      </c>
      <c r="E259" t="n">
        <v>0</v>
      </c>
      <c r="F259" t="n">
        <v>9</v>
      </c>
      <c r="G259" t="n">
        <v>0</v>
      </c>
      <c r="H259" t="n">
        <v>12</v>
      </c>
      <c r="I259" t="n">
        <v>0</v>
      </c>
      <c r="J259" t="n">
        <v>10.5</v>
      </c>
      <c r="K259" t="n">
        <v>0</v>
      </c>
      <c r="L259" t="n">
        <v>9.5</v>
      </c>
      <c r="M259" t="n">
        <v>0</v>
      </c>
      <c r="N259" t="n">
        <v>10.5</v>
      </c>
      <c r="O259" t="n">
        <v>0</v>
      </c>
      <c r="P259">
        <f>Table1[[#This Row],[TA 1 - Q1 Score]]+Table1[[#This Row],[TA 1 - Q2 Score]]+Table1[[#This Row],[TA 1 - Q3 Score]]</f>
        <v/>
      </c>
      <c r="Q259">
        <f>Table1[[#This Row],[TA 1 - Q1 Bonus]]+Table1[[#This Row],[TA 1 - Q2 Bonus]]+Table1[[#This Row],[TA 1 - Q4 Bonus]]</f>
        <v/>
      </c>
      <c r="R259">
        <f>Table1[[#This Row],[TA 2 - Q1 Score]]+Table1[[#This Row],[TA 2 - Q2 Score]]+Table1[[#This Row],[TA 2 - Q3 Score]]</f>
        <v/>
      </c>
      <c r="S259">
        <f>Table1[[#This Row],[TA 2 - Q1 Bonus]]+Table1[[#This Row],[TA 2 - Q2 Bonus]]+Table1[[#This Row],[TA 2 - Q4 Bonus]]</f>
        <v/>
      </c>
      <c r="T259">
        <f>(Table1[[#This Row],[TA 1 - Total Score (out of 35)]]+Table1[[#This Row],[TA 2 - Total Score (out of 35)]])/2</f>
        <v/>
      </c>
      <c r="U259">
        <f>(Table1[[#This Row],[TA 1 - Total Bonus (out of 13)]]+Table1[[#This Row],[TA 2 - Total Bonus (out of 13)]])/2</f>
        <v/>
      </c>
      <c r="V259">
        <f>Table1[[#This Row],[Average Questions]]/35*20+Table1[[#This Row],[Average Bonus]]/13*5</f>
        <v/>
      </c>
      <c r="W259" t="n">
        <v>6</v>
      </c>
      <c r="X259" t="n">
        <v>0</v>
      </c>
      <c r="Y259" t="inlineStr">
        <is>
          <t>The student's submission failed to complete several key tasks, including loading and preparing the data, loading a pretrained model, and training the model. While they did attempt to implement the training and validation functions, their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259" t="n">
        <v>4</v>
      </c>
      <c r="AA259" t="n">
        <v>0</v>
      </c>
      <c r="AB259"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59" t="n">
        <v>6</v>
      </c>
      <c r="AD259"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59" t="n">
        <v>0</v>
      </c>
      <c r="AF259" t="n">
        <v>0</v>
      </c>
      <c r="AG259" t="inlineStr">
        <is>
          <t>The student's submission did not implement the `ColorizationDataset` class correctly, resulting in a score of 0.0 for the base task. Since the student did not implement the class correctly, they did not attempt the bonus task, resulting in a score of 0.0 for the bonus task.
Breakdown:
- Correctly implemented `ColorizationDataset` class:: 0.0/?
- Any mistake in implementation: 0.0/?</t>
        </is>
      </c>
      <c r="AH259" t="n">
        <v>16</v>
      </c>
      <c r="AI259" t="n">
        <v>0</v>
      </c>
    </row>
    <row r="260">
      <c r="A260" t="n">
        <v>259</v>
      </c>
      <c r="B260" t="inlineStr">
        <is>
          <t>TA_5</t>
        </is>
      </c>
      <c r="C260" t="inlineStr">
        <is>
          <t>TA_15</t>
        </is>
      </c>
      <c r="D260" t="n">
        <v>12</v>
      </c>
      <c r="E260" t="n">
        <v>0</v>
      </c>
      <c r="F260" t="n">
        <v>10.5</v>
      </c>
      <c r="G260" t="n">
        <v>0</v>
      </c>
      <c r="H260" t="n">
        <v>8.5</v>
      </c>
      <c r="I260" t="n">
        <v>0</v>
      </c>
      <c r="J260" t="n">
        <v>11.5</v>
      </c>
      <c r="K260" t="n">
        <v>0</v>
      </c>
      <c r="L260" t="n">
        <v>10.5</v>
      </c>
      <c r="M260" t="n">
        <v>0</v>
      </c>
      <c r="N260" t="n">
        <v>9</v>
      </c>
      <c r="O260" t="n">
        <v>0</v>
      </c>
      <c r="P260">
        <f>Table1[[#This Row],[TA 1 - Q1 Score]]+Table1[[#This Row],[TA 1 - Q2 Score]]+Table1[[#This Row],[TA 1 - Q3 Score]]</f>
        <v/>
      </c>
      <c r="Q260">
        <f>Table1[[#This Row],[TA 1 - Q1 Bonus]]+Table1[[#This Row],[TA 1 - Q2 Bonus]]+Table1[[#This Row],[TA 1 - Q4 Bonus]]</f>
        <v/>
      </c>
      <c r="R260">
        <f>Table1[[#This Row],[TA 2 - Q1 Score]]+Table1[[#This Row],[TA 2 - Q2 Score]]+Table1[[#This Row],[TA 2 - Q3 Score]]</f>
        <v/>
      </c>
      <c r="S260">
        <f>Table1[[#This Row],[TA 2 - Q1 Bonus]]+Table1[[#This Row],[TA 2 - Q2 Bonus]]+Table1[[#This Row],[TA 2 - Q4 Bonus]]</f>
        <v/>
      </c>
      <c r="T260">
        <f>(Table1[[#This Row],[TA 1 - Total Score (out of 35)]]+Table1[[#This Row],[TA 2 - Total Score (out of 35)]])/2</f>
        <v/>
      </c>
      <c r="U260">
        <f>(Table1[[#This Row],[TA 1 - Total Bonus (out of 13)]]+Table1[[#This Row],[TA 2 - Total Bonus (out of 13)]])/2</f>
        <v/>
      </c>
      <c r="V260">
        <f>Table1[[#This Row],[Average Questions]]/35*20+Table1[[#This Row],[Average Bonus]]/13*5</f>
        <v/>
      </c>
      <c r="W260" t="n">
        <v>6</v>
      </c>
      <c r="X260" t="n">
        <v>0</v>
      </c>
      <c r="Y26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resulting in a score of 6.0 for the training task. The student did not attempt the bonus task, resulting in a score of 0.0 for the bonus task.
Breakdown:
- Part 1: Load and Prepare Data: 0.0/?
- Part 2: Load Pretrained Model and Adapt: 0.0/?
- Part 3: Training and Validation Functions: 0.0/?
- Part 4: Training: 6.0/?
- Part 5: Bonus — Test Time Augmentation: 0.0/?</t>
        </is>
      </c>
      <c r="Z260" t="n">
        <v>4</v>
      </c>
      <c r="AA260" t="n">
        <v>0</v>
      </c>
      <c r="AB260"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60" t="n">
        <v>6</v>
      </c>
      <c r="AD260" t="inlineStr">
        <is>
          <t>The student's submission is incomplete and lacks code for several tasks. While they attempted to visualize predictions, their code is not fully functional and does not meet the requirements of the task.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260" t="n">
        <v>0</v>
      </c>
      <c r="AF260" t="n">
        <v>0</v>
      </c>
      <c r="AG260" t="inlineStr">
        <is>
          <t>The student's submission does not meet the requirements of the task. The `ColorizationDataset` class is not fully implemented, and the code contains several syntax and logic mistakes. As a result, the student does not receive any points for this task.
Breakdown:
- Correctly implemented `ColorizationDataset` class:: 0.0/?</t>
        </is>
      </c>
      <c r="AH260" t="n">
        <v>16</v>
      </c>
      <c r="AI260" t="n">
        <v>0</v>
      </c>
    </row>
    <row r="261">
      <c r="A261" t="n">
        <v>260</v>
      </c>
      <c r="B261" t="inlineStr">
        <is>
          <t>TA_5</t>
        </is>
      </c>
      <c r="C261" t="inlineStr">
        <is>
          <t>TA_15</t>
        </is>
      </c>
      <c r="D261" t="n">
        <v>4</v>
      </c>
      <c r="E261" t="n">
        <v>0</v>
      </c>
      <c r="F261" t="n">
        <v>4</v>
      </c>
      <c r="G261" t="n">
        <v>0</v>
      </c>
      <c r="H261" t="n">
        <v>2</v>
      </c>
      <c r="I261" t="n">
        <v>0</v>
      </c>
      <c r="J261" t="n">
        <v>4.5</v>
      </c>
      <c r="K261" t="n">
        <v>0</v>
      </c>
      <c r="L261" t="n">
        <v>6.2</v>
      </c>
      <c r="M261" t="n">
        <v>0</v>
      </c>
      <c r="N261" t="n">
        <v>6</v>
      </c>
      <c r="O261" t="n">
        <v>0</v>
      </c>
      <c r="P261">
        <f>Table1[[#This Row],[TA 1 - Q1 Score]]+Table1[[#This Row],[TA 1 - Q2 Score]]+Table1[[#This Row],[TA 1 - Q3 Score]]</f>
        <v/>
      </c>
      <c r="Q261">
        <f>Table1[[#This Row],[TA 1 - Q1 Bonus]]+Table1[[#This Row],[TA 1 - Q2 Bonus]]+Table1[[#This Row],[TA 1 - Q4 Bonus]]</f>
        <v/>
      </c>
      <c r="R261">
        <f>Table1[[#This Row],[TA 2 - Q1 Score]]+Table1[[#This Row],[TA 2 - Q2 Score]]+Table1[[#This Row],[TA 2 - Q3 Score]]</f>
        <v/>
      </c>
      <c r="S261">
        <f>Table1[[#This Row],[TA 2 - Q1 Bonus]]+Table1[[#This Row],[TA 2 - Q2 Bonus]]+Table1[[#This Row],[TA 2 - Q4 Bonus]]</f>
        <v/>
      </c>
      <c r="T261">
        <f>(Table1[[#This Row],[TA 1 - Total Score (out of 35)]]+Table1[[#This Row],[TA 2 - Total Score (out of 35)]])/2</f>
        <v/>
      </c>
      <c r="U261">
        <f>(Table1[[#This Row],[TA 1 - Total Bonus (out of 13)]]+Table1[[#This Row],[TA 2 - Total Bonus (out of 13)]])/2</f>
        <v/>
      </c>
      <c r="V261">
        <f>Table1[[#This Row],[Average Questions]]/35*20+Table1[[#This Row],[Average Bonus]]/13*5</f>
        <v/>
      </c>
      <c r="W261" t="n">
        <v>6</v>
      </c>
      <c r="X261" t="n">
        <v>0</v>
      </c>
      <c r="Y261" t="inlineStr">
        <is>
          <t>The student's submission failed to complete several key tasks, including loading and preparing the data, loading a pretrained model, and implementing training and validation functions. While the student did attempt to train the model, their submission lacked critical components, such as data loaders and a correct validation function. As a result, the student's submission was unable to run end-to-end and was awarded partial credit only for the training task.
Breakdown:
- Part 1: Load and Prepare Data: 0.0/?
- Part 2: Load Pretrained Model and Adapt: 0.0/?
- Part 3: Training and Validation Functions: 0.0/?
- Part 4: Training: 2.5/?
- Part 5: Bonus — Test Time Augmentation: 0.0/?</t>
        </is>
      </c>
      <c r="Z261" t="n">
        <v>4</v>
      </c>
      <c r="AA261" t="n">
        <v>0</v>
      </c>
      <c r="AB261"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each task.
Breakdown:
- Part 1: Load and Prepare Data: 0.0/?
- Part 2: Build the CNN Model: 0.0/?
- Part 3: Training and Validation Functions: 0.0/?
- Part 4: Training: 0.0/?
- Part 5: Bonus — Residual Connection: 0.0/?</t>
        </is>
      </c>
      <c r="AC261" t="n">
        <v>6</v>
      </c>
      <c r="AD261" t="inlineStr">
        <is>
          <t>The student's submission was incomplete and lacked code for most tasks. The only task that was attempted was Task 5: Visualizing Predictions, but the code had some issues that prevented it from running correctly. Overall, the submission did not demonstrate a clear understanding of the required tasks and concepts.
Breakdown:
- Task 1: Dataset Class: 0.0/?
- Task 2: Model Class: 0.0/?
- Task 3: Training and Validation Loops: 0.0/?
- Task 4: Running Training: 0.0/?
- Task 5: Visualizing Predictions: 6.0/?</t>
        </is>
      </c>
      <c r="AE261" t="n">
        <v>0</v>
      </c>
      <c r="AF261" t="n">
        <v>0</v>
      </c>
      <c r="AG261" t="inlineStr">
        <is>
          <t>The student's submission failed to implement the `ColorizationDataset` class correctly, resulting in a score of 0.0 for the base task. The bonus task was not attempted, resulting in a bonus score of 0.0. The student's code did not run end-to-end, and the `ColorizationDataset` class was not implemented correctly, resulting in a score of 0.0 for the base task.
Breakdown:
- Correctly implemented `ColorizationDataset` class:: 0.0/?</t>
        </is>
      </c>
      <c r="AH261" t="n">
        <v>16</v>
      </c>
      <c r="AI261" t="n">
        <v>0</v>
      </c>
    </row>
    <row r="262">
      <c r="A262" t="n">
        <v>261</v>
      </c>
      <c r="B262" t="inlineStr">
        <is>
          <t>TA_5</t>
        </is>
      </c>
      <c r="C262" t="inlineStr">
        <is>
          <t>TA_15</t>
        </is>
      </c>
      <c r="D262" t="n">
        <v>12</v>
      </c>
      <c r="E262" t="n">
        <v>0</v>
      </c>
      <c r="F262" t="n">
        <v>9</v>
      </c>
      <c r="G262" t="n">
        <v>0</v>
      </c>
      <c r="H262" t="n">
        <v>8</v>
      </c>
      <c r="I262" t="n">
        <v>0</v>
      </c>
      <c r="J262" t="n">
        <v>10.5</v>
      </c>
      <c r="K262" t="n">
        <v>0</v>
      </c>
      <c r="L262" t="n">
        <v>8.5</v>
      </c>
      <c r="M262" t="n">
        <v>1</v>
      </c>
      <c r="N262" t="n">
        <v>8.25</v>
      </c>
      <c r="O262" t="n">
        <v>0</v>
      </c>
      <c r="P262">
        <f>Table1[[#This Row],[TA 1 - Q1 Score]]+Table1[[#This Row],[TA 1 - Q2 Score]]+Table1[[#This Row],[TA 1 - Q3 Score]]</f>
        <v/>
      </c>
      <c r="Q262">
        <f>Table1[[#This Row],[TA 1 - Q1 Bonus]]+Table1[[#This Row],[TA 1 - Q2 Bonus]]+Table1[[#This Row],[TA 1 - Q4 Bonus]]</f>
        <v/>
      </c>
      <c r="R262">
        <f>Table1[[#This Row],[TA 2 - Q1 Score]]+Table1[[#This Row],[TA 2 - Q2 Score]]+Table1[[#This Row],[TA 2 - Q3 Score]]</f>
        <v/>
      </c>
      <c r="S262">
        <f>Table1[[#This Row],[TA 2 - Q1 Bonus]]+Table1[[#This Row],[TA 2 - Q2 Bonus]]+Table1[[#This Row],[TA 2 - Q4 Bonus]]</f>
        <v/>
      </c>
      <c r="T262">
        <f>(Table1[[#This Row],[TA 1 - Total Score (out of 35)]]+Table1[[#This Row],[TA 2 - Total Score (out of 35)]])/2</f>
        <v/>
      </c>
      <c r="U262">
        <f>(Table1[[#This Row],[TA 1 - Total Bonus (out of 13)]]+Table1[[#This Row],[TA 2 - Total Bonus (out of 13)]])/2</f>
        <v/>
      </c>
      <c r="V262">
        <f>Table1[[#This Row],[Average Questions]]/35*20+Table1[[#This Row],[Average Bonus]]/13*5</f>
        <v/>
      </c>
      <c r="W262" t="n">
        <v>6</v>
      </c>
      <c r="X262" t="n">
        <v>0</v>
      </c>
      <c r="Y262" t="inlineStr">
        <is>
          <t>The student's submission failed to complete several key tasks, including loading and preparing the data, loading a pretrained model and adapting it, and training the model. While they did attempt to implement the training and validation functions, their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262" t="n">
        <v>4</v>
      </c>
      <c r="AA262" t="n">
        <v>0</v>
      </c>
      <c r="AB262"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disorganized and does not run end-to-end. As a result, the student receives 0% for each task.
Breakdown:
- Part 1: Load and Prepare Data: 0.0/?
- Part 2: Build the CNN Model: 0.0/?
- Part 3: Training and Validation Functions: 0.0/?
- Part 4: Training: 0.0/?
- Part 5: Bonus — Residual Connection: 0.0/?</t>
        </is>
      </c>
      <c r="AC262" t="n">
        <v>6</v>
      </c>
      <c r="AD262"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262" t="n">
        <v>0</v>
      </c>
      <c r="AF262" t="n">
        <v>0</v>
      </c>
      <c r="AG262" t="inlineStr">
        <is>
          <t>No submission found.</t>
        </is>
      </c>
      <c r="AH262" t="n">
        <v>16</v>
      </c>
      <c r="AI262" t="n">
        <v>0</v>
      </c>
    </row>
    <row r="263">
      <c r="A263" t="n">
        <v>262</v>
      </c>
      <c r="B263" t="inlineStr">
        <is>
          <t>TA_5</t>
        </is>
      </c>
      <c r="C263" t="inlineStr">
        <is>
          <t>TA_15</t>
        </is>
      </c>
      <c r="D263" t="n">
        <v>12</v>
      </c>
      <c r="E263" t="n">
        <v>0</v>
      </c>
      <c r="F263" t="n">
        <v>11</v>
      </c>
      <c r="G263" t="n">
        <v>0</v>
      </c>
      <c r="H263" t="n">
        <v>11</v>
      </c>
      <c r="I263" t="n">
        <v>5</v>
      </c>
      <c r="J263" t="n">
        <v>12</v>
      </c>
      <c r="K263" t="n">
        <v>0</v>
      </c>
      <c r="L263" t="n">
        <v>11</v>
      </c>
      <c r="M263" t="n">
        <v>0</v>
      </c>
      <c r="N263" t="n">
        <v>12</v>
      </c>
      <c r="O263" t="n">
        <v>5</v>
      </c>
      <c r="P263">
        <f>Table1[[#This Row],[TA 1 - Q1 Score]]+Table1[[#This Row],[TA 1 - Q2 Score]]+Table1[[#This Row],[TA 1 - Q3 Score]]</f>
        <v/>
      </c>
      <c r="Q263">
        <f>Table1[[#This Row],[TA 1 - Q1 Bonus]]+Table1[[#This Row],[TA 1 - Q2 Bonus]]+Table1[[#This Row],[TA 1 - Q4 Bonus]]</f>
        <v/>
      </c>
      <c r="R263">
        <f>Table1[[#This Row],[TA 2 - Q1 Score]]+Table1[[#This Row],[TA 2 - Q2 Score]]+Table1[[#This Row],[TA 2 - Q3 Score]]</f>
        <v/>
      </c>
      <c r="S263">
        <f>Table1[[#This Row],[TA 2 - Q1 Bonus]]+Table1[[#This Row],[TA 2 - Q2 Bonus]]+Table1[[#This Row],[TA 2 - Q4 Bonus]]</f>
        <v/>
      </c>
      <c r="T263">
        <f>(Table1[[#This Row],[TA 1 - Total Score (out of 35)]]+Table1[[#This Row],[TA 2 - Total Score (out of 35)]])/2</f>
        <v/>
      </c>
      <c r="U263">
        <f>(Table1[[#This Row],[TA 1 - Total Bonus (out of 13)]]+Table1[[#This Row],[TA 2 - Total Bonus (out of 13)]])/2</f>
        <v/>
      </c>
      <c r="V263">
        <f>Table1[[#This Row],[Average Questions]]/35*20+Table1[[#This Row],[Average Bonus]]/13*5</f>
        <v/>
      </c>
      <c r="W263" t="n">
        <v>8.5</v>
      </c>
      <c r="X263" t="n">
        <v>0</v>
      </c>
      <c r="Y263" t="inlineStr">
        <is>
          <t>The student's submission demonstrates a good understanding of the task requirements but lacks execution in several key areas. The code for Part 1: Load and Prepare Data is incomplete, and the transforms are not correctly applied. Part 2: Load Pretrained Model and Adapt is also incomplete, with the backbone not being frozen. The training and validation functions in Part 3: Training and Validation Functions are partially correct, but the training process in Part 4: Training is not fully implemented. The bonus task, Part 5: Bonus — Test Time Augmentation, is not attempted. Overall, the submission shows potential but requires significant improvement to meet the requirements.
Breakdown:
- Part 1: Load and Prepare Data: 0.0/?
- Part 2: Load Pretrained Model and Adapt: 0.0/?
- Part 3: Training and Validation Functions: 1.75/?
- Part 4: Training: 2.5/?
- Part 5: Bonus — Test Time Augmentation: 0.0/?</t>
        </is>
      </c>
      <c r="Z263" t="n">
        <v>4</v>
      </c>
      <c r="AA263" t="n">
        <v>0</v>
      </c>
      <c r="AB263"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63" t="n">
        <v>6</v>
      </c>
      <c r="AD263" t="inlineStr">
        <is>
          <t>The student's submission failed to meet the requirements of several tasks. The dataset class was not defined, the model class was not defined correctly, the training and validation loops were not defined correctly, the training process was not executed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263" t="n">
        <v>0</v>
      </c>
      <c r="AF263" t="n">
        <v>0</v>
      </c>
      <c r="AG263" t="inlineStr">
        <is>
          <t>The student's submission failed to implement the `ColorizationDataset` class correctly, resulting in a score of 0.0 for the base task. The `rgb_to_grayscale` method was not implemented correctly, and the `__getitem__` method did not return the grayscale and color images as required. As a result, the student did not earn any points for this task.
Breakdown:
- Correctly implemented `ColorizationDataset` class:: 0.0/?</t>
        </is>
      </c>
      <c r="AH263" t="n">
        <v>18.5</v>
      </c>
      <c r="AI263" t="n">
        <v>0</v>
      </c>
    </row>
    <row r="264">
      <c r="A264" t="n">
        <v>263</v>
      </c>
      <c r="B264" t="inlineStr">
        <is>
          <t>TA_5</t>
        </is>
      </c>
      <c r="C264" t="inlineStr">
        <is>
          <t>TA_15</t>
        </is>
      </c>
      <c r="D264" t="n">
        <v>12</v>
      </c>
      <c r="E264" t="n">
        <v>2</v>
      </c>
      <c r="F264" t="n">
        <v>9</v>
      </c>
      <c r="G264" t="n">
        <v>1</v>
      </c>
      <c r="H264" t="n">
        <v>9</v>
      </c>
      <c r="I264" t="n">
        <v>0</v>
      </c>
      <c r="J264" t="n">
        <v>11.5</v>
      </c>
      <c r="K264" t="n">
        <v>0</v>
      </c>
      <c r="L264" t="n">
        <v>9</v>
      </c>
      <c r="M264" t="n">
        <v>1</v>
      </c>
      <c r="N264" t="n">
        <v>8.75</v>
      </c>
      <c r="O264" t="n">
        <v>0</v>
      </c>
      <c r="P264">
        <f>Table1[[#This Row],[TA 1 - Q1 Score]]+Table1[[#This Row],[TA 1 - Q2 Score]]+Table1[[#This Row],[TA 1 - Q3 Score]]</f>
        <v/>
      </c>
      <c r="Q264">
        <f>Table1[[#This Row],[TA 1 - Q1 Bonus]]+Table1[[#This Row],[TA 1 - Q2 Bonus]]+Table1[[#This Row],[TA 1 - Q4 Bonus]]</f>
        <v/>
      </c>
      <c r="R264">
        <f>Table1[[#This Row],[TA 2 - Q1 Score]]+Table1[[#This Row],[TA 2 - Q2 Score]]+Table1[[#This Row],[TA 2 - Q3 Score]]</f>
        <v/>
      </c>
      <c r="S264">
        <f>Table1[[#This Row],[TA 2 - Q1 Bonus]]+Table1[[#This Row],[TA 2 - Q2 Bonus]]+Table1[[#This Row],[TA 2 - Q4 Bonus]]</f>
        <v/>
      </c>
      <c r="T264">
        <f>(Table1[[#This Row],[TA 1 - Total Score (out of 35)]]+Table1[[#This Row],[TA 2 - Total Score (out of 35)]])/2</f>
        <v/>
      </c>
      <c r="U264">
        <f>(Table1[[#This Row],[TA 1 - Total Bonus (out of 13)]]+Table1[[#This Row],[TA 2 - Total Bonus (out of 13)]])/2</f>
        <v/>
      </c>
      <c r="V264">
        <f>Table1[[#This Row],[Average Questions]]/35*20+Table1[[#This Row],[Average Bonus]]/13*5</f>
        <v/>
      </c>
      <c r="W264" t="n">
        <v>6</v>
      </c>
      <c r="X264" t="n">
        <v>0</v>
      </c>
      <c r="Y264"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did not run correctly. The bonus task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264" t="n">
        <v>4</v>
      </c>
      <c r="AA264" t="n">
        <v>0</v>
      </c>
      <c r="AB264" t="inlineStr">
        <is>
          <t>The student's submission failed to meet the requirements of the task. The code does not load and prepare the data correctly, does not build the CNN model as specified, does not implement the training and validation functions, does not train the model, and does not implement the residual connection. The student's code is disorganized and does not run end-to-end. As a result, the student receives 0 points for each task.
Breakdown:
- Part 1: Load and Prepare Data: 0.0/?
- Part 2: Build the CNN Model: 0.0/?
- Part 3: Training and Validation Functions: 0.0/?
- Part 4: Training: 0.0/?
- Part 5: Bonus — Residual Connection: 0.0/?</t>
        </is>
      </c>
      <c r="AC264" t="n">
        <v>6</v>
      </c>
      <c r="AD264" t="inlineStr">
        <is>
          <t>The student failed to submit code for any of the tasks in Question 3. The reference solution provided a comprehensive guide to completing the tasks, but the student's submission was incomplete and did not demonstrate any understanding of the required code. As a result, the student received 0 points for each task.
Breakdown:
- Task 1: Dataset Class: 0.0/?
- Task 2: Model Class: 0.0/?
- Task 3: Training and Validation Loops: 0.0/?
- Task 4: Running Training: 0.0/?
- Task 5: Visualizing Predictions: 0.0/?</t>
        </is>
      </c>
      <c r="AE264" t="n">
        <v>0</v>
      </c>
      <c r="AF264" t="n">
        <v>0</v>
      </c>
      <c r="AG264" t="inlineStr">
        <is>
          <t>The student's submission for Question 4 is incomplete and contains syntax errors. The `ColorizationDataset` class is not implemented correctly, and the student's code does not run end-to-end. As a result, the student does not receive any points for this question.
Breakdown:
- Correctly implemented `ColorizationDataset` class:: 0.0/?
- Any mistake in implementation: 0.0/?</t>
        </is>
      </c>
      <c r="AH264" t="n">
        <v>16</v>
      </c>
      <c r="AI264" t="n">
        <v>0</v>
      </c>
    </row>
    <row r="265">
      <c r="A265" t="n">
        <v>264</v>
      </c>
      <c r="B265" t="inlineStr">
        <is>
          <t>TA_5</t>
        </is>
      </c>
      <c r="C265" t="inlineStr">
        <is>
          <t>TA_15</t>
        </is>
      </c>
      <c r="D265" t="n">
        <v>6.5</v>
      </c>
      <c r="E265" t="n">
        <v>0</v>
      </c>
      <c r="F265" t="n">
        <v>9</v>
      </c>
      <c r="G265" t="n">
        <v>0</v>
      </c>
      <c r="H265" t="n">
        <v>12</v>
      </c>
      <c r="I265" t="n">
        <v>0</v>
      </c>
      <c r="J265" t="n">
        <v>4</v>
      </c>
      <c r="K265" t="n">
        <v>0</v>
      </c>
      <c r="L265" t="n">
        <v>9</v>
      </c>
      <c r="M265" t="n">
        <v>0</v>
      </c>
      <c r="N265" t="n">
        <v>11.5</v>
      </c>
      <c r="O265" t="n">
        <v>0</v>
      </c>
      <c r="P265">
        <f>Table1[[#This Row],[TA 1 - Q1 Score]]+Table1[[#This Row],[TA 1 - Q2 Score]]+Table1[[#This Row],[TA 1 - Q3 Score]]</f>
        <v/>
      </c>
      <c r="Q265">
        <f>Table1[[#This Row],[TA 1 - Q1 Bonus]]+Table1[[#This Row],[TA 1 - Q2 Bonus]]+Table1[[#This Row],[TA 1 - Q4 Bonus]]</f>
        <v/>
      </c>
      <c r="R265">
        <f>Table1[[#This Row],[TA 2 - Q1 Score]]+Table1[[#This Row],[TA 2 - Q2 Score]]+Table1[[#This Row],[TA 2 - Q3 Score]]</f>
        <v/>
      </c>
      <c r="S265">
        <f>Table1[[#This Row],[TA 2 - Q1 Bonus]]+Table1[[#This Row],[TA 2 - Q2 Bonus]]+Table1[[#This Row],[TA 2 - Q4 Bonus]]</f>
        <v/>
      </c>
      <c r="T265">
        <f>(Table1[[#This Row],[TA 1 - Total Score (out of 35)]]+Table1[[#This Row],[TA 2 - Total Score (out of 35)]])/2</f>
        <v/>
      </c>
      <c r="U265">
        <f>(Table1[[#This Row],[TA 1 - Total Bonus (out of 13)]]+Table1[[#This Row],[TA 2 - Total Bonus (out of 13)]])/2</f>
        <v/>
      </c>
      <c r="V265">
        <f>Table1[[#This Row],[Average Questions]]/35*20+Table1[[#This Row],[Average Bonus]]/13*5</f>
        <v/>
      </c>
      <c r="W265" t="n">
        <v>6</v>
      </c>
      <c r="X265" t="n">
        <v>0</v>
      </c>
      <c r="Y265" t="inlineStr">
        <is>
          <t>The student's submission failed to complete several key tasks, including loading and preparing the data, loading a pretrained model, and training the model. While they did attempt to implement the training and validation functions, their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265" t="n">
        <v>4</v>
      </c>
      <c r="AA265" t="n">
        <v>0</v>
      </c>
      <c r="AB265"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65" t="n">
        <v>6</v>
      </c>
      <c r="AD265"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265" t="n">
        <v>0</v>
      </c>
      <c r="AF265" t="n">
        <v>0</v>
      </c>
      <c r="AG265" t="inlineStr">
        <is>
          <t>No submission found.</t>
        </is>
      </c>
      <c r="AH265" t="n">
        <v>16</v>
      </c>
      <c r="AI265" t="n">
        <v>0</v>
      </c>
    </row>
    <row r="266">
      <c r="A266" t="n">
        <v>265</v>
      </c>
      <c r="B266" t="inlineStr">
        <is>
          <t>TA_5</t>
        </is>
      </c>
      <c r="C266" t="inlineStr">
        <is>
          <t>TA_15</t>
        </is>
      </c>
      <c r="D266" t="n">
        <v>11</v>
      </c>
      <c r="E266" t="n">
        <v>4</v>
      </c>
      <c r="F266" t="n">
        <v>10</v>
      </c>
      <c r="G266" t="n">
        <v>1</v>
      </c>
      <c r="H266" t="n">
        <v>12</v>
      </c>
      <c r="I266" t="n">
        <v>0</v>
      </c>
      <c r="J266" t="n">
        <v>10.25</v>
      </c>
      <c r="K266" t="n">
        <v>3</v>
      </c>
      <c r="L266" t="n">
        <v>10.5</v>
      </c>
      <c r="M266" t="n">
        <v>1</v>
      </c>
      <c r="N266" t="n">
        <v>12</v>
      </c>
      <c r="O266" t="n">
        <v>0</v>
      </c>
      <c r="P266">
        <f>Table1[[#This Row],[TA 1 - Q1 Score]]+Table1[[#This Row],[TA 1 - Q2 Score]]+Table1[[#This Row],[TA 1 - Q3 Score]]</f>
        <v/>
      </c>
      <c r="Q266">
        <f>Table1[[#This Row],[TA 1 - Q1 Bonus]]+Table1[[#This Row],[TA 1 - Q2 Bonus]]+Table1[[#This Row],[TA 1 - Q4 Bonus]]</f>
        <v/>
      </c>
      <c r="R266">
        <f>Table1[[#This Row],[TA 2 - Q1 Score]]+Table1[[#This Row],[TA 2 - Q2 Score]]+Table1[[#This Row],[TA 2 - Q3 Score]]</f>
        <v/>
      </c>
      <c r="S266">
        <f>Table1[[#This Row],[TA 2 - Q1 Bonus]]+Table1[[#This Row],[TA 2 - Q2 Bonus]]+Table1[[#This Row],[TA 2 - Q4 Bonus]]</f>
        <v/>
      </c>
      <c r="T266">
        <f>(Table1[[#This Row],[TA 1 - Total Score (out of 35)]]+Table1[[#This Row],[TA 2 - Total Score (out of 35)]])/2</f>
        <v/>
      </c>
      <c r="U266">
        <f>(Table1[[#This Row],[TA 1 - Total Bonus (out of 13)]]+Table1[[#This Row],[TA 2 - Total Bonus (out of 13)]])/2</f>
        <v/>
      </c>
      <c r="V266">
        <f>Table1[[#This Row],[Average Questions]]/35*20+Table1[[#This Row],[Average Bonus]]/13*5</f>
        <v/>
      </c>
      <c r="W266" t="n">
        <v>6</v>
      </c>
      <c r="X266" t="n">
        <v>0</v>
      </c>
      <c r="Y266" t="inlineStr">
        <is>
          <t>The student's submission failed to complete several key tasks, including loading and preparing the data, loading the pretrained model and adapting it, and implementing the training and validation functions. While the student attempted to train the model, their implementation contained several errors, including incorrect normalization and a failure to adjust the labels. The student also failed to implement test time augmentation correctly. As a result, the student's submission was unable to run end-to-end and failed to produce accurate results.
Breakdown:
- Part 1: Load and Prepare Data: 0.0/?
- Part 2: Load Pretrained Model and Adapt: 0.0/?
- Part 3: Training and Validation Functions: 0.0/?
- Part 4: Training: 2.0/?
- Part 5: Bonus — Test Time Augmentation: 0.0/?</t>
        </is>
      </c>
      <c r="Z266" t="n">
        <v>6</v>
      </c>
      <c r="AA266" t="n">
        <v>0</v>
      </c>
      <c r="AB266" t="inlineStr">
        <is>
          <t>The student's submission failed to meet the requirements for most tasks. In Part 1, the student failed to create a custom Dataset class or use ImageFolder, and did not display sample images with labels. In Part 2, the student did not build a CNN model with 5 convolutional layers. In Part 3, the student did not define the training loop function. In Part 4, the student only partially completed the task by setting up the device, model, loss, and optimizer, but did not train the model or plot losses and accuracy. In Part 5, the student did not redefine the CNN model with a residual connection or retrain the model.
Breakdown:
- Part 1: Load and Prepare Data: 0.0/?
- Part 2: Build the CNN Model: 0.0/?
- Part 3: Training and Validation Functions: 0.0/?
- Part 4: Training: 2.0/?
- Part 5: Bonus — Residual Connection: 0.0/?</t>
        </is>
      </c>
      <c r="AC266" t="n">
        <v>6</v>
      </c>
      <c r="AD266" t="inlineStr">
        <is>
          <t>The student's submission was incomplete, with no code submitted for Tasks 1-4. However, the code for Task 5 was mostly correct, with the student successfully visualizing predictions against the ground truth for several images. The only issue was that the colors did not match the ground truth ones, which resulted in a score of 6.0 for this task.
Breakdown:
- Task 1: Dataset Class: 0.0/?
- Task 2: Model Class: 0.0/?
- Task 3: Training and Validation Loops: 0.0/?
- Task 4: Running Training: 0.0/?
- Task 5: Visualizing Predictions: 6.0/?</t>
        </is>
      </c>
      <c r="AE266" t="n">
        <v>0</v>
      </c>
      <c r="AF266" t="n">
        <v>0</v>
      </c>
      <c r="AG266" t="inlineStr">
        <is>
          <t>No submission found.</t>
        </is>
      </c>
      <c r="AH266" t="n">
        <v>18</v>
      </c>
      <c r="AI266" t="n">
        <v>0</v>
      </c>
    </row>
    <row r="267">
      <c r="A267" t="n">
        <v>266</v>
      </c>
      <c r="B267" t="inlineStr">
        <is>
          <t>TA_5</t>
        </is>
      </c>
      <c r="C267" t="inlineStr">
        <is>
          <t>TA_15</t>
        </is>
      </c>
      <c r="D267" t="n">
        <v>10.5</v>
      </c>
      <c r="E267" t="n">
        <v>0</v>
      </c>
      <c r="F267" t="n">
        <v>0</v>
      </c>
      <c r="G267" t="n">
        <v>0</v>
      </c>
      <c r="H267" t="n">
        <v>0</v>
      </c>
      <c r="I267" t="n">
        <v>0</v>
      </c>
      <c r="J267" t="n">
        <v>4</v>
      </c>
      <c r="K267" t="n">
        <v>0</v>
      </c>
      <c r="L267" t="n">
        <v>0</v>
      </c>
      <c r="M267" t="n">
        <v>0</v>
      </c>
      <c r="N267" t="n">
        <v>0</v>
      </c>
      <c r="O267" t="n">
        <v>0</v>
      </c>
      <c r="P267">
        <f>Table1[[#This Row],[TA 1 - Q1 Score]]+Table1[[#This Row],[TA 1 - Q2 Score]]+Table1[[#This Row],[TA 1 - Q3 Score]]</f>
        <v/>
      </c>
      <c r="Q267">
        <f>Table1[[#This Row],[TA 1 - Q1 Bonus]]+Table1[[#This Row],[TA 1 - Q2 Bonus]]+Table1[[#This Row],[TA 1 - Q4 Bonus]]</f>
        <v/>
      </c>
      <c r="R267">
        <f>Table1[[#This Row],[TA 2 - Q1 Score]]+Table1[[#This Row],[TA 2 - Q2 Score]]+Table1[[#This Row],[TA 2 - Q3 Score]]</f>
        <v/>
      </c>
      <c r="S267">
        <f>Table1[[#This Row],[TA 2 - Q1 Bonus]]+Table1[[#This Row],[TA 2 - Q2 Bonus]]+Table1[[#This Row],[TA 2 - Q4 Bonus]]</f>
        <v/>
      </c>
      <c r="T267">
        <f>(Table1[[#This Row],[TA 1 - Total Score (out of 35)]]+Table1[[#This Row],[TA 2 - Total Score (out of 35)]])/2</f>
        <v/>
      </c>
      <c r="U267">
        <f>(Table1[[#This Row],[TA 1 - Total Bonus (out of 13)]]+Table1[[#This Row],[TA 2 - Total Bonus (out of 13)]])/2</f>
        <v/>
      </c>
      <c r="V267">
        <f>Table1[[#This Row],[Average Questions]]/35*20+Table1[[#This Row],[Average Bonus]]/13*5</f>
        <v/>
      </c>
      <c r="W267" t="n">
        <v>6</v>
      </c>
      <c r="X267" t="n">
        <v>0</v>
      </c>
      <c r="Y267"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resulting in a low overall score.
Breakdown:
- Part 1: Load and Prepare Data: 0.0/?
- Part 2: Load Pretrained Model and Adapt: 0.0/?
- Part 3: Training and Validation Functions: 0.0/?
- Part 4: Training: 2.5/?
- Part 5: Bonus — Test Time Augmentation: 0.0/?</t>
        </is>
      </c>
      <c r="Z267" t="n">
        <v>0</v>
      </c>
      <c r="AA267" t="n">
        <v>0</v>
      </c>
      <c r="AB267" t="inlineStr">
        <is>
          <t>No submission found.</t>
        </is>
      </c>
      <c r="AC267" t="n">
        <v>0</v>
      </c>
      <c r="AD267" t="inlineStr">
        <is>
          <t>No submission found.</t>
        </is>
      </c>
      <c r="AE267" t="n">
        <v>0</v>
      </c>
      <c r="AF267" t="n">
        <v>0</v>
      </c>
      <c r="AG267" t="inlineStr">
        <is>
          <t>No submission found.</t>
        </is>
      </c>
      <c r="AH267" t="n">
        <v>6</v>
      </c>
      <c r="AI267" t="n">
        <v>0</v>
      </c>
    </row>
    <row r="268">
      <c r="A268" t="n">
        <v>267</v>
      </c>
      <c r="B268" t="inlineStr">
        <is>
          <t>TA_5</t>
        </is>
      </c>
      <c r="C268" t="inlineStr">
        <is>
          <t>TA_15</t>
        </is>
      </c>
      <c r="D268" t="n">
        <v>11.5</v>
      </c>
      <c r="E268" t="n">
        <v>0</v>
      </c>
      <c r="F268" t="n">
        <v>9</v>
      </c>
      <c r="G268" t="n">
        <v>0</v>
      </c>
      <c r="H268" t="n">
        <v>11</v>
      </c>
      <c r="I268" t="n">
        <v>0</v>
      </c>
      <c r="J268" t="n">
        <v>12</v>
      </c>
      <c r="K268" t="n">
        <v>0</v>
      </c>
      <c r="L268" t="n">
        <v>10.5</v>
      </c>
      <c r="M268" t="n">
        <v>0</v>
      </c>
      <c r="N268" t="n">
        <v>11.25</v>
      </c>
      <c r="O268" t="n">
        <v>0</v>
      </c>
      <c r="P268">
        <f>Table1[[#This Row],[TA 1 - Q1 Score]]+Table1[[#This Row],[TA 1 - Q2 Score]]+Table1[[#This Row],[TA 1 - Q3 Score]]</f>
        <v/>
      </c>
      <c r="Q268">
        <f>Table1[[#This Row],[TA 1 - Q1 Bonus]]+Table1[[#This Row],[TA 1 - Q2 Bonus]]+Table1[[#This Row],[TA 1 - Q4 Bonus]]</f>
        <v/>
      </c>
      <c r="R268">
        <f>Table1[[#This Row],[TA 2 - Q1 Score]]+Table1[[#This Row],[TA 2 - Q2 Score]]+Table1[[#This Row],[TA 2 - Q3 Score]]</f>
        <v/>
      </c>
      <c r="S268">
        <f>Table1[[#This Row],[TA 2 - Q1 Bonus]]+Table1[[#This Row],[TA 2 - Q2 Bonus]]+Table1[[#This Row],[TA 2 - Q4 Bonus]]</f>
        <v/>
      </c>
      <c r="T268">
        <f>(Table1[[#This Row],[TA 1 - Total Score (out of 35)]]+Table1[[#This Row],[TA 2 - Total Score (out of 35)]])/2</f>
        <v/>
      </c>
      <c r="U268">
        <f>(Table1[[#This Row],[TA 1 - Total Bonus (out of 13)]]+Table1[[#This Row],[TA 2 - Total Bonus (out of 13)]])/2</f>
        <v/>
      </c>
      <c r="V268">
        <f>Table1[[#This Row],[Average Questions]]/35*20+Table1[[#This Row],[Average Bonus]]/13*5</f>
        <v/>
      </c>
      <c r="W268" t="n">
        <v>6</v>
      </c>
      <c r="X268" t="n">
        <v>0</v>
      </c>
      <c r="Y268"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errors and did not run end-to-end. The student's submission did not demonstrate a clear understanding of the task requirements and did not produce a functional model. As a result, the student earned a score of 6.0, with no bonus points awarded.
Breakdown:
- Part 1: Load and Prepare Data: 0.0/?
- Part 2: Load Pretrained Model and Adapt: 0.0/?
- Part 3: Training and Validation Functions: 0.0/?
- Part 4: Training: 2.5/?
- Part 5: Bonus — Test Time Augmentation: 0.0/?</t>
        </is>
      </c>
      <c r="Z268" t="n">
        <v>4</v>
      </c>
      <c r="AA268" t="n">
        <v>0</v>
      </c>
      <c r="AB268"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68" t="n">
        <v>6</v>
      </c>
      <c r="AD268" t="inlineStr">
        <is>
          <t>The student's submission was incomplete and failed to address several key tasks. While they did attempt to visualize predictions, their code was not fully correct and did not run end-to-end. As a result, they were unable to demonstrate a complete understanding of the required concepts.
Breakdown:
- Task 1: Dataset Class: 0.0/?
- Task 2: Model Class: 0.0/?
- Task 3: Training and Validation Loops: 0.0/?
- Task 4: Running Training: 0.0/?
- Task 5: Visualizing Predictions: 6.0/?</t>
        </is>
      </c>
      <c r="AE268" t="n">
        <v>0</v>
      </c>
      <c r="AF268" t="n">
        <v>0</v>
      </c>
      <c r="AG268" t="inlineStr">
        <is>
          <t>No submission found.</t>
        </is>
      </c>
      <c r="AH268" t="n">
        <v>16</v>
      </c>
      <c r="AI268" t="n">
        <v>0</v>
      </c>
    </row>
    <row r="269">
      <c r="A269" t="n">
        <v>268</v>
      </c>
      <c r="B269" t="inlineStr">
        <is>
          <t>TA_5</t>
        </is>
      </c>
      <c r="C269" t="inlineStr">
        <is>
          <t>TA_15</t>
        </is>
      </c>
      <c r="D269" t="n">
        <v>6</v>
      </c>
      <c r="E269" t="n">
        <v>0</v>
      </c>
      <c r="F269" t="n">
        <v>4.5</v>
      </c>
      <c r="G269" t="n">
        <v>0</v>
      </c>
      <c r="H269" t="n">
        <v>9</v>
      </c>
      <c r="I269" t="n">
        <v>0</v>
      </c>
      <c r="J269" t="n">
        <v>4.75</v>
      </c>
      <c r="K269" t="n">
        <v>0</v>
      </c>
      <c r="L269" t="n">
        <v>4.7</v>
      </c>
      <c r="M269" t="n">
        <v>0</v>
      </c>
      <c r="N269" t="n">
        <v>10</v>
      </c>
      <c r="O269" t="n">
        <v>0</v>
      </c>
      <c r="P269">
        <f>Table1[[#This Row],[TA 1 - Q1 Score]]+Table1[[#This Row],[TA 1 - Q2 Score]]+Table1[[#This Row],[TA 1 - Q3 Score]]</f>
        <v/>
      </c>
      <c r="Q269">
        <f>Table1[[#This Row],[TA 1 - Q1 Bonus]]+Table1[[#This Row],[TA 1 - Q2 Bonus]]+Table1[[#This Row],[TA 1 - Q4 Bonus]]</f>
        <v/>
      </c>
      <c r="R269">
        <f>Table1[[#This Row],[TA 2 - Q1 Score]]+Table1[[#This Row],[TA 2 - Q2 Score]]+Table1[[#This Row],[TA 2 - Q3 Score]]</f>
        <v/>
      </c>
      <c r="S269">
        <f>Table1[[#This Row],[TA 2 - Q1 Bonus]]+Table1[[#This Row],[TA 2 - Q2 Bonus]]+Table1[[#This Row],[TA 2 - Q4 Bonus]]</f>
        <v/>
      </c>
      <c r="T269">
        <f>(Table1[[#This Row],[TA 1 - Total Score (out of 35)]]+Table1[[#This Row],[TA 2 - Total Score (out of 35)]])/2</f>
        <v/>
      </c>
      <c r="U269">
        <f>(Table1[[#This Row],[TA 1 - Total Bonus (out of 13)]]+Table1[[#This Row],[TA 2 - Total Bonus (out of 13)]])/2</f>
        <v/>
      </c>
      <c r="V269">
        <f>Table1[[#This Row],[Average Questions]]/35*20+Table1[[#This Row],[Average Bonus]]/13*5</f>
        <v/>
      </c>
      <c r="W269" t="n">
        <v>6</v>
      </c>
      <c r="X269" t="n">
        <v>0</v>
      </c>
      <c r="Y269"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approach to the bonus task was entirely wrong, disregarding explicit instructions. As a result, the student's submission was awarded a score of 6.0, with no bonus points.
Breakdown:
- Part 1: Load and Prepare Data: 0.0/?
- Part 2: Load Pretrained Model and Adapt: 0.0/?
- Part 3: Training and Validation Functions: 0.0/?
- Part 4: Training: 2.0/?
- Part 5: Bonus — Test Time Augmentation: 0.0/?</t>
        </is>
      </c>
      <c r="Z269" t="n">
        <v>4</v>
      </c>
      <c r="AA269" t="n">
        <v>0</v>
      </c>
      <c r="AB269" t="inlineStr">
        <is>
          <t>The student's submission failed to meet the requirements of the task. The code does not load and prepare the data correctly, does not build the CNN model as specified, does not implement the training and validation functions, does not train the model, and does not implement the residual connection. The student's code is not organized and does not follow the structure of the reference solution. As a result, the student did not earn any points for this task.
Breakdown:
- Part 1: Load and Prepare Data: 0.0/?
- Part 2: Build the CNN Model: 0.0/?
- Part 3: Training and Validation Functions: 0.0/?
- Part 4: Training: 0.0/?
- Part 5: Bonus — Residual Connection: 0.0/?</t>
        </is>
      </c>
      <c r="AC269" t="n">
        <v>6</v>
      </c>
      <c r="AD269" t="inlineStr">
        <is>
          <t>The student's submission failed to address several key tasks, including building a custom dataset class, defining a model class, and implementing training and validation loops. As a result, the student was unable to complete the majority of the question. However, the student did attempt to visualize predictions, and their code was mostly correct, although it did not meet the full requirements of the task.
Breakdown:
- Task 1: Dataset Class: 0.0/?
- Task 2: Model Class: 0.0/?
- Task 3: Training and Validation Loops: 0.0/?
- Task 4: Running Training: 0.0/?
- Task 5: Visualizing Predictions: 6.0/?</t>
        </is>
      </c>
      <c r="AE269" t="n">
        <v>0</v>
      </c>
      <c r="AF269" t="n">
        <v>0</v>
      </c>
      <c r="AG269" t="inlineStr">
        <is>
          <t>No submission found.</t>
        </is>
      </c>
      <c r="AH269" t="n">
        <v>16</v>
      </c>
      <c r="AI269" t="n">
        <v>0</v>
      </c>
    </row>
    <row r="270">
      <c r="A270" t="n">
        <v>269</v>
      </c>
      <c r="B270" t="inlineStr">
        <is>
          <t>TA_5</t>
        </is>
      </c>
      <c r="C270" t="inlineStr">
        <is>
          <t>TA_15</t>
        </is>
      </c>
      <c r="D270" t="n">
        <v>12</v>
      </c>
      <c r="E270" t="n">
        <v>4</v>
      </c>
      <c r="F270" t="n">
        <v>11</v>
      </c>
      <c r="G270" t="n">
        <v>1</v>
      </c>
      <c r="H270" t="n">
        <v>6.5</v>
      </c>
      <c r="I270" t="n">
        <v>0</v>
      </c>
      <c r="J270" t="n">
        <v>10.5</v>
      </c>
      <c r="K270" t="n">
        <v>4</v>
      </c>
      <c r="L270" t="n">
        <v>11</v>
      </c>
      <c r="M270" t="n">
        <v>1.5</v>
      </c>
      <c r="N270" t="n">
        <v>8.25</v>
      </c>
      <c r="O270" t="n">
        <v>0</v>
      </c>
      <c r="P270">
        <f>Table1[[#This Row],[TA 1 - Q1 Score]]+Table1[[#This Row],[TA 1 - Q2 Score]]+Table1[[#This Row],[TA 1 - Q3 Score]]</f>
        <v/>
      </c>
      <c r="Q270">
        <f>Table1[[#This Row],[TA 1 - Q1 Bonus]]+Table1[[#This Row],[TA 1 - Q2 Bonus]]+Table1[[#This Row],[TA 1 - Q4 Bonus]]</f>
        <v/>
      </c>
      <c r="R270">
        <f>Table1[[#This Row],[TA 2 - Q1 Score]]+Table1[[#This Row],[TA 2 - Q2 Score]]+Table1[[#This Row],[TA 2 - Q3 Score]]</f>
        <v/>
      </c>
      <c r="S270">
        <f>Table1[[#This Row],[TA 2 - Q1 Bonus]]+Table1[[#This Row],[TA 2 - Q2 Bonus]]+Table1[[#This Row],[TA 2 - Q4 Bonus]]</f>
        <v/>
      </c>
      <c r="T270">
        <f>(Table1[[#This Row],[TA 1 - Total Score (out of 35)]]+Table1[[#This Row],[TA 2 - Total Score (out of 35)]])/2</f>
        <v/>
      </c>
      <c r="U270">
        <f>(Table1[[#This Row],[TA 1 - Total Bonus (out of 13)]]+Table1[[#This Row],[TA 2 - Total Bonus (out of 13)]])/2</f>
        <v/>
      </c>
      <c r="V270">
        <f>Table1[[#This Row],[Average Questions]]/35*20+Table1[[#This Row],[Average Bonus]]/13*5</f>
        <v/>
      </c>
      <c r="W270" t="n">
        <v>6</v>
      </c>
      <c r="X270" t="n">
        <v>0</v>
      </c>
      <c r="Y270"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failed to run end-to-end. The bonus task of implementing test time augmentation was also not completed. Overall, the student's submission demonstrated a lack of understanding of the required tasks and failed to produce a working solution.
Breakdown:
- Part 1: Load and Prepare Data: 0.0/?
- Part 2: Load Pretrained Model and Adapt: 0.0/?
- Part 3: Training and Validation Functions: 1.5/?
- Part 4: Training: 0.0/?
- Part 5: Bonus — Test Time Augmentation: 0.0/?</t>
        </is>
      </c>
      <c r="Z270" t="n">
        <v>6</v>
      </c>
      <c r="AA270" t="n">
        <v>0</v>
      </c>
      <c r="AB270"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270" t="n">
        <v>6</v>
      </c>
      <c r="AD270" t="inlineStr">
        <is>
          <t>The student's submission failed to meet the requirements of the task, with incorrect implementation of the dataset class, model class, training and validation loops, running training, and visualizing predictions. The code was not organized and failed to run end-to-end, resulting in a score of 0 for each task.
Breakdown:
- Task 1: Dataset Class: 0.0/?
- Task 2: Model Class: 0.0/?
- Task 3: Training and Validation Loops: 0.0/?
- Task 4: Running Training: 0.0/?
- Task 5: Visualizing Predictions: 0.0/?</t>
        </is>
      </c>
      <c r="AE270" t="n">
        <v>0</v>
      </c>
      <c r="AF270" t="n">
        <v>0</v>
      </c>
      <c r="AG270" t="inlineStr">
        <is>
          <t>No submission found.</t>
        </is>
      </c>
      <c r="AH270" t="n">
        <v>18</v>
      </c>
      <c r="AI270" t="n">
        <v>0</v>
      </c>
    </row>
    <row r="271">
      <c r="A271" t="n">
        <v>270</v>
      </c>
      <c r="B271" t="inlineStr">
        <is>
          <t>TA_5</t>
        </is>
      </c>
      <c r="C271" t="inlineStr">
        <is>
          <t>TA_15</t>
        </is>
      </c>
      <c r="D271" t="n">
        <v>12</v>
      </c>
      <c r="E271" t="n">
        <v>4</v>
      </c>
      <c r="F271" t="n">
        <v>11</v>
      </c>
      <c r="G271" t="n">
        <v>4</v>
      </c>
      <c r="H271" t="n">
        <v>12</v>
      </c>
      <c r="I271" t="n">
        <v>5</v>
      </c>
      <c r="J271" t="n">
        <v>12</v>
      </c>
      <c r="K271" t="n">
        <v>4</v>
      </c>
      <c r="L271" t="n">
        <v>11</v>
      </c>
      <c r="M271" t="n">
        <v>4</v>
      </c>
      <c r="N271" t="n">
        <v>12</v>
      </c>
      <c r="O271" t="n">
        <v>5</v>
      </c>
      <c r="P271">
        <f>Table1[[#This Row],[TA 1 - Q1 Score]]+Table1[[#This Row],[TA 1 - Q2 Score]]+Table1[[#This Row],[TA 1 - Q3 Score]]</f>
        <v/>
      </c>
      <c r="Q271">
        <f>Table1[[#This Row],[TA 1 - Q1 Bonus]]+Table1[[#This Row],[TA 1 - Q2 Bonus]]+Table1[[#This Row],[TA 1 - Q4 Bonus]]</f>
        <v/>
      </c>
      <c r="R271">
        <f>Table1[[#This Row],[TA 2 - Q1 Score]]+Table1[[#This Row],[TA 2 - Q2 Score]]+Table1[[#This Row],[TA 2 - Q3 Score]]</f>
        <v/>
      </c>
      <c r="S271">
        <f>Table1[[#This Row],[TA 2 - Q1 Bonus]]+Table1[[#This Row],[TA 2 - Q2 Bonus]]+Table1[[#This Row],[TA 2 - Q4 Bonus]]</f>
        <v/>
      </c>
      <c r="T271">
        <f>(Table1[[#This Row],[TA 1 - Total Score (out of 35)]]+Table1[[#This Row],[TA 2 - Total Score (out of 35)]])/2</f>
        <v/>
      </c>
      <c r="U271">
        <f>(Table1[[#This Row],[TA 1 - Total Bonus (out of 13)]]+Table1[[#This Row],[TA 2 - Total Bonus (out of 13)]])/2</f>
        <v/>
      </c>
      <c r="V271">
        <f>Table1[[#This Row],[Average Questions]]/35*20+Table1[[#This Row],[Average Bonus]]/13*5</f>
        <v/>
      </c>
      <c r="W271" t="n">
        <v>6</v>
      </c>
      <c r="X271" t="n">
        <v>0</v>
      </c>
      <c r="Y27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271" t="n">
        <v>6</v>
      </c>
      <c r="AA271" t="n">
        <v>0</v>
      </c>
      <c r="AB27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As a result, the student's score is limited to the points awarded for the training task, which was partially completed.
Breakdown:
- Part 1: Load and Prepare Data: 0.0/?
- Part 2: Build the CNN Model: 0.0/?
- Part 3: Training and Validation Functions: 0.0/?
- Part 4: Training: 2.0/?
- Part 5: Bonus — Residual Connection: 0.0/?</t>
        </is>
      </c>
      <c r="AC271" t="n">
        <v>6</v>
      </c>
      <c r="AD271" t="inlineStr">
        <is>
          <t>The student failed to submit code for any of the tasks in Question 3. As a result, no points can be awarded for this question. The student's submission is incomplete and does not demonstrate any understanding of the concepts required for the question.
Breakdown:
- Task 1: Dataset Class: 0.0/?
- Task 2: Model Class: 0.0/?
- Task 3: Training and Validation Loops: 0.0/?
- Task 4: Running Training: 0.0/?
- Task 5: Visualizing Predictions: 0.0/?</t>
        </is>
      </c>
      <c r="AE271" t="n">
        <v>0</v>
      </c>
      <c r="AF271" t="n">
        <v>1</v>
      </c>
      <c r="AG271" t="inlineStr">
        <is>
          <t>The student's submission demonstrates a good understanding of the ColorizationDataset class. The `__init__`, `__len__`, `rgb_to_grayscale`, and `__getitem__` methods are correctly implemented. However, the `rgb_to_grayscale` method uses a tensor for the weights, which is not the same as the reference solution's numpy array. This results in a 4.0 out of 5.0 for the base task. The bonus task is awarded 1.0 out of 5.0 because the student's code does not produce the correct output for the `rgb_to_grayscale` method.
Breakdown:
- Correctly implemented `ColorizationDataset` class: 4.0/?
- Any mistake in implementation: 0.0/?</t>
        </is>
      </c>
      <c r="AH271" t="n">
        <v>18</v>
      </c>
      <c r="AI271" t="n">
        <v>1</v>
      </c>
    </row>
    <row r="272">
      <c r="A272" t="n">
        <v>271</v>
      </c>
      <c r="B272" t="inlineStr">
        <is>
          <t>TA_5</t>
        </is>
      </c>
      <c r="C272" t="inlineStr">
        <is>
          <t>TA_15</t>
        </is>
      </c>
      <c r="D272" t="n">
        <v>12</v>
      </c>
      <c r="E272" t="n">
        <v>4</v>
      </c>
      <c r="F272" t="n">
        <v>11</v>
      </c>
      <c r="G272" t="n">
        <v>4</v>
      </c>
      <c r="H272" t="n">
        <v>12</v>
      </c>
      <c r="I272" t="n">
        <v>5</v>
      </c>
      <c r="J272" t="n">
        <v>12</v>
      </c>
      <c r="K272" t="n">
        <v>4</v>
      </c>
      <c r="L272" t="n">
        <v>11</v>
      </c>
      <c r="M272" t="n">
        <v>4</v>
      </c>
      <c r="N272" t="n">
        <v>12</v>
      </c>
      <c r="O272" t="n">
        <v>5</v>
      </c>
      <c r="P272">
        <f>Table1[[#This Row],[TA 1 - Q1 Score]]+Table1[[#This Row],[TA 1 - Q2 Score]]+Table1[[#This Row],[TA 1 - Q3 Score]]</f>
        <v/>
      </c>
      <c r="Q272">
        <f>Table1[[#This Row],[TA 1 - Q1 Bonus]]+Table1[[#This Row],[TA 1 - Q2 Bonus]]+Table1[[#This Row],[TA 1 - Q4 Bonus]]</f>
        <v/>
      </c>
      <c r="R272">
        <f>Table1[[#This Row],[TA 2 - Q1 Score]]+Table1[[#This Row],[TA 2 - Q2 Score]]+Table1[[#This Row],[TA 2 - Q3 Score]]</f>
        <v/>
      </c>
      <c r="S272">
        <f>Table1[[#This Row],[TA 2 - Q1 Bonus]]+Table1[[#This Row],[TA 2 - Q2 Bonus]]+Table1[[#This Row],[TA 2 - Q4 Bonus]]</f>
        <v/>
      </c>
      <c r="T272">
        <f>(Table1[[#This Row],[TA 1 - Total Score (out of 35)]]+Table1[[#This Row],[TA 2 - Total Score (out of 35)]])/2</f>
        <v/>
      </c>
      <c r="U272">
        <f>(Table1[[#This Row],[TA 1 - Total Bonus (out of 13)]]+Table1[[#This Row],[TA 2 - Total Bonus (out of 13)]])/2</f>
        <v/>
      </c>
      <c r="V272">
        <f>Table1[[#This Row],[Average Questions]]/35*20+Table1[[#This Row],[Average Bonus]]/13*5</f>
        <v/>
      </c>
      <c r="W272" t="n">
        <v>6</v>
      </c>
      <c r="X272" t="n">
        <v>0</v>
      </c>
      <c r="Y27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3.0/?
- Part 5: Bonus — Test Time Augmentation: 0.0/?</t>
        </is>
      </c>
      <c r="Z272" t="n">
        <v>4</v>
      </c>
      <c r="AA272" t="n">
        <v>0</v>
      </c>
      <c r="AB272"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72" t="n">
        <v>6</v>
      </c>
      <c r="AD272" t="inlineStr">
        <is>
          <t>The student's submission failed to address any of the tasks in Question 3. The code provided does not attempt to implement the required functionality for any of the tasks, resulting in a score of 0 for each task. The student's submission does not demonstrate any understanding of the required concepts or ability to apply them to the problem at hand.
Breakdown:
- Task 1: Dataset Class: 0.0/?
- Task 2: Model Class: 0.0/?
- Task 3: Training and Validation Loops: 0.0/?
- Task 4: Running Training: 0.0/?
- Task 5: Visualizing Predictions: 0.0/?</t>
        </is>
      </c>
      <c r="AE272" t="n">
        <v>0</v>
      </c>
      <c r="AF272" t="n">
        <v>0</v>
      </c>
      <c r="AG272" t="inlineStr">
        <is>
          <t>The student's submission does not correctly implement the `ColorizationDataset` class. The `__init__` method does not store the dataset correctly, the `rgb_to_grayscale` method does not correctly calculate the grayscale value, and the `__getitem__` method does not correctly return the grayscale and color images. As a result, the submission does not meet the requirements of the task and does not award any points.
Breakdown:
- Correctly implemented `ColorizationDataset` class:: 0.0/?</t>
        </is>
      </c>
      <c r="AH272" t="n">
        <v>16</v>
      </c>
      <c r="AI272" t="n">
        <v>0</v>
      </c>
    </row>
    <row r="273">
      <c r="A273" t="n">
        <v>272</v>
      </c>
      <c r="B273" t="inlineStr">
        <is>
          <t>TA_5</t>
        </is>
      </c>
      <c r="C273" t="inlineStr">
        <is>
          <t>TA_15</t>
        </is>
      </c>
      <c r="D273" t="n">
        <v>4</v>
      </c>
      <c r="E273" t="n">
        <v>0</v>
      </c>
      <c r="F273" t="n">
        <v>4</v>
      </c>
      <c r="G273" t="n">
        <v>0</v>
      </c>
      <c r="H273" t="n">
        <v>5.5</v>
      </c>
      <c r="I273" t="n">
        <v>0</v>
      </c>
      <c r="J273" t="n">
        <v>3.25</v>
      </c>
      <c r="K273" t="n">
        <v>0</v>
      </c>
      <c r="L273" t="n">
        <v>5.5</v>
      </c>
      <c r="M273" t="n">
        <v>0</v>
      </c>
      <c r="N273" t="n">
        <v>6</v>
      </c>
      <c r="O273" t="n">
        <v>0</v>
      </c>
      <c r="P273">
        <f>Table1[[#This Row],[TA 1 - Q1 Score]]+Table1[[#This Row],[TA 1 - Q2 Score]]+Table1[[#This Row],[TA 1 - Q3 Score]]</f>
        <v/>
      </c>
      <c r="Q273">
        <f>Table1[[#This Row],[TA 1 - Q1 Bonus]]+Table1[[#This Row],[TA 1 - Q2 Bonus]]+Table1[[#This Row],[TA 1 - Q4 Bonus]]</f>
        <v/>
      </c>
      <c r="R273">
        <f>Table1[[#This Row],[TA 2 - Q1 Score]]+Table1[[#This Row],[TA 2 - Q2 Score]]+Table1[[#This Row],[TA 2 - Q3 Score]]</f>
        <v/>
      </c>
      <c r="S273">
        <f>Table1[[#This Row],[TA 2 - Q1 Bonus]]+Table1[[#This Row],[TA 2 - Q2 Bonus]]+Table1[[#This Row],[TA 2 - Q4 Bonus]]</f>
        <v/>
      </c>
      <c r="T273">
        <f>(Table1[[#This Row],[TA 1 - Total Score (out of 35)]]+Table1[[#This Row],[TA 2 - Total Score (out of 35)]])/2</f>
        <v/>
      </c>
      <c r="U273">
        <f>(Table1[[#This Row],[TA 1 - Total Bonus (out of 13)]]+Table1[[#This Row],[TA 2 - Total Bonus (out of 13)]])/2</f>
        <v/>
      </c>
      <c r="V273">
        <f>Table1[[#This Row],[Average Questions]]/35*20+Table1[[#This Row],[Average Bonus]]/13*5</f>
        <v/>
      </c>
      <c r="W273" t="n">
        <v>6</v>
      </c>
      <c r="X273" t="n">
        <v>0</v>
      </c>
      <c r="Y273"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data loaders and a functioning validation loop. As a result, the student's submission did not meet the requirements for the bonus task on test time augmentation.
Breakdown:
- Part 1: Load and Prepare Data: 0.0/?
- Part 2: Load Pretrained Model and Adapt: 0.0/?
- Part 3: Training and Validation Functions: 0.0/?
- Part 4: Training: 2.0/?
- Part 5: Bonus — Test Time Augmentation: 0.0/?</t>
        </is>
      </c>
      <c r="Z273" t="n">
        <v>4</v>
      </c>
      <c r="AA273" t="n">
        <v>0</v>
      </c>
      <c r="AB27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273" t="n">
        <v>6</v>
      </c>
      <c r="AD273" t="inlineStr">
        <is>
          <t>The student's submission failed to meet the requirements of several tasks, resulting in a low score. The dataset class was not defined, the model class was incorrect, the training and validation loops were missing key components, the training process was not implemented, and the visualization of predictions was not completed. These errors led to a score of 6.0 out of 12.0 for the base tasks and 0.0 for the bonus tasks.
Breakdown:
- Task 1: Dataset Class: 0.0/?
- Task 2: Model Class: 0.0/?
- Task 3: Training and Validation Loops: 0.0/?
- Task 4: Running Training: 0.0/?
- Task 5: Visualizing Predictions: 0.0/?</t>
        </is>
      </c>
      <c r="AE273" t="n">
        <v>0</v>
      </c>
      <c r="AF273" t="n">
        <v>0</v>
      </c>
      <c r="AG273" t="inlineStr">
        <is>
          <t>The student's submission for Question 4 is incomplete and contains syntax errors. The `ColorizationDataset` class is not implemented correctly, and the `rgb_to_grayscale` method is missing. As a result, the student does not receive any points for this question.
Breakdown:
- Correctly implemented `ColorizationDataset` class:: 0.0/?
- Any mistake in implementation: 0.0/?</t>
        </is>
      </c>
      <c r="AH273" t="n">
        <v>16</v>
      </c>
      <c r="AI273" t="n">
        <v>0</v>
      </c>
    </row>
    <row r="274">
      <c r="A274" t="n">
        <v>273</v>
      </c>
      <c r="B274" t="inlineStr">
        <is>
          <t>TA_5</t>
        </is>
      </c>
      <c r="C274" t="inlineStr">
        <is>
          <t>TA_15</t>
        </is>
      </c>
      <c r="D274" t="n">
        <v>9</v>
      </c>
      <c r="E274" t="n">
        <v>0</v>
      </c>
      <c r="F274" t="n">
        <v>6.5</v>
      </c>
      <c r="G274" t="n">
        <v>0</v>
      </c>
      <c r="H274" t="n">
        <v>3.5</v>
      </c>
      <c r="I274" t="n">
        <v>0</v>
      </c>
      <c r="J274" t="n">
        <v>6.5</v>
      </c>
      <c r="K274" t="n">
        <v>0</v>
      </c>
      <c r="L274" t="n">
        <v>6.5</v>
      </c>
      <c r="M274" t="n">
        <v>0</v>
      </c>
      <c r="N274" t="n">
        <v>3.75</v>
      </c>
      <c r="O274" t="n">
        <v>0</v>
      </c>
      <c r="P274">
        <f>Table1[[#This Row],[TA 1 - Q1 Score]]+Table1[[#This Row],[TA 1 - Q2 Score]]+Table1[[#This Row],[TA 1 - Q3 Score]]</f>
        <v/>
      </c>
      <c r="Q274">
        <f>Table1[[#This Row],[TA 1 - Q1 Bonus]]+Table1[[#This Row],[TA 1 - Q2 Bonus]]+Table1[[#This Row],[TA 1 - Q4 Bonus]]</f>
        <v/>
      </c>
      <c r="R274">
        <f>Table1[[#This Row],[TA 2 - Q1 Score]]+Table1[[#This Row],[TA 2 - Q2 Score]]+Table1[[#This Row],[TA 2 - Q3 Score]]</f>
        <v/>
      </c>
      <c r="S274">
        <f>Table1[[#This Row],[TA 2 - Q1 Bonus]]+Table1[[#This Row],[TA 2 - Q2 Bonus]]+Table1[[#This Row],[TA 2 - Q4 Bonus]]</f>
        <v/>
      </c>
      <c r="T274">
        <f>(Table1[[#This Row],[TA 1 - Total Score (out of 35)]]+Table1[[#This Row],[TA 2 - Total Score (out of 35)]])/2</f>
        <v/>
      </c>
      <c r="U274">
        <f>(Table1[[#This Row],[TA 1 - Total Bonus (out of 13)]]+Table1[[#This Row],[TA 2 - Total Bonus (out of 13)]])/2</f>
        <v/>
      </c>
      <c r="V274">
        <f>Table1[[#This Row],[Average Questions]]/35*20+Table1[[#This Row],[Average Bonus]]/13*5</f>
        <v/>
      </c>
      <c r="W274" t="n">
        <v>6</v>
      </c>
      <c r="X274" t="n">
        <v>0</v>
      </c>
      <c r="Y274" t="inlineStr">
        <is>
          <t>The student failed to complete the transforms in Part 1, and the model loading and adaptation in Part 2. The training and validation functions in Part 3 were partially correct, but the training in Part 4 was not attempted. The bonus task was not attempted either. The student's code had several syntax and logic mistakes, and failed to run end-to-end.
Breakdown:
- Part 1: Load and Prepare Data: 0.0/?
- Part 2: Load Pretrained Model and Adapt: 0.0/?
- Part 3: Training and Validation Functions: 1.5/?
- Part 4: Training: 0.0/?
- Part 5: Bonus — Test Time Augmentation: 0.0/?</t>
        </is>
      </c>
      <c r="Z274" t="n">
        <v>4</v>
      </c>
      <c r="AA274" t="n">
        <v>0</v>
      </c>
      <c r="AB274" t="inlineStr">
        <is>
          <t>The student's submission failed to address any of the tasks outlined in the rubric. The code provided does not attempt to load and prepare the data, build the CNN model, define the training and validation functions, train the model, or implement the bonus task of residual connection. As a result, the student earned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274" t="n">
        <v>6</v>
      </c>
      <c r="AD274" t="inlineStr">
        <is>
          <t>The student's submission had several issues. The dataset class was not defined correctly, the model class was not defined correctly, the training and validation loops were not defined correctly, and the training process was not defined correctly. However, the predictions were visualized correctly against the ground truth for several images.
Breakdown:
- Task 1: Dataset Class: 0.0/?
- Task 2: Model Class: 0.0/?
- Task 3: Training and Validation Loops: 0.0/?
- Task 4: Running Training: 0.0/?
- Task 5: Visualizing Predictions: 6.0/?</t>
        </is>
      </c>
      <c r="AE274" t="n">
        <v>0</v>
      </c>
      <c r="AF274" t="n">
        <v>0</v>
      </c>
      <c r="AG274" t="inlineStr">
        <is>
          <t>No submission found.</t>
        </is>
      </c>
      <c r="AH274" t="n">
        <v>16</v>
      </c>
      <c r="AI274" t="n">
        <v>0</v>
      </c>
    </row>
    <row r="275">
      <c r="A275" t="n">
        <v>274</v>
      </c>
      <c r="B275" t="inlineStr">
        <is>
          <t>TA_5</t>
        </is>
      </c>
      <c r="C275" t="inlineStr">
        <is>
          <t>TA_15</t>
        </is>
      </c>
      <c r="D275" t="n">
        <v>10</v>
      </c>
      <c r="E275" t="n">
        <v>0</v>
      </c>
      <c r="F275" t="n">
        <v>8</v>
      </c>
      <c r="G275" t="n">
        <v>0</v>
      </c>
      <c r="H275" t="n">
        <v>7.5</v>
      </c>
      <c r="I275" t="n">
        <v>0</v>
      </c>
      <c r="J275" t="n">
        <v>7.5</v>
      </c>
      <c r="K275" t="n">
        <v>0</v>
      </c>
      <c r="L275" t="n">
        <v>10.5</v>
      </c>
      <c r="M275" t="n">
        <v>0</v>
      </c>
      <c r="N275" t="n">
        <v>5.25</v>
      </c>
      <c r="O275" t="n">
        <v>0</v>
      </c>
      <c r="P275">
        <f>Table1[[#This Row],[TA 1 - Q1 Score]]+Table1[[#This Row],[TA 1 - Q2 Score]]+Table1[[#This Row],[TA 1 - Q3 Score]]</f>
        <v/>
      </c>
      <c r="Q275">
        <f>Table1[[#This Row],[TA 1 - Q1 Bonus]]+Table1[[#This Row],[TA 1 - Q2 Bonus]]+Table1[[#This Row],[TA 1 - Q4 Bonus]]</f>
        <v/>
      </c>
      <c r="R275">
        <f>Table1[[#This Row],[TA 2 - Q1 Score]]+Table1[[#This Row],[TA 2 - Q2 Score]]+Table1[[#This Row],[TA 2 - Q3 Score]]</f>
        <v/>
      </c>
      <c r="S275">
        <f>Table1[[#This Row],[TA 2 - Q1 Bonus]]+Table1[[#This Row],[TA 2 - Q2 Bonus]]+Table1[[#This Row],[TA 2 - Q4 Bonus]]</f>
        <v/>
      </c>
      <c r="T275">
        <f>(Table1[[#This Row],[TA 1 - Total Score (out of 35)]]+Table1[[#This Row],[TA 2 - Total Score (out of 35)]])/2</f>
        <v/>
      </c>
      <c r="U275">
        <f>(Table1[[#This Row],[TA 1 - Total Bonus (out of 13)]]+Table1[[#This Row],[TA 2 - Total Bonus (out of 13)]])/2</f>
        <v/>
      </c>
      <c r="V275">
        <f>Table1[[#This Row],[Average Questions]]/35*20+Table1[[#This Row],[Average Bonus]]/13*5</f>
        <v/>
      </c>
      <c r="W275" t="n">
        <v>9</v>
      </c>
      <c r="X275" t="n">
        <v>0</v>
      </c>
      <c r="Y275" t="inlineStr">
        <is>
          <t>The student's submission failed to complete several key tasks, including loading and preparing the data, loading the pretrained model and adapting it, and implementing test time augmentation. While the student made an attempt at the training and validation functions and training the model, their code contained several syntax and logic mistakes. As a result, the student was unable to achieve the full potential of the model and their submission did not meet the requirements of the task.
Breakdown:
- Part 1: Load and Prepare Data: 0.0/?
- Part 2: Load Pretrained Model and Adapt: 0.0/?
- Part 3: Training and Validation Functions: 3.5/?
- Part 4: Training: 2.5/?
- Part 5: Bonus — Test Time Augmentation: 0.0/?</t>
        </is>
      </c>
      <c r="Z275" t="n">
        <v>6</v>
      </c>
      <c r="AA275" t="n">
        <v>0</v>
      </c>
      <c r="AB275" t="inlineStr">
        <is>
          <t>The student's submission failed to meet the requirements of several tasks. Part 1: Load and Prepare Data was not attempted, resulting in a score of 0. Part 2: Build the CNN Model was partially completed, with the CNN model class defined but lacking batch normalization, earning 2 points. The remaining tasks were not addressed, with no code written for Part 3: Training and Validation Functions, Part 4: Training, and Part 5: Bonus — Residual Connection. As a result, the student's total score is 6 points, with no bonus awarded.
Breakdown:
- Part 1: Load and Prepare Data: 0.0/?
- Part 2: Build the CNN Model: 2.0/?
- Part 3: Training and Validation Functions: 0.0/?
- Part 4: Training: 0.0/?
- Part 5: Bonus — Residual Connection: 0.0/?</t>
        </is>
      </c>
      <c r="AC275" t="n">
        <v>6</v>
      </c>
      <c r="AD275" t="inlineStr">
        <is>
          <t>The student's submission failed to meet the requirements of the task. The code was not organized in a way that allowed it to run end-to-end, and several key components were missing or incorrect. The student attempted to define a custom dataset class, but it was not implemented correctly. The model class was not defined correctly, and the training and validation loops were not implemented correctly. The training process was not defined correctly, and the optimizer was incorrect. The visualization of predictions was not implemented correctly, and the function to denormalize images was not used correctly. Overall, the submission demonstrated a lack of understanding of the task requirements and a failure to implement key components correctly.
Breakdown:
- Task 1: Dataset Class: 0.0/?
- Task 2: Model Class: 0.0/?
- Task 3: Training and Validation Loops: 0.0/?
- Task 4: Running Training: 0.0/?
- Task 5: Visualizing Predictions: 0.0/?</t>
        </is>
      </c>
      <c r="AE275" t="n">
        <v>0</v>
      </c>
      <c r="AF275" t="n">
        <v>0</v>
      </c>
      <c r="AG275" t="inlineStr">
        <is>
          <t>No submission found.</t>
        </is>
      </c>
      <c r="AH275" t="n">
        <v>21</v>
      </c>
      <c r="AI275" t="n">
        <v>0</v>
      </c>
    </row>
    <row r="276">
      <c r="A276" t="n">
        <v>275</v>
      </c>
      <c r="B276" t="inlineStr">
        <is>
          <t>TA_5</t>
        </is>
      </c>
      <c r="C276" t="inlineStr">
        <is>
          <t>TA_15</t>
        </is>
      </c>
      <c r="D276" t="n">
        <v>11</v>
      </c>
      <c r="E276" t="n">
        <v>0</v>
      </c>
      <c r="F276" t="n">
        <v>9</v>
      </c>
      <c r="G276" t="n">
        <v>0</v>
      </c>
      <c r="H276" t="n">
        <v>10</v>
      </c>
      <c r="I276" t="n">
        <v>0</v>
      </c>
      <c r="J276" t="n">
        <v>10.5</v>
      </c>
      <c r="K276" t="n">
        <v>0</v>
      </c>
      <c r="L276" t="n">
        <v>9</v>
      </c>
      <c r="M276" t="n">
        <v>0</v>
      </c>
      <c r="N276" t="n">
        <v>10.5</v>
      </c>
      <c r="O276" t="n">
        <v>0</v>
      </c>
      <c r="P276">
        <f>Table1[[#This Row],[TA 1 - Q1 Score]]+Table1[[#This Row],[TA 1 - Q2 Score]]+Table1[[#This Row],[TA 1 - Q3 Score]]</f>
        <v/>
      </c>
      <c r="Q276">
        <f>Table1[[#This Row],[TA 1 - Q1 Bonus]]+Table1[[#This Row],[TA 1 - Q2 Bonus]]+Table1[[#This Row],[TA 1 - Q4 Bonus]]</f>
        <v/>
      </c>
      <c r="R276">
        <f>Table1[[#This Row],[TA 2 - Q1 Score]]+Table1[[#This Row],[TA 2 - Q2 Score]]+Table1[[#This Row],[TA 2 - Q3 Score]]</f>
        <v/>
      </c>
      <c r="S276">
        <f>Table1[[#This Row],[TA 2 - Q1 Bonus]]+Table1[[#This Row],[TA 2 - Q2 Bonus]]+Table1[[#This Row],[TA 2 - Q4 Bonus]]</f>
        <v/>
      </c>
      <c r="T276">
        <f>(Table1[[#This Row],[TA 1 - Total Score (out of 35)]]+Table1[[#This Row],[TA 2 - Total Score (out of 35)]])/2</f>
        <v/>
      </c>
      <c r="U276">
        <f>(Table1[[#This Row],[TA 1 - Total Bonus (out of 13)]]+Table1[[#This Row],[TA 2 - Total Bonus (out of 13)]])/2</f>
        <v/>
      </c>
      <c r="V276">
        <f>Table1[[#This Row],[Average Questions]]/35*20+Table1[[#This Row],[Average Bonus]]/13*5</f>
        <v/>
      </c>
      <c r="W276" t="n">
        <v>6</v>
      </c>
      <c r="X276" t="n">
        <v>0</v>
      </c>
      <c r="Y276"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incorrect, and they failed to implement test time augmentation correctly.
Breakdown:
- Part 1: Load and Prepare Data: 0.0/?
- Part 2: Load Pretrained Model and Adapt: 0.0/?
- Part 3: Training and Validation Functions: 0.0/?
- Part 4: Training: 2.0/?
- Part 5: Bonus — Test Time Augmentation: 0.0/?</t>
        </is>
      </c>
      <c r="Z276" t="n">
        <v>4</v>
      </c>
      <c r="AA276" t="n">
        <v>0</v>
      </c>
      <c r="AB276" t="inlineStr">
        <is>
          <t>The student's submission failed to meet the requirements of the task. The code was not organized, and the tasks were not completed. The CNN model class with 5 convolutional layers was not implemented, and the training loop function and validation loop function were not defined. The model was not trained, and the losses and accuracy were not plotted. The residual connection was not implemented, and the model was not retrained with the residual connection.
Breakdown:
- Part 1: Load and Prepare Data: 0.0/?
- Part 2: Build the CNN Model: 0.0/?
- Part 3: Training and Validation Functions: 0.0/?
- Part 4: Training: 0.0/?
- Part 5: Bonus — Residual Connection: 0.0/?</t>
        </is>
      </c>
      <c r="AC276" t="n">
        <v>6</v>
      </c>
      <c r="AD276"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76" t="n">
        <v>0</v>
      </c>
      <c r="AF276" t="n">
        <v>0</v>
      </c>
      <c r="AG276" t="inlineStr">
        <is>
          <t>No submission found.</t>
        </is>
      </c>
      <c r="AH276" t="n">
        <v>16</v>
      </c>
      <c r="AI276" t="n">
        <v>0</v>
      </c>
    </row>
    <row r="277">
      <c r="A277" t="n">
        <v>276</v>
      </c>
      <c r="B277" t="inlineStr">
        <is>
          <t>TA_5</t>
        </is>
      </c>
      <c r="C277" t="inlineStr">
        <is>
          <t>TA_15</t>
        </is>
      </c>
      <c r="D277" t="n">
        <v>11</v>
      </c>
      <c r="E277" t="n">
        <v>0</v>
      </c>
      <c r="F277" t="n">
        <v>9</v>
      </c>
      <c r="G277" t="n">
        <v>0</v>
      </c>
      <c r="H277" t="n">
        <v>12</v>
      </c>
      <c r="I277" t="n">
        <v>0</v>
      </c>
      <c r="J277" t="n">
        <v>7.25</v>
      </c>
      <c r="K277" t="n">
        <v>0</v>
      </c>
      <c r="L277" t="n">
        <v>8.5</v>
      </c>
      <c r="M277" t="n">
        <v>0</v>
      </c>
      <c r="N277" t="n">
        <v>10.5</v>
      </c>
      <c r="O277" t="n">
        <v>0</v>
      </c>
      <c r="P277">
        <f>Table1[[#This Row],[TA 1 - Q1 Score]]+Table1[[#This Row],[TA 1 - Q2 Score]]+Table1[[#This Row],[TA 1 - Q3 Score]]</f>
        <v/>
      </c>
      <c r="Q277">
        <f>Table1[[#This Row],[TA 1 - Q1 Bonus]]+Table1[[#This Row],[TA 1 - Q2 Bonus]]+Table1[[#This Row],[TA 1 - Q4 Bonus]]</f>
        <v/>
      </c>
      <c r="R277">
        <f>Table1[[#This Row],[TA 2 - Q1 Score]]+Table1[[#This Row],[TA 2 - Q2 Score]]+Table1[[#This Row],[TA 2 - Q3 Score]]</f>
        <v/>
      </c>
      <c r="S277">
        <f>Table1[[#This Row],[TA 2 - Q1 Bonus]]+Table1[[#This Row],[TA 2 - Q2 Bonus]]+Table1[[#This Row],[TA 2 - Q4 Bonus]]</f>
        <v/>
      </c>
      <c r="T277">
        <f>(Table1[[#This Row],[TA 1 - Total Score (out of 35)]]+Table1[[#This Row],[TA 2 - Total Score (out of 35)]])/2</f>
        <v/>
      </c>
      <c r="U277">
        <f>(Table1[[#This Row],[TA 1 - Total Bonus (out of 13)]]+Table1[[#This Row],[TA 2 - Total Bonus (out of 13)]])/2</f>
        <v/>
      </c>
      <c r="V277">
        <f>Table1[[#This Row],[Average Questions]]/35*20+Table1[[#This Row],[Average Bonus]]/13*5</f>
        <v/>
      </c>
      <c r="W277" t="n">
        <v>6</v>
      </c>
      <c r="X277" t="n">
        <v>0</v>
      </c>
      <c r="Y277"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2.0/?
- Part 5: Bonus — Test Time Augmentation: 0.0/?</t>
        </is>
      </c>
      <c r="Z277" t="n">
        <v>4</v>
      </c>
      <c r="AA277" t="n">
        <v>0</v>
      </c>
      <c r="AB277" t="inlineStr">
        <is>
          <t>The student's submission failed to meet the requirements of the task. The code is disorganized and does not follow the structure of the reference solution. The student attempted to load and prepare the data, but the code is incomplete and does not display sample images with their labels. The CNN model is not built correctly, and the training and validation functions are not implemented. The training process is also not completed. The bonus task of adding a residual connection is not attempted. Overall, the submission lacks a clear understanding of the task requirements and does not demonstrate a working solution.
Breakdown:
- Part 1: Load and Prepare Data: 0.0/?
- Part 2: Build the CNN Model: 0.0/?
- Part 3: Training and Validation Functions: 0.0/?
- Part 4: Training: 0.0/?
- Part 5: Bonus — Residual Connection: 0.0/?</t>
        </is>
      </c>
      <c r="AC277" t="n">
        <v>6</v>
      </c>
      <c r="AD277" t="inlineStr">
        <is>
          <t>The student's submission was incomplete and lacked code for several tasks. While the code for visualizing predictions was mostly correct, it did not display the ground truth masks correctly. As a result, the student was awarded 0 points for the first four tasks and 6 points for the fifth task.
Breakdown:
- Task 1: Dataset Class: 0.0/?
- Task 2: Model Class: 0.0/?
- Task 3: Training and Validation Loops: 0.0/?
- Task 4: Running Training: 0.0/?
- Task 5: Visualizing Predictions: 6.0/?</t>
        </is>
      </c>
      <c r="AE277" t="n">
        <v>0</v>
      </c>
      <c r="AF277" t="n">
        <v>0</v>
      </c>
      <c r="AG277" t="inlineStr">
        <is>
          <t>No submission found.</t>
        </is>
      </c>
      <c r="AH277" t="n">
        <v>16</v>
      </c>
      <c r="AI277" t="n">
        <v>0</v>
      </c>
    </row>
    <row r="278">
      <c r="A278" t="n">
        <v>277</v>
      </c>
      <c r="B278" t="inlineStr">
        <is>
          <t>TA_5</t>
        </is>
      </c>
      <c r="C278" t="inlineStr">
        <is>
          <t>TA_15</t>
        </is>
      </c>
      <c r="D278" t="n">
        <v>10</v>
      </c>
      <c r="E278" t="n">
        <v>4</v>
      </c>
      <c r="F278" t="n">
        <v>10.5</v>
      </c>
      <c r="G278" t="n">
        <v>1</v>
      </c>
      <c r="H278" t="n">
        <v>6</v>
      </c>
      <c r="I278" t="n">
        <v>0</v>
      </c>
      <c r="J278" t="n">
        <v>7.5</v>
      </c>
      <c r="K278" t="n">
        <v>4</v>
      </c>
      <c r="L278" t="n">
        <v>10</v>
      </c>
      <c r="M278" t="n">
        <v>1</v>
      </c>
      <c r="N278" t="n">
        <v>5.5</v>
      </c>
      <c r="O278" t="n">
        <v>0</v>
      </c>
      <c r="P278">
        <f>Table1[[#This Row],[TA 1 - Q1 Score]]+Table1[[#This Row],[TA 1 - Q2 Score]]+Table1[[#This Row],[TA 1 - Q3 Score]]</f>
        <v/>
      </c>
      <c r="Q278">
        <f>Table1[[#This Row],[TA 1 - Q1 Bonus]]+Table1[[#This Row],[TA 1 - Q2 Bonus]]+Table1[[#This Row],[TA 1 - Q4 Bonus]]</f>
        <v/>
      </c>
      <c r="R278">
        <f>Table1[[#This Row],[TA 2 - Q1 Score]]+Table1[[#This Row],[TA 2 - Q2 Score]]+Table1[[#This Row],[TA 2 - Q3 Score]]</f>
        <v/>
      </c>
      <c r="S278">
        <f>Table1[[#This Row],[TA 2 - Q1 Bonus]]+Table1[[#This Row],[TA 2 - Q2 Bonus]]+Table1[[#This Row],[TA 2 - Q4 Bonus]]</f>
        <v/>
      </c>
      <c r="T278">
        <f>(Table1[[#This Row],[TA 1 - Total Score (out of 35)]]+Table1[[#This Row],[TA 2 - Total Score (out of 35)]])/2</f>
        <v/>
      </c>
      <c r="U278">
        <f>(Table1[[#This Row],[TA 1 - Total Bonus (out of 13)]]+Table1[[#This Row],[TA 2 - Total Bonus (out of 13)]])/2</f>
        <v/>
      </c>
      <c r="V278">
        <f>Table1[[#This Row],[Average Questions]]/35*20+Table1[[#This Row],[Average Bonus]]/13*5</f>
        <v/>
      </c>
      <c r="W278" t="n">
        <v>6</v>
      </c>
      <c r="X278" t="n">
        <v>0</v>
      </c>
      <c r="Y278" t="inlineStr">
        <is>
          <t>The student's submission failed to complete several key tasks, including loading and preparing the data, loading the pretrained model and adapting it, and implementing the training and validation functions. While the student did attempt to train the model and implement test time augmentation, their code contained significant errors and did not run end-to-end. As a result, the student was unable to demonstrate a complete understanding of the task and was awarded partial credit only for the training task.
Breakdown:
- Part 1: Load and Prepare Data: 0.0/?
- Part 2: Load Pretrained Model and Adapt: 0.0/?
- Part 3: Training and Validation Functions: 0.0/?
- Part 4: Training: 3.0/?
- Part 5: Bonus — Test Time Augmentation: 0.0/?</t>
        </is>
      </c>
      <c r="Z278" t="n">
        <v>4</v>
      </c>
      <c r="AA278" t="n">
        <v>0</v>
      </c>
      <c r="AB278" t="inlineStr">
        <is>
          <t>The student's submission failed to meet the requirements of the task. The code is disorganized and does not follow the structure of the reference solution. The student attempted to load and prepare the data, but the code is incomplete and does not display sample images with labels. The CNN model is not built correctly, and the training and validation functions are not implemented. The training process is also not completed. The bonus task of adding a residual connection is not attempted. Overall, the submission lacks a clear understanding of the task requirements and does not demonstrate a working solution.
Breakdown:
- Part 1: Load and Prepare Data: 0.0/?
- Part 2: Build the CNN Model: 0.0/?
- Part 3: Training and Validation Functions: 0.0/?
- Part 4: Training: 0.0/?
- Part 5: Bonus — Residual Connection: 0.0/?</t>
        </is>
      </c>
      <c r="AC278" t="n">
        <v>6</v>
      </c>
      <c r="AD278" t="inlineStr">
        <is>
          <t>The student's submission failed to meet the requirements of the task. The code was not organized, and several tasks were not implemented correctly. The dataset class was not defined, the model class was not created, the training and validation loops were not implemented, the training process was not executed,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278" t="n">
        <v>0</v>
      </c>
      <c r="AF278" t="n">
        <v>0</v>
      </c>
      <c r="AG278" t="inlineStr">
        <is>
          <t>No submission found.</t>
        </is>
      </c>
      <c r="AH278" t="n">
        <v>16</v>
      </c>
      <c r="AI278" t="n">
        <v>0</v>
      </c>
    </row>
    <row r="279">
      <c r="A279" t="n">
        <v>278</v>
      </c>
      <c r="B279" t="inlineStr">
        <is>
          <t>TA_5</t>
        </is>
      </c>
      <c r="C279" t="inlineStr">
        <is>
          <t>TA_15</t>
        </is>
      </c>
      <c r="D279" t="n">
        <v>10.5</v>
      </c>
      <c r="E279" t="n">
        <v>4</v>
      </c>
      <c r="F279" t="n">
        <v>9.5</v>
      </c>
      <c r="G279" t="n">
        <v>4</v>
      </c>
      <c r="H279" t="n">
        <v>12</v>
      </c>
      <c r="I279" t="n">
        <v>5</v>
      </c>
      <c r="J279" t="n">
        <v>10.5</v>
      </c>
      <c r="K279" t="n">
        <v>3</v>
      </c>
      <c r="L279" t="n">
        <v>9.5</v>
      </c>
      <c r="M279" t="n">
        <v>4</v>
      </c>
      <c r="N279" t="n">
        <v>12</v>
      </c>
      <c r="O279" t="n">
        <v>5</v>
      </c>
      <c r="P279">
        <f>Table1[[#This Row],[TA 1 - Q1 Score]]+Table1[[#This Row],[TA 1 - Q2 Score]]+Table1[[#This Row],[TA 1 - Q3 Score]]</f>
        <v/>
      </c>
      <c r="Q279">
        <f>Table1[[#This Row],[TA 1 - Q1 Bonus]]+Table1[[#This Row],[TA 1 - Q2 Bonus]]+Table1[[#This Row],[TA 1 - Q4 Bonus]]</f>
        <v/>
      </c>
      <c r="R279">
        <f>Table1[[#This Row],[TA 2 - Q1 Score]]+Table1[[#This Row],[TA 2 - Q2 Score]]+Table1[[#This Row],[TA 2 - Q3 Score]]</f>
        <v/>
      </c>
      <c r="S279">
        <f>Table1[[#This Row],[TA 2 - Q1 Bonus]]+Table1[[#This Row],[TA 2 - Q2 Bonus]]+Table1[[#This Row],[TA 2 - Q4 Bonus]]</f>
        <v/>
      </c>
      <c r="T279">
        <f>(Table1[[#This Row],[TA 1 - Total Score (out of 35)]]+Table1[[#This Row],[TA 2 - Total Score (out of 35)]])/2</f>
        <v/>
      </c>
      <c r="U279">
        <f>(Table1[[#This Row],[TA 1 - Total Bonus (out of 13)]]+Table1[[#This Row],[TA 2 - Total Bonus (out of 13)]])/2</f>
        <v/>
      </c>
      <c r="V279">
        <f>Table1[[#This Row],[Average Questions]]/35*20+Table1[[#This Row],[Average Bonus]]/13*5</f>
        <v/>
      </c>
      <c r="W279" t="n">
        <v>6</v>
      </c>
      <c r="X279" t="n">
        <v>0</v>
      </c>
      <c r="Y279" t="inlineStr">
        <is>
          <t>The student's submission failed to complete several key tasks, including loading and preparing the data, loading a pretrained model, and adapting it for the task. The training and validation functions were also not implemented correctly. While the student did attempt to train the model and implement test time augmentation, their code contained several syntax and logic mistakes. As a result, the student was unable to complete the task and was awarded a score of 6.0.
Breakdown:
- Part 1: Load and Prepare Data: 0.0/?
- Part 2: Load Pretrained Model and Adapt: 0.0/?
- Part 3: Training and Validation Functions: 0.0/?
- Part 4: Training: 2.5/?
- Part 5: Bonus — Test Time Augmentation: 0.0/?</t>
        </is>
      </c>
      <c r="Z279" t="n">
        <v>4</v>
      </c>
      <c r="AA279" t="n">
        <v>0</v>
      </c>
      <c r="AB27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Breakdown:
- Part 1: Load and Prepare Data: 0.0/?
- Part 2: Build the CNN Model: 0.0/?
- Part 3: Training and Validation Functions: 0.0/?
- Part 4: Training: 0.0/?
- Part 5: Bonus — Residual Connection: 0.0/?</t>
        </is>
      </c>
      <c r="AC279" t="n">
        <v>6</v>
      </c>
      <c r="AD279" t="inlineStr">
        <is>
          <t>The student's submission was incomplete, with no code submitted for Tasks 1-4. However, the code for Task 5: Visualizing Predictions was correct and ran, earning 6 points. The student's failure to attempt the other tasks resulted in a score of 6.0 out of 12.0 for the base tasks and 0.0 out of 0.0 for the bonus tasks.
Breakdown:
- Task 1: Dataset Class: 0.0/?
- Task 2: Model Class: 0.0/?
- Task 3: Training and Validation Loops: 0.0/?
- Task 4: Running Training: 0.0/?
- Task 5: Visualizing Predictions: 6.0/?</t>
        </is>
      </c>
      <c r="AE279" t="n">
        <v>0</v>
      </c>
      <c r="AF279" t="n">
        <v>0</v>
      </c>
      <c r="AG279" t="inlineStr">
        <is>
          <t>The student's submission for Question 4 does not meet the requirements. The `ColorizationDataset` class is not implemented correctly, and the code does not run end-to-end. The student attempted to implement the `rgb_to_grayscale` method but missed the channel dimension, and the `__getitem__` method is not returning the correct grayscale and color images. As a result, the student did not earn any points for this question.
Breakdown:
- Correctly implemented `ColorizationDataset` class:: 0.0/?
- Any mistake in implementation: 0.0/?</t>
        </is>
      </c>
      <c r="AH279" t="n">
        <v>16</v>
      </c>
      <c r="AI279" t="n">
        <v>0</v>
      </c>
    </row>
    <row r="280">
      <c r="A280" t="n">
        <v>279</v>
      </c>
      <c r="B280" t="inlineStr">
        <is>
          <t>TA_5</t>
        </is>
      </c>
      <c r="C280" t="inlineStr">
        <is>
          <t>TA_15</t>
        </is>
      </c>
      <c r="D280" t="n">
        <v>9</v>
      </c>
      <c r="E280" t="n">
        <v>0</v>
      </c>
      <c r="F280" t="n">
        <v>7.5</v>
      </c>
      <c r="G280" t="n">
        <v>0</v>
      </c>
      <c r="H280" t="n">
        <v>11</v>
      </c>
      <c r="I280" t="n">
        <v>0</v>
      </c>
      <c r="J280" t="n">
        <v>6.5</v>
      </c>
      <c r="K280" t="n">
        <v>0</v>
      </c>
      <c r="L280" t="n">
        <v>8</v>
      </c>
      <c r="M280" t="n">
        <v>0</v>
      </c>
      <c r="N280" t="n">
        <v>11</v>
      </c>
      <c r="O280" t="n">
        <v>0</v>
      </c>
      <c r="P280">
        <f>Table1[[#This Row],[TA 1 - Q1 Score]]+Table1[[#This Row],[TA 1 - Q2 Score]]+Table1[[#This Row],[TA 1 - Q3 Score]]</f>
        <v/>
      </c>
      <c r="Q280">
        <f>Table1[[#This Row],[TA 1 - Q1 Bonus]]+Table1[[#This Row],[TA 1 - Q2 Bonus]]+Table1[[#This Row],[TA 1 - Q4 Bonus]]</f>
        <v/>
      </c>
      <c r="R280">
        <f>Table1[[#This Row],[TA 2 - Q1 Score]]+Table1[[#This Row],[TA 2 - Q2 Score]]+Table1[[#This Row],[TA 2 - Q3 Score]]</f>
        <v/>
      </c>
      <c r="S280">
        <f>Table1[[#This Row],[TA 2 - Q1 Bonus]]+Table1[[#This Row],[TA 2 - Q2 Bonus]]+Table1[[#This Row],[TA 2 - Q4 Bonus]]</f>
        <v/>
      </c>
      <c r="T280">
        <f>(Table1[[#This Row],[TA 1 - Total Score (out of 35)]]+Table1[[#This Row],[TA 2 - Total Score (out of 35)]])/2</f>
        <v/>
      </c>
      <c r="U280">
        <f>(Table1[[#This Row],[TA 1 - Total Bonus (out of 13)]]+Table1[[#This Row],[TA 2 - Total Bonus (out of 13)]])/2</f>
        <v/>
      </c>
      <c r="V280">
        <f>Table1[[#This Row],[Average Questions]]/35*20+Table1[[#This Row],[Average Bonus]]/13*5</f>
        <v/>
      </c>
      <c r="W280" t="n">
        <v>6</v>
      </c>
      <c r="X280" t="n">
        <v>0</v>
      </c>
      <c r="Y280"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resulting in a low overall score. The bonus task was not attempted.
Breakdown:
- Part 1: Load and Prepare Data: 0.0/?
- Part 2: Load Pretrained Model and Adapt: 0.0/?
- Part 3: Training and Validation Functions: 0.0/?
- Part 4: Training: 3.0/?
- Part 5: Bonus — Test Time Augmentation: 0.0/?</t>
        </is>
      </c>
      <c r="Z280" t="n">
        <v>4</v>
      </c>
      <c r="AA280" t="n">
        <v>0</v>
      </c>
      <c r="AB280"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training process is also not completed. The bonus task of adding a residual connection is not attempted. Overall, the submission lacks a clear understanding of the task requirements and does not demonstrate a working solution.
Breakdown:
- Part 1: Load and Prepare Data: 0.0/?
- Part 2: Build the CNN Model: 0.0/?
- Part 3: Training and Validation Functions: 0.0/?
- Part 4: Training: 0.0/?
- Part 5: Bonus — Residual Connection: 0.0/?</t>
        </is>
      </c>
      <c r="AC280" t="n">
        <v>6</v>
      </c>
      <c r="AD280" t="inlineStr">
        <is>
          <t>The student's submission was incomplete and lacked code for several tasks. While the code for visualizing predictions was partially correct, it did not run end-to-end due to missing imports and incorrect usage of the model. As a result, the student was awarded 0 points for the majority of the tasks and 6 points for the task of visualizing predictions.
Breakdown:
- Task 1: Dataset Class: 0.0/?
- Task 2: Model Class: 0.0/?
- Task 3: Training and Validation Loops: 0.0/?
- Task 4: Running Training: 0.0/?
- Task 5: Visualizing Predictions: 6.0/?</t>
        </is>
      </c>
      <c r="AE280" t="n">
        <v>0</v>
      </c>
      <c r="AF280" t="n">
        <v>0</v>
      </c>
      <c r="AG280" t="inlineStr">
        <is>
          <t>No submission found.</t>
        </is>
      </c>
      <c r="AH280" t="n">
        <v>16</v>
      </c>
      <c r="AI280" t="n">
        <v>0</v>
      </c>
    </row>
    <row r="281">
      <c r="A281" t="n">
        <v>280</v>
      </c>
      <c r="B281" t="inlineStr">
        <is>
          <t>TA_5</t>
        </is>
      </c>
      <c r="C281" t="inlineStr">
        <is>
          <t>TA_15</t>
        </is>
      </c>
      <c r="D281" t="n">
        <v>7</v>
      </c>
      <c r="E281" t="n">
        <v>0</v>
      </c>
      <c r="F281" t="n">
        <v>8</v>
      </c>
      <c r="G281" t="n">
        <v>0</v>
      </c>
      <c r="H281" t="n">
        <v>8.5</v>
      </c>
      <c r="I281" t="n">
        <v>0</v>
      </c>
      <c r="J281" t="n">
        <v>1.25</v>
      </c>
      <c r="K281" t="n">
        <v>0</v>
      </c>
      <c r="L281" t="n">
        <v>7.5</v>
      </c>
      <c r="M281" t="n">
        <v>0</v>
      </c>
      <c r="N281" t="n">
        <v>7.5</v>
      </c>
      <c r="O281" t="n">
        <v>0</v>
      </c>
      <c r="P281">
        <f>Table1[[#This Row],[TA 1 - Q1 Score]]+Table1[[#This Row],[TA 1 - Q2 Score]]+Table1[[#This Row],[TA 1 - Q3 Score]]</f>
        <v/>
      </c>
      <c r="Q281">
        <f>Table1[[#This Row],[TA 1 - Q1 Bonus]]+Table1[[#This Row],[TA 1 - Q2 Bonus]]+Table1[[#This Row],[TA 1 - Q4 Bonus]]</f>
        <v/>
      </c>
      <c r="R281">
        <f>Table1[[#This Row],[TA 2 - Q1 Score]]+Table1[[#This Row],[TA 2 - Q2 Score]]+Table1[[#This Row],[TA 2 - Q3 Score]]</f>
        <v/>
      </c>
      <c r="S281">
        <f>Table1[[#This Row],[TA 2 - Q1 Bonus]]+Table1[[#This Row],[TA 2 - Q2 Bonus]]+Table1[[#This Row],[TA 2 - Q4 Bonus]]</f>
        <v/>
      </c>
      <c r="T281">
        <f>(Table1[[#This Row],[TA 1 - Total Score (out of 35)]]+Table1[[#This Row],[TA 2 - Total Score (out of 35)]])/2</f>
        <v/>
      </c>
      <c r="U281">
        <f>(Table1[[#This Row],[TA 1 - Total Bonus (out of 13)]]+Table1[[#This Row],[TA 2 - Total Bonus (out of 13)]])/2</f>
        <v/>
      </c>
      <c r="V281">
        <f>Table1[[#This Row],[Average Questions]]/35*20+Table1[[#This Row],[Average Bonus]]/13*5</f>
        <v/>
      </c>
      <c r="W281" t="n">
        <v>6</v>
      </c>
      <c r="X281" t="n">
        <v>0</v>
      </c>
      <c r="Y281"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loss function and optimizer. The bonus task of implementing test time augmentation was also not completed.
Breakdown:
- Part 1: Load and Prepare Data: 0.0/?
- Part 2: Load Pretrained Model and Adapt: 0.0/?
- Part 3: Training and Validation Functions: 0.0/?
- Part 4: Training: 2.5/?
- Part 5: Bonus — Test Time Augmentation: 0.0/?</t>
        </is>
      </c>
      <c r="Z281" t="n">
        <v>4</v>
      </c>
      <c r="AA281" t="n">
        <v>0</v>
      </c>
      <c r="AB281"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81" t="n">
        <v>6</v>
      </c>
      <c r="AD281" t="inlineStr">
        <is>
          <t>The student's submission is incomplete and lacks code for several tasks. While they attempted to visualize predictions, their code is not fully functional and does not meet the requirements of the task.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281" t="n">
        <v>0</v>
      </c>
      <c r="AF281" t="n">
        <v>0</v>
      </c>
      <c r="AG281" t="inlineStr">
        <is>
          <t>No submission found.</t>
        </is>
      </c>
      <c r="AH281" t="n">
        <v>16</v>
      </c>
      <c r="AI281" t="n">
        <v>0</v>
      </c>
    </row>
    <row r="282">
      <c r="A282" t="n">
        <v>281</v>
      </c>
      <c r="B282" t="inlineStr">
        <is>
          <t>TA_5</t>
        </is>
      </c>
      <c r="C282" t="inlineStr">
        <is>
          <t>TA_15</t>
        </is>
      </c>
      <c r="D282" t="n">
        <v>12</v>
      </c>
      <c r="E282" t="n">
        <v>4</v>
      </c>
      <c r="F282" t="n">
        <v>11</v>
      </c>
      <c r="G282" t="n">
        <v>2</v>
      </c>
      <c r="H282" t="n">
        <v>12</v>
      </c>
      <c r="I282" t="n">
        <v>5</v>
      </c>
      <c r="J282" t="n">
        <v>12</v>
      </c>
      <c r="K282" t="n">
        <v>4</v>
      </c>
      <c r="L282" t="n">
        <v>10.75</v>
      </c>
      <c r="M282" t="n">
        <v>3</v>
      </c>
      <c r="N282" t="n">
        <v>12</v>
      </c>
      <c r="O282" t="n">
        <v>5</v>
      </c>
      <c r="P282">
        <f>Table1[[#This Row],[TA 1 - Q1 Score]]+Table1[[#This Row],[TA 1 - Q2 Score]]+Table1[[#This Row],[TA 1 - Q3 Score]]</f>
        <v/>
      </c>
      <c r="Q282">
        <f>Table1[[#This Row],[TA 1 - Q1 Bonus]]+Table1[[#This Row],[TA 1 - Q2 Bonus]]+Table1[[#This Row],[TA 1 - Q4 Bonus]]</f>
        <v/>
      </c>
      <c r="R282">
        <f>Table1[[#This Row],[TA 2 - Q1 Score]]+Table1[[#This Row],[TA 2 - Q2 Score]]+Table1[[#This Row],[TA 2 - Q3 Score]]</f>
        <v/>
      </c>
      <c r="S282">
        <f>Table1[[#This Row],[TA 2 - Q1 Bonus]]+Table1[[#This Row],[TA 2 - Q2 Bonus]]+Table1[[#This Row],[TA 2 - Q4 Bonus]]</f>
        <v/>
      </c>
      <c r="T282">
        <f>(Table1[[#This Row],[TA 1 - Total Score (out of 35)]]+Table1[[#This Row],[TA 2 - Total Score (out of 35)]])/2</f>
        <v/>
      </c>
      <c r="U282">
        <f>(Table1[[#This Row],[TA 1 - Total Bonus (out of 13)]]+Table1[[#This Row],[TA 2 - Total Bonus (out of 13)]])/2</f>
        <v/>
      </c>
      <c r="V282">
        <f>Table1[[#This Row],[Average Questions]]/35*20+Table1[[#This Row],[Average Bonus]]/13*5</f>
        <v/>
      </c>
      <c r="W282" t="n">
        <v>8.5</v>
      </c>
      <c r="X282" t="n">
        <v>0</v>
      </c>
      <c r="Y282" t="inlineStr">
        <is>
          <t>The student's submission demonstrates a good understanding of the task requirements but lacks execution in several key areas. The code for Part 1: Load and Prepare Data is incomplete, and the transforms are not correctly applied. Part 2: Load Pretrained Model and Adapt is also incomplete, with the backbone not being frozen. The training and validation functions in Part 3: Training and Validation Functions are partially correct but lack the label fix. Part 4: Training is partially correct but lacks the plot for training and validation accuracy. The bonus task, Part 5: Bonus — Test Time Augmentation, is not implemented at all. Overall, the student demonstrates a good understanding of the concepts but lacks execution in several key areas.
Breakdown:
- Part 1: Load and Prepare Data: 0.0/?
- Part 2: Load Pretrained Model and Adapt: 0.0/?
- Part 3: Training and Validation Functions: 1.75/?
- Part 4: Training: 2.5/?
- Part 5: Bonus — Test Time Augmentation: 0.0/?</t>
        </is>
      </c>
      <c r="Z282" t="n">
        <v>6</v>
      </c>
      <c r="AA282" t="n">
        <v>0</v>
      </c>
      <c r="AB28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demonstrate the full range of skills required for this question.
Breakdown:
- Part 1: Load and Prepare Data: 0.0/?
- Part 2: Build the CNN Model: 0.0/?
- Part 3: Training and Validation Functions: 0.0/?
- Part 4: Training: 2.0/?
- Part 5: Bonus — Residual Connection: 0.0/?</t>
        </is>
      </c>
      <c r="AC282" t="n">
        <v>6</v>
      </c>
      <c r="AD282" t="inlineStr">
        <is>
          <t>The student's submission was incomplete, with no code submitted for Tasks 1-4. However, the code for Task 5: Visualizing Predictions was correct and ran, earning 6.0 points. The student's approach was not entirely wrong, but the lack of effort in completing the other tasks resulted in a low overall score.
Breakdown:
- Task 1: Dataset Class: 0.0/?
- Task 2: Model Class: 0.0/?
- Task 3: Training and Validation Loops: 0.0/?
- Task 4: Running Training: 0.0/?
- Task 5: Visualizing Predictions: 6.0/?</t>
        </is>
      </c>
      <c r="AE282" t="n">
        <v>0</v>
      </c>
      <c r="AF282" t="n">
        <v>0</v>
      </c>
      <c r="AG282" t="inlineStr">
        <is>
          <t>The student's submission does not meet the requirements of the task. The implementation of the `ColorizationDataset` class is incomplete and contains syntax errors, which prevents the code from running correctly. As a result, the student does not receive any points for this task.
Breakdown:
- Correctly implemented `ColorizationDataset` class:: 0.0/?</t>
        </is>
      </c>
      <c r="AH282" t="n">
        <v>20.5</v>
      </c>
      <c r="AI282" t="n">
        <v>0</v>
      </c>
    </row>
    <row r="283">
      <c r="A283" t="n">
        <v>282</v>
      </c>
      <c r="B283" t="inlineStr">
        <is>
          <t>TA_5</t>
        </is>
      </c>
      <c r="C283" t="inlineStr">
        <is>
          <t>TA_15</t>
        </is>
      </c>
      <c r="D283" t="n">
        <v>9</v>
      </c>
      <c r="E283" t="n">
        <v>0</v>
      </c>
      <c r="F283" t="n">
        <v>6</v>
      </c>
      <c r="G283" t="n">
        <v>0</v>
      </c>
      <c r="H283" t="n">
        <v>4</v>
      </c>
      <c r="I283" t="n">
        <v>0</v>
      </c>
      <c r="J283" t="n">
        <v>6.5</v>
      </c>
      <c r="K283" t="n">
        <v>0</v>
      </c>
      <c r="L283" t="n">
        <v>5.5</v>
      </c>
      <c r="M283" t="n">
        <v>0</v>
      </c>
      <c r="N283" t="n">
        <v>3.5</v>
      </c>
      <c r="O283" t="n">
        <v>0</v>
      </c>
      <c r="P283">
        <f>Table1[[#This Row],[TA 1 - Q1 Score]]+Table1[[#This Row],[TA 1 - Q2 Score]]+Table1[[#This Row],[TA 1 - Q3 Score]]</f>
        <v/>
      </c>
      <c r="Q283">
        <f>Table1[[#This Row],[TA 1 - Q1 Bonus]]+Table1[[#This Row],[TA 1 - Q2 Bonus]]+Table1[[#This Row],[TA 1 - Q4 Bonus]]</f>
        <v/>
      </c>
      <c r="R283">
        <f>Table1[[#This Row],[TA 2 - Q1 Score]]+Table1[[#This Row],[TA 2 - Q2 Score]]+Table1[[#This Row],[TA 2 - Q3 Score]]</f>
        <v/>
      </c>
      <c r="S283">
        <f>Table1[[#This Row],[TA 2 - Q1 Bonus]]+Table1[[#This Row],[TA 2 - Q2 Bonus]]+Table1[[#This Row],[TA 2 - Q4 Bonus]]</f>
        <v/>
      </c>
      <c r="T283">
        <f>(Table1[[#This Row],[TA 1 - Total Score (out of 35)]]+Table1[[#This Row],[TA 2 - Total Score (out of 35)]])/2</f>
        <v/>
      </c>
      <c r="U283">
        <f>(Table1[[#This Row],[TA 1 - Total Bonus (out of 13)]]+Table1[[#This Row],[TA 2 - Total Bonus (out of 13)]])/2</f>
        <v/>
      </c>
      <c r="V283">
        <f>Table1[[#This Row],[Average Questions]]/35*20+Table1[[#This Row],[Average Bonus]]/13*5</f>
        <v/>
      </c>
      <c r="W283" t="n">
        <v>6</v>
      </c>
      <c r="X283" t="n">
        <v>0</v>
      </c>
      <c r="Y28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2.0/?
- Part 5: Bonus — Test Time Augmentation: 0.0/?</t>
        </is>
      </c>
      <c r="Z283" t="n">
        <v>4</v>
      </c>
      <c r="AA283" t="n">
        <v>0</v>
      </c>
      <c r="AB283"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83" t="n">
        <v>6</v>
      </c>
      <c r="AD283" t="inlineStr">
        <is>
          <t>The student's submission failed to meet the requirements of the task. They did not provide a correct dataset class, model class, training and validation loops, or visualization of predictions. The code was not well-organized and did not run end-to-end. The student attempted to implement a custom UNet architecture instead of the required pretrained U-Net with efficientnet-b1 encoder, and they did not use the required loss function and optimizer in the training and validation loops. Overall, the submission did not demonstrate a clear understanding of the task requirements and did not provide a functional solution.
Breakdown:
- Task 1: Dataset Class: 0.0/?
- Task 2: Model Class: 0.0/?
- Task 3: Training and Validation Loops: 0.0/?
- Task 4: Running Training: 0.0/?
- Task 5: Visualizing Predictions: 0.0/?</t>
        </is>
      </c>
      <c r="AE283" t="n">
        <v>0</v>
      </c>
      <c r="AF283" t="n">
        <v>0</v>
      </c>
      <c r="AG283" t="inlineStr">
        <is>
          <t>No submission found.</t>
        </is>
      </c>
      <c r="AH283" t="n">
        <v>16</v>
      </c>
      <c r="AI283" t="n">
        <v>0</v>
      </c>
    </row>
    <row r="284">
      <c r="A284" t="n">
        <v>283</v>
      </c>
      <c r="B284" t="inlineStr">
        <is>
          <t>TA_5</t>
        </is>
      </c>
      <c r="C284" t="inlineStr">
        <is>
          <t>TA_15</t>
        </is>
      </c>
      <c r="D284" t="n">
        <v>8.5</v>
      </c>
      <c r="E284" t="n">
        <v>0</v>
      </c>
      <c r="F284" t="n">
        <v>11</v>
      </c>
      <c r="G284" t="n">
        <v>0</v>
      </c>
      <c r="H284" t="n">
        <v>6</v>
      </c>
      <c r="I284" t="n">
        <v>0</v>
      </c>
      <c r="J284" t="n">
        <v>6</v>
      </c>
      <c r="K284" t="n">
        <v>0</v>
      </c>
      <c r="L284" t="n">
        <v>9</v>
      </c>
      <c r="M284" t="n">
        <v>0</v>
      </c>
      <c r="N284" t="n">
        <v>6.25</v>
      </c>
      <c r="O284" t="n">
        <v>0</v>
      </c>
      <c r="P284">
        <f>Table1[[#This Row],[TA 1 - Q1 Score]]+Table1[[#This Row],[TA 1 - Q2 Score]]+Table1[[#This Row],[TA 1 - Q3 Score]]</f>
        <v/>
      </c>
      <c r="Q284">
        <f>Table1[[#This Row],[TA 1 - Q1 Bonus]]+Table1[[#This Row],[TA 1 - Q2 Bonus]]+Table1[[#This Row],[TA 1 - Q4 Bonus]]</f>
        <v/>
      </c>
      <c r="R284">
        <f>Table1[[#This Row],[TA 2 - Q1 Score]]+Table1[[#This Row],[TA 2 - Q2 Score]]+Table1[[#This Row],[TA 2 - Q3 Score]]</f>
        <v/>
      </c>
      <c r="S284">
        <f>Table1[[#This Row],[TA 2 - Q1 Bonus]]+Table1[[#This Row],[TA 2 - Q2 Bonus]]+Table1[[#This Row],[TA 2 - Q4 Bonus]]</f>
        <v/>
      </c>
      <c r="T284">
        <f>(Table1[[#This Row],[TA 1 - Total Score (out of 35)]]+Table1[[#This Row],[TA 2 - Total Score (out of 35)]])/2</f>
        <v/>
      </c>
      <c r="U284">
        <f>(Table1[[#This Row],[TA 1 - Total Bonus (out of 13)]]+Table1[[#This Row],[TA 2 - Total Bonus (out of 13)]])/2</f>
        <v/>
      </c>
      <c r="V284">
        <f>Table1[[#This Row],[Average Questions]]/35*20+Table1[[#This Row],[Average Bonus]]/13*5</f>
        <v/>
      </c>
      <c r="W284" t="n">
        <v>6</v>
      </c>
      <c r="X284" t="n">
        <v>0</v>
      </c>
      <c r="Y28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2.0/?
- Part 5: Bonus — Test Time Augmentation: 0.0/?</t>
        </is>
      </c>
      <c r="Z284" t="n">
        <v>6</v>
      </c>
      <c r="AA284" t="n">
        <v>0</v>
      </c>
      <c r="AB284" t="inlineStr">
        <is>
          <t>The student's submission failed to address several key tasks, including loading and preparing the data, building the CNN model, and implementing training and validation functions. While the student did write some code for the training process, it was incomplete and did not run end-to-end. The bonus task of adding a residual connection was also not attempted. Overall, the submission demonstrates a lack of understanding of the required tasks and a failure to follow the instructions.
Breakdown:
- Part 1: Load and Prepare Data: 0.0/?
- Part 2: Build the CNN Model: 0.0/?
- Part 3: Training and Validation Functions: 0.0/?
- Part 4: Training: 2.0/?
- Part 5: Bonus — Residual Connection: 0.0/?</t>
        </is>
      </c>
      <c r="AC284" t="n">
        <v>6</v>
      </c>
      <c r="AD284" t="inlineStr">
        <is>
          <t>The student's submission was incomplete, with no code submitted for Tasks 1-4. However, the code for Task 5: Visualizing Predictions was correct and ran, earning 6 points. The student's failure to attempt the other tasks resulted in a low overall score.
Breakdown:
- Task 1: Dataset Class: 0.0/?
- Task 2: Model Class: 0.0/?
- Task 3: Training and Validation Loops: 0.0/?
- Task 4: Running Training: 0.0/?
- Task 5: Visualizing Predictions: 6.0/?</t>
        </is>
      </c>
      <c r="AE284" t="n">
        <v>0</v>
      </c>
      <c r="AF284" t="n">
        <v>0</v>
      </c>
      <c r="AG284" t="inlineStr">
        <is>
          <t>No submission found.</t>
        </is>
      </c>
      <c r="AH284" t="n">
        <v>18</v>
      </c>
      <c r="AI284" t="n">
        <v>0</v>
      </c>
    </row>
    <row r="285">
      <c r="A285" t="n">
        <v>284</v>
      </c>
      <c r="B285" t="inlineStr">
        <is>
          <t>TA_5</t>
        </is>
      </c>
      <c r="C285" t="inlineStr">
        <is>
          <t>TA_15</t>
        </is>
      </c>
      <c r="D285" t="n">
        <v>10.5</v>
      </c>
      <c r="E285" t="n">
        <v>3</v>
      </c>
      <c r="F285" t="n">
        <v>9</v>
      </c>
      <c r="G285" t="n">
        <v>0</v>
      </c>
      <c r="H285" t="n">
        <v>12</v>
      </c>
      <c r="I285" t="n">
        <v>0</v>
      </c>
      <c r="J285" t="n">
        <v>10.5</v>
      </c>
      <c r="K285" t="n">
        <v>3</v>
      </c>
      <c r="L285" t="n">
        <v>8.5</v>
      </c>
      <c r="M285" t="n">
        <v>0</v>
      </c>
      <c r="N285" t="n">
        <v>12</v>
      </c>
      <c r="O285" t="n">
        <v>0</v>
      </c>
      <c r="P285">
        <f>Table1[[#This Row],[TA 1 - Q1 Score]]+Table1[[#This Row],[TA 1 - Q2 Score]]+Table1[[#This Row],[TA 1 - Q3 Score]]</f>
        <v/>
      </c>
      <c r="Q285">
        <f>Table1[[#This Row],[TA 1 - Q1 Bonus]]+Table1[[#This Row],[TA 1 - Q2 Bonus]]+Table1[[#This Row],[TA 1 - Q4 Bonus]]</f>
        <v/>
      </c>
      <c r="R285">
        <f>Table1[[#This Row],[TA 2 - Q1 Score]]+Table1[[#This Row],[TA 2 - Q2 Score]]+Table1[[#This Row],[TA 2 - Q3 Score]]</f>
        <v/>
      </c>
      <c r="S285">
        <f>Table1[[#This Row],[TA 2 - Q1 Bonus]]+Table1[[#This Row],[TA 2 - Q2 Bonus]]+Table1[[#This Row],[TA 2 - Q4 Bonus]]</f>
        <v/>
      </c>
      <c r="T285">
        <f>(Table1[[#This Row],[TA 1 - Total Score (out of 35)]]+Table1[[#This Row],[TA 2 - Total Score (out of 35)]])/2</f>
        <v/>
      </c>
      <c r="U285">
        <f>(Table1[[#This Row],[TA 1 - Total Bonus (out of 13)]]+Table1[[#This Row],[TA 2 - Total Bonus (out of 13)]])/2</f>
        <v/>
      </c>
      <c r="V285">
        <f>Table1[[#This Row],[Average Questions]]/35*20+Table1[[#This Row],[Average Bonus]]/13*5</f>
        <v/>
      </c>
      <c r="W285" t="n">
        <v>6</v>
      </c>
      <c r="X285" t="n">
        <v>0</v>
      </c>
      <c r="Y285" t="inlineStr">
        <is>
          <t>The student's submission failed to complete several key tasks, including loading and preparing the data, loading a pretrained model and adapting it, and training the model. While the student made an attempt at implementing the training and validation functions, the code contained syntax errors and did not run correctly. The bonus task of implementing test time augmentation was also not completed. Overall, the submission demonstrated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285" t="n">
        <v>4</v>
      </c>
      <c r="AA285" t="n">
        <v>0</v>
      </c>
      <c r="AB285"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85" t="n">
        <v>6</v>
      </c>
      <c r="AD285"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285" t="n">
        <v>0</v>
      </c>
      <c r="AF285" t="n">
        <v>0</v>
      </c>
      <c r="AG285" t="inlineStr">
        <is>
          <t>The student's submission does not meet the requirements of the task. The `ColorizationDataset` class is not implemented correctly, and the `rgb_to_grayscale` method and the `__getitem__` method are missing or incorrect. As a result, the student does not receive any points for this task.
Breakdown:
- Correctly implemented `ColorizationDataset` class:: 0.0/?
- Any mistake in implementation: 0.0/?</t>
        </is>
      </c>
      <c r="AH285" t="n">
        <v>16</v>
      </c>
      <c r="AI285" t="n">
        <v>0</v>
      </c>
    </row>
    <row r="286">
      <c r="A286" t="n">
        <v>285</v>
      </c>
      <c r="B286" t="inlineStr">
        <is>
          <t>TA_6</t>
        </is>
      </c>
      <c r="C286" t="inlineStr">
        <is>
          <t>TA_16</t>
        </is>
      </c>
      <c r="D286" t="n">
        <v>7.5</v>
      </c>
      <c r="E286" t="n">
        <v>0</v>
      </c>
      <c r="F286" t="n">
        <v>9</v>
      </c>
      <c r="G286" t="n">
        <v>0</v>
      </c>
      <c r="H286" t="n">
        <v>10.5</v>
      </c>
      <c r="I286" t="n">
        <v>0</v>
      </c>
      <c r="J286" t="n">
        <v>7.5</v>
      </c>
      <c r="K286" t="n">
        <v>0</v>
      </c>
      <c r="L286" t="n">
        <v>9</v>
      </c>
      <c r="M286" t="n">
        <v>0</v>
      </c>
      <c r="N286" t="n">
        <v>10.5</v>
      </c>
      <c r="O286" t="n">
        <v>0</v>
      </c>
      <c r="P286">
        <f>Table1[[#This Row],[TA 1 - Q1 Score]]+Table1[[#This Row],[TA 1 - Q2 Score]]+Table1[[#This Row],[TA 1 - Q3 Score]]</f>
        <v/>
      </c>
      <c r="Q286">
        <f>Table1[[#This Row],[TA 1 - Q1 Bonus]]+Table1[[#This Row],[TA 1 - Q2 Bonus]]+Table1[[#This Row],[TA 1 - Q4 Bonus]]</f>
        <v/>
      </c>
      <c r="R286">
        <f>Table1[[#This Row],[TA 2 - Q1 Score]]+Table1[[#This Row],[TA 2 - Q2 Score]]+Table1[[#This Row],[TA 2 - Q3 Score]]</f>
        <v/>
      </c>
      <c r="S286">
        <f>Table1[[#This Row],[TA 2 - Q1 Bonus]]+Table1[[#This Row],[TA 2 - Q2 Bonus]]+Table1[[#This Row],[TA 2 - Q4 Bonus]]</f>
        <v/>
      </c>
      <c r="T286">
        <f>(Table1[[#This Row],[TA 1 - Total Score (out of 35)]]+Table1[[#This Row],[TA 2 - Total Score (out of 35)]])/2</f>
        <v/>
      </c>
      <c r="U286">
        <f>(Table1[[#This Row],[TA 1 - Total Bonus (out of 13)]]+Table1[[#This Row],[TA 2 - Total Bonus (out of 13)]])/2</f>
        <v/>
      </c>
      <c r="V286">
        <f>Table1[[#This Row],[Average Questions]]/35*20+Table1[[#This Row],[Average Bonus]]/13*5</f>
        <v/>
      </c>
      <c r="W286" t="n">
        <v>6</v>
      </c>
      <c r="X286" t="n">
        <v>0</v>
      </c>
      <c r="Y286"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disregarding the explicit instructions provided in the reference solution.
Breakdown:
- Part 1: Load and Prepare Data: 0.0/?
- Part 2: Load Pretrained Model and Adapt: 0.0/?
- Part 3: Training and Validation Functions: 0.0/?
- Part 4: Training: 3.0/?
- Part 5: Bonus — Test Time Augmentation: 0.0/?</t>
        </is>
      </c>
      <c r="Z286" t="n">
        <v>4</v>
      </c>
      <c r="AA286" t="n">
        <v>0</v>
      </c>
      <c r="AB28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points for each task, resulting in a total score of 0.
Breakdown:
- Part 1: Load and Prepare Data: 0.0/?
- Part 2: Build the CNN Model: 0.0/?
- Part 3: Training and Validation Functions: 0.0/?
- Part 4: Training: 0.0/?
- Part 5: Bonus — Residual Connection: 0.0/?</t>
        </is>
      </c>
      <c r="AC286" t="n">
        <v>6</v>
      </c>
      <c r="AD286" t="inlineStr">
        <is>
          <t>The student's submission was incomplete and lacked code for most tasks. The only task that was attempted was Task 5: Visualizing Predictions, where the student's code was mostly correct but had a minor issue with displaying the ground truth masks. As a result, the student scored 6.0 out of 12.0 for the base tasks and 0.0 for the bonus tasks.
Breakdown:
- Task 1: Dataset Class: 0.0/?
- Task 2: Model Class: 0.0/?
- Task 3: Training and Validation Loops: 0.0/?
- Task 4: Running Training: 0.0/?
- Task 5: Visualizing Predictions: 6.0/?</t>
        </is>
      </c>
      <c r="AE286" t="n">
        <v>0</v>
      </c>
      <c r="AF286" t="n">
        <v>0</v>
      </c>
      <c r="AG286" t="inlineStr">
        <is>
          <t>No submission found.</t>
        </is>
      </c>
      <c r="AH286" t="n">
        <v>16</v>
      </c>
      <c r="AI286" t="n">
        <v>0</v>
      </c>
    </row>
    <row r="287">
      <c r="A287" t="n">
        <v>286</v>
      </c>
      <c r="B287" t="inlineStr">
        <is>
          <t>TA_6</t>
        </is>
      </c>
      <c r="C287" t="inlineStr">
        <is>
          <t>TA_16</t>
        </is>
      </c>
      <c r="D287" t="n">
        <v>10.75</v>
      </c>
      <c r="E287" t="n">
        <v>0</v>
      </c>
      <c r="F287" t="n">
        <v>7</v>
      </c>
      <c r="G287" t="n">
        <v>0</v>
      </c>
      <c r="H287" t="n">
        <v>9.5</v>
      </c>
      <c r="I287" t="n">
        <v>0</v>
      </c>
      <c r="J287" t="n">
        <v>10.25</v>
      </c>
      <c r="K287" t="n">
        <v>0</v>
      </c>
      <c r="L287" t="n">
        <v>7</v>
      </c>
      <c r="M287" t="n">
        <v>0</v>
      </c>
      <c r="N287" t="n">
        <v>8.5</v>
      </c>
      <c r="O287" t="n">
        <v>0</v>
      </c>
      <c r="P287">
        <f>Table1[[#This Row],[TA 1 - Q1 Score]]+Table1[[#This Row],[TA 1 - Q2 Score]]+Table1[[#This Row],[TA 1 - Q3 Score]]</f>
        <v/>
      </c>
      <c r="Q287">
        <f>Table1[[#This Row],[TA 1 - Q1 Bonus]]+Table1[[#This Row],[TA 1 - Q2 Bonus]]+Table1[[#This Row],[TA 1 - Q4 Bonus]]</f>
        <v/>
      </c>
      <c r="R287">
        <f>Table1[[#This Row],[TA 2 - Q1 Score]]+Table1[[#This Row],[TA 2 - Q2 Score]]+Table1[[#This Row],[TA 2 - Q3 Score]]</f>
        <v/>
      </c>
      <c r="S287">
        <f>Table1[[#This Row],[TA 2 - Q1 Bonus]]+Table1[[#This Row],[TA 2 - Q2 Bonus]]+Table1[[#This Row],[TA 2 - Q4 Bonus]]</f>
        <v/>
      </c>
      <c r="T287">
        <f>(Table1[[#This Row],[TA 1 - Total Score (out of 35)]]+Table1[[#This Row],[TA 2 - Total Score (out of 35)]])/2</f>
        <v/>
      </c>
      <c r="U287">
        <f>(Table1[[#This Row],[TA 1 - Total Bonus (out of 13)]]+Table1[[#This Row],[TA 2 - Total Bonus (out of 13)]])/2</f>
        <v/>
      </c>
      <c r="V287">
        <f>Table1[[#This Row],[Average Questions]]/35*20+Table1[[#This Row],[Average Bonus]]/13*5</f>
        <v/>
      </c>
      <c r="W287" t="n">
        <v>6</v>
      </c>
      <c r="X287" t="n">
        <v>0</v>
      </c>
      <c r="Y28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correctly.
Breakdown:
- Part 1: Load and Prepare Data: 0.0/?
- Part 2: Load Pretrained Model and Adapt: 0.0/?
- Part 3: Training and Validation Functions: 0.0/?
- Part 4: Training: 2.0/?
- Part 5: Bonus — Test Time Augmentation: 0.0/?</t>
        </is>
      </c>
      <c r="Z287" t="n">
        <v>4</v>
      </c>
      <c r="AA287" t="n">
        <v>0</v>
      </c>
      <c r="AB287"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disorganized and does not run end-to-end. As a result, the student receives 0% for each task.
Breakdown:
- Part 1: Load and Prepare Data: 0.0/?
- Part 2: Build the CNN Model: 0.0/?
- Part 3: Training and Validation Functions: 0.0/?
- Part 4: Training: 0.0/?
- Part 5: Bonus — Residual Connection: 0.0/?</t>
        </is>
      </c>
      <c r="AC287" t="n">
        <v>6</v>
      </c>
      <c r="AD287" t="inlineStr">
        <is>
          <t>The student's submission failed to meet the requirements of the task. They did not implement the dataset class, model class, training and validation loops, running training, and visualization of predictions correctly. As a result, the submission was awarded 0 points for each task.
Breakdown:
- Task 1: Dataset Class: 0.0/?
- Task 2: Model Class: 0.0/?
- Task 3: Training and Validation Loops: 0.0/?
- Task 4: Running Training: 0.0/?
- Task 5: Visualizing Predictions: 0.0/?</t>
        </is>
      </c>
      <c r="AE287" t="n">
        <v>0</v>
      </c>
      <c r="AF287" t="n">
        <v>0</v>
      </c>
      <c r="AG287" t="inlineStr">
        <is>
          <t>No submission found.</t>
        </is>
      </c>
      <c r="AH287" t="n">
        <v>16</v>
      </c>
      <c r="AI287" t="n">
        <v>0</v>
      </c>
    </row>
    <row r="288">
      <c r="A288" t="n">
        <v>287</v>
      </c>
      <c r="B288" t="inlineStr">
        <is>
          <t>TA_6</t>
        </is>
      </c>
      <c r="C288" t="inlineStr">
        <is>
          <t>TA_16</t>
        </is>
      </c>
      <c r="D288" t="n">
        <v>7.25</v>
      </c>
      <c r="E288" t="n">
        <v>0</v>
      </c>
      <c r="F288" t="n">
        <v>8</v>
      </c>
      <c r="G288" t="n">
        <v>0</v>
      </c>
      <c r="H288" t="n">
        <v>9.5</v>
      </c>
      <c r="I288" t="n">
        <v>0</v>
      </c>
      <c r="J288" t="n">
        <v>7.75</v>
      </c>
      <c r="K288" t="n">
        <v>0</v>
      </c>
      <c r="L288" t="n">
        <v>10</v>
      </c>
      <c r="M288" t="n">
        <v>0</v>
      </c>
      <c r="N288" t="n">
        <v>9.5</v>
      </c>
      <c r="O288" t="n">
        <v>0</v>
      </c>
      <c r="P288">
        <f>Table1[[#This Row],[TA 1 - Q1 Score]]+Table1[[#This Row],[TA 1 - Q2 Score]]+Table1[[#This Row],[TA 1 - Q3 Score]]</f>
        <v/>
      </c>
      <c r="Q288">
        <f>Table1[[#This Row],[TA 1 - Q1 Bonus]]+Table1[[#This Row],[TA 1 - Q2 Bonus]]+Table1[[#This Row],[TA 1 - Q4 Bonus]]</f>
        <v/>
      </c>
      <c r="R288">
        <f>Table1[[#This Row],[TA 2 - Q1 Score]]+Table1[[#This Row],[TA 2 - Q2 Score]]+Table1[[#This Row],[TA 2 - Q3 Score]]</f>
        <v/>
      </c>
      <c r="S288">
        <f>Table1[[#This Row],[TA 2 - Q1 Bonus]]+Table1[[#This Row],[TA 2 - Q2 Bonus]]+Table1[[#This Row],[TA 2 - Q4 Bonus]]</f>
        <v/>
      </c>
      <c r="T288">
        <f>(Table1[[#This Row],[TA 1 - Total Score (out of 35)]]+Table1[[#This Row],[TA 2 - Total Score (out of 35)]])/2</f>
        <v/>
      </c>
      <c r="U288">
        <f>(Table1[[#This Row],[TA 1 - Total Bonus (out of 13)]]+Table1[[#This Row],[TA 2 - Total Bonus (out of 13)]])/2</f>
        <v/>
      </c>
      <c r="V288">
        <f>Table1[[#This Row],[Average Questions]]/35*20+Table1[[#This Row],[Average Bonus]]/13*5</f>
        <v/>
      </c>
      <c r="W288" t="n">
        <v>6</v>
      </c>
      <c r="X288" t="n">
        <v>0</v>
      </c>
      <c r="Y28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2.0/?
- Part 5: Bonus — Test Time Augmentation: 0.0/?</t>
        </is>
      </c>
      <c r="Z288" t="n">
        <v>4</v>
      </c>
      <c r="AA288" t="n">
        <v>0</v>
      </c>
      <c r="AB288"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88" t="n">
        <v>6</v>
      </c>
      <c r="AD288" t="inlineStr">
        <is>
          <t>The student's submission was incomplete, with no code submitted for Tasks 1-4. However, the code for Task 5 was mostly correct, with the student successfully visualizing the predictions against the ground truth for several images. The only issue was that the ground truth masks were not displayed correctly.
Breakdown:
- Task 1: Dataset Class: 0.0/?
- Task 2: Model Class: 0.0/?
- Task 3: Training and Validation Loops: 0.0/?
- Task 4: Running Training: 0.0/?
- Task 5: Visualizing Predictions: 6.0/?</t>
        </is>
      </c>
      <c r="AE288" t="n">
        <v>0</v>
      </c>
      <c r="AF288" t="n">
        <v>0</v>
      </c>
      <c r="AG288" t="inlineStr">
        <is>
          <t>No submission found.</t>
        </is>
      </c>
      <c r="AH288" t="n">
        <v>16</v>
      </c>
      <c r="AI288" t="n">
        <v>0</v>
      </c>
    </row>
    <row r="289">
      <c r="A289" t="n">
        <v>288</v>
      </c>
      <c r="B289" t="inlineStr">
        <is>
          <t>TA_6</t>
        </is>
      </c>
      <c r="C289" t="inlineStr">
        <is>
          <t>TA_16</t>
        </is>
      </c>
      <c r="D289" t="n">
        <v>6.5</v>
      </c>
      <c r="E289" t="n">
        <v>0</v>
      </c>
      <c r="F289" t="n">
        <v>3.75</v>
      </c>
      <c r="G289" t="n">
        <v>0</v>
      </c>
      <c r="H289" t="n">
        <v>5.5</v>
      </c>
      <c r="I289" t="n">
        <v>0</v>
      </c>
      <c r="J289" t="n">
        <v>4.5</v>
      </c>
      <c r="K289" t="n">
        <v>0</v>
      </c>
      <c r="L289" t="n">
        <v>3.25</v>
      </c>
      <c r="M289" t="n">
        <v>0</v>
      </c>
      <c r="N289" t="n">
        <v>5.5</v>
      </c>
      <c r="O289" t="n">
        <v>0</v>
      </c>
      <c r="P289">
        <f>Table1[[#This Row],[TA 1 - Q1 Score]]+Table1[[#This Row],[TA 1 - Q2 Score]]+Table1[[#This Row],[TA 1 - Q3 Score]]</f>
        <v/>
      </c>
      <c r="Q289">
        <f>Table1[[#This Row],[TA 1 - Q1 Bonus]]+Table1[[#This Row],[TA 1 - Q2 Bonus]]+Table1[[#This Row],[TA 1 - Q4 Bonus]]</f>
        <v/>
      </c>
      <c r="R289">
        <f>Table1[[#This Row],[TA 2 - Q1 Score]]+Table1[[#This Row],[TA 2 - Q2 Score]]+Table1[[#This Row],[TA 2 - Q3 Score]]</f>
        <v/>
      </c>
      <c r="S289">
        <f>Table1[[#This Row],[TA 2 - Q1 Bonus]]+Table1[[#This Row],[TA 2 - Q2 Bonus]]+Table1[[#This Row],[TA 2 - Q4 Bonus]]</f>
        <v/>
      </c>
      <c r="T289">
        <f>(Table1[[#This Row],[TA 1 - Total Score (out of 35)]]+Table1[[#This Row],[TA 2 - Total Score (out of 35)]])/2</f>
        <v/>
      </c>
      <c r="U289">
        <f>(Table1[[#This Row],[TA 1 - Total Bonus (out of 13)]]+Table1[[#This Row],[TA 2 - Total Bonus (out of 13)]])/2</f>
        <v/>
      </c>
      <c r="V289">
        <f>Table1[[#This Row],[Average Questions]]/35*20+Table1[[#This Row],[Average Bonus]]/13*5</f>
        <v/>
      </c>
      <c r="W289" t="n">
        <v>6</v>
      </c>
      <c r="X289" t="n">
        <v>0</v>
      </c>
      <c r="Y289" t="inlineStr">
        <is>
          <t>The student's submission failed to complete several key tasks, including loading and preparing the data, loading the pretrained model, and adapting it for the task. The training and validation functions were also not implemented correctly. However, the student did manage to complete the training process, earning 6 points for that task.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289" t="n">
        <v>2</v>
      </c>
      <c r="AA289" t="n">
        <v>0</v>
      </c>
      <c r="AB289" t="inlineStr">
        <is>
          <t>The student's submission failed to address most of the tasks in the rubric. The code provided does not follow the structure of the reference solution and lacks essential components such as data loading, model building, and training functions. The student's approach to the tasks is disorganized, and the code does not run end-to-end. As a result, the student did not demonstrate a clear understanding of the required concepts and skills.
Breakdown:
- Part 1: Load and Prepare Data: 0.0/?
- Part 2: Build the CNN Model: 0.0/?
- Part 3: Training and Validation Functions: 0.0/?
- Part 4: Training: 0.0/?
- Part 5: Bonus — Residual Connection: 0.0/?</t>
        </is>
      </c>
      <c r="AC289" t="n">
        <v>6</v>
      </c>
      <c r="AD289" t="inlineStr">
        <is>
          <t>The student's submission failed to meet the requirements of the task. The code was not organized in a way that allowed it to run end-to-end, and several key components were missing or incorrect. The student attempted to define the dataset class, but it was not completed. The model class was not defined correctly, and the training and validation loops were not implemented. The loss and optimizer were not defined correctly, and the model was not trained. Finally, the predictions were not visualized correctly. As a result, the student earned 0 points for each task.
Breakdown:
- Task 1: Dataset Class: 0.0/?
- Task 2: Model Class: 0.0/?
- Task 3: Training and Validation Loops: 0.0/?
- Task 4: Running Training: 0.0/?
- Task 5: Visualizing Predictions: 0.0/?</t>
        </is>
      </c>
      <c r="AE289" t="n">
        <v>0</v>
      </c>
      <c r="AF289" t="n">
        <v>0</v>
      </c>
      <c r="AG289" t="inlineStr">
        <is>
          <t>No submission found.</t>
        </is>
      </c>
      <c r="AH289" t="n">
        <v>14</v>
      </c>
      <c r="AI289" t="n">
        <v>0</v>
      </c>
    </row>
    <row r="290">
      <c r="A290" t="n">
        <v>289</v>
      </c>
      <c r="B290" t="inlineStr">
        <is>
          <t>TA_6</t>
        </is>
      </c>
      <c r="C290" t="inlineStr">
        <is>
          <t>TA_16</t>
        </is>
      </c>
      <c r="D290" t="n">
        <v>8</v>
      </c>
      <c r="E290" t="n">
        <v>4</v>
      </c>
      <c r="F290" t="n">
        <v>3</v>
      </c>
      <c r="G290" t="n">
        <v>0</v>
      </c>
      <c r="H290" t="n">
        <v>4.5</v>
      </c>
      <c r="I290" t="n">
        <v>0</v>
      </c>
      <c r="J290" t="n">
        <v>7</v>
      </c>
      <c r="K290" t="n">
        <v>4</v>
      </c>
      <c r="L290" t="n">
        <v>3</v>
      </c>
      <c r="M290" t="n">
        <v>0</v>
      </c>
      <c r="N290" t="n">
        <v>3.5</v>
      </c>
      <c r="O290" t="n">
        <v>0</v>
      </c>
      <c r="P290">
        <f>Table1[[#This Row],[TA 1 - Q1 Score]]+Table1[[#This Row],[TA 1 - Q2 Score]]+Table1[[#This Row],[TA 1 - Q3 Score]]</f>
        <v/>
      </c>
      <c r="Q290">
        <f>Table1[[#This Row],[TA 1 - Q1 Bonus]]+Table1[[#This Row],[TA 1 - Q2 Bonus]]+Table1[[#This Row],[TA 1 - Q4 Bonus]]</f>
        <v/>
      </c>
      <c r="R290">
        <f>Table1[[#This Row],[TA 2 - Q1 Score]]+Table1[[#This Row],[TA 2 - Q2 Score]]+Table1[[#This Row],[TA 2 - Q3 Score]]</f>
        <v/>
      </c>
      <c r="S290">
        <f>Table1[[#This Row],[TA 2 - Q1 Bonus]]+Table1[[#This Row],[TA 2 - Q2 Bonus]]+Table1[[#This Row],[TA 2 - Q4 Bonus]]</f>
        <v/>
      </c>
      <c r="T290">
        <f>(Table1[[#This Row],[TA 1 - Total Score (out of 35)]]+Table1[[#This Row],[TA 2 - Total Score (out of 35)]])/2</f>
        <v/>
      </c>
      <c r="U290">
        <f>(Table1[[#This Row],[TA 1 - Total Bonus (out of 13)]]+Table1[[#This Row],[TA 2 - Total Bonus (out of 13)]])/2</f>
        <v/>
      </c>
      <c r="V290">
        <f>Table1[[#This Row],[Average Questions]]/35*20+Table1[[#This Row],[Average Bonus]]/13*5</f>
        <v/>
      </c>
      <c r="W290" t="n">
        <v>6</v>
      </c>
      <c r="X290" t="n">
        <v>0</v>
      </c>
      <c r="Y290" t="inlineStr">
        <is>
          <t>The student failed to complete several key tasks, including loading and preparing data, loading a pretrained model, and training the model. While they did attempt to implement the training and validation functions, their code contained syntax errors and did not run correctly. Additionally, their bonus task, Test Time Augmentation, was not implemented at all. Overall, the student's submission was incomplete and contained several errors.
Breakdown:
- Part 1: Load and Prepare Data: 0.0/?
- Part 2: Load Pretrained Model and Adapt: 0.0/?
- Part 3: Training and Validation Functions: 1.5/?
- Part 4: Training: 0.0/?
- Part 5: Bonus — Test Time Augmentation: 0.0/?</t>
        </is>
      </c>
      <c r="Z290" t="n">
        <v>4</v>
      </c>
      <c r="AA290" t="n">
        <v>0</v>
      </c>
      <c r="AB290"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90" t="n">
        <v>6</v>
      </c>
      <c r="AD290" t="inlineStr">
        <is>
          <t>The student's submission had several issues. The dataset class was not implemented, and the model class was not defined correctly. The training and validation loops were also not implemented correctly, and the training process did not run end-to-end. However, the student was able to visualize predictions against the ground truth for several images, which earned them 3 points for Task 5.
Breakdown:
- Task 1: Dataset Class: 0.0/?
- Task 2: Model Class: 0.0/?
- Task 3: Training and Validation Loops: 0.0/?
- Task 4: Running Training: 0.0/?
- Task 5: Visualizing Predictions: 3.0/?</t>
        </is>
      </c>
      <c r="AE290" t="n">
        <v>0</v>
      </c>
      <c r="AF290" t="n">
        <v>0</v>
      </c>
      <c r="AG290" t="inlineStr">
        <is>
          <t>The student's submission has several mistakes in the implementation of the `ColorizationDataset` class. The `rgb_to_grayscale` method uses PIL's `Image.open` and `convert` methods, which is not necessary and incorrect. The `__getitem__` method returns a tuple of `(grayscale_image, image)` but the `rgb_to_grayscale` method returns two values, which is incorrect. As a result, the student's submission does not meet the requirements of the task and does not award any points.
Breakdown:
- Correctly implemented `ColorizationDataset` class:: 0.0/?
- Any mistake in implementation: 0.0/?</t>
        </is>
      </c>
      <c r="AH290" t="n">
        <v>16</v>
      </c>
      <c r="AI290" t="n">
        <v>0</v>
      </c>
    </row>
    <row r="291">
      <c r="A291" t="n">
        <v>290</v>
      </c>
      <c r="B291" t="inlineStr">
        <is>
          <t>TA_6</t>
        </is>
      </c>
      <c r="C291" t="inlineStr">
        <is>
          <t>TA_16</t>
        </is>
      </c>
      <c r="D291" t="n">
        <v>11.75</v>
      </c>
      <c r="E291" t="n">
        <v>0</v>
      </c>
      <c r="F291" t="n">
        <v>11</v>
      </c>
      <c r="G291" t="n">
        <v>0</v>
      </c>
      <c r="H291" t="n">
        <v>1.5</v>
      </c>
      <c r="I291" t="n">
        <v>0</v>
      </c>
      <c r="J291" t="n">
        <v>11.25</v>
      </c>
      <c r="K291" t="n">
        <v>0</v>
      </c>
      <c r="L291" t="n">
        <v>11</v>
      </c>
      <c r="M291" t="n">
        <v>0</v>
      </c>
      <c r="N291" t="n">
        <v>3.5</v>
      </c>
      <c r="O291" t="n">
        <v>0</v>
      </c>
      <c r="P291">
        <f>Table1[[#This Row],[TA 1 - Q1 Score]]+Table1[[#This Row],[TA 1 - Q2 Score]]+Table1[[#This Row],[TA 1 - Q3 Score]]</f>
        <v/>
      </c>
      <c r="Q291">
        <f>Table1[[#This Row],[TA 1 - Q1 Bonus]]+Table1[[#This Row],[TA 1 - Q2 Bonus]]+Table1[[#This Row],[TA 1 - Q4 Bonus]]</f>
        <v/>
      </c>
      <c r="R291">
        <f>Table1[[#This Row],[TA 2 - Q1 Score]]+Table1[[#This Row],[TA 2 - Q2 Score]]+Table1[[#This Row],[TA 2 - Q3 Score]]</f>
        <v/>
      </c>
      <c r="S291">
        <f>Table1[[#This Row],[TA 2 - Q1 Bonus]]+Table1[[#This Row],[TA 2 - Q2 Bonus]]+Table1[[#This Row],[TA 2 - Q4 Bonus]]</f>
        <v/>
      </c>
      <c r="T291">
        <f>(Table1[[#This Row],[TA 1 - Total Score (out of 35)]]+Table1[[#This Row],[TA 2 - Total Score (out of 35)]])/2</f>
        <v/>
      </c>
      <c r="U291">
        <f>(Table1[[#This Row],[TA 1 - Total Bonus (out of 13)]]+Table1[[#This Row],[TA 2 - Total Bonus (out of 13)]])/2</f>
        <v/>
      </c>
      <c r="V291">
        <f>Table1[[#This Row],[Average Questions]]/35*20+Table1[[#This Row],[Average Bonus]]/13*5</f>
        <v/>
      </c>
      <c r="W291" t="n">
        <v>6</v>
      </c>
      <c r="X291" t="n">
        <v>0</v>
      </c>
      <c r="Y291"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2.0/?
- Part 5: Bonus — Test Time Augmentation: 0.0/?</t>
        </is>
      </c>
      <c r="Z291" t="n">
        <v>4</v>
      </c>
      <c r="AA291" t="n">
        <v>0</v>
      </c>
      <c r="AB291" t="inlineStr">
        <is>
          <t>The student's submission failed to meet the requirements of the task. The code was not organized in the same structure as the reference solution, and it failed to run end-to-end. The student attempted to load and prepare the data, but the code was incomplete and did not follow the instructions. The CNN model was not built correctly, and the training and validation functions were not implemented. The training process was not completed, and the residual connection was not added to the model. The student did not follow the instructions and did not provide a complete solution.
Breakdown:
- Part 1: Load and Prepare Data: 0.0/?
- Part 2: Build the CNN Model: 0.0/?
- Part 3: Training and Validation Functions: 0.0/?
- Part 4: Training: 0.0/?
- Part 5: Bonus — Residual Connection: 0.0/?</t>
        </is>
      </c>
      <c r="AC291" t="n">
        <v>6</v>
      </c>
      <c r="AD291" t="inlineStr">
        <is>
          <t>The student's submission failed to address any of the tasks in Question 3. The code provided does not attempt to build a custom dataset class, define a model class, implement training and validation loops, run training, or visualize predictions. As a result, the student earns 0% for each task, resulting in a total score of 6.0.
Breakdown:
- Task 1: Dataset Class: 0.0/?
- Task 2: Model Class: 0.0/?
- Task 3: Training and Validation Loops: 0.0/?
- Task 4: Running Training: 0.0/?
- Task 5: Visualizing Predictions: 0.0/?</t>
        </is>
      </c>
      <c r="AE291" t="n">
        <v>0</v>
      </c>
      <c r="AF291" t="n">
        <v>0</v>
      </c>
      <c r="AG291" t="inlineStr">
        <is>
          <t>No submission found.</t>
        </is>
      </c>
      <c r="AH291" t="n">
        <v>16</v>
      </c>
      <c r="AI291" t="n">
        <v>0</v>
      </c>
    </row>
    <row r="292">
      <c r="A292" t="n">
        <v>291</v>
      </c>
      <c r="B292" t="inlineStr">
        <is>
          <t>TA_6</t>
        </is>
      </c>
      <c r="C292" t="inlineStr">
        <is>
          <t>TA_16</t>
        </is>
      </c>
      <c r="D292" t="n">
        <v>3.75</v>
      </c>
      <c r="E292" t="n">
        <v>0</v>
      </c>
      <c r="F292" t="n">
        <v>6.5</v>
      </c>
      <c r="G292" t="n">
        <v>0</v>
      </c>
      <c r="H292" t="n">
        <v>4</v>
      </c>
      <c r="I292" t="n">
        <v>0</v>
      </c>
      <c r="J292" t="n">
        <v>3.25</v>
      </c>
      <c r="K292" t="n">
        <v>0</v>
      </c>
      <c r="L292" t="n">
        <v>6.5</v>
      </c>
      <c r="M292" t="n">
        <v>0</v>
      </c>
      <c r="N292" t="n">
        <v>4</v>
      </c>
      <c r="O292" t="n">
        <v>0</v>
      </c>
      <c r="P292">
        <f>Table1[[#This Row],[TA 1 - Q1 Score]]+Table1[[#This Row],[TA 1 - Q2 Score]]+Table1[[#This Row],[TA 1 - Q3 Score]]</f>
        <v/>
      </c>
      <c r="Q292">
        <f>Table1[[#This Row],[TA 1 - Q1 Bonus]]+Table1[[#This Row],[TA 1 - Q2 Bonus]]+Table1[[#This Row],[TA 1 - Q4 Bonus]]</f>
        <v/>
      </c>
      <c r="R292">
        <f>Table1[[#This Row],[TA 2 - Q1 Score]]+Table1[[#This Row],[TA 2 - Q2 Score]]+Table1[[#This Row],[TA 2 - Q3 Score]]</f>
        <v/>
      </c>
      <c r="S292">
        <f>Table1[[#This Row],[TA 2 - Q1 Bonus]]+Table1[[#This Row],[TA 2 - Q2 Bonus]]+Table1[[#This Row],[TA 2 - Q4 Bonus]]</f>
        <v/>
      </c>
      <c r="T292">
        <f>(Table1[[#This Row],[TA 1 - Total Score (out of 35)]]+Table1[[#This Row],[TA 2 - Total Score (out of 35)]])/2</f>
        <v/>
      </c>
      <c r="U292">
        <f>(Table1[[#This Row],[TA 1 - Total Bonus (out of 13)]]+Table1[[#This Row],[TA 2 - Total Bonus (out of 13)]])/2</f>
        <v/>
      </c>
      <c r="V292">
        <f>Table1[[#This Row],[Average Questions]]/35*20+Table1[[#This Row],[Average Bonus]]/13*5</f>
        <v/>
      </c>
      <c r="W292" t="n">
        <v>6</v>
      </c>
      <c r="X292" t="n">
        <v>0</v>
      </c>
      <c r="Y292" t="inlineStr">
        <is>
          <t>The student's submission failed to complete several key tasks, including loading and preparing the data, loading a pretrained model, and adapting it for the task. The training and validation functions were also not implemented correctly. However, the student did manage to complete the training process, earning 6 points for that task.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292" t="n">
        <v>4</v>
      </c>
      <c r="AA292" t="n">
        <v>0</v>
      </c>
      <c r="AB292"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disorganized and does not run end-to-end. As a result, the student receives 0% for each task.
Breakdown:
- Part 1: Load and Prepare Data: 0.0/?
- Part 2: Build the CNN Model: 0.0/?
- Part 3: Training and Validation Functions: 0.0/?
- Part 4: Training: 0.0/?
- Part 5: Bonus — Residual Connection: 0.0/?</t>
        </is>
      </c>
      <c r="AC292" t="n">
        <v>6</v>
      </c>
      <c r="AD292"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292" t="n">
        <v>0</v>
      </c>
      <c r="AF292" t="n">
        <v>0</v>
      </c>
      <c r="AG292" t="inlineStr">
        <is>
          <t>No submission found.</t>
        </is>
      </c>
      <c r="AH292" t="n">
        <v>16</v>
      </c>
      <c r="AI292" t="n">
        <v>0</v>
      </c>
    </row>
    <row r="293">
      <c r="A293" t="n">
        <v>292</v>
      </c>
      <c r="B293" t="inlineStr">
        <is>
          <t>TA_6</t>
        </is>
      </c>
      <c r="C293" t="inlineStr">
        <is>
          <t>TA_16</t>
        </is>
      </c>
      <c r="D293" t="n">
        <v>12</v>
      </c>
      <c r="E293" t="n">
        <v>4</v>
      </c>
      <c r="F293" t="n">
        <v>8</v>
      </c>
      <c r="G293" t="n">
        <v>1</v>
      </c>
      <c r="H293" t="n">
        <v>12</v>
      </c>
      <c r="I293" t="n">
        <v>5</v>
      </c>
      <c r="J293" t="n">
        <v>12</v>
      </c>
      <c r="K293" t="n">
        <v>4</v>
      </c>
      <c r="L293" t="n">
        <v>8</v>
      </c>
      <c r="M293" t="n">
        <v>1</v>
      </c>
      <c r="N293" t="n">
        <v>12</v>
      </c>
      <c r="O293" t="n">
        <v>5</v>
      </c>
      <c r="P293">
        <f>Table1[[#This Row],[TA 1 - Q1 Score]]+Table1[[#This Row],[TA 1 - Q2 Score]]+Table1[[#This Row],[TA 1 - Q3 Score]]</f>
        <v/>
      </c>
      <c r="Q293">
        <f>Table1[[#This Row],[TA 1 - Q1 Bonus]]+Table1[[#This Row],[TA 1 - Q2 Bonus]]+Table1[[#This Row],[TA 1 - Q4 Bonus]]</f>
        <v/>
      </c>
      <c r="R293">
        <f>Table1[[#This Row],[TA 2 - Q1 Score]]+Table1[[#This Row],[TA 2 - Q2 Score]]+Table1[[#This Row],[TA 2 - Q3 Score]]</f>
        <v/>
      </c>
      <c r="S293">
        <f>Table1[[#This Row],[TA 2 - Q1 Bonus]]+Table1[[#This Row],[TA 2 - Q2 Bonus]]+Table1[[#This Row],[TA 2 - Q4 Bonus]]</f>
        <v/>
      </c>
      <c r="T293">
        <f>(Table1[[#This Row],[TA 1 - Total Score (out of 35)]]+Table1[[#This Row],[TA 2 - Total Score (out of 35)]])/2</f>
        <v/>
      </c>
      <c r="U293">
        <f>(Table1[[#This Row],[TA 1 - Total Bonus (out of 13)]]+Table1[[#This Row],[TA 2 - Total Bonus (out of 13)]])/2</f>
        <v/>
      </c>
      <c r="V293">
        <f>Table1[[#This Row],[Average Questions]]/35*20+Table1[[#This Row],[Average Bonus]]/13*5</f>
        <v/>
      </c>
      <c r="W293" t="n">
        <v>6</v>
      </c>
      <c r="X293" t="n">
        <v>0</v>
      </c>
      <c r="Y29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293" t="n">
        <v>4</v>
      </c>
      <c r="AA293" t="n">
        <v>0</v>
      </c>
      <c r="AB293"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93" t="n">
        <v>6</v>
      </c>
      <c r="AD293" t="inlineStr">
        <is>
          <t>The student's submission failed to meet the requirements of several tasks. The dataset class was not implemented correctly, and the model class used a different encoder. The training and validation loops were not implemented correctly, and the training process did not print the training and validation losses. The predictions were not visualized correctly, and the student did not display the predicted masks. As a result, the student received 0 points for each of these tasks.
Breakdown:
- Task 1: Dataset Class: 0.0/?
- Task 2: Model Class: 0.0/?
- Task 3: Training and Validation Loops: 0.0/?
- Task 4: Running Training: 0.0/?
- Task 5: Visualizing Predictions: 0.0/?</t>
        </is>
      </c>
      <c r="AE293" t="n">
        <v>0</v>
      </c>
      <c r="AF293" t="n">
        <v>0</v>
      </c>
      <c r="AG293" t="inlineStr">
        <is>
          <t>The student's submission for Question 4 does not meet the requirements of the task. The `ColorizationDataset` class is missing several key methods, and the methods that are implemented are not correct. The `rgb_to_grayscale` method has a syntax error and does not correctly convert the image to grayscale. As a result, the submission does not run end-to-end and does not produce the correct output.
Breakdown:
- Correctly implemented `ColorizationDataset` class: 0.0/?</t>
        </is>
      </c>
      <c r="AH293" t="n">
        <v>16</v>
      </c>
      <c r="AI293" t="n">
        <v>0</v>
      </c>
    </row>
    <row r="294">
      <c r="A294" t="n">
        <v>293</v>
      </c>
      <c r="B294" t="inlineStr">
        <is>
          <t>TA_6</t>
        </is>
      </c>
      <c r="C294" t="inlineStr">
        <is>
          <t>TA_16</t>
        </is>
      </c>
      <c r="D294" t="n">
        <v>12</v>
      </c>
      <c r="E294" t="n">
        <v>0</v>
      </c>
      <c r="F294" t="n">
        <v>11</v>
      </c>
      <c r="G294" t="n">
        <v>0</v>
      </c>
      <c r="H294" t="n">
        <v>9.5</v>
      </c>
      <c r="I294" t="n">
        <v>0</v>
      </c>
      <c r="J294" t="n">
        <v>12</v>
      </c>
      <c r="K294" t="n">
        <v>0</v>
      </c>
      <c r="L294" t="n">
        <v>11</v>
      </c>
      <c r="M294" t="n">
        <v>0</v>
      </c>
      <c r="N294" t="n">
        <v>9.5</v>
      </c>
      <c r="O294" t="n">
        <v>0</v>
      </c>
      <c r="P294">
        <f>Table1[[#This Row],[TA 1 - Q1 Score]]+Table1[[#This Row],[TA 1 - Q2 Score]]+Table1[[#This Row],[TA 1 - Q3 Score]]</f>
        <v/>
      </c>
      <c r="Q294">
        <f>Table1[[#This Row],[TA 1 - Q1 Bonus]]+Table1[[#This Row],[TA 1 - Q2 Bonus]]+Table1[[#This Row],[TA 1 - Q4 Bonus]]</f>
        <v/>
      </c>
      <c r="R294">
        <f>Table1[[#This Row],[TA 2 - Q1 Score]]+Table1[[#This Row],[TA 2 - Q2 Score]]+Table1[[#This Row],[TA 2 - Q3 Score]]</f>
        <v/>
      </c>
      <c r="S294">
        <f>Table1[[#This Row],[TA 2 - Q1 Bonus]]+Table1[[#This Row],[TA 2 - Q2 Bonus]]+Table1[[#This Row],[TA 2 - Q4 Bonus]]</f>
        <v/>
      </c>
      <c r="T294">
        <f>(Table1[[#This Row],[TA 1 - Total Score (out of 35)]]+Table1[[#This Row],[TA 2 - Total Score (out of 35)]])/2</f>
        <v/>
      </c>
      <c r="U294">
        <f>(Table1[[#This Row],[TA 1 - Total Bonus (out of 13)]]+Table1[[#This Row],[TA 2 - Total Bonus (out of 13)]])/2</f>
        <v/>
      </c>
      <c r="V294">
        <f>Table1[[#This Row],[Average Questions]]/35*20+Table1[[#This Row],[Average Bonus]]/13*5</f>
        <v/>
      </c>
      <c r="W294" t="n">
        <v>6</v>
      </c>
      <c r="X294" t="n">
        <v>0</v>
      </c>
      <c r="Y294" t="inlineStr">
        <is>
          <t>The student's submission failed to complete several key tasks, including loading and preparing the data, loading the pretrained model and adapting it, and implementing the training and validation functions. While the student did attempt to train the model, their code contained several syntax and logic mistakes, and they failed to implement the bonus task of test time augmentation. As a result, the student's score is significantly lower than the maximum possible score.
Breakdown:
- Part 1: Load and Prepare Data: 0.0/?
- Part 2: Load Pretrained Model and Adapt: 0.0/?
- Part 3: Training and Validation Functions: 0.0/?
- Part 4: Training: 2.0/?
- Part 5: Bonus — Test Time Augmentation: 0.0/?</t>
        </is>
      </c>
      <c r="Z294" t="n">
        <v>6</v>
      </c>
      <c r="AA294" t="n">
        <v>0</v>
      </c>
      <c r="AB294" t="inlineStr">
        <is>
          <t>The student's submission failed to meet the requirements for most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only partially completed the task by setting up the device, model, loss function, and optimizer, but did not train the model or plot the losses and accuracy. In Part 5, the student did not redefine the CNN model with a residual connection or retrain the model.
Breakdown:
- Part 1: Load and Prepare Data: 0.0/?
- Part 2: Build the CNN Model: 0.0/?
- Part 3: Training and Validation Functions: 0.0/?
- Part 4: Training: 2.0/?
- Part 5: Bonus — Residual Connection: 0.0/?</t>
        </is>
      </c>
      <c r="AC294" t="n">
        <v>6</v>
      </c>
      <c r="AD29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294" t="n">
        <v>0</v>
      </c>
      <c r="AF294" t="n">
        <v>0</v>
      </c>
      <c r="AG294" t="inlineStr">
        <is>
          <t>No submission found.</t>
        </is>
      </c>
      <c r="AH294" t="n">
        <v>18</v>
      </c>
      <c r="AI294" t="n">
        <v>0</v>
      </c>
    </row>
    <row r="295">
      <c r="A295" t="n">
        <v>294</v>
      </c>
      <c r="B295" t="inlineStr">
        <is>
          <t>TA_6</t>
        </is>
      </c>
      <c r="C295" t="inlineStr">
        <is>
          <t>TA_16</t>
        </is>
      </c>
      <c r="D295" t="n">
        <v>10</v>
      </c>
      <c r="E295" t="n">
        <v>1</v>
      </c>
      <c r="F295" t="n">
        <v>10.5</v>
      </c>
      <c r="G295" t="n">
        <v>0</v>
      </c>
      <c r="H295" t="n">
        <v>8</v>
      </c>
      <c r="I295" t="n">
        <v>0</v>
      </c>
      <c r="J295" t="n">
        <v>10</v>
      </c>
      <c r="K295" t="n">
        <v>1</v>
      </c>
      <c r="L295" t="n">
        <v>10.5</v>
      </c>
      <c r="M295" t="n">
        <v>0</v>
      </c>
      <c r="N295" t="n">
        <v>8</v>
      </c>
      <c r="O295" t="n">
        <v>0</v>
      </c>
      <c r="P295">
        <f>Table1[[#This Row],[TA 1 - Q1 Score]]+Table1[[#This Row],[TA 1 - Q2 Score]]+Table1[[#This Row],[TA 1 - Q3 Score]]</f>
        <v/>
      </c>
      <c r="Q295">
        <f>Table1[[#This Row],[TA 1 - Q1 Bonus]]+Table1[[#This Row],[TA 1 - Q2 Bonus]]+Table1[[#This Row],[TA 1 - Q4 Bonus]]</f>
        <v/>
      </c>
      <c r="R295">
        <f>Table1[[#This Row],[TA 2 - Q1 Score]]+Table1[[#This Row],[TA 2 - Q2 Score]]+Table1[[#This Row],[TA 2 - Q3 Score]]</f>
        <v/>
      </c>
      <c r="S295">
        <f>Table1[[#This Row],[TA 2 - Q1 Bonus]]+Table1[[#This Row],[TA 2 - Q2 Bonus]]+Table1[[#This Row],[TA 2 - Q4 Bonus]]</f>
        <v/>
      </c>
      <c r="T295">
        <f>(Table1[[#This Row],[TA 1 - Total Score (out of 35)]]+Table1[[#This Row],[TA 2 - Total Score (out of 35)]])/2</f>
        <v/>
      </c>
      <c r="U295">
        <f>(Table1[[#This Row],[TA 1 - Total Bonus (out of 13)]]+Table1[[#This Row],[TA 2 - Total Bonus (out of 13)]])/2</f>
        <v/>
      </c>
      <c r="V295">
        <f>Table1[[#This Row],[Average Questions]]/35*20+Table1[[#This Row],[Average Bonus]]/13*5</f>
        <v/>
      </c>
      <c r="W295" t="n">
        <v>6</v>
      </c>
      <c r="X295" t="n">
        <v>0</v>
      </c>
      <c r="Y295" t="inlineStr">
        <is>
          <t>The student's submission failed to complete several key tasks, including loading and preparing the data, loading a pretrained model and adapting it, and training the model. The code for the training and validation functions was partially correct, but the student failed to fix the labels, resulting in a loss of 2 points. The bonus task was not attempted. Overall, the submission demonstrates a lack of understanding of the required tasks and a failure to follow the instructions.
Breakdown:
- Part 1: Load and Prepare Data: 0.0/?
- Part 2: Load Pretrained Model and Adapt: 0.0/?
- Part 3: Training and Validation Functions: 1.5/?
- Part 4: Training: 0.0/?
- Part 5: Bonus — Test Time Augmentation: 0.0/?</t>
        </is>
      </c>
      <c r="Z295" t="n">
        <v>4</v>
      </c>
      <c r="AA295" t="n">
        <v>0</v>
      </c>
      <c r="AB295"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295" t="n">
        <v>6</v>
      </c>
      <c r="AD295" t="inlineStr">
        <is>
          <t>The student's submission is incomplete and lacks code for several tasks. While they attempted to visualize predictions, their code is not fully functional and does not meet the requirements of the task.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295" t="n">
        <v>0</v>
      </c>
      <c r="AF295" t="n">
        <v>0</v>
      </c>
      <c r="AG295" t="inlineStr">
        <is>
          <t>No submission found.</t>
        </is>
      </c>
      <c r="AH295" t="n">
        <v>16</v>
      </c>
      <c r="AI295" t="n">
        <v>0</v>
      </c>
    </row>
    <row r="296">
      <c r="A296" t="n">
        <v>295</v>
      </c>
      <c r="B296" t="inlineStr">
        <is>
          <t>TA_6</t>
        </is>
      </c>
      <c r="C296" t="inlineStr">
        <is>
          <t>TA_16</t>
        </is>
      </c>
      <c r="D296" t="n">
        <v>11</v>
      </c>
      <c r="E296" t="n">
        <v>0</v>
      </c>
      <c r="F296" t="n">
        <v>7</v>
      </c>
      <c r="G296" t="n">
        <v>0</v>
      </c>
      <c r="H296" t="n">
        <v>6</v>
      </c>
      <c r="I296" t="n">
        <v>0</v>
      </c>
      <c r="J296" t="n">
        <v>11</v>
      </c>
      <c r="K296" t="n">
        <v>0</v>
      </c>
      <c r="L296" t="n">
        <v>6</v>
      </c>
      <c r="M296" t="n">
        <v>0</v>
      </c>
      <c r="N296" t="n">
        <v>6</v>
      </c>
      <c r="O296" t="n">
        <v>0</v>
      </c>
      <c r="P296">
        <f>Table1[[#This Row],[TA 1 - Q1 Score]]+Table1[[#This Row],[TA 1 - Q2 Score]]+Table1[[#This Row],[TA 1 - Q3 Score]]</f>
        <v/>
      </c>
      <c r="Q296">
        <f>Table1[[#This Row],[TA 1 - Q1 Bonus]]+Table1[[#This Row],[TA 1 - Q2 Bonus]]+Table1[[#This Row],[TA 1 - Q4 Bonus]]</f>
        <v/>
      </c>
      <c r="R296">
        <f>Table1[[#This Row],[TA 2 - Q1 Score]]+Table1[[#This Row],[TA 2 - Q2 Score]]+Table1[[#This Row],[TA 2 - Q3 Score]]</f>
        <v/>
      </c>
      <c r="S296">
        <f>Table1[[#This Row],[TA 2 - Q1 Bonus]]+Table1[[#This Row],[TA 2 - Q2 Bonus]]+Table1[[#This Row],[TA 2 - Q4 Bonus]]</f>
        <v/>
      </c>
      <c r="T296">
        <f>(Table1[[#This Row],[TA 1 - Total Score (out of 35)]]+Table1[[#This Row],[TA 2 - Total Score (out of 35)]])/2</f>
        <v/>
      </c>
      <c r="U296">
        <f>(Table1[[#This Row],[TA 1 - Total Bonus (out of 13)]]+Table1[[#This Row],[TA 2 - Total Bonus (out of 13)]])/2</f>
        <v/>
      </c>
      <c r="V296">
        <f>Table1[[#This Row],[Average Questions]]/35*20+Table1[[#This Row],[Average Bonus]]/13*5</f>
        <v/>
      </c>
      <c r="W296" t="n">
        <v>6</v>
      </c>
      <c r="X296" t="n">
        <v>0</v>
      </c>
      <c r="Y296"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2.0/?
- Part 5: Bonus — Test Time Augmentation: 0.0/?</t>
        </is>
      </c>
      <c r="Z296" t="n">
        <v>4</v>
      </c>
      <c r="AA296" t="n">
        <v>0</v>
      </c>
      <c r="AB296"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296" t="n">
        <v>6</v>
      </c>
      <c r="AD296"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296" t="n">
        <v>0</v>
      </c>
      <c r="AF296" t="n">
        <v>0</v>
      </c>
      <c r="AG296" t="inlineStr">
        <is>
          <t>No submission found.</t>
        </is>
      </c>
      <c r="AH296" t="n">
        <v>16</v>
      </c>
      <c r="AI296" t="n">
        <v>0</v>
      </c>
    </row>
    <row r="297">
      <c r="A297" t="n">
        <v>296</v>
      </c>
      <c r="B297" t="inlineStr">
        <is>
          <t>TA_6</t>
        </is>
      </c>
      <c r="C297" t="inlineStr">
        <is>
          <t>TA_16</t>
        </is>
      </c>
      <c r="D297" t="n">
        <v>10.5</v>
      </c>
      <c r="E297" t="n">
        <v>0</v>
      </c>
      <c r="F297" t="n">
        <v>6.5</v>
      </c>
      <c r="G297" t="n">
        <v>0</v>
      </c>
      <c r="H297" t="n">
        <v>11.5</v>
      </c>
      <c r="I297" t="n">
        <v>5</v>
      </c>
      <c r="J297" t="n">
        <v>10.5</v>
      </c>
      <c r="K297" t="n">
        <v>0</v>
      </c>
      <c r="L297" t="n">
        <v>6.5</v>
      </c>
      <c r="M297" t="n">
        <v>0</v>
      </c>
      <c r="N297" t="n">
        <v>11.5</v>
      </c>
      <c r="O297" t="n">
        <v>5</v>
      </c>
      <c r="P297">
        <f>Table1[[#This Row],[TA 1 - Q1 Score]]+Table1[[#This Row],[TA 1 - Q2 Score]]+Table1[[#This Row],[TA 1 - Q3 Score]]</f>
        <v/>
      </c>
      <c r="Q297">
        <f>Table1[[#This Row],[TA 1 - Q1 Bonus]]+Table1[[#This Row],[TA 1 - Q2 Bonus]]+Table1[[#This Row],[TA 1 - Q4 Bonus]]</f>
        <v/>
      </c>
      <c r="R297">
        <f>Table1[[#This Row],[TA 2 - Q1 Score]]+Table1[[#This Row],[TA 2 - Q2 Score]]+Table1[[#This Row],[TA 2 - Q3 Score]]</f>
        <v/>
      </c>
      <c r="S297">
        <f>Table1[[#This Row],[TA 2 - Q1 Bonus]]+Table1[[#This Row],[TA 2 - Q2 Bonus]]+Table1[[#This Row],[TA 2 - Q4 Bonus]]</f>
        <v/>
      </c>
      <c r="T297">
        <f>(Table1[[#This Row],[TA 1 - Total Score (out of 35)]]+Table1[[#This Row],[TA 2 - Total Score (out of 35)]])/2</f>
        <v/>
      </c>
      <c r="U297">
        <f>(Table1[[#This Row],[TA 1 - Total Bonus (out of 13)]]+Table1[[#This Row],[TA 2 - Total Bonus (out of 13)]])/2</f>
        <v/>
      </c>
      <c r="V297">
        <f>Table1[[#This Row],[Average Questions]]/35*20+Table1[[#This Row],[Average Bonus]]/13*5</f>
        <v/>
      </c>
      <c r="W297" t="n">
        <v>6</v>
      </c>
      <c r="X297" t="n">
        <v>0</v>
      </c>
      <c r="Y297" t="inlineStr">
        <is>
          <t>The student's submission failed to complete several key tasks, including loading and preparing the data, loading the pretrained model and adapting it, and implementing the training and validation functions. While the student did attempt to train the model, their code contained several errors and did not run end-to-end. As a result, the student was unable to complete the bonus task of implementing test time augmentation. Overall, the student's submission demonstrated a lack of understanding of the key concepts and a failure to follow the instructions.
Breakdown:
- Part 1: Load and Prepare Data: 0.0/?
- Part 2: Load Pretrained Model and Adapt: 0.0/?
- Part 3: Training and Validation Functions: 0.0/?
- Part 4: Training: 6.0/?
- Part 5: Bonus — Test Time Augmentation: 0.0/?</t>
        </is>
      </c>
      <c r="Z297" t="n">
        <v>4</v>
      </c>
      <c r="AA297" t="n">
        <v>0</v>
      </c>
      <c r="AB297" t="inlineStr">
        <is>
          <t>The student's submission failed to meet the requirements of the task. The code is disorganized and does not follow the structure of the reference solution. The student attempted to load and prepare the data, but the code is incomplete and does not produce the correct output. The CNN model is not built correctly, and the training and validation functions are not implemented. The student did not attempt to train the model or implement the residual connection.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297" t="n">
        <v>6</v>
      </c>
      <c r="AD297" t="inlineStr">
        <is>
          <t>The student's submission was incomplete and lacked code for most tasks. The only task that was attempted was Task 5: Visualizing Predictions, where the student's code was mostly correct but had some issues with displaying the predicted masks. Overall, the submission did not meet the requirements of the question and did not demonstrate a clear understanding of the concepts.
Breakdown:
- Task 1: Dataset Class: 0.0/?
- Task 2: Model Class: 0.0/?
- Task 3: Training and Validation Loops: 0.0/?
- Task 4: Running Training: 0.0/?
- Task 5: Visualizing Predictions: 6.0/?</t>
        </is>
      </c>
      <c r="AE297" t="n">
        <v>0</v>
      </c>
      <c r="AF297" t="n">
        <v>0</v>
      </c>
      <c r="AG297" t="inlineStr">
        <is>
          <t>The student's submission failed to implement the `ColorizationDataset` class correctly, resulting in a score of 0.0 for the base task. The `rgb_to_grayscale` method had a syntax error and did not follow the correct formula, and the `__getitem__` method did not return the correct tuple. As a result, the student did not earn any points for this task.
Breakdown:
- Correctly implemented `ColorizationDataset` class:: 0.0/?</t>
        </is>
      </c>
      <c r="AH297" t="n">
        <v>16</v>
      </c>
      <c r="AI297" t="n">
        <v>0</v>
      </c>
    </row>
    <row r="298">
      <c r="A298" t="n">
        <v>297</v>
      </c>
      <c r="B298" t="inlineStr">
        <is>
          <t>TA_6</t>
        </is>
      </c>
      <c r="C298" t="inlineStr">
        <is>
          <t>TA_16</t>
        </is>
      </c>
      <c r="D298" t="n">
        <v>9.5</v>
      </c>
      <c r="E298" t="n">
        <v>1</v>
      </c>
      <c r="F298" t="n">
        <v>6</v>
      </c>
      <c r="G298" t="n">
        <v>1.5</v>
      </c>
      <c r="H298" t="n">
        <v>12</v>
      </c>
      <c r="I298" t="n">
        <v>0</v>
      </c>
      <c r="J298" t="n">
        <v>7.5</v>
      </c>
      <c r="K298" t="n">
        <v>1</v>
      </c>
      <c r="L298" t="n">
        <v>6</v>
      </c>
      <c r="M298" t="n">
        <v>1.5</v>
      </c>
      <c r="N298" t="n">
        <v>12</v>
      </c>
      <c r="O298" t="n">
        <v>0</v>
      </c>
      <c r="P298">
        <f>Table1[[#This Row],[TA 1 - Q1 Score]]+Table1[[#This Row],[TA 1 - Q2 Score]]+Table1[[#This Row],[TA 1 - Q3 Score]]</f>
        <v/>
      </c>
      <c r="Q298">
        <f>Table1[[#This Row],[TA 1 - Q1 Bonus]]+Table1[[#This Row],[TA 1 - Q2 Bonus]]+Table1[[#This Row],[TA 1 - Q4 Bonus]]</f>
        <v/>
      </c>
      <c r="R298">
        <f>Table1[[#This Row],[TA 2 - Q1 Score]]+Table1[[#This Row],[TA 2 - Q2 Score]]+Table1[[#This Row],[TA 2 - Q3 Score]]</f>
        <v/>
      </c>
      <c r="S298">
        <f>Table1[[#This Row],[TA 2 - Q1 Bonus]]+Table1[[#This Row],[TA 2 - Q2 Bonus]]+Table1[[#This Row],[TA 2 - Q4 Bonus]]</f>
        <v/>
      </c>
      <c r="T298">
        <f>(Table1[[#This Row],[TA 1 - Total Score (out of 35)]]+Table1[[#This Row],[TA 2 - Total Score (out of 35)]])/2</f>
        <v/>
      </c>
      <c r="U298">
        <f>(Table1[[#This Row],[TA 1 - Total Bonus (out of 13)]]+Table1[[#This Row],[TA 2 - Total Bonus (out of 13)]])/2</f>
        <v/>
      </c>
      <c r="V298">
        <f>Table1[[#This Row],[Average Questions]]/35*20+Table1[[#This Row],[Average Bonus]]/13*5</f>
        <v/>
      </c>
      <c r="W298" t="n">
        <v>6</v>
      </c>
      <c r="X298" t="n">
        <v>0</v>
      </c>
      <c r="Y29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298" t="n">
        <v>4</v>
      </c>
      <c r="AA298" t="n">
        <v>0</v>
      </c>
      <c r="AB298" t="inlineStr">
        <is>
          <t>The student's submission failed to meet the requirements of the task. The code was not organized in a way that followed the reference solution, and several key components were missing or incorrect. The student attempted to implement the CNN model, but the architecture was not correctly implemented. The training and validation functions were not defined, and the training process was not executed. The bonus task of adding a residual connection was not attempted. Overall, the submission did not demonstrate a clear understanding of the task requirements and did not produce a working model.
Breakdown:
- Part 1: Load and Prepare Data: 0.0/?
- Part 2: Build the CNN Model: 0.0/?
- Part 3: Training and Validation Functions: 0.0/?
- Part 4: Training: 0.0/?
- Part 5: Bonus — Residual Connection: 0.0/?</t>
        </is>
      </c>
      <c r="AC298" t="n">
        <v>6</v>
      </c>
      <c r="AD298" t="inlineStr">
        <is>
          <t>The student's submission is incomplete and lacks code for several tasks. While they attempted to visualize predictions, their code is not fully functional and does not meet the requirements of the task. As a result, the student earns 0 points for Tasks 1-4 and 6 points for Task 5, for a total score of 6.0.
Breakdown:
- Task 1: Dataset Class: 0.0/?
- Task 2: Model Class: 0.0/?
- Task 3: Training and Validation Loops: 0.0/?
- Task 4: Running Training: 0.0/?
- Task 5: Visualizing Predictions: 6.0/?</t>
        </is>
      </c>
      <c r="AE298" t="n">
        <v>0</v>
      </c>
      <c r="AF298" t="n">
        <v>0</v>
      </c>
      <c r="AG298" t="inlineStr">
        <is>
          <t>The student's submission does not implement the `ColorizationDataset` class correctly. The `rgb_to_grayscale` method is not implemented correctly and the `__getitem__` method is not implemented correctly. As a result, the student does not receive any points for this task.
Breakdown:
- Correctly implemented `ColorizationDataset` class:: 0.0/?
- Any mistake in implementation: 0.0/?</t>
        </is>
      </c>
      <c r="AH298" t="n">
        <v>16</v>
      </c>
      <c r="AI298" t="n">
        <v>0</v>
      </c>
    </row>
    <row r="299">
      <c r="A299" t="n">
        <v>298</v>
      </c>
      <c r="B299" t="inlineStr">
        <is>
          <t>TA_6</t>
        </is>
      </c>
      <c r="C299" t="inlineStr">
        <is>
          <t>TA_16</t>
        </is>
      </c>
      <c r="D299" t="n">
        <v>3</v>
      </c>
      <c r="E299" t="n">
        <v>0</v>
      </c>
      <c r="F299" t="n">
        <v>0</v>
      </c>
      <c r="G299" t="n">
        <v>0</v>
      </c>
      <c r="H299" t="n">
        <v>-1</v>
      </c>
      <c r="I299" t="n">
        <v>0</v>
      </c>
      <c r="J299" t="n">
        <v>4</v>
      </c>
      <c r="K299" t="n">
        <v>0</v>
      </c>
      <c r="L299" t="n">
        <v>0</v>
      </c>
      <c r="M299" t="n">
        <v>0</v>
      </c>
      <c r="N299" t="n">
        <v>0</v>
      </c>
      <c r="O299" t="n">
        <v>0</v>
      </c>
      <c r="P299">
        <f>Table1[[#This Row],[TA 1 - Q1 Score]]+Table1[[#This Row],[TA 1 - Q2 Score]]+Table1[[#This Row],[TA 1 - Q3 Score]]</f>
        <v/>
      </c>
      <c r="Q299">
        <f>Table1[[#This Row],[TA 1 - Q1 Bonus]]+Table1[[#This Row],[TA 1 - Q2 Bonus]]+Table1[[#This Row],[TA 1 - Q4 Bonus]]</f>
        <v/>
      </c>
      <c r="R299">
        <f>Table1[[#This Row],[TA 2 - Q1 Score]]+Table1[[#This Row],[TA 2 - Q2 Score]]+Table1[[#This Row],[TA 2 - Q3 Score]]</f>
        <v/>
      </c>
      <c r="S299">
        <f>Table1[[#This Row],[TA 2 - Q1 Bonus]]+Table1[[#This Row],[TA 2 - Q2 Bonus]]+Table1[[#This Row],[TA 2 - Q4 Bonus]]</f>
        <v/>
      </c>
      <c r="T299">
        <f>(Table1[[#This Row],[TA 1 - Total Score (out of 35)]]+Table1[[#This Row],[TA 2 - Total Score (out of 35)]])/2</f>
        <v/>
      </c>
      <c r="U299">
        <f>(Table1[[#This Row],[TA 1 - Total Bonus (out of 13)]]+Table1[[#This Row],[TA 2 - Total Bonus (out of 13)]])/2</f>
        <v/>
      </c>
      <c r="V299">
        <f>Table1[[#This Row],[Average Questions]]/35*20+Table1[[#This Row],[Average Bonus]]/13*5</f>
        <v/>
      </c>
      <c r="W299" t="n">
        <v>6</v>
      </c>
      <c r="X299" t="n">
        <v>0</v>
      </c>
      <c r="Y299" t="inlineStr">
        <is>
          <t>The student's submission failed to complete several key tasks, including loading and preparing the data, loading a pretrained model, and training the model. The code for the training and validation functions was partially correct, but the student failed to fix the labels for the 0-indexed classes. The bonus task for test time augmentation was not attempted.
Breakdown:
- Part 1: Load and Prepare Data: 0.0/?
- Part 2: Load Pretrained Model and Adapt: 0.0/?
- Part 3: Training and Validation Functions: 1.5/?
- Part 4: Training: 0.0/?
- Part 5: Bonus — Test Time Augmentation: 0.0/?</t>
        </is>
      </c>
      <c r="Z299" t="n">
        <v>4</v>
      </c>
      <c r="AA299" t="n">
        <v>0</v>
      </c>
      <c r="AB299" t="inlineStr">
        <is>
          <t>The student's submission failed to meet the requirements of the task. The code was not organized in a way that follows the reference solution, and it did not run end-to-end. The student attempted to load and prepare the data, but the code was not correct. The CNN model was not built correctly, and the training and validation functions were not implemented. The training process was not completed, and the residual connection bonus task was not attempted. The student's code had several syntax and logic mistakes, and it did not follow the instructions provided in the task. As a result, the student did not earn any points for this task.
Breakdown:
- Part 1: Load and Prepare Data: 0.0/?
- Part 2: Build the CNN Model: 0.0/?
- Part 3: Training and Validation Functions: 0.0/?
- Part 4: Training: 0.0/?
- Part 5: Bonus — Residual Connection: 0.0/?</t>
        </is>
      </c>
      <c r="AC299" t="n">
        <v>6</v>
      </c>
      <c r="AD299" t="inlineStr">
        <is>
          <t>The student's submission failed to meet the requirements of the task. The code was not organized in a way that allowed it to run end-to-end, and several tasks were not implemented correctly. As a result, the student did not demonstrate a clear understanding of the concepts and did not meet the requirements of the task.
Breakdown:
- Task 1: Dataset Class: 0.0/?
- Task 2: Model Class: 0.0/?
- Task 3: Training and Validation Loops: 0.0/?
- Task 4: Running Training: 0.0/?
- Task 5: Visualizing Predictions: 0.0/?</t>
        </is>
      </c>
      <c r="AE299" t="n">
        <v>0</v>
      </c>
      <c r="AF299" t="n">
        <v>0</v>
      </c>
      <c r="AG299" t="inlineStr">
        <is>
          <t>The student's submission does not meet the requirements of the task. The `ColorizationDataset` class is not implemented correctly, and the student's code does not run end-to-end. The student's implementation contains syntax and logic mistakes, and the code does not produce the correct output.
Breakdown:
- Correctly implemented `ColorizationDataset` class:: 0.0/?
- Any mistake in implementation: 0.0/?</t>
        </is>
      </c>
      <c r="AH299" t="n">
        <v>16</v>
      </c>
      <c r="AI299" t="n">
        <v>0</v>
      </c>
    </row>
    <row r="300">
      <c r="A300" t="n">
        <v>299</v>
      </c>
      <c r="B300" t="inlineStr">
        <is>
          <t>TA_6</t>
        </is>
      </c>
      <c r="C300" t="inlineStr">
        <is>
          <t>TA_16</t>
        </is>
      </c>
      <c r="D300" t="n">
        <v>3</v>
      </c>
      <c r="E300" t="n">
        <v>0</v>
      </c>
      <c r="F300" t="n">
        <v>6</v>
      </c>
      <c r="G300" t="n">
        <v>0</v>
      </c>
      <c r="H300" t="n">
        <v>2</v>
      </c>
      <c r="I300" t="n">
        <v>0</v>
      </c>
      <c r="J300" t="n">
        <v>3</v>
      </c>
      <c r="K300" t="n">
        <v>0</v>
      </c>
      <c r="L300" t="n">
        <v>6</v>
      </c>
      <c r="M300" t="n">
        <v>0</v>
      </c>
      <c r="N300" t="n">
        <v>0</v>
      </c>
      <c r="O300" t="n">
        <v>0</v>
      </c>
      <c r="P300">
        <f>Table1[[#This Row],[TA 1 - Q1 Score]]+Table1[[#This Row],[TA 1 - Q2 Score]]+Table1[[#This Row],[TA 1 - Q3 Score]]</f>
        <v/>
      </c>
      <c r="Q300">
        <f>Table1[[#This Row],[TA 1 - Q1 Bonus]]+Table1[[#This Row],[TA 1 - Q2 Bonus]]+Table1[[#This Row],[TA 1 - Q4 Bonus]]</f>
        <v/>
      </c>
      <c r="R300">
        <f>Table1[[#This Row],[TA 2 - Q1 Score]]+Table1[[#This Row],[TA 2 - Q2 Score]]+Table1[[#This Row],[TA 2 - Q3 Score]]</f>
        <v/>
      </c>
      <c r="S300">
        <f>Table1[[#This Row],[TA 2 - Q1 Bonus]]+Table1[[#This Row],[TA 2 - Q2 Bonus]]+Table1[[#This Row],[TA 2 - Q4 Bonus]]</f>
        <v/>
      </c>
      <c r="T300">
        <f>(Table1[[#This Row],[TA 1 - Total Score (out of 35)]]+Table1[[#This Row],[TA 2 - Total Score (out of 35)]])/2</f>
        <v/>
      </c>
      <c r="U300">
        <f>(Table1[[#This Row],[TA 1 - Total Bonus (out of 13)]]+Table1[[#This Row],[TA 2 - Total Bonus (out of 13)]])/2</f>
        <v/>
      </c>
      <c r="V300">
        <f>Table1[[#This Row],[Average Questions]]/35*20+Table1[[#This Row],[Average Bonus]]/13*5</f>
        <v/>
      </c>
      <c r="W300" t="n">
        <v>6</v>
      </c>
      <c r="X300" t="n">
        <v>0</v>
      </c>
      <c r="Y30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incorrect, disregarding the explicit instructions provided in the reference solution.
Breakdown:
- Part 1: Load and Prepare Data: 0.0/?
- Part 2: Load Pretrained Model and Adapt: 0.0/?
- Part 3: Training and Validation Functions: 0.0/?
- Part 4: Training: 3.0/?
- Part 5: Bonus — Test Time Augmentation: 0.0/?</t>
        </is>
      </c>
      <c r="Z300" t="n">
        <v>4</v>
      </c>
      <c r="AA300" t="n">
        <v>0</v>
      </c>
      <c r="AB300"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00" t="n">
        <v>6</v>
      </c>
      <c r="AD300" t="inlineStr">
        <is>
          <t>The student's submission failed to address several key tasks in the rubric, including the dataset class, model class, training and validation loops, and visualizing predictions. While the student did attempt to define the loss and optimizer in the running training task, the training loop is incomplete. As a result, the student's submission does not meet the requirements of the rubric and earns a score of 6.0.
Breakdown:
- Task 1: Dataset Class: 0.0/?
- Task 2: Model Class: 0.0/?
- Task 3: Training and Validation Loops: 0.0/?
- Task 4: Running Training: 1.5/?
- Task 5: Visualizing Predictions: 0.0/?</t>
        </is>
      </c>
      <c r="AE300" t="n">
        <v>0</v>
      </c>
      <c r="AF300" t="n">
        <v>0</v>
      </c>
      <c r="AG300" t="inlineStr">
        <is>
          <t>No submission found.</t>
        </is>
      </c>
      <c r="AH300" t="n">
        <v>16</v>
      </c>
      <c r="AI300" t="n">
        <v>0</v>
      </c>
    </row>
    <row r="301">
      <c r="A301" t="n">
        <v>300</v>
      </c>
      <c r="B301" t="inlineStr">
        <is>
          <t>TA_6</t>
        </is>
      </c>
      <c r="C301" t="inlineStr">
        <is>
          <t>TA_16</t>
        </is>
      </c>
      <c r="D301" t="n">
        <v>5</v>
      </c>
      <c r="E301" t="n">
        <v>0</v>
      </c>
      <c r="F301" t="n">
        <v>8</v>
      </c>
      <c r="G301" t="n">
        <v>0</v>
      </c>
      <c r="H301" t="n">
        <v>8</v>
      </c>
      <c r="I301" t="n">
        <v>0</v>
      </c>
      <c r="J301" t="n">
        <v>3</v>
      </c>
      <c r="K301" t="n">
        <v>0</v>
      </c>
      <c r="L301" t="n">
        <v>8</v>
      </c>
      <c r="M301" t="n">
        <v>0</v>
      </c>
      <c r="N301" t="n">
        <v>7</v>
      </c>
      <c r="O301" t="n">
        <v>0</v>
      </c>
      <c r="P301">
        <f>Table1[[#This Row],[TA 1 - Q1 Score]]+Table1[[#This Row],[TA 1 - Q2 Score]]+Table1[[#This Row],[TA 1 - Q3 Score]]</f>
        <v/>
      </c>
      <c r="Q301">
        <f>Table1[[#This Row],[TA 1 - Q1 Bonus]]+Table1[[#This Row],[TA 1 - Q2 Bonus]]+Table1[[#This Row],[TA 1 - Q4 Bonus]]</f>
        <v/>
      </c>
      <c r="R301">
        <f>Table1[[#This Row],[TA 2 - Q1 Score]]+Table1[[#This Row],[TA 2 - Q2 Score]]+Table1[[#This Row],[TA 2 - Q3 Score]]</f>
        <v/>
      </c>
      <c r="S301">
        <f>Table1[[#This Row],[TA 2 - Q1 Bonus]]+Table1[[#This Row],[TA 2 - Q2 Bonus]]+Table1[[#This Row],[TA 2 - Q4 Bonus]]</f>
        <v/>
      </c>
      <c r="T301">
        <f>(Table1[[#This Row],[TA 1 - Total Score (out of 35)]]+Table1[[#This Row],[TA 2 - Total Score (out of 35)]])/2</f>
        <v/>
      </c>
      <c r="U301">
        <f>(Table1[[#This Row],[TA 1 - Total Bonus (out of 13)]]+Table1[[#This Row],[TA 2 - Total Bonus (out of 13)]])/2</f>
        <v/>
      </c>
      <c r="V301">
        <f>Table1[[#This Row],[Average Questions]]/35*20+Table1[[#This Row],[Average Bonus]]/13*5</f>
        <v/>
      </c>
      <c r="W301" t="n">
        <v>6</v>
      </c>
      <c r="X301" t="n">
        <v>0</v>
      </c>
      <c r="Y30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2.5/?
- Part 5: Bonus — Test Time Augmentation: 0.0/?</t>
        </is>
      </c>
      <c r="Z301" t="n">
        <v>4</v>
      </c>
      <c r="AA301" t="n">
        <v>0</v>
      </c>
      <c r="AB301" t="inlineStr">
        <is>
          <t>The submission failed to load and prepare the data correctly, as the custom dataset class was not implemented. The CNN model was not built with the correct architecture, and the training and validation functions were not implemented. The training process was not executed, and the residual connection bonus task was not attempted. The student's code attempted to load the dataset but failed to implement the custom dataset class, resulting in a score of 0 for Part 1. The CNN model was not built with the correct architecture, resulting in a score of 0 for Part 2. The training and validation functions were not implemented, resulting in a score of 0 for Part 3. The training process was not executed, resulting in a score of 0 for Part 4. The residual connection bonus task was not attempted, resulting in a score of 0 for Part 5.
Breakdown:
- Part 1: Load and Prepare Data: 0.0/?
- Part 2: Build the CNN Model: 0.0/?
- Part 3: Training and Validation Functions: 0.0/?
- Part 4: Training: 0.0/?
- Part 5: Bonus — Residual Connection: 0.0/?</t>
        </is>
      </c>
      <c r="AC301" t="n">
        <v>6</v>
      </c>
      <c r="AD301"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301" t="n">
        <v>0</v>
      </c>
      <c r="AF301" t="n">
        <v>0</v>
      </c>
      <c r="AG301" t="inlineStr">
        <is>
          <t>The student's submission does not implement the `ColorizationDataset` class correctly. The `rgb_to_grayscale` method is not implemented, and the `__getitem__` method is not returning the correct values. As a result, the student does not receive any points for this task.
Breakdown:
- Correctly implemented `ColorizationDataset` class:: 0.0/?</t>
        </is>
      </c>
      <c r="AH301" t="n">
        <v>16</v>
      </c>
      <c r="AI301" t="n">
        <v>0</v>
      </c>
    </row>
    <row r="302">
      <c r="A302" t="n">
        <v>301</v>
      </c>
      <c r="B302" t="inlineStr">
        <is>
          <t>TA_6</t>
        </is>
      </c>
      <c r="C302" t="inlineStr">
        <is>
          <t>TA_16</t>
        </is>
      </c>
      <c r="D302" t="n">
        <v>4.5</v>
      </c>
      <c r="E302" t="n">
        <v>0</v>
      </c>
      <c r="F302" t="n">
        <v>8.5</v>
      </c>
      <c r="G302" t="n">
        <v>0</v>
      </c>
      <c r="H302" t="n">
        <v>0</v>
      </c>
      <c r="I302" t="n">
        <v>0</v>
      </c>
      <c r="J302" t="n">
        <v>4.5</v>
      </c>
      <c r="K302" t="n">
        <v>0</v>
      </c>
      <c r="L302" t="n">
        <v>8.5</v>
      </c>
      <c r="M302" t="n">
        <v>0</v>
      </c>
      <c r="N302" t="n">
        <v>0</v>
      </c>
      <c r="O302" t="n">
        <v>0</v>
      </c>
      <c r="P302">
        <f>Table1[[#This Row],[TA 1 - Q1 Score]]+Table1[[#This Row],[TA 1 - Q2 Score]]+Table1[[#This Row],[TA 1 - Q3 Score]]</f>
        <v/>
      </c>
      <c r="Q302">
        <f>Table1[[#This Row],[TA 1 - Q1 Bonus]]+Table1[[#This Row],[TA 1 - Q2 Bonus]]+Table1[[#This Row],[TA 1 - Q4 Bonus]]</f>
        <v/>
      </c>
      <c r="R302">
        <f>Table1[[#This Row],[TA 2 - Q1 Score]]+Table1[[#This Row],[TA 2 - Q2 Score]]+Table1[[#This Row],[TA 2 - Q3 Score]]</f>
        <v/>
      </c>
      <c r="S302">
        <f>Table1[[#This Row],[TA 2 - Q1 Bonus]]+Table1[[#This Row],[TA 2 - Q2 Bonus]]+Table1[[#This Row],[TA 2 - Q4 Bonus]]</f>
        <v/>
      </c>
      <c r="T302">
        <f>(Table1[[#This Row],[TA 1 - Total Score (out of 35)]]+Table1[[#This Row],[TA 2 - Total Score (out of 35)]])/2</f>
        <v/>
      </c>
      <c r="U302">
        <f>(Table1[[#This Row],[TA 1 - Total Bonus (out of 13)]]+Table1[[#This Row],[TA 2 - Total Bonus (out of 13)]])/2</f>
        <v/>
      </c>
      <c r="V302">
        <f>Table1[[#This Row],[Average Questions]]/35*20+Table1[[#This Row],[Average Bonus]]/13*5</f>
        <v/>
      </c>
      <c r="W302" t="n">
        <v>6</v>
      </c>
      <c r="X302" t="n">
        <v>0</v>
      </c>
      <c r="Y302" t="inlineStr">
        <is>
          <t>The student's submission failed to complete several key tasks, including loading and preparing the data, loading the pretrained model and adapting it, and implementing the training and validation functions. While the student attempted to train the model, their code contained several errors and did not run end-to-end. The bonus task of implementing test time augmentation was also not completed. As a result, the student's score is low, reflecting the incomplete and incorrect nature of their submission.
Breakdown:
- Part 1: Load and Prepare Data: 0.0/?
- Part 2: Load Pretrained Model and Adapt: 0.0/?
- Part 3: Training and Validation Functions: 0.0/?
- Part 4: Training: 2.0/?
- Part 5: Bonus — Test Time Augmentation: 0.0/?</t>
        </is>
      </c>
      <c r="Z302" t="n">
        <v>4</v>
      </c>
      <c r="AA302" t="n">
        <v>0</v>
      </c>
      <c r="AB302"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02" t="n">
        <v>0</v>
      </c>
      <c r="AD302" t="inlineStr">
        <is>
          <t>No submission found.</t>
        </is>
      </c>
      <c r="AE302" t="n">
        <v>0</v>
      </c>
      <c r="AF302" t="n">
        <v>0</v>
      </c>
      <c r="AG302" t="inlineStr">
        <is>
          <t>No submission found.</t>
        </is>
      </c>
      <c r="AH302" t="n">
        <v>10</v>
      </c>
      <c r="AI302" t="n">
        <v>0</v>
      </c>
    </row>
    <row r="303">
      <c r="A303" t="n">
        <v>302</v>
      </c>
      <c r="B303" t="inlineStr">
        <is>
          <t>TA_6</t>
        </is>
      </c>
      <c r="C303" t="inlineStr">
        <is>
          <t>TA_16</t>
        </is>
      </c>
      <c r="D303" t="n">
        <v>7.5</v>
      </c>
      <c r="E303" t="n">
        <v>4</v>
      </c>
      <c r="F303" t="n">
        <v>11</v>
      </c>
      <c r="G303" t="n">
        <v>0</v>
      </c>
      <c r="H303" t="n">
        <v>12</v>
      </c>
      <c r="I303" t="n">
        <v>0</v>
      </c>
      <c r="J303" t="n">
        <v>7.5</v>
      </c>
      <c r="K303" t="n">
        <v>4</v>
      </c>
      <c r="L303" t="n">
        <v>11</v>
      </c>
      <c r="M303" t="n">
        <v>0</v>
      </c>
      <c r="N303" t="n">
        <v>12</v>
      </c>
      <c r="O303" t="n">
        <v>0</v>
      </c>
      <c r="P303">
        <f>Table1[[#This Row],[TA 1 - Q1 Score]]+Table1[[#This Row],[TA 1 - Q2 Score]]+Table1[[#This Row],[TA 1 - Q3 Score]]</f>
        <v/>
      </c>
      <c r="Q303">
        <f>Table1[[#This Row],[TA 1 - Q1 Bonus]]+Table1[[#This Row],[TA 1 - Q2 Bonus]]+Table1[[#This Row],[TA 1 - Q4 Bonus]]</f>
        <v/>
      </c>
      <c r="R303">
        <f>Table1[[#This Row],[TA 2 - Q1 Score]]+Table1[[#This Row],[TA 2 - Q2 Score]]+Table1[[#This Row],[TA 2 - Q3 Score]]</f>
        <v/>
      </c>
      <c r="S303">
        <f>Table1[[#This Row],[TA 2 - Q1 Bonus]]+Table1[[#This Row],[TA 2 - Q2 Bonus]]+Table1[[#This Row],[TA 2 - Q4 Bonus]]</f>
        <v/>
      </c>
      <c r="T303">
        <f>(Table1[[#This Row],[TA 1 - Total Score (out of 35)]]+Table1[[#This Row],[TA 2 - Total Score (out of 35)]])/2</f>
        <v/>
      </c>
      <c r="U303">
        <f>(Table1[[#This Row],[TA 1 - Total Bonus (out of 13)]]+Table1[[#This Row],[TA 2 - Total Bonus (out of 13)]])/2</f>
        <v/>
      </c>
      <c r="V303">
        <f>Table1[[#This Row],[Average Questions]]/35*20+Table1[[#This Row],[Average Bonus]]/13*5</f>
        <v/>
      </c>
      <c r="W303" t="n">
        <v>6</v>
      </c>
      <c r="X303" t="n">
        <v>0</v>
      </c>
      <c r="Y303"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implementation of test time augmentation was also incomplete. Overall, the submission demonstrated a lack of understanding of the required tasks and concepts.
Breakdown:
- Part 1: Load and Prepare Data: 0.0/?
- Part 2: Load Pretrained Model and Adapt: 0.0/?
- Part 3: Training and Validation Functions: 0.0/?
- Part 4: Training: 2.0/?
- Part 5: Bonus — Test Time Augmentation: 0.0/?</t>
        </is>
      </c>
      <c r="Z303" t="n">
        <v>4</v>
      </c>
      <c r="AA303" t="n">
        <v>0</v>
      </c>
      <c r="AB303"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303" t="n">
        <v>6</v>
      </c>
      <c r="AD303" t="inlineStr">
        <is>
          <t>The student's submission was incomplete, with no code submitted for Tasks 1-4. However, the code for Task 5 was mostly correct, with the student successfully visualizing the predictions and displaying the original images. The only issue was that the ground truth masks were not displayed correctly. Overall, the student demonstrated some understanding of the task, but their submission was incomplete and lacked attention to detail.
Breakdown:
- Task 1: Dataset Class: 0.0/?
- Task 2: Model Class: 0.0/?
- Task 3: Training and Validation Loops: 0.0/?
- Task 4: Running Training: 0.0/?
- Task 5: Visualizing Predictions: 6.0/?</t>
        </is>
      </c>
      <c r="AE303" t="n">
        <v>0</v>
      </c>
      <c r="AF303" t="n">
        <v>0</v>
      </c>
      <c r="AG303" t="inlineStr">
        <is>
          <t>The student's submission contains multiple errors in the implementation of the `ColorizationDataset` class. The `rgb_to_grayscale` method is missing the channel dimension, and the `__getitem__` method does not return the grayscale and color images. Additionally, the implementation contains syntax and logic mistakes. As a result, the submission does not meet the requirements of the task and does not award any points.
Breakdown:
- Correctly implemented `ColorizationDataset` class:: 0.0/?
- Any mistake in implementation: 0.0/?</t>
        </is>
      </c>
      <c r="AH303" t="n">
        <v>16</v>
      </c>
      <c r="AI303" t="n">
        <v>0</v>
      </c>
    </row>
    <row r="304">
      <c r="A304" t="n">
        <v>303</v>
      </c>
      <c r="B304" t="inlineStr">
        <is>
          <t>TA_6</t>
        </is>
      </c>
      <c r="C304" t="inlineStr">
        <is>
          <t>TA_16</t>
        </is>
      </c>
      <c r="D304" t="n">
        <v>12</v>
      </c>
      <c r="E304" t="n">
        <v>3</v>
      </c>
      <c r="F304" t="n">
        <v>11</v>
      </c>
      <c r="G304" t="n">
        <v>4</v>
      </c>
      <c r="H304" t="n">
        <v>12</v>
      </c>
      <c r="I304" t="n">
        <v>0</v>
      </c>
      <c r="J304" t="n">
        <v>12</v>
      </c>
      <c r="K304" t="n">
        <v>3</v>
      </c>
      <c r="L304" t="n">
        <v>11</v>
      </c>
      <c r="M304" t="n">
        <v>4</v>
      </c>
      <c r="N304" t="n">
        <v>12</v>
      </c>
      <c r="O304" t="n">
        <v>0</v>
      </c>
      <c r="P304">
        <f>Table1[[#This Row],[TA 1 - Q1 Score]]+Table1[[#This Row],[TA 1 - Q2 Score]]+Table1[[#This Row],[TA 1 - Q3 Score]]</f>
        <v/>
      </c>
      <c r="Q304">
        <f>Table1[[#This Row],[TA 1 - Q1 Bonus]]+Table1[[#This Row],[TA 1 - Q2 Bonus]]+Table1[[#This Row],[TA 1 - Q4 Bonus]]</f>
        <v/>
      </c>
      <c r="R304">
        <f>Table1[[#This Row],[TA 2 - Q1 Score]]+Table1[[#This Row],[TA 2 - Q2 Score]]+Table1[[#This Row],[TA 2 - Q3 Score]]</f>
        <v/>
      </c>
      <c r="S304">
        <f>Table1[[#This Row],[TA 2 - Q1 Bonus]]+Table1[[#This Row],[TA 2 - Q2 Bonus]]+Table1[[#This Row],[TA 2 - Q4 Bonus]]</f>
        <v/>
      </c>
      <c r="T304">
        <f>(Table1[[#This Row],[TA 1 - Total Score (out of 35)]]+Table1[[#This Row],[TA 2 - Total Score (out of 35)]])/2</f>
        <v/>
      </c>
      <c r="U304">
        <f>(Table1[[#This Row],[TA 1 - Total Bonus (out of 13)]]+Table1[[#This Row],[TA 2 - Total Bonus (out of 13)]])/2</f>
        <v/>
      </c>
      <c r="V304">
        <f>Table1[[#This Row],[Average Questions]]/35*20+Table1[[#This Row],[Average Bonus]]/13*5</f>
        <v/>
      </c>
      <c r="W304" t="n">
        <v>6</v>
      </c>
      <c r="X304" t="n">
        <v>0</v>
      </c>
      <c r="Y304"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key concepts and failed to execute the tasks correctly.
Breakdown:
- Part 1: Load and Prepare Data: 0.0/?
- Part 2: Load Pretrained Model and Adapt: 0.0/?
- Part 3: Training and Validation Functions: 1.75/?
- Part 4: Training: 0.0/?
- Part 5: Bonus — Test Time Augmentation: 0.0/?</t>
        </is>
      </c>
      <c r="Z304" t="n">
        <v>4</v>
      </c>
      <c r="AA304" t="n">
        <v>4</v>
      </c>
      <c r="AB304" t="inlineStr">
        <is>
          <t>The student's submission failed to meet the requirements for most tasks. They did not load and prepare the data correctly, and their CNN model was not built as specified. The training and validation functions were also not implemented. However, they did attempt the residual connection bonus task and received full credit for it.
Breakdown:
- Part 1: Load and Prepare Data: 0.0/?
- Part 2: Build the CNN Model: 0.0/?
- Part 3: Training and Validation Functions: 0.0/?
- Part 4: Training: 0.0/?
- Part 5: Bonus — Residual Connection: 4.0/?</t>
        </is>
      </c>
      <c r="AC304" t="n">
        <v>6</v>
      </c>
      <c r="AD304" t="inlineStr">
        <is>
          <t>The student's submission was incomplete and lacked code for most tasks. The only task that was attempted was Task 5: Visualizing Predictions, where the student's code was mostly correct but had a minor issue with displaying the ground truth masks. As a result, the student scored 6.0 out of 12.0 for the base tasks and 0.0 for the bonus tasks.
Breakdown:
- Task 1: Dataset Class: 0.0/?
- Task 2: Model Class: 0.0/?
- Task 3: Training and Validation Loops: 0.0/?
- Task 4: Running Training: 0.0/?
- Task 5: Visualizing Predictions: 6.0/?</t>
        </is>
      </c>
      <c r="AE304" t="n">
        <v>0</v>
      </c>
      <c r="AF304" t="n">
        <v>0</v>
      </c>
      <c r="AG304" t="inlineStr">
        <is>
          <t>No submission found.</t>
        </is>
      </c>
      <c r="AH304" t="n">
        <v>16</v>
      </c>
      <c r="AI304" t="n">
        <v>4</v>
      </c>
    </row>
    <row r="305">
      <c r="A305" t="n">
        <v>304</v>
      </c>
      <c r="B305" t="inlineStr">
        <is>
          <t>TA_6</t>
        </is>
      </c>
      <c r="C305" t="inlineStr">
        <is>
          <t>TA_16</t>
        </is>
      </c>
      <c r="D305" t="n">
        <v>5</v>
      </c>
      <c r="E305" t="n">
        <v>0</v>
      </c>
      <c r="F305" t="n">
        <v>6</v>
      </c>
      <c r="G305" t="n">
        <v>0</v>
      </c>
      <c r="H305" t="n">
        <v>3</v>
      </c>
      <c r="I305" t="n">
        <v>0</v>
      </c>
      <c r="J305" t="n">
        <v>3</v>
      </c>
      <c r="K305" t="n">
        <v>0</v>
      </c>
      <c r="L305" t="n">
        <v>6</v>
      </c>
      <c r="M305" t="n">
        <v>0</v>
      </c>
      <c r="N305" t="n">
        <v>1</v>
      </c>
      <c r="O305" t="n">
        <v>0</v>
      </c>
      <c r="P305">
        <f>Table1[[#This Row],[TA 1 - Q1 Score]]+Table1[[#This Row],[TA 1 - Q2 Score]]+Table1[[#This Row],[TA 1 - Q3 Score]]</f>
        <v/>
      </c>
      <c r="Q305">
        <f>Table1[[#This Row],[TA 1 - Q1 Bonus]]+Table1[[#This Row],[TA 1 - Q2 Bonus]]+Table1[[#This Row],[TA 1 - Q4 Bonus]]</f>
        <v/>
      </c>
      <c r="R305">
        <f>Table1[[#This Row],[TA 2 - Q1 Score]]+Table1[[#This Row],[TA 2 - Q2 Score]]+Table1[[#This Row],[TA 2 - Q3 Score]]</f>
        <v/>
      </c>
      <c r="S305">
        <f>Table1[[#This Row],[TA 2 - Q1 Bonus]]+Table1[[#This Row],[TA 2 - Q2 Bonus]]+Table1[[#This Row],[TA 2 - Q4 Bonus]]</f>
        <v/>
      </c>
      <c r="T305">
        <f>(Table1[[#This Row],[TA 1 - Total Score (out of 35)]]+Table1[[#This Row],[TA 2 - Total Score (out of 35)]])/2</f>
        <v/>
      </c>
      <c r="U305">
        <f>(Table1[[#This Row],[TA 1 - Total Bonus (out of 13)]]+Table1[[#This Row],[TA 2 - Total Bonus (out of 13)]])/2</f>
        <v/>
      </c>
      <c r="V305">
        <f>Table1[[#This Row],[Average Questions]]/35*20+Table1[[#This Row],[Average Bonus]]/13*5</f>
        <v/>
      </c>
      <c r="W305" t="n">
        <v>6</v>
      </c>
      <c r="X305" t="n">
        <v>0</v>
      </c>
      <c r="Y30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earns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305" t="n">
        <v>4</v>
      </c>
      <c r="AA305" t="n">
        <v>0</v>
      </c>
      <c r="AB305" t="inlineStr">
        <is>
          <t>The student's submission failed to meet the requirements of the task. The code was disorganized and did not follow the structure of the reference solution. The student attempted to load and prepare the data, but the code was incomplete and did not run end-to-end. The CNN model was not built correctly, and the training and validation functions were not implemented. The student did not attempt to train the model or implement the residual connection.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305" t="n">
        <v>6</v>
      </c>
      <c r="AD305" t="inlineStr">
        <is>
          <t>The student's submission failed to meet the requirements of the task. The code was not organized, and the tasks were not completed correctly. The student did not follow the instructions and did not use the correct methods to complete the tasks. As a result, the student did not earn any points for this task.
Breakdown:
- Task 1: Dataset Class: 0.0/?
- Task 2: Model Class: 0.0/?
- Task 3: Training and Validation Loops: 0.0/?
- Task 4: Running Training: 0.0/?
- Task 5: Visualizing Predictions: 0.0/?</t>
        </is>
      </c>
      <c r="AE305" t="n">
        <v>0</v>
      </c>
      <c r="AF305" t="n">
        <v>0</v>
      </c>
      <c r="AG305" t="inlineStr">
        <is>
          <t>No submission found.</t>
        </is>
      </c>
      <c r="AH305" t="n">
        <v>16</v>
      </c>
      <c r="AI305" t="n">
        <v>0</v>
      </c>
    </row>
    <row r="306">
      <c r="A306" t="n">
        <v>305</v>
      </c>
      <c r="B306" t="inlineStr">
        <is>
          <t>TA_6</t>
        </is>
      </c>
      <c r="C306" t="inlineStr">
        <is>
          <t>TA_16</t>
        </is>
      </c>
      <c r="D306" t="n">
        <v>4.5</v>
      </c>
      <c r="E306" t="n">
        <v>0</v>
      </c>
      <c r="F306" t="n">
        <v>5</v>
      </c>
      <c r="G306" t="n">
        <v>0</v>
      </c>
      <c r="H306" t="n">
        <v>1.5</v>
      </c>
      <c r="I306" t="n">
        <v>0</v>
      </c>
      <c r="J306" t="n">
        <v>5.5</v>
      </c>
      <c r="K306" t="n">
        <v>0</v>
      </c>
      <c r="L306" t="n">
        <v>5</v>
      </c>
      <c r="M306" t="n">
        <v>0</v>
      </c>
      <c r="N306" t="n">
        <v>0.5</v>
      </c>
      <c r="O306" t="n">
        <v>0</v>
      </c>
      <c r="P306">
        <f>Table1[[#This Row],[TA 1 - Q1 Score]]+Table1[[#This Row],[TA 1 - Q2 Score]]+Table1[[#This Row],[TA 1 - Q3 Score]]</f>
        <v/>
      </c>
      <c r="Q306">
        <f>Table1[[#This Row],[TA 1 - Q1 Bonus]]+Table1[[#This Row],[TA 1 - Q2 Bonus]]+Table1[[#This Row],[TA 1 - Q4 Bonus]]</f>
        <v/>
      </c>
      <c r="R306">
        <f>Table1[[#This Row],[TA 2 - Q1 Score]]+Table1[[#This Row],[TA 2 - Q2 Score]]+Table1[[#This Row],[TA 2 - Q3 Score]]</f>
        <v/>
      </c>
      <c r="S306">
        <f>Table1[[#This Row],[TA 2 - Q1 Bonus]]+Table1[[#This Row],[TA 2 - Q2 Bonus]]+Table1[[#This Row],[TA 2 - Q4 Bonus]]</f>
        <v/>
      </c>
      <c r="T306">
        <f>(Table1[[#This Row],[TA 1 - Total Score (out of 35)]]+Table1[[#This Row],[TA 2 - Total Score (out of 35)]])/2</f>
        <v/>
      </c>
      <c r="U306">
        <f>(Table1[[#This Row],[TA 1 - Total Bonus (out of 13)]]+Table1[[#This Row],[TA 2 - Total Bonus (out of 13)]])/2</f>
        <v/>
      </c>
      <c r="V306">
        <f>Table1[[#This Row],[Average Questions]]/35*20+Table1[[#This Row],[Average Bonus]]/13*5</f>
        <v/>
      </c>
      <c r="W306" t="n">
        <v>6</v>
      </c>
      <c r="X306" t="n">
        <v>0</v>
      </c>
      <c r="Y306"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disregarded explicit instructions by using a different dataset. As a result, the student's submission was awarded a score of 6.0, with no bonus points.
Breakdown:
- Part 1: Load and Prepare Data: 0.0/?
- Part 2: Load Pretrained Model and Adapt: 0.0/?
- Part 3: Training and Validation Functions: 0.0/?
- Part 4: Training: 2.0/?
- Part 5: Bonus — Test Time Augmentation: 0.0/?</t>
        </is>
      </c>
      <c r="Z306" t="n">
        <v>4</v>
      </c>
      <c r="AA306" t="n">
        <v>0</v>
      </c>
      <c r="AB306"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06" t="n">
        <v>6</v>
      </c>
      <c r="AD306" t="inlineStr">
        <is>
          <t>The student's submission failed to meet the requirements of the task. The code was not organized correctly, and several tasks were not completed. The student attempted to define the dataset class, but it was not correct. The model class was not defined correctly, and the number of classes was set to 1 instead of 8. The training and validation loops were not defined correctly, and the BCEWithLogitsLoss was used instead of CrossEntropyLoss. The model was not trained correctly, and the AdamW optimizer was used instead of Adam. The predictions were not visualized correctly, and the BCEWithLogitsLoss was used instead of CrossEntropyLoss.
Breakdown:
- Task 1: Dataset Class: 0.0/?
- Task 2: Model Class: 0.0/?
- Task 3: Training and Validation Loops: 0.0/?
- Task 4: Running Training: 0.0/?
- Task 5: Visualizing Predictions: 0.0/?</t>
        </is>
      </c>
      <c r="AE306" t="n">
        <v>0</v>
      </c>
      <c r="AF306" t="n">
        <v>0</v>
      </c>
      <c r="AG306" t="inlineStr">
        <is>
          <t>No submission found.</t>
        </is>
      </c>
      <c r="AH306" t="n">
        <v>16</v>
      </c>
      <c r="AI306" t="n">
        <v>0</v>
      </c>
    </row>
    <row r="307">
      <c r="A307" t="n">
        <v>306</v>
      </c>
      <c r="B307" t="inlineStr">
        <is>
          <t>TA_6</t>
        </is>
      </c>
      <c r="C307" t="inlineStr">
        <is>
          <t>TA_16</t>
        </is>
      </c>
      <c r="D307" t="n">
        <v>5</v>
      </c>
      <c r="E307" t="n">
        <v>0</v>
      </c>
      <c r="F307" t="n">
        <v>8</v>
      </c>
      <c r="G307" t="n">
        <v>0</v>
      </c>
      <c r="H307" t="n">
        <v>9</v>
      </c>
      <c r="I307" t="n">
        <v>0</v>
      </c>
      <c r="J307" t="n">
        <v>5</v>
      </c>
      <c r="K307" t="n">
        <v>0</v>
      </c>
      <c r="L307" t="n">
        <v>9</v>
      </c>
      <c r="M307" t="n">
        <v>0</v>
      </c>
      <c r="N307" t="n">
        <v>8</v>
      </c>
      <c r="O307" t="n">
        <v>0</v>
      </c>
      <c r="P307">
        <f>Table1[[#This Row],[TA 1 - Q1 Score]]+Table1[[#This Row],[TA 1 - Q2 Score]]+Table1[[#This Row],[TA 1 - Q3 Score]]</f>
        <v/>
      </c>
      <c r="Q307">
        <f>Table1[[#This Row],[TA 1 - Q1 Bonus]]+Table1[[#This Row],[TA 1 - Q2 Bonus]]+Table1[[#This Row],[TA 1 - Q4 Bonus]]</f>
        <v/>
      </c>
      <c r="R307">
        <f>Table1[[#This Row],[TA 2 - Q1 Score]]+Table1[[#This Row],[TA 2 - Q2 Score]]+Table1[[#This Row],[TA 2 - Q3 Score]]</f>
        <v/>
      </c>
      <c r="S307">
        <f>Table1[[#This Row],[TA 2 - Q1 Bonus]]+Table1[[#This Row],[TA 2 - Q2 Bonus]]+Table1[[#This Row],[TA 2 - Q4 Bonus]]</f>
        <v/>
      </c>
      <c r="T307">
        <f>(Table1[[#This Row],[TA 1 - Total Score (out of 35)]]+Table1[[#This Row],[TA 2 - Total Score (out of 35)]])/2</f>
        <v/>
      </c>
      <c r="U307">
        <f>(Table1[[#This Row],[TA 1 - Total Bonus (out of 13)]]+Table1[[#This Row],[TA 2 - Total Bonus (out of 13)]])/2</f>
        <v/>
      </c>
      <c r="V307">
        <f>Table1[[#This Row],[Average Questions]]/35*20+Table1[[#This Row],[Average Bonus]]/13*5</f>
        <v/>
      </c>
      <c r="W307" t="n">
        <v>6</v>
      </c>
      <c r="X307" t="n">
        <v>0</v>
      </c>
      <c r="Y307" t="inlineStr">
        <is>
          <t>The student's submission failed to address any of the tasks outlined in the rubric. The code provided does not attempt to load and prepare the data, load a pretrained model, implement training and validation functions, or perform test time augmentation. As a result, the student earns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307" t="n">
        <v>4</v>
      </c>
      <c r="AA307" t="n">
        <v>0</v>
      </c>
      <c r="AB307" t="inlineStr">
        <is>
          <t>The student's submission failed to meet the requirements of the task. The code does not load and prepare the data correctly, does not build the CNN model as specified, does not implement the training and validation functions, does not train the model, and does not implement the residual connection. The student's code is disorganized and does not run end-to-end. As a result, the student receives 0% for each task.
Breakdown:
- Part 1: Load and Prepare Data: 0.0/?
- Part 2: Build the CNN Model: 0.0/?
- Part 3: Training and Validation Functions: 0.0/?
- Part 4: Training: 0.0/?
- Part 5: Bonus — Residual Connection: 0.0/?</t>
        </is>
      </c>
      <c r="AC307" t="n">
        <v>6</v>
      </c>
      <c r="AD307" t="inlineStr">
        <is>
          <t>The student's submission was incomplete, with no code submitted for Tasks 1-4. However, the code for Task 5: Visualizing Predictions was correct and ran, earning 6 points. The student's failure to attempt the other tasks resulted in a score of 6.0 out of 12.0 for the base tasks and 0.0 out of 0.0 for the bonus tasks.
Breakdown:
- Task 1: Dataset Class: 0.0/?
- Task 2: Model Class: 0.0/?
- Task 3: Training and Validation Loops: 0.0/?
- Task 4: Running Training: 0.0/?
- Task 5: Visualizing Predictions: 6.0/?</t>
        </is>
      </c>
      <c r="AE307" t="n">
        <v>0</v>
      </c>
      <c r="AF307" t="n">
        <v>0</v>
      </c>
      <c r="AG307" t="inlineStr">
        <is>
          <t>No submission found.</t>
        </is>
      </c>
      <c r="AH307" t="n">
        <v>16</v>
      </c>
      <c r="AI307" t="n">
        <v>0</v>
      </c>
    </row>
    <row r="308">
      <c r="A308" t="n">
        <v>307</v>
      </c>
      <c r="B308" t="inlineStr">
        <is>
          <t>TA_6</t>
        </is>
      </c>
      <c r="C308" t="inlineStr">
        <is>
          <t>TA_16</t>
        </is>
      </c>
      <c r="D308" t="n">
        <v>6</v>
      </c>
      <c r="E308" t="n">
        <v>0</v>
      </c>
      <c r="F308" t="n">
        <v>9.25</v>
      </c>
      <c r="G308" t="n">
        <v>0</v>
      </c>
      <c r="H308" t="n">
        <v>7.5</v>
      </c>
      <c r="I308" t="n">
        <v>0</v>
      </c>
      <c r="J308" t="n">
        <v>6</v>
      </c>
      <c r="K308" t="n">
        <v>0</v>
      </c>
      <c r="L308" t="n">
        <v>8.75</v>
      </c>
      <c r="M308" t="n">
        <v>0</v>
      </c>
      <c r="N308" t="n">
        <v>8.5</v>
      </c>
      <c r="O308" t="n">
        <v>0</v>
      </c>
      <c r="P308">
        <f>Table1[[#This Row],[TA 1 - Q1 Score]]+Table1[[#This Row],[TA 1 - Q2 Score]]+Table1[[#This Row],[TA 1 - Q3 Score]]</f>
        <v/>
      </c>
      <c r="Q308">
        <f>Table1[[#This Row],[TA 1 - Q1 Bonus]]+Table1[[#This Row],[TA 1 - Q2 Bonus]]+Table1[[#This Row],[TA 1 - Q4 Bonus]]</f>
        <v/>
      </c>
      <c r="R308">
        <f>Table1[[#This Row],[TA 2 - Q1 Score]]+Table1[[#This Row],[TA 2 - Q2 Score]]+Table1[[#This Row],[TA 2 - Q3 Score]]</f>
        <v/>
      </c>
      <c r="S308">
        <f>Table1[[#This Row],[TA 2 - Q1 Bonus]]+Table1[[#This Row],[TA 2 - Q2 Bonus]]+Table1[[#This Row],[TA 2 - Q4 Bonus]]</f>
        <v/>
      </c>
      <c r="T308">
        <f>(Table1[[#This Row],[TA 1 - Total Score (out of 35)]]+Table1[[#This Row],[TA 2 - Total Score (out of 35)]])/2</f>
        <v/>
      </c>
      <c r="U308">
        <f>(Table1[[#This Row],[TA 1 - Total Bonus (out of 13)]]+Table1[[#This Row],[TA 2 - Total Bonus (out of 13)]])/2</f>
        <v/>
      </c>
      <c r="V308">
        <f>Table1[[#This Row],[Average Questions]]/35*20+Table1[[#This Row],[Average Bonus]]/13*5</f>
        <v/>
      </c>
      <c r="W308" t="n">
        <v>6</v>
      </c>
      <c r="X308" t="n">
        <v>0</v>
      </c>
      <c r="Y308" t="inlineStr">
        <is>
          <t>The student's submission failed to complete several key tasks, including loading and preparing the data, loading a pretrained model and adapting it, and implementing training and validation functions. While the student made an attempt at training the model, their code contained several syntax and logic mistakes, resulting in a score of 6.0 for this task. Unfortunately, the student did not complete the bonus task, resulting in a score of 0.0 for this task. Overall, the student's submission demonstrates a lack of understanding of the key concepts and requirements of the task.
Breakdown:
- Part 1: Load and Prepare Data: 0.0/?
- Part 2: Load Pretrained Model and Adapt: 0.0/?
- Part 3: Training and Validation Functions: 0.0/?
- Part 4: Training: 6.0/?
- Part 5: Bonus — Test Time Augmentation: 0.0/?</t>
        </is>
      </c>
      <c r="Z308" t="n">
        <v>4</v>
      </c>
      <c r="AA308" t="n">
        <v>0</v>
      </c>
      <c r="AB308" t="inlineStr">
        <is>
          <t>The student's submission failed to meet the requirements of the task. The code does not load and prepare the data correctly, does not build the CNN model as specified, does not implement the training and validation functions, does not train the model, and does not implement the residual connection. The student's code is disorganized and does not run end-to-end. As a result, the student receives 0 points for each task.
Breakdown:
- Part 1: Load and Prepare Data: 0.0/?
- Part 2: Build the CNN Model: 0.0/?
- Part 3: Training and Validation Functions: 0.0/?
- Part 4: Training: 0.0/?
- Part 5: Bonus — Residual Connection: 0.0/?</t>
        </is>
      </c>
      <c r="AC308" t="n">
        <v>6</v>
      </c>
      <c r="AD308" t="inlineStr">
        <is>
          <t>The student's submission failed to meet the requirements of the task. The dataset class was not defined, the model class was not defined correctly, the training and validation loops were not defined correctly, the training loop was not defined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08" t="n">
        <v>0</v>
      </c>
      <c r="AF308" t="n">
        <v>0</v>
      </c>
      <c r="AG308" t="inlineStr">
        <is>
          <t>The student's submission does not meet the requirements of the task. The `ColorizationDataset` class is not implemented correctly, and the implementation has several mistakes. As a result, the student does not receive any points for this task.
Breakdown:
- Correctly implemented `ColorizationDataset` class:: 0.0/?
- Any mistake in implementation: 0.0/?</t>
        </is>
      </c>
      <c r="AH308" t="n">
        <v>16</v>
      </c>
      <c r="AI308" t="n">
        <v>0</v>
      </c>
    </row>
    <row r="309">
      <c r="A309" t="n">
        <v>308</v>
      </c>
      <c r="B309" t="inlineStr">
        <is>
          <t>TA_6</t>
        </is>
      </c>
      <c r="C309" t="inlineStr">
        <is>
          <t>TA_16</t>
        </is>
      </c>
      <c r="D309" t="n">
        <v>10.5</v>
      </c>
      <c r="E309" t="n">
        <v>0</v>
      </c>
      <c r="F309" t="n">
        <v>10</v>
      </c>
      <c r="G309" t="n">
        <v>0</v>
      </c>
      <c r="H309" t="n">
        <v>0</v>
      </c>
      <c r="I309" t="n">
        <v>0</v>
      </c>
      <c r="J309" t="n">
        <v>10.5</v>
      </c>
      <c r="K309" t="n">
        <v>0</v>
      </c>
      <c r="L309" t="n">
        <v>12</v>
      </c>
      <c r="M309" t="n">
        <v>0</v>
      </c>
      <c r="N309" t="n">
        <v>0</v>
      </c>
      <c r="O309" t="n">
        <v>0</v>
      </c>
      <c r="P309">
        <f>Table1[[#This Row],[TA 1 - Q1 Score]]+Table1[[#This Row],[TA 1 - Q2 Score]]+Table1[[#This Row],[TA 1 - Q3 Score]]</f>
        <v/>
      </c>
      <c r="Q309">
        <f>Table1[[#This Row],[TA 1 - Q1 Bonus]]+Table1[[#This Row],[TA 1 - Q2 Bonus]]+Table1[[#This Row],[TA 1 - Q4 Bonus]]</f>
        <v/>
      </c>
      <c r="R309">
        <f>Table1[[#This Row],[TA 2 - Q1 Score]]+Table1[[#This Row],[TA 2 - Q2 Score]]+Table1[[#This Row],[TA 2 - Q3 Score]]</f>
        <v/>
      </c>
      <c r="S309">
        <f>Table1[[#This Row],[TA 2 - Q1 Bonus]]+Table1[[#This Row],[TA 2 - Q2 Bonus]]+Table1[[#This Row],[TA 2 - Q4 Bonus]]</f>
        <v/>
      </c>
      <c r="T309">
        <f>(Table1[[#This Row],[TA 1 - Total Score (out of 35)]]+Table1[[#This Row],[TA 2 - Total Score (out of 35)]])/2</f>
        <v/>
      </c>
      <c r="U309">
        <f>(Table1[[#This Row],[TA 1 - Total Bonus (out of 13)]]+Table1[[#This Row],[TA 2 - Total Bonus (out of 13)]])/2</f>
        <v/>
      </c>
      <c r="V309">
        <f>Table1[[#This Row],[Average Questions]]/35*20+Table1[[#This Row],[Average Bonus]]/13*5</f>
        <v/>
      </c>
      <c r="W309" t="n">
        <v>6</v>
      </c>
      <c r="X309" t="n">
        <v>0</v>
      </c>
      <c r="Y309"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student's submission was unable to run end-to-end and did not produce the expected output.
Breakdown:
- Part 1: Load and Prepare Data: 0.0/?
- Part 2: Load Pretrained Model and Adapt: 0.0/?
- Part 3: Training and Validation Functions: 0.0/?
- Part 4: Training: 6.0/?
- Part 5: Bonus — Test Time Augmentation: 0.0/?</t>
        </is>
      </c>
      <c r="Z309" t="n">
        <v>6</v>
      </c>
      <c r="AA309" t="n">
        <v>0</v>
      </c>
      <c r="AB30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any points for the base tasks, and their bonus task was also not completed.
Breakdown:
- Part 1: Load and Prepare Data: 0.0/?
- Part 2: Build the CNN Model: 0.0/?
- Part 3: Training and Validation Functions: 0.0/?
- Part 4: Training: 2.0/?
- Part 5: Bonus — Residual Connection: 0.0/?</t>
        </is>
      </c>
      <c r="AC309" t="n">
        <v>0</v>
      </c>
      <c r="AD309" t="inlineStr">
        <is>
          <t>No submission found.</t>
        </is>
      </c>
      <c r="AE309" t="n">
        <v>0</v>
      </c>
      <c r="AF309" t="n">
        <v>0</v>
      </c>
      <c r="AG309" t="inlineStr">
        <is>
          <t>No submission found.</t>
        </is>
      </c>
      <c r="AH309" t="n">
        <v>12</v>
      </c>
      <c r="AI309" t="n">
        <v>0</v>
      </c>
    </row>
    <row r="310">
      <c r="A310" t="n">
        <v>309</v>
      </c>
      <c r="B310" t="inlineStr">
        <is>
          <t>TA_6</t>
        </is>
      </c>
      <c r="C310" t="inlineStr">
        <is>
          <t>TA_16</t>
        </is>
      </c>
      <c r="D310" t="n">
        <v>11</v>
      </c>
      <c r="E310" t="n">
        <v>0</v>
      </c>
      <c r="F310" t="n">
        <v>11</v>
      </c>
      <c r="G310" t="n">
        <v>0</v>
      </c>
      <c r="H310" t="n">
        <v>11</v>
      </c>
      <c r="I310" t="n">
        <v>0</v>
      </c>
      <c r="J310" t="n">
        <v>11</v>
      </c>
      <c r="K310" t="n">
        <v>0</v>
      </c>
      <c r="L310" t="n">
        <v>11</v>
      </c>
      <c r="M310" t="n">
        <v>0</v>
      </c>
      <c r="N310" t="n">
        <v>11</v>
      </c>
      <c r="O310" t="n">
        <v>0</v>
      </c>
      <c r="P310">
        <f>Table1[[#This Row],[TA 1 - Q1 Score]]+Table1[[#This Row],[TA 1 - Q2 Score]]+Table1[[#This Row],[TA 1 - Q3 Score]]</f>
        <v/>
      </c>
      <c r="Q310">
        <f>Table1[[#This Row],[TA 1 - Q1 Bonus]]+Table1[[#This Row],[TA 1 - Q2 Bonus]]+Table1[[#This Row],[TA 1 - Q4 Bonus]]</f>
        <v/>
      </c>
      <c r="R310">
        <f>Table1[[#This Row],[TA 2 - Q1 Score]]+Table1[[#This Row],[TA 2 - Q2 Score]]+Table1[[#This Row],[TA 2 - Q3 Score]]</f>
        <v/>
      </c>
      <c r="S310">
        <f>Table1[[#This Row],[TA 2 - Q1 Bonus]]+Table1[[#This Row],[TA 2 - Q2 Bonus]]+Table1[[#This Row],[TA 2 - Q4 Bonus]]</f>
        <v/>
      </c>
      <c r="T310">
        <f>(Table1[[#This Row],[TA 1 - Total Score (out of 35)]]+Table1[[#This Row],[TA 2 - Total Score (out of 35)]])/2</f>
        <v/>
      </c>
      <c r="U310">
        <f>(Table1[[#This Row],[TA 1 - Total Bonus (out of 13)]]+Table1[[#This Row],[TA 2 - Total Bonus (out of 13)]])/2</f>
        <v/>
      </c>
      <c r="V310">
        <f>Table1[[#This Row],[Average Questions]]/35*20+Table1[[#This Row],[Average Bonus]]/13*5</f>
        <v/>
      </c>
      <c r="W310" t="n">
        <v>6</v>
      </c>
      <c r="X310" t="n">
        <v>0</v>
      </c>
      <c r="Y310" t="inlineStr">
        <is>
          <t>The student's submission failed to complete several key tasks, including loading and preparing the data, loading the pretrained model, and adapting it for the task. The training and validation functions were also not implemented correctly. However, the student did manage to complete the training process, earning 6 points for that task.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310" t="n">
        <v>4</v>
      </c>
      <c r="AA310" t="n">
        <v>0</v>
      </c>
      <c r="AB310" t="inlineStr">
        <is>
          <t>The student's submission failed to meet the requirements of the task. The code did not load and prepare the data correctly, and the CNN model was not built as specified. The training and validation functions were not implemented, and the training process was not executed. The bonus task of adding a residual connection was not attempted. As a result, the student received 0 points for each task.
Breakdown:
- Part 1: Load and Prepare Data: 0.0/?
- Part 2: Build the CNN Model: 0.0/?
- Part 3: Training and Validation Functions: 0.0/?
- Part 4: Training: 0.0/?
- Part 5: Bonus — Residual Connection: 0.0/?</t>
        </is>
      </c>
      <c r="AC310" t="n">
        <v>6</v>
      </c>
      <c r="AD310" t="inlineStr">
        <is>
          <t>The student's submission is incomplete and lacks code for several tasks. While they attempted to visualize predictions, the code is not fully implemented and does not run end-to-end. As a result, the student earns partial credit for Task 5, but 0 points for the remaining tasks.
Breakdown:
- Task 1: Dataset Class: 0.0/?
- Task 2: Model Class: 0.0/?
- Task 3: Training and Validation Loops: 0.0/?
- Task 4: Running Training: 0.0/?
- Task 5: Visualizing Predictions: 6.0/?</t>
        </is>
      </c>
      <c r="AE310" t="n">
        <v>0</v>
      </c>
      <c r="AF310" t="n">
        <v>0</v>
      </c>
      <c r="AG310" t="inlineStr">
        <is>
          <t>No submission found.</t>
        </is>
      </c>
      <c r="AH310" t="n">
        <v>16</v>
      </c>
      <c r="AI310" t="n">
        <v>0</v>
      </c>
    </row>
    <row r="311">
      <c r="A311" t="n">
        <v>310</v>
      </c>
      <c r="B311" t="inlineStr">
        <is>
          <t>TA_6</t>
        </is>
      </c>
      <c r="C311" t="inlineStr">
        <is>
          <t>TA_16</t>
        </is>
      </c>
      <c r="D311" t="n">
        <v>4.5</v>
      </c>
      <c r="E311" t="n">
        <v>0</v>
      </c>
      <c r="F311" t="n">
        <v>8.5</v>
      </c>
      <c r="G311" t="n">
        <v>0</v>
      </c>
      <c r="H311" t="n">
        <v>10.25</v>
      </c>
      <c r="I311" t="n">
        <v>0</v>
      </c>
      <c r="J311" t="n">
        <v>5.5</v>
      </c>
      <c r="K311" t="n">
        <v>0</v>
      </c>
      <c r="L311" t="n">
        <v>8.5</v>
      </c>
      <c r="M311" t="n">
        <v>0</v>
      </c>
      <c r="N311" t="n">
        <v>9.75</v>
      </c>
      <c r="O311" t="n">
        <v>0</v>
      </c>
      <c r="P311">
        <f>Table1[[#This Row],[TA 1 - Q1 Score]]+Table1[[#This Row],[TA 1 - Q2 Score]]+Table1[[#This Row],[TA 1 - Q3 Score]]</f>
        <v/>
      </c>
      <c r="Q311">
        <f>Table1[[#This Row],[TA 1 - Q1 Bonus]]+Table1[[#This Row],[TA 1 - Q2 Bonus]]+Table1[[#This Row],[TA 1 - Q4 Bonus]]</f>
        <v/>
      </c>
      <c r="R311">
        <f>Table1[[#This Row],[TA 2 - Q1 Score]]+Table1[[#This Row],[TA 2 - Q2 Score]]+Table1[[#This Row],[TA 2 - Q3 Score]]</f>
        <v/>
      </c>
      <c r="S311">
        <f>Table1[[#This Row],[TA 2 - Q1 Bonus]]+Table1[[#This Row],[TA 2 - Q2 Bonus]]+Table1[[#This Row],[TA 2 - Q4 Bonus]]</f>
        <v/>
      </c>
      <c r="T311">
        <f>(Table1[[#This Row],[TA 1 - Total Score (out of 35)]]+Table1[[#This Row],[TA 2 - Total Score (out of 35)]])/2</f>
        <v/>
      </c>
      <c r="U311">
        <f>(Table1[[#This Row],[TA 1 - Total Bonus (out of 13)]]+Table1[[#This Row],[TA 2 - Total Bonus (out of 13)]])/2</f>
        <v/>
      </c>
      <c r="V311">
        <f>Table1[[#This Row],[Average Questions]]/35*20+Table1[[#This Row],[Average Bonus]]/13*5</f>
        <v/>
      </c>
      <c r="W311" t="n">
        <v>6</v>
      </c>
      <c r="X311" t="n">
        <v>0</v>
      </c>
      <c r="Y311"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displaying sample images, creating DataLoaders, and implementing Test Time Augmentation. As a result, the student's submission was unable to run end-to-end and failed to meet the requirements of the task.
Breakdown:
- Part 1: Load and Prepare Data: 0.0/?
- Part 2: Load Pretrained Model and Adapt: 0.0/?
- Part 3: Training and Validation Functions: 0.0/?
- Part 4: Training: 2.0/?
- Part 5: Bonus — Test Time Augmentation: 0.0/?</t>
        </is>
      </c>
      <c r="Z311" t="n">
        <v>4</v>
      </c>
      <c r="AA311" t="n">
        <v>0</v>
      </c>
      <c r="AB311"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11" t="n">
        <v>6</v>
      </c>
      <c r="AD311"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311" t="n">
        <v>0</v>
      </c>
      <c r="AF311" t="n">
        <v>0</v>
      </c>
      <c r="AG311" t="inlineStr">
        <is>
          <t>No submission found.</t>
        </is>
      </c>
      <c r="AH311" t="n">
        <v>16</v>
      </c>
      <c r="AI311" t="n">
        <v>0</v>
      </c>
    </row>
    <row r="312">
      <c r="A312" t="n">
        <v>311</v>
      </c>
      <c r="B312" t="inlineStr">
        <is>
          <t>TA_6</t>
        </is>
      </c>
      <c r="C312" t="inlineStr">
        <is>
          <t>TA_16</t>
        </is>
      </c>
      <c r="D312" t="n">
        <v>6.5</v>
      </c>
      <c r="E312" t="n">
        <v>0</v>
      </c>
      <c r="F312" t="n">
        <v>9.5</v>
      </c>
      <c r="G312" t="n">
        <v>0</v>
      </c>
      <c r="H312" t="n">
        <v>10</v>
      </c>
      <c r="I312" t="n">
        <v>0</v>
      </c>
      <c r="J312" t="n">
        <v>6.5</v>
      </c>
      <c r="K312" t="n">
        <v>0</v>
      </c>
      <c r="L312" t="n">
        <v>8.5</v>
      </c>
      <c r="M312" t="n">
        <v>0</v>
      </c>
      <c r="N312" t="n">
        <v>11</v>
      </c>
      <c r="O312" t="n">
        <v>0</v>
      </c>
      <c r="P312">
        <f>Table1[[#This Row],[TA 1 - Q1 Score]]+Table1[[#This Row],[TA 1 - Q2 Score]]+Table1[[#This Row],[TA 1 - Q3 Score]]</f>
        <v/>
      </c>
      <c r="Q312">
        <f>Table1[[#This Row],[TA 1 - Q1 Bonus]]+Table1[[#This Row],[TA 1 - Q2 Bonus]]+Table1[[#This Row],[TA 1 - Q4 Bonus]]</f>
        <v/>
      </c>
      <c r="R312">
        <f>Table1[[#This Row],[TA 2 - Q1 Score]]+Table1[[#This Row],[TA 2 - Q2 Score]]+Table1[[#This Row],[TA 2 - Q3 Score]]</f>
        <v/>
      </c>
      <c r="S312">
        <f>Table1[[#This Row],[TA 2 - Q1 Bonus]]+Table1[[#This Row],[TA 2 - Q2 Bonus]]+Table1[[#This Row],[TA 2 - Q4 Bonus]]</f>
        <v/>
      </c>
      <c r="T312">
        <f>(Table1[[#This Row],[TA 1 - Total Score (out of 35)]]+Table1[[#This Row],[TA 2 - Total Score (out of 35)]])/2</f>
        <v/>
      </c>
      <c r="U312">
        <f>(Table1[[#This Row],[TA 1 - Total Bonus (out of 13)]]+Table1[[#This Row],[TA 2 - Total Bonus (out of 13)]])/2</f>
        <v/>
      </c>
      <c r="V312">
        <f>Table1[[#This Row],[Average Questions]]/35*20+Table1[[#This Row],[Average Bonus]]/13*5</f>
        <v/>
      </c>
      <c r="W312" t="n">
        <v>6</v>
      </c>
      <c r="X312" t="n">
        <v>0</v>
      </c>
      <c r="Y31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resulting in a score of 6.0 for the training task. The student did not attempt the bonus task, resulting in a score of 0.0 for the bonus task.
Breakdown:
- Part 1: Load and Prepare Data: 0.0/?
- Part 2: Load Pretrained Model and Adapt: 0.0/?
- Part 3: Training and Validation Functions: 0.0/?
- Part 4: Training: 6.0/?
- Part 5: Bonus — Test Time Augmentation: 0.0/?</t>
        </is>
      </c>
      <c r="Z312" t="n">
        <v>4</v>
      </c>
      <c r="AA312" t="n">
        <v>0</v>
      </c>
      <c r="AB312" t="inlineStr">
        <is>
          <t>The student's submission failed to meet the requirements of the task. The code does not load and prepare the data correctly, does not build the CNN model as specified, does not implement the training and validation functions, does not train the model, and does not implement the residual connection. The student's code is incomplete and does not run end-to-end.
Breakdown:
- Part 1: Load and Prepare Data: 0.0/?
- Part 2: Build the CNN Model: 0.0/?
- Part 3: Training and Validation Functions: 0.0/?
- Part 4: Training: 0.0/?
- Part 5: Bonus — Residual Connection: 0.0/?</t>
        </is>
      </c>
      <c r="AC312" t="n">
        <v>6</v>
      </c>
      <c r="AD312" t="inlineStr">
        <is>
          <t>The student's submission failed to meet the requirements of the task. The code was not organized in a way that allowed it to run end-to-end, and several tasks were not completed correctly. The student did not define the dataset class, model class, training and validation loops, or complete the training process. Additionally,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12" t="n">
        <v>0</v>
      </c>
      <c r="AF312" t="n">
        <v>0</v>
      </c>
      <c r="AG312" t="inlineStr">
        <is>
          <t>No submission found.</t>
        </is>
      </c>
      <c r="AH312" t="n">
        <v>16</v>
      </c>
      <c r="AI312" t="n">
        <v>0</v>
      </c>
    </row>
    <row r="313">
      <c r="A313" t="n">
        <v>312</v>
      </c>
      <c r="B313" t="inlineStr">
        <is>
          <t>TA_6</t>
        </is>
      </c>
      <c r="C313" t="inlineStr">
        <is>
          <t>TA_16</t>
        </is>
      </c>
      <c r="D313" t="n">
        <v>11</v>
      </c>
      <c r="E313" t="n">
        <v>0</v>
      </c>
      <c r="F313" t="n">
        <v>11</v>
      </c>
      <c r="G313" t="n">
        <v>0</v>
      </c>
      <c r="H313" t="n">
        <v>12</v>
      </c>
      <c r="I313" t="n">
        <v>0</v>
      </c>
      <c r="J313" t="n">
        <v>11</v>
      </c>
      <c r="K313" t="n">
        <v>0</v>
      </c>
      <c r="L313" t="n">
        <v>11</v>
      </c>
      <c r="M313" t="n">
        <v>0</v>
      </c>
      <c r="N313" t="n">
        <v>12</v>
      </c>
      <c r="O313" t="n">
        <v>0</v>
      </c>
      <c r="P313">
        <f>Table1[[#This Row],[TA 1 - Q1 Score]]+Table1[[#This Row],[TA 1 - Q2 Score]]+Table1[[#This Row],[TA 1 - Q3 Score]]</f>
        <v/>
      </c>
      <c r="Q313">
        <f>Table1[[#This Row],[TA 1 - Q1 Bonus]]+Table1[[#This Row],[TA 1 - Q2 Bonus]]+Table1[[#This Row],[TA 1 - Q4 Bonus]]</f>
        <v/>
      </c>
      <c r="R313">
        <f>Table1[[#This Row],[TA 2 - Q1 Score]]+Table1[[#This Row],[TA 2 - Q2 Score]]+Table1[[#This Row],[TA 2 - Q3 Score]]</f>
        <v/>
      </c>
      <c r="S313">
        <f>Table1[[#This Row],[TA 2 - Q1 Bonus]]+Table1[[#This Row],[TA 2 - Q2 Bonus]]+Table1[[#This Row],[TA 2 - Q4 Bonus]]</f>
        <v/>
      </c>
      <c r="T313">
        <f>(Table1[[#This Row],[TA 1 - Total Score (out of 35)]]+Table1[[#This Row],[TA 2 - Total Score (out of 35)]])/2</f>
        <v/>
      </c>
      <c r="U313">
        <f>(Table1[[#This Row],[TA 1 - Total Bonus (out of 13)]]+Table1[[#This Row],[TA 2 - Total Bonus (out of 13)]])/2</f>
        <v/>
      </c>
      <c r="V313">
        <f>Table1[[#This Row],[Average Questions]]/35*20+Table1[[#This Row],[Average Bonus]]/13*5</f>
        <v/>
      </c>
      <c r="W313" t="n">
        <v>6</v>
      </c>
      <c r="X313" t="n">
        <v>0</v>
      </c>
      <c r="Y313"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syntax and logic mistakes, resulting in a score of 6.0 for this task. Unfortunately, the student did not complete the bonus task, resulting in a score of 0.0 for this task. Overall, the student's submission demonstrates a lack of understanding of the key concepts and requirements of the task.
Breakdown:
- Part 1: Load and Prepare Data: 0.0/?
- Part 2: Load Pretrained Model and Adapt: 0.0/?
- Part 3: Training and Validation Functions: 0.0/?
- Part 4: Training: 6.0/?
- Part 5: Bonus — Test Time Augmentation: 0.0/?</t>
        </is>
      </c>
      <c r="Z313" t="n">
        <v>4</v>
      </c>
      <c r="AA313" t="n">
        <v>0</v>
      </c>
      <c r="AB313" t="inlineStr">
        <is>
          <t>The student's submission failed to meet the requirements of the task. The code does not load and prepare the data correctly, does not build the CNN model as specified, does not implement the training and validation functions, does not train the model, and does not implement the residual connection. The student's code is disorganized and does not run end-to-end. As a result, the student receives 0% for each task.
Breakdown:
- Part 1: Load and Prepare Data: 0.0/?
- Part 2: Build the CNN Model: 0.0/?
- Part 3: Training and Validation Functions: 0.0/?
- Part 4: Training: 0.0/?
- Part 5: Bonus — Residual Connection: 0.0/?</t>
        </is>
      </c>
      <c r="AC313" t="n">
        <v>6</v>
      </c>
      <c r="AD313" t="inlineStr">
        <is>
          <t>The student's submission failed to meet the requirements of the task, with no code submitted for Task 1 and incorrect implementations for Tasks 2-5. The student's code attempted to use a different encoder for the model class, and the training and validation loops were not implemented correctly. Additionally, the training process was not implemented correctly, including loss and optimizer definition. The visualization of predictions was also not implemented correctly. As a result, the student's submission was awarded 0 points for each task.
Breakdown:
- Task 1: Dataset Class: 0.0/?
- Task 2: Model Class: 0.0/?
- Task 3: Training and Validation Loops: 0.0/?
- Task 4: Running Training: 0.0/?
- Task 5: Visualizing Predictions: 0.0/?</t>
        </is>
      </c>
      <c r="AE313" t="n">
        <v>0</v>
      </c>
      <c r="AF313" t="n">
        <v>0</v>
      </c>
      <c r="AG313" t="inlineStr">
        <is>
          <t>No submission found.</t>
        </is>
      </c>
      <c r="AH313" t="n">
        <v>16</v>
      </c>
      <c r="AI313" t="n">
        <v>0</v>
      </c>
    </row>
    <row r="314">
      <c r="A314" t="n">
        <v>313</v>
      </c>
      <c r="B314" t="inlineStr">
        <is>
          <t>TA_6</t>
        </is>
      </c>
      <c r="C314" t="inlineStr">
        <is>
          <t>TA_16</t>
        </is>
      </c>
      <c r="D314" t="n">
        <v>12</v>
      </c>
      <c r="E314" t="n">
        <v>2.5</v>
      </c>
      <c r="F314" t="n">
        <v>11</v>
      </c>
      <c r="G314" t="n">
        <v>1</v>
      </c>
      <c r="H314" t="n">
        <v>12</v>
      </c>
      <c r="I314" t="n">
        <v>0</v>
      </c>
      <c r="J314" t="n">
        <v>12</v>
      </c>
      <c r="K314" t="n">
        <v>2.5</v>
      </c>
      <c r="L314" t="n">
        <v>11</v>
      </c>
      <c r="M314" t="n">
        <v>1</v>
      </c>
      <c r="N314" t="n">
        <v>12</v>
      </c>
      <c r="O314" t="n">
        <v>0</v>
      </c>
      <c r="P314">
        <f>Table1[[#This Row],[TA 1 - Q1 Score]]+Table1[[#This Row],[TA 1 - Q2 Score]]+Table1[[#This Row],[TA 1 - Q3 Score]]</f>
        <v/>
      </c>
      <c r="Q314">
        <f>Table1[[#This Row],[TA 1 - Q1 Bonus]]+Table1[[#This Row],[TA 1 - Q2 Bonus]]+Table1[[#This Row],[TA 1 - Q4 Bonus]]</f>
        <v/>
      </c>
      <c r="R314">
        <f>Table1[[#This Row],[TA 2 - Q1 Score]]+Table1[[#This Row],[TA 2 - Q2 Score]]+Table1[[#This Row],[TA 2 - Q3 Score]]</f>
        <v/>
      </c>
      <c r="S314">
        <f>Table1[[#This Row],[TA 2 - Q1 Bonus]]+Table1[[#This Row],[TA 2 - Q2 Bonus]]+Table1[[#This Row],[TA 2 - Q4 Bonus]]</f>
        <v/>
      </c>
      <c r="T314">
        <f>(Table1[[#This Row],[TA 1 - Total Score (out of 35)]]+Table1[[#This Row],[TA 2 - Total Score (out of 35)]])/2</f>
        <v/>
      </c>
      <c r="U314">
        <f>(Table1[[#This Row],[TA 1 - Total Bonus (out of 13)]]+Table1[[#This Row],[TA 2 - Total Bonus (out of 13)]])/2</f>
        <v/>
      </c>
      <c r="V314">
        <f>Table1[[#This Row],[Average Questions]]/35*20+Table1[[#This Row],[Average Bonus]]/13*5</f>
        <v/>
      </c>
      <c r="W314" t="n">
        <v>6</v>
      </c>
      <c r="X314" t="n">
        <v>0</v>
      </c>
      <c r="Y314" t="inlineStr">
        <is>
          <t>The student's submission failed to complete several key tasks, including loading and preparing the data, loading a pretrained model, and implementing test time augmentation. While the student did attempt to train the model and plot the training and validation losses, their code contained several syntax and logic mistakes. As a result, the student was unable to complete the majority of the tasks and was awarded a score of 6.0.
Breakdown:
- Part 1: Load and Prepare Data: 0.0/?
- Part 2: Load Pretrained Model and Adapt: 0.0/?
- Part 3: Training and Validation Functions: 0.0/?
- Part 4: Training: 2.5/?
- Part 5: Bonus — Test Time Augmentation: 0.0/?</t>
        </is>
      </c>
      <c r="Z314" t="n">
        <v>4</v>
      </c>
      <c r="AA314" t="n">
        <v>0</v>
      </c>
      <c r="AB314"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314" t="n">
        <v>6</v>
      </c>
      <c r="AD314" t="inlineStr">
        <is>
          <t>The student's submission was incomplete and lacked code for several tasks. While the code for visualizing predictions was mostly correct, it did not meet the requirements of the task. As a result, the student received a score of 6.0 out of 12.0 for the base tasks and 0.0 out of 0.0 for the bonus tasks.
Breakdown:
- Task 1: Dataset Class: 0.0/?
- Task 2: Model Class: 0.0/?
- Task 3: Training and Validation Loops: 0.0/?
- Task 4: Running Training: 0.0/?
- Task 5: Visualizing Predictions: 6.0/?</t>
        </is>
      </c>
      <c r="AE314" t="n">
        <v>0</v>
      </c>
      <c r="AF314" t="n">
        <v>0</v>
      </c>
      <c r="AG314" t="inlineStr">
        <is>
          <t>No submission found.</t>
        </is>
      </c>
      <c r="AH314" t="n">
        <v>16</v>
      </c>
      <c r="AI314" t="n">
        <v>0</v>
      </c>
    </row>
    <row r="315">
      <c r="A315" t="n">
        <v>314</v>
      </c>
      <c r="B315" t="inlineStr">
        <is>
          <t>TA_6</t>
        </is>
      </c>
      <c r="C315" t="inlineStr">
        <is>
          <t>TA_16</t>
        </is>
      </c>
      <c r="D315" t="n">
        <v>4</v>
      </c>
      <c r="E315" t="n">
        <v>0</v>
      </c>
      <c r="F315" t="n">
        <v>7</v>
      </c>
      <c r="G315" t="n">
        <v>0</v>
      </c>
      <c r="H315" t="n">
        <v>0</v>
      </c>
      <c r="I315" t="n">
        <v>0</v>
      </c>
      <c r="J315" t="n">
        <v>2</v>
      </c>
      <c r="K315" t="n">
        <v>0</v>
      </c>
      <c r="L315" t="n">
        <v>7</v>
      </c>
      <c r="M315" t="n">
        <v>0</v>
      </c>
      <c r="N315" t="n">
        <v>0</v>
      </c>
      <c r="O315" t="n">
        <v>0</v>
      </c>
      <c r="P315">
        <f>Table1[[#This Row],[TA 1 - Q1 Score]]+Table1[[#This Row],[TA 1 - Q2 Score]]+Table1[[#This Row],[TA 1 - Q3 Score]]</f>
        <v/>
      </c>
      <c r="Q315">
        <f>Table1[[#This Row],[TA 1 - Q1 Bonus]]+Table1[[#This Row],[TA 1 - Q2 Bonus]]+Table1[[#This Row],[TA 1 - Q4 Bonus]]</f>
        <v/>
      </c>
      <c r="R315">
        <f>Table1[[#This Row],[TA 2 - Q1 Score]]+Table1[[#This Row],[TA 2 - Q2 Score]]+Table1[[#This Row],[TA 2 - Q3 Score]]</f>
        <v/>
      </c>
      <c r="S315">
        <f>Table1[[#This Row],[TA 2 - Q1 Bonus]]+Table1[[#This Row],[TA 2 - Q2 Bonus]]+Table1[[#This Row],[TA 2 - Q4 Bonus]]</f>
        <v/>
      </c>
      <c r="T315">
        <f>(Table1[[#This Row],[TA 1 - Total Score (out of 35)]]+Table1[[#This Row],[TA 2 - Total Score (out of 35)]])/2</f>
        <v/>
      </c>
      <c r="U315">
        <f>(Table1[[#This Row],[TA 1 - Total Bonus (out of 13)]]+Table1[[#This Row],[TA 2 - Total Bonus (out of 13)]])/2</f>
        <v/>
      </c>
      <c r="V315">
        <f>Table1[[#This Row],[Average Questions]]/35*20+Table1[[#This Row],[Average Bonus]]/13*5</f>
        <v/>
      </c>
      <c r="W315" t="n">
        <v>6</v>
      </c>
      <c r="X315" t="n">
        <v>0</v>
      </c>
      <c r="Y315"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resulting in a low overall score.
Breakdown:
- Part 1: Load and Prepare Data: 0.0/?
- Part 2: Load Pretrained Model and Adapt: 0.0/?
- Part 3: Training and Validation Functions: 0.0/?
- Part 4: Training: 3.0/?
- Part 5: Bonus — Test Time Augmentation: 0.0/?</t>
        </is>
      </c>
      <c r="Z315" t="n">
        <v>4</v>
      </c>
      <c r="AA315" t="n">
        <v>0</v>
      </c>
      <c r="AB315"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add a residual connection to the model. As a result, the student did not earn any points for this task.
Breakdown:
- Part 1: Load and Prepare Data: 0.0/?
- Part 2: Build the CNN Model: 0.0/?
- Part 3: Training and Validation Functions: 0.0/?
- Part 4: Training: 0.0/?
- Part 5: Bonus — Residual Connection: 0.0/?</t>
        </is>
      </c>
      <c r="AC315" t="n">
        <v>6</v>
      </c>
      <c r="AD315" t="inlineStr">
        <is>
          <t>The student's submission failed to meet the requirements of the task. The dataset class was not defined, the model class was incorrect, the training and validation loops were not implemented correctly, the training process was not completed,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15" t="n">
        <v>0</v>
      </c>
      <c r="AF315" t="n">
        <v>0</v>
      </c>
      <c r="AG315" t="inlineStr">
        <is>
          <t>No submission found.</t>
        </is>
      </c>
      <c r="AH315" t="n">
        <v>16</v>
      </c>
      <c r="AI315" t="n">
        <v>0</v>
      </c>
    </row>
    <row r="316">
      <c r="A316" t="n">
        <v>315</v>
      </c>
      <c r="B316" t="inlineStr">
        <is>
          <t>TA_6</t>
        </is>
      </c>
      <c r="C316" t="inlineStr">
        <is>
          <t>TA_16</t>
        </is>
      </c>
      <c r="D316" t="n">
        <v>7.5</v>
      </c>
      <c r="E316" t="n">
        <v>0</v>
      </c>
      <c r="F316" t="n">
        <v>11</v>
      </c>
      <c r="G316" t="n">
        <v>0</v>
      </c>
      <c r="H316" t="n">
        <v>8.5</v>
      </c>
      <c r="I316" t="n">
        <v>0</v>
      </c>
      <c r="J316" t="n">
        <v>7.5</v>
      </c>
      <c r="K316" t="n">
        <v>0</v>
      </c>
      <c r="L316" t="n">
        <v>11</v>
      </c>
      <c r="M316" t="n">
        <v>0</v>
      </c>
      <c r="N316" t="n">
        <v>8.5</v>
      </c>
      <c r="O316" t="n">
        <v>0</v>
      </c>
      <c r="P316">
        <f>Table1[[#This Row],[TA 1 - Q1 Score]]+Table1[[#This Row],[TA 1 - Q2 Score]]+Table1[[#This Row],[TA 1 - Q3 Score]]</f>
        <v/>
      </c>
      <c r="Q316">
        <f>Table1[[#This Row],[TA 1 - Q1 Bonus]]+Table1[[#This Row],[TA 1 - Q2 Bonus]]+Table1[[#This Row],[TA 1 - Q4 Bonus]]</f>
        <v/>
      </c>
      <c r="R316">
        <f>Table1[[#This Row],[TA 2 - Q1 Score]]+Table1[[#This Row],[TA 2 - Q2 Score]]+Table1[[#This Row],[TA 2 - Q3 Score]]</f>
        <v/>
      </c>
      <c r="S316">
        <f>Table1[[#This Row],[TA 2 - Q1 Bonus]]+Table1[[#This Row],[TA 2 - Q2 Bonus]]+Table1[[#This Row],[TA 2 - Q4 Bonus]]</f>
        <v/>
      </c>
      <c r="T316">
        <f>(Table1[[#This Row],[TA 1 - Total Score (out of 35)]]+Table1[[#This Row],[TA 2 - Total Score (out of 35)]])/2</f>
        <v/>
      </c>
      <c r="U316">
        <f>(Table1[[#This Row],[TA 1 - Total Bonus (out of 13)]]+Table1[[#This Row],[TA 2 - Total Bonus (out of 13)]])/2</f>
        <v/>
      </c>
      <c r="V316">
        <f>Table1[[#This Row],[Average Questions]]/35*20+Table1[[#This Row],[Average Bonus]]/13*5</f>
        <v/>
      </c>
      <c r="W316" t="n">
        <v>6</v>
      </c>
      <c r="X316" t="n">
        <v>0</v>
      </c>
      <c r="Y316"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2.0/?
- Part 5: Bonus — Test Time Augmentation: 0.0/?</t>
        </is>
      </c>
      <c r="Z316" t="n">
        <v>4</v>
      </c>
      <c r="AA316" t="n">
        <v>0</v>
      </c>
      <c r="AB316" t="inlineStr">
        <is>
          <t>The student's submission failed to meet the requirements of the task. The code does not load and prepare the data correctly, does not build the CNN model as specified, does not implement the training and validation functions, does not train the model, and does not implement the residual connection. The student's code is not organized and does not follow the structure of the reference solution. As a result, the student's submission does not meet the requirements of the task and does not demonstrate an understanding of the concepts.
Breakdown:
- Part 1: Load and Prepare Data: 0.0/?
- Part 2: Build the CNN Model: 0.0/?
- Part 3: Training and Validation Functions: 0.0/?
- Part 4: Training: 0.0/?
- Part 5: Bonus — Residual Connection: 0.0/?</t>
        </is>
      </c>
      <c r="AC316" t="n">
        <v>6</v>
      </c>
      <c r="AD316" t="inlineStr">
        <is>
          <t>The student's submission failed to meet the requirements of all tasks in Question 3. The student's code was incomplete and did not run end-to-end. The student failed to create a custom dataset class, define a pretrained U-Net model, define the training and validation loops, run the training, and visualize the predictions. As a result, the student scored 0% on all tasks and did not earn any bonus points.
Breakdown:
- Task 1: Dataset Class: 0.0/?
- Task 2: Model Class: 0.0/?
- Task 3: Training and Validation Loops: 0.0/?
- Task 4: Running Training: 0.0/?
- Task 5: Visualizing Predictions: 0.0/?</t>
        </is>
      </c>
      <c r="AE316" t="n">
        <v>0</v>
      </c>
      <c r="AF316" t="n">
        <v>0</v>
      </c>
      <c r="AG316" t="inlineStr">
        <is>
          <t>No submission found.</t>
        </is>
      </c>
      <c r="AH316" t="n">
        <v>16</v>
      </c>
      <c r="AI316" t="n">
        <v>0</v>
      </c>
    </row>
    <row r="317">
      <c r="A317" t="n">
        <v>316</v>
      </c>
      <c r="B317" t="inlineStr">
        <is>
          <t>TA_6</t>
        </is>
      </c>
      <c r="C317" t="inlineStr">
        <is>
          <t>TA_16</t>
        </is>
      </c>
      <c r="D317" t="n">
        <v>12</v>
      </c>
      <c r="E317" t="n">
        <v>0</v>
      </c>
      <c r="F317" t="n">
        <v>11</v>
      </c>
      <c r="G317" t="n">
        <v>4</v>
      </c>
      <c r="H317" t="n">
        <v>12</v>
      </c>
      <c r="I317" t="n">
        <v>0</v>
      </c>
      <c r="J317" t="n">
        <v>12</v>
      </c>
      <c r="K317" t="n">
        <v>0</v>
      </c>
      <c r="L317" t="n">
        <v>11</v>
      </c>
      <c r="M317" t="n">
        <v>4</v>
      </c>
      <c r="N317" t="n">
        <v>12</v>
      </c>
      <c r="O317" t="n">
        <v>0</v>
      </c>
      <c r="P317">
        <f>Table1[[#This Row],[TA 1 - Q1 Score]]+Table1[[#This Row],[TA 1 - Q2 Score]]+Table1[[#This Row],[TA 1 - Q3 Score]]</f>
        <v/>
      </c>
      <c r="Q317">
        <f>Table1[[#This Row],[TA 1 - Q1 Bonus]]+Table1[[#This Row],[TA 1 - Q2 Bonus]]+Table1[[#This Row],[TA 1 - Q4 Bonus]]</f>
        <v/>
      </c>
      <c r="R317">
        <f>Table1[[#This Row],[TA 2 - Q1 Score]]+Table1[[#This Row],[TA 2 - Q2 Score]]+Table1[[#This Row],[TA 2 - Q3 Score]]</f>
        <v/>
      </c>
      <c r="S317">
        <f>Table1[[#This Row],[TA 2 - Q1 Bonus]]+Table1[[#This Row],[TA 2 - Q2 Bonus]]+Table1[[#This Row],[TA 2 - Q4 Bonus]]</f>
        <v/>
      </c>
      <c r="T317">
        <f>(Table1[[#This Row],[TA 1 - Total Score (out of 35)]]+Table1[[#This Row],[TA 2 - Total Score (out of 35)]])/2</f>
        <v/>
      </c>
      <c r="U317">
        <f>(Table1[[#This Row],[TA 1 - Total Bonus (out of 13)]]+Table1[[#This Row],[TA 2 - Total Bonus (out of 13)]])/2</f>
        <v/>
      </c>
      <c r="V317">
        <f>Table1[[#This Row],[Average Questions]]/35*20+Table1[[#This Row],[Average Bonus]]/13*5</f>
        <v/>
      </c>
      <c r="W317" t="n">
        <v>6</v>
      </c>
      <c r="X317" t="n">
        <v>0</v>
      </c>
      <c r="Y317" t="inlineStr">
        <is>
          <t>The student's submission failed to address any of the tasks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317" t="n">
        <v>6</v>
      </c>
      <c r="AA317" t="n">
        <v>0</v>
      </c>
      <c r="AB317" t="inlineStr">
        <is>
          <t>The student's submission failed to meet the requirements for most tasks. In Part 1, the student failed to create a custom Dataset class or use ImageFolder, and did not display sample images with labels. In Part 2, the student's CNN model class did not have 5 convolutional layers, and did not include Batch Normalization after each convolutional layer. In Part 3, the student did not define the training loop function. In Part 4, the student's code for training the model was incomplete. In Part 5, the student did not implement a residual connection in the CNN model.
Breakdown:
- Part 1: Load and Prepare Data: 0.0/?
- Part 2: Build the CNN Model: 0.0/?
- Part 3: Training and Validation Functions: 0.0/?
- Part 4: Training: 2.0/?
- Part 5: Bonus — Residual Connection: 0.0/?</t>
        </is>
      </c>
      <c r="AC317" t="n">
        <v>6</v>
      </c>
      <c r="AD317" t="inlineStr">
        <is>
          <t>The student's submission was incomplete and failed to run end-to-end for most tasks. While the code for visualizing predictions was mostly correct, it was not enough to award full credit for the task. The student's submission did not demonstrate a clear understanding of the required tasks and concepts.
Breakdown:
- Task 1: Dataset Class: 0.0/?
- Task 2: Model Class: 0.0/?
- Task 3: Training and Validation Loops: 0.0/?
- Task 4: Running Training: 0.0/?
- Task 5: Visualizing Predictions: 6.0/?</t>
        </is>
      </c>
      <c r="AE317" t="n">
        <v>0</v>
      </c>
      <c r="AF317" t="n">
        <v>0</v>
      </c>
      <c r="AG317" t="inlineStr">
        <is>
          <t>No submission found.</t>
        </is>
      </c>
      <c r="AH317" t="n">
        <v>18</v>
      </c>
      <c r="AI317" t="n">
        <v>0</v>
      </c>
    </row>
    <row r="318">
      <c r="A318" t="n">
        <v>317</v>
      </c>
      <c r="B318" t="inlineStr">
        <is>
          <t>TA_6</t>
        </is>
      </c>
      <c r="C318" t="inlineStr">
        <is>
          <t>TA_16</t>
        </is>
      </c>
      <c r="D318" t="n">
        <v>12</v>
      </c>
      <c r="E318" t="n">
        <v>0</v>
      </c>
      <c r="F318" t="n">
        <v>11</v>
      </c>
      <c r="G318" t="n">
        <v>0</v>
      </c>
      <c r="H318" t="n">
        <v>11.5</v>
      </c>
      <c r="I318" t="n">
        <v>0</v>
      </c>
      <c r="J318" t="n">
        <v>12</v>
      </c>
      <c r="K318" t="n">
        <v>0</v>
      </c>
      <c r="L318" t="n">
        <v>11</v>
      </c>
      <c r="M318" t="n">
        <v>0</v>
      </c>
      <c r="N318" t="n">
        <v>11.5</v>
      </c>
      <c r="O318" t="n">
        <v>0</v>
      </c>
      <c r="P318">
        <f>Table1[[#This Row],[TA 1 - Q1 Score]]+Table1[[#This Row],[TA 1 - Q2 Score]]+Table1[[#This Row],[TA 1 - Q3 Score]]</f>
        <v/>
      </c>
      <c r="Q318">
        <f>Table1[[#This Row],[TA 1 - Q1 Bonus]]+Table1[[#This Row],[TA 1 - Q2 Bonus]]+Table1[[#This Row],[TA 1 - Q4 Bonus]]</f>
        <v/>
      </c>
      <c r="R318">
        <f>Table1[[#This Row],[TA 2 - Q1 Score]]+Table1[[#This Row],[TA 2 - Q2 Score]]+Table1[[#This Row],[TA 2 - Q3 Score]]</f>
        <v/>
      </c>
      <c r="S318">
        <f>Table1[[#This Row],[TA 2 - Q1 Bonus]]+Table1[[#This Row],[TA 2 - Q2 Bonus]]+Table1[[#This Row],[TA 2 - Q4 Bonus]]</f>
        <v/>
      </c>
      <c r="T318">
        <f>(Table1[[#This Row],[TA 1 - Total Score (out of 35)]]+Table1[[#This Row],[TA 2 - Total Score (out of 35)]])/2</f>
        <v/>
      </c>
      <c r="U318">
        <f>(Table1[[#This Row],[TA 1 - Total Bonus (out of 13)]]+Table1[[#This Row],[TA 2 - Total Bonus (out of 13)]])/2</f>
        <v/>
      </c>
      <c r="V318">
        <f>Table1[[#This Row],[Average Questions]]/35*20+Table1[[#This Row],[Average Bonus]]/13*5</f>
        <v/>
      </c>
      <c r="W318" t="n">
        <v>6</v>
      </c>
      <c r="X318" t="n">
        <v>0</v>
      </c>
      <c r="Y318" t="inlineStr">
        <is>
          <t>The student's submission failed to address several key tasks, including loading and preparing data, loading a pretrained model, and implementing training and validation functions. While the student did write code for the training task, it contained syntax/logic mistakes. The bonus task was also not attempted.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318" t="n">
        <v>4</v>
      </c>
      <c r="AA318" t="n">
        <v>0</v>
      </c>
      <c r="AB318"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18" t="n">
        <v>6</v>
      </c>
      <c r="AD318" t="inlineStr">
        <is>
          <t>The student's submission was incomplete, with no code submitted for Tasks 1-4. However, the code for Task 5: Visualizing Predictions was correct and ran, earning 6 points. The student's failure to attempt the other tasks resulted in a low overall score.
Breakdown:
- Task 1: Dataset Class: 0.0/?
- Task 2: Model Class: 0.0/?
- Task 3: Training and Validation Loops: 0.0/?
- Task 4: Running Training: 0.0/?
- Task 5: Visualizing Predictions: 6.0/?</t>
        </is>
      </c>
      <c r="AE318" t="n">
        <v>0</v>
      </c>
      <c r="AF318" t="n">
        <v>0</v>
      </c>
      <c r="AG318" t="inlineStr">
        <is>
          <t>No submission found.</t>
        </is>
      </c>
      <c r="AH318" t="n">
        <v>16</v>
      </c>
      <c r="AI318" t="n">
        <v>0</v>
      </c>
    </row>
    <row r="319">
      <c r="A319" t="n">
        <v>318</v>
      </c>
      <c r="B319" t="inlineStr">
        <is>
          <t>TA_6</t>
        </is>
      </c>
      <c r="C319" t="inlineStr">
        <is>
          <t>TA_16</t>
        </is>
      </c>
      <c r="D319" t="n">
        <v>12</v>
      </c>
      <c r="E319" t="n">
        <v>0</v>
      </c>
      <c r="F319" t="n">
        <v>10</v>
      </c>
      <c r="G319" t="n">
        <v>0</v>
      </c>
      <c r="H319" t="n">
        <v>10</v>
      </c>
      <c r="I319" t="n">
        <v>0</v>
      </c>
      <c r="J319" t="n">
        <v>12</v>
      </c>
      <c r="K319" t="n">
        <v>0</v>
      </c>
      <c r="L319" t="n">
        <v>10</v>
      </c>
      <c r="M319" t="n">
        <v>0</v>
      </c>
      <c r="N319" t="n">
        <v>10</v>
      </c>
      <c r="O319" t="n">
        <v>0</v>
      </c>
      <c r="P319">
        <f>Table1[[#This Row],[TA 1 - Q1 Score]]+Table1[[#This Row],[TA 1 - Q2 Score]]+Table1[[#This Row],[TA 1 - Q3 Score]]</f>
        <v/>
      </c>
      <c r="Q319">
        <f>Table1[[#This Row],[TA 1 - Q1 Bonus]]+Table1[[#This Row],[TA 1 - Q2 Bonus]]+Table1[[#This Row],[TA 1 - Q4 Bonus]]</f>
        <v/>
      </c>
      <c r="R319">
        <f>Table1[[#This Row],[TA 2 - Q1 Score]]+Table1[[#This Row],[TA 2 - Q2 Score]]+Table1[[#This Row],[TA 2 - Q3 Score]]</f>
        <v/>
      </c>
      <c r="S319">
        <f>Table1[[#This Row],[TA 2 - Q1 Bonus]]+Table1[[#This Row],[TA 2 - Q2 Bonus]]+Table1[[#This Row],[TA 2 - Q4 Bonus]]</f>
        <v/>
      </c>
      <c r="T319">
        <f>(Table1[[#This Row],[TA 1 - Total Score (out of 35)]]+Table1[[#This Row],[TA 2 - Total Score (out of 35)]])/2</f>
        <v/>
      </c>
      <c r="U319">
        <f>(Table1[[#This Row],[TA 1 - Total Bonus (out of 13)]]+Table1[[#This Row],[TA 2 - Total Bonus (out of 13)]])/2</f>
        <v/>
      </c>
      <c r="V319">
        <f>Table1[[#This Row],[Average Questions]]/35*20+Table1[[#This Row],[Average Bonus]]/13*5</f>
        <v/>
      </c>
      <c r="W319" t="n">
        <v>6</v>
      </c>
      <c r="X319" t="n">
        <v>0</v>
      </c>
      <c r="Y31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2.0/?
- Part 5: Bonus — Test Time Augmentation: 0.0/?</t>
        </is>
      </c>
      <c r="Z319" t="n">
        <v>4</v>
      </c>
      <c r="AA319" t="n">
        <v>0</v>
      </c>
      <c r="AB319" t="inlineStr">
        <is>
          <t>The student's submission failed to meet the requirements of the task. The code was not organized in a way that follows the reference solution, and it did not run end-to-end. The student attempted to load and prepare the data, but the code was not correct. The CNN model was not built correctly, and the training and validation functions were not implemented. The student did not attempt to train the model or implement the residual connection. The submission did not demonstrate a clear understanding of the task and the requirements.
Breakdown:
- Part 1: Load and Prepare Data: 0.0/?
- Part 2: Build the CNN Model: 0.0/?
- Part 3: Training and Validation Functions: 0.0/?
- Part 4: Training: 0.0/?
- Part 5: Bonus — Residual Connection: 0.0/?</t>
        </is>
      </c>
      <c r="AC319" t="n">
        <v>6</v>
      </c>
      <c r="AD319" t="inlineStr">
        <is>
          <t>The student's submission was incomplete and lacked code for most tasks. The only task that was attempted was Task 5: Visualizing Predictions, where the student's code was mostly correct but did not meet all the requirements. As a result, the student scored 6.0 out of 12.0 for the base tasks and 0.0 out of 0.0 for the bonus tasks.
Breakdown:
- Task 1: Dataset Class: 0.0/?
- Task 2: Model Class: 0.0/?
- Task 3: Training and Validation Loops: 0.0/?
- Task 4: Running Training: 0.0/?
- Task 5: Visualizing Predictions: 6.0/?</t>
        </is>
      </c>
      <c r="AE319" t="n">
        <v>0</v>
      </c>
      <c r="AF319" t="n">
        <v>0</v>
      </c>
      <c r="AG319" t="inlineStr">
        <is>
          <t>The student's submission has several issues with the `ColorizationDataset` class implementation. The `__init__` method does not store the dataset, the `__len__` method does not return the length, the `rgb_to_grayscale` method does not implement the correct formula, and the `__getitem__` method does not return the correct (grayscale, color) tuple. Additionally, the implementation has several syntax and logic mistakes. As a result, the student did not receive any points for this task.
Breakdown:
- Correctly implemented `ColorizationDataset` class:: 0.0/?
- Any mistake in implementation: 0.0/?</t>
        </is>
      </c>
      <c r="AH319" t="n">
        <v>16</v>
      </c>
      <c r="AI319" t="n">
        <v>0</v>
      </c>
    </row>
    <row r="320">
      <c r="A320" t="n">
        <v>319</v>
      </c>
      <c r="B320" t="inlineStr">
        <is>
          <t>TA_6</t>
        </is>
      </c>
      <c r="C320" t="inlineStr">
        <is>
          <t>TA_16</t>
        </is>
      </c>
      <c r="D320" t="n">
        <v>0</v>
      </c>
      <c r="E320" t="n">
        <v>0</v>
      </c>
      <c r="F320" t="n">
        <v>11</v>
      </c>
      <c r="G320" t="n">
        <v>0</v>
      </c>
      <c r="H320" t="n">
        <v>12</v>
      </c>
      <c r="I320" t="n">
        <v>0</v>
      </c>
      <c r="J320" t="n">
        <v>2</v>
      </c>
      <c r="K320" t="n">
        <v>0</v>
      </c>
      <c r="L320" t="n">
        <v>11</v>
      </c>
      <c r="M320" t="n">
        <v>0</v>
      </c>
      <c r="N320" t="n">
        <v>11</v>
      </c>
      <c r="O320" t="n">
        <v>0</v>
      </c>
      <c r="P320">
        <f>Table1[[#This Row],[TA 1 - Q1 Score]]+Table1[[#This Row],[TA 1 - Q2 Score]]+Table1[[#This Row],[TA 1 - Q3 Score]]</f>
        <v/>
      </c>
      <c r="Q320">
        <f>Table1[[#This Row],[TA 1 - Q1 Bonus]]+Table1[[#This Row],[TA 1 - Q2 Bonus]]+Table1[[#This Row],[TA 1 - Q4 Bonus]]</f>
        <v/>
      </c>
      <c r="R320">
        <f>Table1[[#This Row],[TA 2 - Q1 Score]]+Table1[[#This Row],[TA 2 - Q2 Score]]+Table1[[#This Row],[TA 2 - Q3 Score]]</f>
        <v/>
      </c>
      <c r="S320">
        <f>Table1[[#This Row],[TA 2 - Q1 Bonus]]+Table1[[#This Row],[TA 2 - Q2 Bonus]]+Table1[[#This Row],[TA 2 - Q4 Bonus]]</f>
        <v/>
      </c>
      <c r="T320">
        <f>(Table1[[#This Row],[TA 1 - Total Score (out of 35)]]+Table1[[#This Row],[TA 2 - Total Score (out of 35)]])/2</f>
        <v/>
      </c>
      <c r="U320">
        <f>(Table1[[#This Row],[TA 1 - Total Bonus (out of 13)]]+Table1[[#This Row],[TA 2 - Total Bonus (out of 13)]])/2</f>
        <v/>
      </c>
      <c r="V320">
        <f>Table1[[#This Row],[Average Questions]]/35*20+Table1[[#This Row],[Average Bonus]]/13*5</f>
        <v/>
      </c>
      <c r="W320" t="n">
        <v>6</v>
      </c>
      <c r="X320" t="n">
        <v>0</v>
      </c>
      <c r="Y320"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failed to run end-to-end. The bonus task was not attempted.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320" t="n">
        <v>6</v>
      </c>
      <c r="AA320" t="n">
        <v>0</v>
      </c>
      <c r="AB320" t="inlineStr">
        <is>
          <t>The student's submission failed to load and prepare the data correctly, resulting in a score of 0 for Part 1. The CNN model was partially built, but the student failed to add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demonstrates a lack of understanding of the required tasks and concepts.
Breakdown:
- Part 1: Load and Prepare Data: 0.0/?
- Part 2: Build the CNN Model: 2.0/?
- Part 3: Training and Validation Functions: 0.0/?
- Part 4: Training: 0.0/?
- Part 5: Bonus — Residual Connection: 0.0/?</t>
        </is>
      </c>
      <c r="AC320" t="n">
        <v>6</v>
      </c>
      <c r="AD320"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320" t="n">
        <v>0</v>
      </c>
      <c r="AF320" t="n">
        <v>0</v>
      </c>
      <c r="AG320" t="inlineStr">
        <is>
          <t>No submission found.</t>
        </is>
      </c>
      <c r="AH320" t="n">
        <v>18</v>
      </c>
      <c r="AI320" t="n">
        <v>0</v>
      </c>
    </row>
    <row r="321">
      <c r="A321" t="n">
        <v>320</v>
      </c>
      <c r="B321" t="inlineStr">
        <is>
          <t>TA_6</t>
        </is>
      </c>
      <c r="C321" t="inlineStr">
        <is>
          <t>TA_16</t>
        </is>
      </c>
      <c r="D321" t="n">
        <v>6</v>
      </c>
      <c r="E321" t="n">
        <v>0</v>
      </c>
      <c r="F321" t="n">
        <v>6.5</v>
      </c>
      <c r="G321" t="n">
        <v>0</v>
      </c>
      <c r="H321" t="n">
        <v>10.5</v>
      </c>
      <c r="I321" t="n">
        <v>0</v>
      </c>
      <c r="J321" t="n">
        <v>7</v>
      </c>
      <c r="K321" t="n">
        <v>0</v>
      </c>
      <c r="L321" t="n">
        <v>7.5</v>
      </c>
      <c r="M321" t="n">
        <v>0</v>
      </c>
      <c r="N321" t="n">
        <v>10.5</v>
      </c>
      <c r="O321" t="n">
        <v>0</v>
      </c>
      <c r="P321">
        <f>Table1[[#This Row],[TA 1 - Q1 Score]]+Table1[[#This Row],[TA 1 - Q2 Score]]+Table1[[#This Row],[TA 1 - Q3 Score]]</f>
        <v/>
      </c>
      <c r="Q321">
        <f>Table1[[#This Row],[TA 1 - Q1 Bonus]]+Table1[[#This Row],[TA 1 - Q2 Bonus]]+Table1[[#This Row],[TA 1 - Q4 Bonus]]</f>
        <v/>
      </c>
      <c r="R321">
        <f>Table1[[#This Row],[TA 2 - Q1 Score]]+Table1[[#This Row],[TA 2 - Q2 Score]]+Table1[[#This Row],[TA 2 - Q3 Score]]</f>
        <v/>
      </c>
      <c r="S321">
        <f>Table1[[#This Row],[TA 2 - Q1 Bonus]]+Table1[[#This Row],[TA 2 - Q2 Bonus]]+Table1[[#This Row],[TA 2 - Q4 Bonus]]</f>
        <v/>
      </c>
      <c r="T321">
        <f>(Table1[[#This Row],[TA 1 - Total Score (out of 35)]]+Table1[[#This Row],[TA 2 - Total Score (out of 35)]])/2</f>
        <v/>
      </c>
      <c r="U321">
        <f>(Table1[[#This Row],[TA 1 - Total Bonus (out of 13)]]+Table1[[#This Row],[TA 2 - Total Bonus (out of 13)]])/2</f>
        <v/>
      </c>
      <c r="V321">
        <f>Table1[[#This Row],[Average Questions]]/35*20+Table1[[#This Row],[Average Bonus]]/13*5</f>
        <v/>
      </c>
      <c r="W321" t="n">
        <v>6</v>
      </c>
      <c r="X321" t="n">
        <v>0</v>
      </c>
      <c r="Y321" t="inlineStr">
        <is>
          <t>The student's submission failed to complete several key tasks, including loading and preparing the data, loading a pretrained model, and training the model. The code for the training and validation functions was partially correct, but the student failed to fix the labels, resulting in a loss of 2 points.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321" t="n">
        <v>4</v>
      </c>
      <c r="AA321" t="n">
        <v>0</v>
      </c>
      <c r="AB321"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21" t="n">
        <v>6</v>
      </c>
      <c r="AD321" t="inlineStr">
        <is>
          <t>The student's submission had several issues. The dataset class was not implemented correctly, and the model class was not defined as per the reference solution. The training and validation loops were also not implemented correctly, and the training process was not completed. However, the student was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321" t="n">
        <v>0</v>
      </c>
      <c r="AF321" t="n">
        <v>0</v>
      </c>
      <c r="AG321" t="inlineStr">
        <is>
          <t>No submission found.</t>
        </is>
      </c>
      <c r="AH321" t="n">
        <v>16</v>
      </c>
      <c r="AI321" t="n">
        <v>0</v>
      </c>
    </row>
    <row r="322">
      <c r="A322" t="n">
        <v>321</v>
      </c>
      <c r="B322" t="inlineStr">
        <is>
          <t>TA_6</t>
        </is>
      </c>
      <c r="C322" t="inlineStr">
        <is>
          <t>TA_16</t>
        </is>
      </c>
      <c r="D322" t="n">
        <v>11</v>
      </c>
      <c r="E322" t="n">
        <v>0</v>
      </c>
      <c r="F322" t="n">
        <v>6.5</v>
      </c>
      <c r="G322" t="n">
        <v>0</v>
      </c>
      <c r="H322" t="n">
        <v>6.75</v>
      </c>
      <c r="I322" t="n">
        <v>0</v>
      </c>
      <c r="J322" t="n">
        <v>11</v>
      </c>
      <c r="K322" t="n">
        <v>0</v>
      </c>
      <c r="L322" t="n">
        <v>7.5</v>
      </c>
      <c r="M322" t="n">
        <v>0</v>
      </c>
      <c r="N322" t="n">
        <v>5.75</v>
      </c>
      <c r="O322" t="n">
        <v>0</v>
      </c>
      <c r="P322">
        <f>Table1[[#This Row],[TA 1 - Q1 Score]]+Table1[[#This Row],[TA 1 - Q2 Score]]+Table1[[#This Row],[TA 1 - Q3 Score]]</f>
        <v/>
      </c>
      <c r="Q322">
        <f>Table1[[#This Row],[TA 1 - Q1 Bonus]]+Table1[[#This Row],[TA 1 - Q2 Bonus]]+Table1[[#This Row],[TA 1 - Q4 Bonus]]</f>
        <v/>
      </c>
      <c r="R322">
        <f>Table1[[#This Row],[TA 2 - Q1 Score]]+Table1[[#This Row],[TA 2 - Q2 Score]]+Table1[[#This Row],[TA 2 - Q3 Score]]</f>
        <v/>
      </c>
      <c r="S322">
        <f>Table1[[#This Row],[TA 2 - Q1 Bonus]]+Table1[[#This Row],[TA 2 - Q2 Bonus]]+Table1[[#This Row],[TA 2 - Q4 Bonus]]</f>
        <v/>
      </c>
      <c r="T322">
        <f>(Table1[[#This Row],[TA 1 - Total Score (out of 35)]]+Table1[[#This Row],[TA 2 - Total Score (out of 35)]])/2</f>
        <v/>
      </c>
      <c r="U322">
        <f>(Table1[[#This Row],[TA 1 - Total Bonus (out of 13)]]+Table1[[#This Row],[TA 2 - Total Bonus (out of 13)]])/2</f>
        <v/>
      </c>
      <c r="V322">
        <f>Table1[[#This Row],[Average Questions]]/35*20+Table1[[#This Row],[Average Bonus]]/13*5</f>
        <v/>
      </c>
      <c r="W322" t="n">
        <v>6</v>
      </c>
      <c r="X322" t="n">
        <v>0</v>
      </c>
      <c r="Y32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correctly.
Breakdown:
- Part 1: Load and Prepare Data: 0.0/?
- Part 2: Load Pretrained Model and Adapt: 0.0/?
- Part 3: Training and Validation Functions: 0.0/?
- Part 4: Training: 2.0/?
- Part 5: Bonus — Test Time Augmentation: 0.0/?</t>
        </is>
      </c>
      <c r="Z322" t="n">
        <v>4</v>
      </c>
      <c r="AA322" t="n">
        <v>0</v>
      </c>
      <c r="AB322"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22" t="n">
        <v>6</v>
      </c>
      <c r="AD322"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22" t="n">
        <v>0</v>
      </c>
      <c r="AF322" t="n">
        <v>0</v>
      </c>
      <c r="AG322" t="inlineStr">
        <is>
          <t>No submission found.</t>
        </is>
      </c>
      <c r="AH322" t="n">
        <v>16</v>
      </c>
      <c r="AI322" t="n">
        <v>0</v>
      </c>
    </row>
    <row r="323">
      <c r="A323" t="n">
        <v>322</v>
      </c>
      <c r="B323" t="inlineStr">
        <is>
          <t>TA_6</t>
        </is>
      </c>
      <c r="C323" t="inlineStr">
        <is>
          <t>TA_16</t>
        </is>
      </c>
      <c r="D323" t="n">
        <v>4.5</v>
      </c>
      <c r="E323" t="n">
        <v>0</v>
      </c>
      <c r="F323" t="n">
        <v>11</v>
      </c>
      <c r="G323" t="n">
        <v>4</v>
      </c>
      <c r="H323" t="n">
        <v>8.5</v>
      </c>
      <c r="I323" t="n">
        <v>0</v>
      </c>
      <c r="J323" t="n">
        <v>4.5</v>
      </c>
      <c r="K323" t="n">
        <v>0</v>
      </c>
      <c r="L323" t="n">
        <v>9</v>
      </c>
      <c r="M323" t="n">
        <v>4</v>
      </c>
      <c r="N323" t="n">
        <v>7.5</v>
      </c>
      <c r="O323" t="n">
        <v>0</v>
      </c>
      <c r="P323">
        <f>Table1[[#This Row],[TA 1 - Q1 Score]]+Table1[[#This Row],[TA 1 - Q2 Score]]+Table1[[#This Row],[TA 1 - Q3 Score]]</f>
        <v/>
      </c>
      <c r="Q323">
        <f>Table1[[#This Row],[TA 1 - Q1 Bonus]]+Table1[[#This Row],[TA 1 - Q2 Bonus]]+Table1[[#This Row],[TA 1 - Q4 Bonus]]</f>
        <v/>
      </c>
      <c r="R323">
        <f>Table1[[#This Row],[TA 2 - Q1 Score]]+Table1[[#This Row],[TA 2 - Q2 Score]]+Table1[[#This Row],[TA 2 - Q3 Score]]</f>
        <v/>
      </c>
      <c r="S323">
        <f>Table1[[#This Row],[TA 2 - Q1 Bonus]]+Table1[[#This Row],[TA 2 - Q2 Bonus]]+Table1[[#This Row],[TA 2 - Q4 Bonus]]</f>
        <v/>
      </c>
      <c r="T323">
        <f>(Table1[[#This Row],[TA 1 - Total Score (out of 35)]]+Table1[[#This Row],[TA 2 - Total Score (out of 35)]])/2</f>
        <v/>
      </c>
      <c r="U323">
        <f>(Table1[[#This Row],[TA 1 - Total Bonus (out of 13)]]+Table1[[#This Row],[TA 2 - Total Bonus (out of 13)]])/2</f>
        <v/>
      </c>
      <c r="V323">
        <f>Table1[[#This Row],[Average Questions]]/35*20+Table1[[#This Row],[Average Bonus]]/13*5</f>
        <v/>
      </c>
      <c r="W323" t="n">
        <v>6</v>
      </c>
      <c r="X323" t="n">
        <v>0</v>
      </c>
      <c r="Y323" t="inlineStr">
        <is>
          <t>The student's submission failed to complete several key tasks, including loading and preparing the data, loading a pretrained model and adapting it, and implementing training and validation functions. While the student did attempt to train the model, their implementation was incomplete and did not follow the reference solution. As a result, the student was unable to achieve the full score for this question.
Breakdown:
- Part 1: Load and Prepare Data: 0.0/?
- Part 2: Load Pretrained Model and Adapt: 0.0/?
- Part 3: Training and Validation Functions: 0.0/?
- Part 4: Training: 2.0/?
- Part 5: Bonus — Test Time Augmentation: 0.0/?</t>
        </is>
      </c>
      <c r="Z323" t="n">
        <v>4</v>
      </c>
      <c r="AA323" t="n">
        <v>0</v>
      </c>
      <c r="AB323" t="inlineStr">
        <is>
          <t>The student's submission failed to load and prepare the data correctly, and did not build the CNN model as specified. The training and validation functions were not implemented, and the model was not trained. The bonus task of adding a residual connection was not attempted. The code is disorganized and does not run end-to-end.
Breakdown:
- Part 1: Load and Prepare Data: 0.0/?
- Part 2: Build the CNN Model: 0.0/?
- Part 3: Training and Validation Functions: 0.0/?
- Part 4: Training: 0.0/?
- Part 5: Bonus — Residual Connection: 0.0/?</t>
        </is>
      </c>
      <c r="AC323" t="n">
        <v>6</v>
      </c>
      <c r="AD323" t="inlineStr">
        <is>
          <t>The student's submission failed to meet the requirements of the task. They did not create a custom dataset class, used the wrong encoder and number of classes for the model, and did not use the correct loss function and optimizer. Additionally, they did not train the model for the correct number of epochs and did not use the correct method to denormalize the images. As a result, the student did not earn any points for this task.
Breakdown:
- Task 1: Dataset Class: 0.0/?
- Task 2: Model Class: 0.0/?
- Task 3: Training and Validation Loops: 0.0/?
- Task 4: Running Training: 0.0/?
- Task 5: Visualizing Predictions: 0.0/?</t>
        </is>
      </c>
      <c r="AE323" t="n">
        <v>0</v>
      </c>
      <c r="AF323" t="n">
        <v>0</v>
      </c>
      <c r="AG323" t="inlineStr">
        <is>
          <t>The student's submission does not meet the requirements of the task. The `ColorizationDataset` class is not implemented correctly, and the code does not run end-to-end. The student attempted to implement the class, but made several mistakes, including incorrect method implementations and missing functionality. As a result, the student did not earn any points for this task.
Breakdown:
- Correctly implemented `ColorizationDataset` class:: 0.0/?</t>
        </is>
      </c>
      <c r="AH323" t="n">
        <v>16</v>
      </c>
      <c r="AI323" t="n">
        <v>0</v>
      </c>
    </row>
    <row r="324">
      <c r="A324" t="n">
        <v>323</v>
      </c>
      <c r="B324" t="inlineStr">
        <is>
          <t>TA_6</t>
        </is>
      </c>
      <c r="C324" t="inlineStr">
        <is>
          <t>TA_16</t>
        </is>
      </c>
      <c r="D324" t="n">
        <v>7.5</v>
      </c>
      <c r="E324" t="n">
        <v>0</v>
      </c>
      <c r="F324" t="n">
        <v>8.5</v>
      </c>
      <c r="G324" t="n">
        <v>0</v>
      </c>
      <c r="H324" t="n">
        <v>12</v>
      </c>
      <c r="I324" t="n">
        <v>0</v>
      </c>
      <c r="J324" t="n">
        <v>7.5</v>
      </c>
      <c r="K324" t="n">
        <v>0</v>
      </c>
      <c r="L324" t="n">
        <v>8.5</v>
      </c>
      <c r="M324" t="n">
        <v>0</v>
      </c>
      <c r="N324" t="n">
        <v>12</v>
      </c>
      <c r="O324" t="n">
        <v>0</v>
      </c>
      <c r="P324">
        <f>Table1[[#This Row],[TA 1 - Q1 Score]]+Table1[[#This Row],[TA 1 - Q2 Score]]+Table1[[#This Row],[TA 1 - Q3 Score]]</f>
        <v/>
      </c>
      <c r="Q324">
        <f>Table1[[#This Row],[TA 1 - Q1 Bonus]]+Table1[[#This Row],[TA 1 - Q2 Bonus]]+Table1[[#This Row],[TA 1 - Q4 Bonus]]</f>
        <v/>
      </c>
      <c r="R324">
        <f>Table1[[#This Row],[TA 2 - Q1 Score]]+Table1[[#This Row],[TA 2 - Q2 Score]]+Table1[[#This Row],[TA 2 - Q3 Score]]</f>
        <v/>
      </c>
      <c r="S324">
        <f>Table1[[#This Row],[TA 2 - Q1 Bonus]]+Table1[[#This Row],[TA 2 - Q2 Bonus]]+Table1[[#This Row],[TA 2 - Q4 Bonus]]</f>
        <v/>
      </c>
      <c r="T324">
        <f>(Table1[[#This Row],[TA 1 - Total Score (out of 35)]]+Table1[[#This Row],[TA 2 - Total Score (out of 35)]])/2</f>
        <v/>
      </c>
      <c r="U324">
        <f>(Table1[[#This Row],[TA 1 - Total Bonus (out of 13)]]+Table1[[#This Row],[TA 2 - Total Bonus (out of 13)]])/2</f>
        <v/>
      </c>
      <c r="V324">
        <f>Table1[[#This Row],[Average Questions]]/35*20+Table1[[#This Row],[Average Bonus]]/13*5</f>
        <v/>
      </c>
      <c r="W324" t="n">
        <v>6</v>
      </c>
      <c r="X324" t="n">
        <v>0</v>
      </c>
      <c r="Y324" t="inlineStr">
        <is>
          <t>The student's submission failed to load and prepare the data correctly, load the pretrained model and adapt it, and implement the training and validation functions. The training process was also not completed. The bonus task of implementing test time augmentation was not attempted. The student's code had several syntax and logic mistakes, and some tasks were not addressed at all.
Breakdown:
- Part 1: Load and Prepare Data: 0.0/?
- Part 2: Load Pretrained Model and Adapt: 0.0/?
- Part 3: Training and Validation Functions: 1.5/?
- Part 4: Training: 0.0/?
- Part 5: Bonus — Test Time Augmentation: 0.0/?</t>
        </is>
      </c>
      <c r="Z324" t="n">
        <v>4</v>
      </c>
      <c r="AA324" t="n">
        <v>0</v>
      </c>
      <c r="AB324"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24" t="n">
        <v>6</v>
      </c>
      <c r="AD324" t="inlineStr">
        <is>
          <t>The student's submission is incomplete and lacks code for several tasks. While they attempted to visualize predictions, their code is not fully functional and does not meet the requirements of the task. As a result, the student earns 0 points for Tasks 1-4 and 6 points for Task 5, for a total score of 6.0.
Breakdown:
- Task 1: Dataset Class: 0.0/?
- Task 2: Model Class: 0.0/?
- Task 3: Training and Validation Loops: 0.0/?
- Task 4: Running Training: 0.0/?
- Task 5: Visualizing Predictions: 6.0/?</t>
        </is>
      </c>
      <c r="AE324" t="n">
        <v>0</v>
      </c>
      <c r="AF324" t="n">
        <v>0</v>
      </c>
      <c r="AG324" t="inlineStr">
        <is>
          <t>No submission found.</t>
        </is>
      </c>
      <c r="AH324" t="n">
        <v>16</v>
      </c>
      <c r="AI324" t="n">
        <v>0</v>
      </c>
    </row>
    <row r="325">
      <c r="A325" t="n">
        <v>324</v>
      </c>
      <c r="B325" t="inlineStr">
        <is>
          <t>TA_6</t>
        </is>
      </c>
      <c r="C325" t="inlineStr">
        <is>
          <t>TA_16</t>
        </is>
      </c>
      <c r="D325" t="n">
        <v>3</v>
      </c>
      <c r="E325" t="n">
        <v>0</v>
      </c>
      <c r="F325" t="n">
        <v>4.5</v>
      </c>
      <c r="G325" t="n">
        <v>0</v>
      </c>
      <c r="H325" t="n">
        <v>9</v>
      </c>
      <c r="I325" t="n">
        <v>0</v>
      </c>
      <c r="J325" t="n">
        <v>3</v>
      </c>
      <c r="K325" t="n">
        <v>0</v>
      </c>
      <c r="L325" t="n">
        <v>6.5</v>
      </c>
      <c r="M325" t="n">
        <v>0</v>
      </c>
      <c r="N325" t="n">
        <v>9</v>
      </c>
      <c r="O325" t="n">
        <v>0</v>
      </c>
      <c r="P325">
        <f>Table1[[#This Row],[TA 1 - Q1 Score]]+Table1[[#This Row],[TA 1 - Q2 Score]]+Table1[[#This Row],[TA 1 - Q3 Score]]</f>
        <v/>
      </c>
      <c r="Q325">
        <f>Table1[[#This Row],[TA 1 - Q1 Bonus]]+Table1[[#This Row],[TA 1 - Q2 Bonus]]+Table1[[#This Row],[TA 1 - Q4 Bonus]]</f>
        <v/>
      </c>
      <c r="R325">
        <f>Table1[[#This Row],[TA 2 - Q1 Score]]+Table1[[#This Row],[TA 2 - Q2 Score]]+Table1[[#This Row],[TA 2 - Q3 Score]]</f>
        <v/>
      </c>
      <c r="S325">
        <f>Table1[[#This Row],[TA 2 - Q1 Bonus]]+Table1[[#This Row],[TA 2 - Q2 Bonus]]+Table1[[#This Row],[TA 2 - Q4 Bonus]]</f>
        <v/>
      </c>
      <c r="T325">
        <f>(Table1[[#This Row],[TA 1 - Total Score (out of 35)]]+Table1[[#This Row],[TA 2 - Total Score (out of 35)]])/2</f>
        <v/>
      </c>
      <c r="U325">
        <f>(Table1[[#This Row],[TA 1 - Total Bonus (out of 13)]]+Table1[[#This Row],[TA 2 - Total Bonus (out of 13)]])/2</f>
        <v/>
      </c>
      <c r="V325">
        <f>Table1[[#This Row],[Average Questions]]/35*20+Table1[[#This Row],[Average Bonus]]/13*5</f>
        <v/>
      </c>
      <c r="W325" t="n">
        <v>6</v>
      </c>
      <c r="X325" t="n">
        <v>0</v>
      </c>
      <c r="Y325"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significant errors and did not run end-to-end. The bonus task of implementing test time augmentation was also not completed. As a result, the student's score is limited to the points awarded for the training task, which was partially completed.
Breakdown:
- Part 1: Load and Prepare Data: 0.0/?
- Part 2: Load Pretrained Model and Adapt: 0.0/?
- Part 3: Training and Validation Functions: 0.0/?
- Part 4: Training: 2.0/?
- Part 5: Bonus — Test Time Augmentation: 0.0/?</t>
        </is>
      </c>
      <c r="Z325" t="n">
        <v>4</v>
      </c>
      <c r="AA325" t="n">
        <v>0</v>
      </c>
      <c r="AB325"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25" t="n">
        <v>6</v>
      </c>
      <c r="AD325" t="inlineStr">
        <is>
          <t>The student's submission failed to meet the requirements of the task. The code was not organized in a way that allowed it to run end-to-end, and several key components were missing or incorrect. The student attempted to define a dataset class, but it was not used correctly. The model class was not defined correctly, and the training and validation loops were not implemented. The loss and optimizer were not defined correctly, and the model was not trained. Finally, the predictions were not visualized correctly. Overall, the submission demonstrated a lack of understanding of the task requirements and a failure to implement key components.
Breakdown:
- Task 1: Dataset Class: 0.0/?
- Task 2: Model Class: 0.0/?
- Task 3: Training and Validation Loops: 0.0/?
- Task 4: Running Training: 0.0/?
- Task 5: Visualizing Predictions: 0.0/?</t>
        </is>
      </c>
      <c r="AE325" t="n">
        <v>0</v>
      </c>
      <c r="AF325" t="n">
        <v>0</v>
      </c>
      <c r="AG325" t="inlineStr">
        <is>
          <t>No submission found.</t>
        </is>
      </c>
      <c r="AH325" t="n">
        <v>16</v>
      </c>
      <c r="AI325" t="n">
        <v>0</v>
      </c>
    </row>
    <row r="326">
      <c r="A326" t="n">
        <v>325</v>
      </c>
      <c r="B326" t="inlineStr">
        <is>
          <t>TA_6</t>
        </is>
      </c>
      <c r="C326" t="inlineStr">
        <is>
          <t>TA_16</t>
        </is>
      </c>
      <c r="D326" t="n">
        <v>7.5</v>
      </c>
      <c r="E326" t="n">
        <v>0</v>
      </c>
      <c r="F326" t="n">
        <v>7.5</v>
      </c>
      <c r="G326" t="n">
        <v>0</v>
      </c>
      <c r="H326" t="n">
        <v>7.5</v>
      </c>
      <c r="I326" t="n">
        <v>0</v>
      </c>
      <c r="J326" t="n">
        <v>7.5</v>
      </c>
      <c r="K326" t="n">
        <v>0</v>
      </c>
      <c r="L326" t="n">
        <v>5.5</v>
      </c>
      <c r="M326" t="n">
        <v>0</v>
      </c>
      <c r="N326" t="n">
        <v>7.5</v>
      </c>
      <c r="O326" t="n">
        <v>0</v>
      </c>
      <c r="P326">
        <f>Table1[[#This Row],[TA 1 - Q1 Score]]+Table1[[#This Row],[TA 1 - Q2 Score]]+Table1[[#This Row],[TA 1 - Q3 Score]]</f>
        <v/>
      </c>
      <c r="Q326">
        <f>Table1[[#This Row],[TA 1 - Q1 Bonus]]+Table1[[#This Row],[TA 1 - Q2 Bonus]]+Table1[[#This Row],[TA 1 - Q4 Bonus]]</f>
        <v/>
      </c>
      <c r="R326">
        <f>Table1[[#This Row],[TA 2 - Q1 Score]]+Table1[[#This Row],[TA 2 - Q2 Score]]+Table1[[#This Row],[TA 2 - Q3 Score]]</f>
        <v/>
      </c>
      <c r="S326">
        <f>Table1[[#This Row],[TA 2 - Q1 Bonus]]+Table1[[#This Row],[TA 2 - Q2 Bonus]]+Table1[[#This Row],[TA 2 - Q4 Bonus]]</f>
        <v/>
      </c>
      <c r="T326">
        <f>(Table1[[#This Row],[TA 1 - Total Score (out of 35)]]+Table1[[#This Row],[TA 2 - Total Score (out of 35)]])/2</f>
        <v/>
      </c>
      <c r="U326">
        <f>(Table1[[#This Row],[TA 1 - Total Bonus (out of 13)]]+Table1[[#This Row],[TA 2 - Total Bonus (out of 13)]])/2</f>
        <v/>
      </c>
      <c r="V326">
        <f>Table1[[#This Row],[Average Questions]]/35*20+Table1[[#This Row],[Average Bonus]]/13*5</f>
        <v/>
      </c>
      <c r="W326" t="n">
        <v>6</v>
      </c>
      <c r="X326" t="n">
        <v>0</v>
      </c>
      <c r="Y326" t="inlineStr">
        <is>
          <t>The student's submission failed to complete several key tasks, including loading and preparing the data, loading a pretrained model, and implementing training and validation functions. While the student did attempt to train the model, their implementation was incomplete and did not follow the reference solution. As a result, the student was unable to achieve the full potential of the model and their submission was not evaluated for bonus tasks.
Breakdown:
- Part 1: Load and Prepare Data: 0.0/?
- Part 2: Load Pretrained Model and Adapt: 0.0/?
- Part 3: Training and Validation Functions: 0.0/?
- Part 4: Training: 2.0/?
- Part 5: Bonus — Test Time Augmentation: 0.0/?</t>
        </is>
      </c>
      <c r="Z326" t="n">
        <v>4</v>
      </c>
      <c r="AA326" t="n">
        <v>0</v>
      </c>
      <c r="AB326"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326" t="n">
        <v>6</v>
      </c>
      <c r="AD326"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26" t="n">
        <v>0</v>
      </c>
      <c r="AF326" t="n">
        <v>0</v>
      </c>
      <c r="AG326" t="inlineStr">
        <is>
          <t>No submission found.</t>
        </is>
      </c>
      <c r="AH326" t="n">
        <v>16</v>
      </c>
      <c r="AI326" t="n">
        <v>0</v>
      </c>
    </row>
    <row r="327">
      <c r="A327" t="n">
        <v>326</v>
      </c>
      <c r="B327" t="inlineStr">
        <is>
          <t>TA_6</t>
        </is>
      </c>
      <c r="C327" t="inlineStr">
        <is>
          <t>TA_16</t>
        </is>
      </c>
      <c r="D327" t="n">
        <v>1.5</v>
      </c>
      <c r="E327" t="n">
        <v>0</v>
      </c>
      <c r="F327" t="n">
        <v>4.5</v>
      </c>
      <c r="G327" t="n">
        <v>0</v>
      </c>
      <c r="H327" t="n">
        <v>3.5</v>
      </c>
      <c r="I327" t="n">
        <v>0</v>
      </c>
      <c r="J327" t="n">
        <v>1.5</v>
      </c>
      <c r="K327" t="n">
        <v>0</v>
      </c>
      <c r="L327" t="n">
        <v>3.5</v>
      </c>
      <c r="M327" t="n">
        <v>0</v>
      </c>
      <c r="N327" t="n">
        <v>3.5</v>
      </c>
      <c r="O327" t="n">
        <v>0</v>
      </c>
      <c r="P327">
        <f>Table1[[#This Row],[TA 1 - Q1 Score]]+Table1[[#This Row],[TA 1 - Q2 Score]]+Table1[[#This Row],[TA 1 - Q3 Score]]</f>
        <v/>
      </c>
      <c r="Q327">
        <f>Table1[[#This Row],[TA 1 - Q1 Bonus]]+Table1[[#This Row],[TA 1 - Q2 Bonus]]+Table1[[#This Row],[TA 1 - Q4 Bonus]]</f>
        <v/>
      </c>
      <c r="R327">
        <f>Table1[[#This Row],[TA 2 - Q1 Score]]+Table1[[#This Row],[TA 2 - Q2 Score]]+Table1[[#This Row],[TA 2 - Q3 Score]]</f>
        <v/>
      </c>
      <c r="S327">
        <f>Table1[[#This Row],[TA 2 - Q1 Bonus]]+Table1[[#This Row],[TA 2 - Q2 Bonus]]+Table1[[#This Row],[TA 2 - Q4 Bonus]]</f>
        <v/>
      </c>
      <c r="T327">
        <f>(Table1[[#This Row],[TA 1 - Total Score (out of 35)]]+Table1[[#This Row],[TA 2 - Total Score (out of 35)]])/2</f>
        <v/>
      </c>
      <c r="U327">
        <f>(Table1[[#This Row],[TA 1 - Total Bonus (out of 13)]]+Table1[[#This Row],[TA 2 - Total Bonus (out of 13)]])/2</f>
        <v/>
      </c>
      <c r="V327">
        <f>Table1[[#This Row],[Average Questions]]/35*20+Table1[[#This Row],[Average Bonus]]/13*5</f>
        <v/>
      </c>
      <c r="W327" t="n">
        <v>6</v>
      </c>
      <c r="X327" t="n">
        <v>0</v>
      </c>
      <c r="Y327"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implementation of the training loop and validation function. As a result, the student was unable to complete the bonus task of implementing test time augmentation.
Breakdown:
- Part 1: Load and Prepare Data: 0.0/?
- Part 2: Load Pretrained Model and Adapt: 0.0/?
- Part 3: Training and Validation Functions: 0.0/?
- Part 4: Training: 2.5/?
- Part 5: Bonus — Test Time Augmentation: 0.0/?</t>
        </is>
      </c>
      <c r="Z327" t="n">
        <v>4</v>
      </c>
      <c r="AA327" t="n">
        <v>0</v>
      </c>
      <c r="AB327" t="inlineStr">
        <is>
          <t>The student's submission failed to meet the requirements of the task. The code did not load and prepare the data correctly, and the CNN model was not built as specified. The training and validation functions were not implemented, and the model was not trained. The bonus task of adding a residual connection was not attempted. The code had syntax errors and did not run end-to-end.
Breakdown:
- Part 1: Load and Prepare Data: 0.0/?
- Part 2: Build the CNN Model: 0.0/?
- Part 3: Training and Validation Functions: 0.0/?
- Part 4: Training: 0.0/?
- Part 5: Bonus — Residual Connection: 0.0/?</t>
        </is>
      </c>
      <c r="AC327" t="n">
        <v>6</v>
      </c>
      <c r="AD327"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27" t="n">
        <v>0</v>
      </c>
      <c r="AF327" t="n">
        <v>0</v>
      </c>
      <c r="AG327" t="inlineStr">
        <is>
          <t>The student's submission does not meet the requirements of the task. The `ColorizationDataset` class is not implemented correctly, and the student's implementation contains multiple mistakes. As a result, the student does not receive any points for this task.
Breakdown:
- Correctly implemented `ColorizationDataset` class:: 0.0/?
- Any mistake in implementation: 0.0/?</t>
        </is>
      </c>
      <c r="AH327" t="n">
        <v>16</v>
      </c>
      <c r="AI327" t="n">
        <v>0</v>
      </c>
    </row>
    <row r="328">
      <c r="A328" t="n">
        <v>327</v>
      </c>
      <c r="B328" t="inlineStr">
        <is>
          <t>TA_6</t>
        </is>
      </c>
      <c r="C328" t="inlineStr">
        <is>
          <t>TA_16</t>
        </is>
      </c>
      <c r="D328" t="n">
        <v>5</v>
      </c>
      <c r="E328" t="n">
        <v>0</v>
      </c>
      <c r="F328" t="n">
        <v>7.5</v>
      </c>
      <c r="G328" t="n">
        <v>0</v>
      </c>
      <c r="H328" t="n">
        <v>7.5</v>
      </c>
      <c r="I328" t="n">
        <v>0</v>
      </c>
      <c r="J328" t="n">
        <v>5</v>
      </c>
      <c r="K328" t="n">
        <v>0</v>
      </c>
      <c r="L328" t="n">
        <v>5.5</v>
      </c>
      <c r="M328" t="n">
        <v>0</v>
      </c>
      <c r="N328" t="n">
        <v>7.5</v>
      </c>
      <c r="O328" t="n">
        <v>0</v>
      </c>
      <c r="P328">
        <f>Table1[[#This Row],[TA 1 - Q1 Score]]+Table1[[#This Row],[TA 1 - Q2 Score]]+Table1[[#This Row],[TA 1 - Q3 Score]]</f>
        <v/>
      </c>
      <c r="Q328">
        <f>Table1[[#This Row],[TA 1 - Q1 Bonus]]+Table1[[#This Row],[TA 1 - Q2 Bonus]]+Table1[[#This Row],[TA 1 - Q4 Bonus]]</f>
        <v/>
      </c>
      <c r="R328">
        <f>Table1[[#This Row],[TA 2 - Q1 Score]]+Table1[[#This Row],[TA 2 - Q2 Score]]+Table1[[#This Row],[TA 2 - Q3 Score]]</f>
        <v/>
      </c>
      <c r="S328">
        <f>Table1[[#This Row],[TA 2 - Q1 Bonus]]+Table1[[#This Row],[TA 2 - Q2 Bonus]]+Table1[[#This Row],[TA 2 - Q4 Bonus]]</f>
        <v/>
      </c>
      <c r="T328">
        <f>(Table1[[#This Row],[TA 1 - Total Score (out of 35)]]+Table1[[#This Row],[TA 2 - Total Score (out of 35)]])/2</f>
        <v/>
      </c>
      <c r="U328">
        <f>(Table1[[#This Row],[TA 1 - Total Bonus (out of 13)]]+Table1[[#This Row],[TA 2 - Total Bonus (out of 13)]])/2</f>
        <v/>
      </c>
      <c r="V328">
        <f>Table1[[#This Row],[Average Questions]]/35*20+Table1[[#This Row],[Average Bonus]]/13*5</f>
        <v/>
      </c>
      <c r="W328" t="n">
        <v>6</v>
      </c>
      <c r="X328" t="n">
        <v>0</v>
      </c>
      <c r="Y328"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 was unable to achieve the full score for this question.
Breakdown:
- Part 1: Load and Prepare Data: 0.0/?
- Part 2: Load Pretrained Model and Adapt: 0.0/?
- Part 3: Training and Validation Functions: 0.0/?
- Part 4: Training: 2.0/?
- Part 5: Bonus — Test Time Augmentation: 0.0/?</t>
        </is>
      </c>
      <c r="Z328" t="n">
        <v>6</v>
      </c>
      <c r="AA328" t="n">
        <v>0</v>
      </c>
      <c r="AB328" t="inlineStr">
        <is>
          <t>The student's submission failed to load and prepare the data correctly, as they did not use the provided dataset class or ImageFolder. They also did not implement the CNN model with the required 5 convolutional layers and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328" t="n">
        <v>6</v>
      </c>
      <c r="AD328"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328" t="n">
        <v>0</v>
      </c>
      <c r="AF328" t="n">
        <v>0</v>
      </c>
      <c r="AG328" t="inlineStr">
        <is>
          <t>The student's submission does not implement the `ColorizationDataset` class correctly, resulting in a score of 0 for the base task. Since the student's implementation is not correct, they do not receive any bonus points. The task breakdown provides a detailed explanation of the student's mistakes.
Breakdown:
- Correctly implemented `ColorizationDataset` class:: 0.0/?
- Any mistake in implementation: 0.0/?</t>
        </is>
      </c>
      <c r="AH328" t="n">
        <v>18</v>
      </c>
      <c r="AI328" t="n">
        <v>0</v>
      </c>
    </row>
    <row r="329">
      <c r="A329" t="n">
        <v>328</v>
      </c>
      <c r="B329" t="inlineStr">
        <is>
          <t>TA_6</t>
        </is>
      </c>
      <c r="C329" t="inlineStr">
        <is>
          <t>TA_16</t>
        </is>
      </c>
      <c r="D329" t="n">
        <v>11</v>
      </c>
      <c r="E329" t="n">
        <v>4</v>
      </c>
      <c r="F329" t="n">
        <v>11</v>
      </c>
      <c r="G329" t="n">
        <v>0</v>
      </c>
      <c r="H329" t="n">
        <v>8.5</v>
      </c>
      <c r="I329" t="n">
        <v>0</v>
      </c>
      <c r="J329" t="n">
        <v>11</v>
      </c>
      <c r="K329" t="n">
        <v>4</v>
      </c>
      <c r="L329" t="n">
        <v>11</v>
      </c>
      <c r="M329" t="n">
        <v>0</v>
      </c>
      <c r="N329" t="n">
        <v>8.5</v>
      </c>
      <c r="O329" t="n">
        <v>0</v>
      </c>
      <c r="P329">
        <f>Table1[[#This Row],[TA 1 - Q1 Score]]+Table1[[#This Row],[TA 1 - Q2 Score]]+Table1[[#This Row],[TA 1 - Q3 Score]]</f>
        <v/>
      </c>
      <c r="Q329">
        <f>Table1[[#This Row],[TA 1 - Q1 Bonus]]+Table1[[#This Row],[TA 1 - Q2 Bonus]]+Table1[[#This Row],[TA 1 - Q4 Bonus]]</f>
        <v/>
      </c>
      <c r="R329">
        <f>Table1[[#This Row],[TA 2 - Q1 Score]]+Table1[[#This Row],[TA 2 - Q2 Score]]+Table1[[#This Row],[TA 2 - Q3 Score]]</f>
        <v/>
      </c>
      <c r="S329">
        <f>Table1[[#This Row],[TA 2 - Q1 Bonus]]+Table1[[#This Row],[TA 2 - Q2 Bonus]]+Table1[[#This Row],[TA 2 - Q4 Bonus]]</f>
        <v/>
      </c>
      <c r="T329">
        <f>(Table1[[#This Row],[TA 1 - Total Score (out of 35)]]+Table1[[#This Row],[TA 2 - Total Score (out of 35)]])/2</f>
        <v/>
      </c>
      <c r="U329">
        <f>(Table1[[#This Row],[TA 1 - Total Bonus (out of 13)]]+Table1[[#This Row],[TA 2 - Total Bonus (out of 13)]])/2</f>
        <v/>
      </c>
      <c r="V329">
        <f>Table1[[#This Row],[Average Questions]]/35*20+Table1[[#This Row],[Average Bonus]]/13*5</f>
        <v/>
      </c>
      <c r="W329" t="n">
        <v>6</v>
      </c>
      <c r="X329" t="n">
        <v>0</v>
      </c>
      <c r="Y329" t="inlineStr">
        <is>
          <t>The student's submission failed to complete several key tasks, including loading and preparing the data, loading a pretrained model and adapting it, and training the model. The code for the training and validation functions was partially correct, but the student failed to fix the labels, resulting in a penalty. The bonus task was not attempted. Overall, the submission demonstrates a lack of understanding of the required tasks and a failure to follow instructions.
Breakdown:
- Part 1: Load and Prepare Data: 0.0/?
- Part 2: Load Pretrained Model and Adapt: 0.0/?
- Part 3: Training and Validation Functions: 1.5/?
- Part 4: Training: 0.0/?
- Part 5: Bonus — Test Time Augmentation: 0.0/?</t>
        </is>
      </c>
      <c r="Z329" t="n">
        <v>6</v>
      </c>
      <c r="AA329" t="n">
        <v>0</v>
      </c>
      <c r="AB32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329" t="n">
        <v>6</v>
      </c>
      <c r="AD329" t="inlineStr">
        <is>
          <t>The student's submission had several issues, including a missing dataset class, incorrect model class, and incorrect training and validation loops. The training process was also not implemented correctly, and the predictions were not visualized correctly. As a result, the student did not meet the requirements of the task and did not earn any points.
Breakdown:
- Task 1: Dataset Class: 0.0/?
- Task 2: Model Class: 0.0/?
- Task 3: Training and Validation Loops: 0.0/?
- Task 4: Running Training: 0.0/?
- Task 5: Visualizing Predictions: 0.0/?</t>
        </is>
      </c>
      <c r="AE329" t="n">
        <v>0</v>
      </c>
      <c r="AF329" t="n">
        <v>0</v>
      </c>
      <c r="AG329" t="inlineStr">
        <is>
          <t>No submission found.</t>
        </is>
      </c>
      <c r="AH329" t="n">
        <v>18</v>
      </c>
      <c r="AI329" t="n">
        <v>0</v>
      </c>
    </row>
    <row r="330">
      <c r="A330" t="n">
        <v>329</v>
      </c>
      <c r="B330" t="inlineStr">
        <is>
          <t>TA_6</t>
        </is>
      </c>
      <c r="C330" t="inlineStr">
        <is>
          <t>TA_16</t>
        </is>
      </c>
      <c r="D330" t="n">
        <v>12</v>
      </c>
      <c r="E330" t="n">
        <v>0</v>
      </c>
      <c r="F330" t="n">
        <v>11</v>
      </c>
      <c r="G330" t="n">
        <v>0</v>
      </c>
      <c r="H330" t="n">
        <v>12</v>
      </c>
      <c r="I330" t="n">
        <v>5</v>
      </c>
      <c r="J330" t="n">
        <v>12</v>
      </c>
      <c r="K330" t="n">
        <v>0</v>
      </c>
      <c r="L330" t="n">
        <v>11</v>
      </c>
      <c r="M330" t="n">
        <v>0</v>
      </c>
      <c r="N330" t="n">
        <v>12</v>
      </c>
      <c r="O330" t="n">
        <v>5</v>
      </c>
      <c r="P330">
        <f>Table1[[#This Row],[TA 1 - Q1 Score]]+Table1[[#This Row],[TA 1 - Q2 Score]]+Table1[[#This Row],[TA 1 - Q3 Score]]</f>
        <v/>
      </c>
      <c r="Q330">
        <f>Table1[[#This Row],[TA 1 - Q1 Bonus]]+Table1[[#This Row],[TA 1 - Q2 Bonus]]+Table1[[#This Row],[TA 1 - Q4 Bonus]]</f>
        <v/>
      </c>
      <c r="R330">
        <f>Table1[[#This Row],[TA 2 - Q1 Score]]+Table1[[#This Row],[TA 2 - Q2 Score]]+Table1[[#This Row],[TA 2 - Q3 Score]]</f>
        <v/>
      </c>
      <c r="S330">
        <f>Table1[[#This Row],[TA 2 - Q1 Bonus]]+Table1[[#This Row],[TA 2 - Q2 Bonus]]+Table1[[#This Row],[TA 2 - Q4 Bonus]]</f>
        <v/>
      </c>
      <c r="T330">
        <f>(Table1[[#This Row],[TA 1 - Total Score (out of 35)]]+Table1[[#This Row],[TA 2 - Total Score (out of 35)]])/2</f>
        <v/>
      </c>
      <c r="U330">
        <f>(Table1[[#This Row],[TA 1 - Total Bonus (out of 13)]]+Table1[[#This Row],[TA 2 - Total Bonus (out of 13)]])/2</f>
        <v/>
      </c>
      <c r="V330">
        <f>Table1[[#This Row],[Average Questions]]/35*20+Table1[[#This Row],[Average Bonus]]/13*5</f>
        <v/>
      </c>
      <c r="W330" t="n">
        <v>6</v>
      </c>
      <c r="X330" t="n">
        <v>0</v>
      </c>
      <c r="Y330" t="inlineStr">
        <is>
          <t>The student failed to complete Part 1: Load and Prepare Data, Part 2: Load Pretrained Model and Adapt, and Part 3: Training and Validation Functions. They did complete Part 4: Training, but the score is capped at 2.5. The bonus task was not attempted.
Breakdown:
- Part 1: Load and Prepare Data: 0.0/?
- Part 2: Load Pretrained Model and Adapt: 0.0/?
- Part 3: Training and Validation Functions: 0.0/?
- Part 4: Training: 2.5/?
- Part 5: Bonus — Test Time Augmentation: 0.0/?</t>
        </is>
      </c>
      <c r="Z330" t="n">
        <v>4</v>
      </c>
      <c r="AA330" t="n">
        <v>0</v>
      </c>
      <c r="AB330" t="inlineStr">
        <is>
          <t>The student's submission failed to meet the requirements of the task. The code does not load and prepare the data correctly, does not build the CNN model as specified, does not implement the training and validation functions, does not train the model, and does not implement the residual connection. The student's code is disorganized and does not run end-to-end. As a result, the student receives 0% for each task.
Breakdown:
- Part 1: Load and Prepare Data: 0.0/?
- Part 2: Build the CNN Model: 0.0/?
- Part 3: Training and Validation Functions: 0.0/?
- Part 4: Training: 0.0/?
- Part 5: Bonus — Residual Connection: 0.0/?</t>
        </is>
      </c>
      <c r="AC330" t="n">
        <v>6</v>
      </c>
      <c r="AD330" t="inlineStr">
        <is>
          <t>The student's submission failed to meet the requirements of the task. The code was not organized in a way that allowed it to run end-to-end, and several key components were missing or incorrect. The student attempted to define a dataset class, but it was not used correctly. The model class was not defined correctly, and the training and validation loops were not implemented. The loss and optimizer were not defined correctly, and the model was not trained. Finally, the predictions were not visualized correctly. Overall, the submission demonstrated a lack of understanding of the task requirements and a failure to implement key components.
Breakdown:
- Task 1: Dataset Class: 0.0/?
- Task 2: Model Class: 0.0/?
- Task 3: Training and Validation Loops: 0.0/?
- Task 4: Running Training: 0.0/?
- Task 5: Visualizing Predictions: 0.0/?</t>
        </is>
      </c>
      <c r="AE330" t="n">
        <v>0</v>
      </c>
      <c r="AF330" t="n">
        <v>0</v>
      </c>
      <c r="AG330" t="inlineStr">
        <is>
          <t>The student's submission does not meet the requirements of the task. The `ColorizationDataset` class is not implemented correctly, and the code does not run end-to-end. The student attempted to implement the class, but made several mistakes, including incorrect method implementations and missing functionality. As a result, the student did not receive any points for this task.
Breakdown:
- Correctly implemented `ColorizationDataset` class:: 0.0/?</t>
        </is>
      </c>
      <c r="AH330" t="n">
        <v>16</v>
      </c>
      <c r="AI330" t="n">
        <v>0</v>
      </c>
    </row>
    <row r="331">
      <c r="A331" t="n">
        <v>330</v>
      </c>
      <c r="B331" t="inlineStr">
        <is>
          <t>TA_6</t>
        </is>
      </c>
      <c r="C331" t="inlineStr">
        <is>
          <t>TA_16</t>
        </is>
      </c>
      <c r="D331" t="n">
        <v>9.5</v>
      </c>
      <c r="E331" t="n">
        <v>0</v>
      </c>
      <c r="F331" t="n">
        <v>6.25</v>
      </c>
      <c r="G331" t="n">
        <v>0</v>
      </c>
      <c r="H331" t="n">
        <v>0</v>
      </c>
      <c r="I331" t="n">
        <v>0</v>
      </c>
      <c r="J331" t="n">
        <v>9.5</v>
      </c>
      <c r="K331" t="n">
        <v>0</v>
      </c>
      <c r="L331" t="n">
        <v>5.75</v>
      </c>
      <c r="M331" t="n">
        <v>0</v>
      </c>
      <c r="N331" t="n">
        <v>0</v>
      </c>
      <c r="O331" t="n">
        <v>0</v>
      </c>
      <c r="P331">
        <f>Table1[[#This Row],[TA 1 - Q1 Score]]+Table1[[#This Row],[TA 1 - Q2 Score]]+Table1[[#This Row],[TA 1 - Q3 Score]]</f>
        <v/>
      </c>
      <c r="Q331">
        <f>Table1[[#This Row],[TA 1 - Q1 Bonus]]+Table1[[#This Row],[TA 1 - Q2 Bonus]]+Table1[[#This Row],[TA 1 - Q4 Bonus]]</f>
        <v/>
      </c>
      <c r="R331">
        <f>Table1[[#This Row],[TA 2 - Q1 Score]]+Table1[[#This Row],[TA 2 - Q2 Score]]+Table1[[#This Row],[TA 2 - Q3 Score]]</f>
        <v/>
      </c>
      <c r="S331">
        <f>Table1[[#This Row],[TA 2 - Q1 Bonus]]+Table1[[#This Row],[TA 2 - Q2 Bonus]]+Table1[[#This Row],[TA 2 - Q4 Bonus]]</f>
        <v/>
      </c>
      <c r="T331">
        <f>(Table1[[#This Row],[TA 1 - Total Score (out of 35)]]+Table1[[#This Row],[TA 2 - Total Score (out of 35)]])/2</f>
        <v/>
      </c>
      <c r="U331">
        <f>(Table1[[#This Row],[TA 1 - Total Bonus (out of 13)]]+Table1[[#This Row],[TA 2 - Total Bonus (out of 13)]])/2</f>
        <v/>
      </c>
      <c r="V331">
        <f>Table1[[#This Row],[Average Questions]]/35*20+Table1[[#This Row],[Average Bonus]]/13*5</f>
        <v/>
      </c>
      <c r="W331" t="n">
        <v>9.5</v>
      </c>
      <c r="X331" t="n">
        <v>0</v>
      </c>
      <c r="Y331" t="inlineStr">
        <is>
          <t>The student's submission was incomplete and lacked code for several tasks. They did attempt some tasks, but with errors or omissions. The student loaded a pretrained model, replaced the classifier head, and trained the model, but failed to freeze the backbone and fix the labels. They also plotted some losses and accuracy, but not all required plots. The bonus task was not attempted.
Breakdown:
- Part 1: Load and Prepare Data: 0.0/?
- Part 1: Load and Prepare Data: 0.0/?
- Part 1: Load and Prepare Data: 0.0/?
- Part 2: Load Pretrained Model and Adapt: 0.5/?
- Part 2: Load Pretrained Model and Adapt: 0.0/?
- Part 2: Load Pretrained Model and Adapt: 1.0/?
- Part 3: Training and Validation Functions: 0.0/?
- Part 3: Training and Validation Functions: 1.0/?
- Part 3: Training and Validation Functions: 0.0/?
- Part 4: Training: 1.0/?
- Part 4: Training: 0.5/?
- Part 4: Training: 0.5/?
- Part 4: Training: 0.5/?
- Bonus - Test Time Augmentation (TTA): 0.0/?</t>
        </is>
      </c>
      <c r="Z331" t="n">
        <v>4</v>
      </c>
      <c r="AA331" t="n">
        <v>0</v>
      </c>
      <c r="AB331" t="inlineStr">
        <is>
          <t>The student's submission failed to meet the requirements of the task. The code was not organized in the same structure as the reference solution, and it failed to run end-to-end. The student attempted to load and prepare the data, but the code was not correct and did not produce the expected output. The student also attempted to build the CNN model, but the code was not correct and did not produce the expected output. The student did not complete the training and validation functions, and the training process was not implemented correctly. The bonus task was not attempted. Overall, the student's submission did not demonstrate a clear understanding of the task and the requirements.
Breakdown:
- Part 1: Load and Prepare Data: 0.0/?
- Part 2: Build the CNN Model: 0.0/?
- Part 3: Training and Validation Functions: 0.0/?
- Part 4: Training: 0.0/?
- Part 5: Bonus — Residual Connection: 0.0/?</t>
        </is>
      </c>
      <c r="AC331" t="n">
        <v>6</v>
      </c>
      <c r="AD331" t="inlineStr">
        <is>
          <t>The student's submission failed to meet the requirements of the task. The code was not organized in a way that allowed it to run end-to-end, and several key components were missing or implemented incorrectly. As a result, the student was unable to complete the task and earn any points.
Breakdown:
- Task 1: Dataset Class: 0.0/?
- Task 2: Model Class: 0.0/?
- Task 3: Training and Validation Loops: 0.0/?
- Task 4: Running Training: 0.0/?
- Task 5: Visualizing Predictions: 0.0/?</t>
        </is>
      </c>
      <c r="AE331" t="n">
        <v>0</v>
      </c>
      <c r="AF331" t="n">
        <v>0</v>
      </c>
      <c r="AG331" t="inlineStr">
        <is>
          <t>No submission found.</t>
        </is>
      </c>
      <c r="AH331" t="n">
        <v>19.5</v>
      </c>
      <c r="AI331" t="n">
        <v>0</v>
      </c>
    </row>
    <row r="332">
      <c r="A332" t="n">
        <v>331</v>
      </c>
      <c r="B332" t="inlineStr">
        <is>
          <t>TA_6</t>
        </is>
      </c>
      <c r="C332" t="inlineStr">
        <is>
          <t>TA_16</t>
        </is>
      </c>
      <c r="D332" t="n">
        <v>12</v>
      </c>
      <c r="E332" t="n">
        <v>4</v>
      </c>
      <c r="F332" t="n">
        <v>10.5</v>
      </c>
      <c r="G332" t="n">
        <v>4</v>
      </c>
      <c r="H332" t="n">
        <v>8</v>
      </c>
      <c r="I332" t="n">
        <v>5</v>
      </c>
      <c r="J332" t="n">
        <v>12</v>
      </c>
      <c r="K332" t="n">
        <v>4</v>
      </c>
      <c r="L332" t="n">
        <v>10.5</v>
      </c>
      <c r="M332" t="n">
        <v>4</v>
      </c>
      <c r="N332" t="n">
        <v>8</v>
      </c>
      <c r="O332" t="n">
        <v>5</v>
      </c>
      <c r="P332">
        <f>Table1[[#This Row],[TA 1 - Q1 Score]]+Table1[[#This Row],[TA 1 - Q2 Score]]+Table1[[#This Row],[TA 1 - Q3 Score]]</f>
        <v/>
      </c>
      <c r="Q332">
        <f>Table1[[#This Row],[TA 1 - Q1 Bonus]]+Table1[[#This Row],[TA 1 - Q2 Bonus]]+Table1[[#This Row],[TA 1 - Q4 Bonus]]</f>
        <v/>
      </c>
      <c r="R332">
        <f>Table1[[#This Row],[TA 2 - Q1 Score]]+Table1[[#This Row],[TA 2 - Q2 Score]]+Table1[[#This Row],[TA 2 - Q3 Score]]</f>
        <v/>
      </c>
      <c r="S332">
        <f>Table1[[#This Row],[TA 2 - Q1 Bonus]]+Table1[[#This Row],[TA 2 - Q2 Bonus]]+Table1[[#This Row],[TA 2 - Q4 Bonus]]</f>
        <v/>
      </c>
      <c r="T332">
        <f>(Table1[[#This Row],[TA 1 - Total Score (out of 35)]]+Table1[[#This Row],[TA 2 - Total Score (out of 35)]])/2</f>
        <v/>
      </c>
      <c r="U332">
        <f>(Table1[[#This Row],[TA 1 - Total Bonus (out of 13)]]+Table1[[#This Row],[TA 2 - Total Bonus (out of 13)]])/2</f>
        <v/>
      </c>
      <c r="V332">
        <f>Table1[[#This Row],[Average Questions]]/35*20+Table1[[#This Row],[Average Bonus]]/13*5</f>
        <v/>
      </c>
      <c r="W332" t="n">
        <v>6</v>
      </c>
      <c r="X332" t="n">
        <v>0</v>
      </c>
      <c r="Y33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training and validation losses, their code contained several syntax and logic mistakes. The student's implementation of test time augmentation was also incomplete. Overall, the student's submission demonstrated a lack of understanding of the key concepts and failed to execute the tasks correctly.
Breakdown:
- Part 1: Load and Prepare Data: 0.0/?
- Part 2: Load Pretrained Model and Adapt: 0.0/?
- Part 3: Training and Validation Functions: 0.0/?
- Part 4: Training: 3.0/?
- Part 5: Bonus — Test Time Augmentation: 0.0/?</t>
        </is>
      </c>
      <c r="Z332" t="n">
        <v>6</v>
      </c>
      <c r="AA332" t="n">
        <v>0</v>
      </c>
      <c r="AB332" t="inlineStr">
        <is>
          <t>The student's submission failed to meet the requirements for most tasks. In Part 1, the student incorrectly used ImageFolder and failed to implement transforms. In Part 2, the student's CNN model did not match the reference solution. In Part 3, the student did not define the training and validation loop functions. In Part 4, the student only partially completed the training task. In Part 5, the student did not implement the residual connection correctly. As a result, the student earned a score of 2.0 for Part 4 and 0.0 for all other tasks.
Breakdown:
- Part 1: Load and Prepare Data: 0.0/?
- Part 2: Build the CNN Model: 0.0/?
- Part 3: Training and Validation Functions: 0.0/?
- Part 4: Training: 2.0/?
- Part 5: Bonus — Residual Connection: 0.0/?</t>
        </is>
      </c>
      <c r="AC332" t="n">
        <v>6</v>
      </c>
      <c r="AD332" t="inlineStr">
        <is>
          <t>The student's submission failed to meet the requirements of several tasks. The dataset class was not defined, the model class was incorrect, the training and validation loops were not implemented correctly, the training process was not executed,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332" t="n">
        <v>0</v>
      </c>
      <c r="AF332" t="n">
        <v>0</v>
      </c>
      <c r="AG332" t="inlineStr">
        <is>
          <t>The student's submission does not meet the requirements of the task. The `ColorizationDataset` class is not fully implemented, and the code contains several syntax and logic mistakes. As a result, the student does not receive any points for this task.
Breakdown:
- Correctly implemented `ColorizationDataset` class:: 0.0/?
- Any mistake in implementation: 0.0/?</t>
        </is>
      </c>
      <c r="AH332" t="n">
        <v>18</v>
      </c>
      <c r="AI332" t="n">
        <v>0</v>
      </c>
    </row>
    <row r="333">
      <c r="A333" t="n">
        <v>332</v>
      </c>
      <c r="B333" t="inlineStr">
        <is>
          <t>TA_6</t>
        </is>
      </c>
      <c r="C333" t="inlineStr">
        <is>
          <t>TA_16</t>
        </is>
      </c>
      <c r="D333" t="n">
        <v>2</v>
      </c>
      <c r="E333" t="n">
        <v>0</v>
      </c>
      <c r="F333" t="n">
        <v>7.25</v>
      </c>
      <c r="G333" t="n">
        <v>0</v>
      </c>
      <c r="H333" t="n">
        <v>7</v>
      </c>
      <c r="I333" t="n">
        <v>0</v>
      </c>
      <c r="J333" t="n">
        <v>2</v>
      </c>
      <c r="K333" t="n">
        <v>0</v>
      </c>
      <c r="L333" t="n">
        <v>7.75</v>
      </c>
      <c r="M333" t="n">
        <v>0</v>
      </c>
      <c r="N333" t="n">
        <v>9</v>
      </c>
      <c r="O333" t="n">
        <v>0</v>
      </c>
      <c r="P333">
        <f>Table1[[#This Row],[TA 1 - Q1 Score]]+Table1[[#This Row],[TA 1 - Q2 Score]]+Table1[[#This Row],[TA 1 - Q3 Score]]</f>
        <v/>
      </c>
      <c r="Q333">
        <f>Table1[[#This Row],[TA 1 - Q1 Bonus]]+Table1[[#This Row],[TA 1 - Q2 Bonus]]+Table1[[#This Row],[TA 1 - Q4 Bonus]]</f>
        <v/>
      </c>
      <c r="R333">
        <f>Table1[[#This Row],[TA 2 - Q1 Score]]+Table1[[#This Row],[TA 2 - Q2 Score]]+Table1[[#This Row],[TA 2 - Q3 Score]]</f>
        <v/>
      </c>
      <c r="S333">
        <f>Table1[[#This Row],[TA 2 - Q1 Bonus]]+Table1[[#This Row],[TA 2 - Q2 Bonus]]+Table1[[#This Row],[TA 2 - Q4 Bonus]]</f>
        <v/>
      </c>
      <c r="T333">
        <f>(Table1[[#This Row],[TA 1 - Total Score (out of 35)]]+Table1[[#This Row],[TA 2 - Total Score (out of 35)]])/2</f>
        <v/>
      </c>
      <c r="U333">
        <f>(Table1[[#This Row],[TA 1 - Total Bonus (out of 13)]]+Table1[[#This Row],[TA 2 - Total Bonus (out of 13)]])/2</f>
        <v/>
      </c>
      <c r="V333">
        <f>Table1[[#This Row],[Average Questions]]/35*20+Table1[[#This Row],[Average Bonus]]/13*5</f>
        <v/>
      </c>
      <c r="W333" t="n">
        <v>6</v>
      </c>
      <c r="X333" t="n">
        <v>0</v>
      </c>
      <c r="Y333" t="inlineStr">
        <is>
          <t>The student's submission failed to complete several key tasks, including loading and preparing the data, loading a pretrained model, and adapting it for the task. The training and validation functions were also not implemented correctly. However, the student did manage to complete the training process, earning 6 points for that task.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333" t="n">
        <v>4</v>
      </c>
      <c r="AA333" t="n">
        <v>0</v>
      </c>
      <c r="AB333"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33" t="n">
        <v>6</v>
      </c>
      <c r="AD333" t="inlineStr">
        <is>
          <t>The student failed to submit code for any of the tasks in Question 3. As a result, no points can be awarded for this question. The student's submission does not demonstrate any understanding of the concepts or ability to implement the required code.
Breakdown:
- Task 1: Dataset Class: 0.0/?
- Task 2: Model Class: 0.0/?
- Task 3: Training and Validation Loops: 0.0/?
- Task 4: Running Training: 0.0/?
- Task 5: Visualizing Predictions: 0.0/?</t>
        </is>
      </c>
      <c r="AE333" t="n">
        <v>0</v>
      </c>
      <c r="AF333" t="n">
        <v>0</v>
      </c>
      <c r="AG333" t="inlineStr">
        <is>
          <t>No submission found.</t>
        </is>
      </c>
      <c r="AH333" t="n">
        <v>16</v>
      </c>
      <c r="AI333" t="n">
        <v>0</v>
      </c>
    </row>
    <row r="334">
      <c r="A334" t="n">
        <v>333</v>
      </c>
      <c r="B334" t="inlineStr">
        <is>
          <t>TA_6</t>
        </is>
      </c>
      <c r="C334" t="inlineStr">
        <is>
          <t>TA_16</t>
        </is>
      </c>
      <c r="D334" t="n">
        <v>1</v>
      </c>
      <c r="E334" t="n">
        <v>0</v>
      </c>
      <c r="F334" t="n">
        <v>0</v>
      </c>
      <c r="G334" t="n">
        <v>0</v>
      </c>
      <c r="H334" t="n">
        <v>0</v>
      </c>
      <c r="I334" t="n">
        <v>0</v>
      </c>
      <c r="J334" t="n">
        <v>1</v>
      </c>
      <c r="K334" t="n">
        <v>0</v>
      </c>
      <c r="L334" t="n">
        <v>0</v>
      </c>
      <c r="M334" t="n">
        <v>0</v>
      </c>
      <c r="N334" t="n">
        <v>0</v>
      </c>
      <c r="O334" t="n">
        <v>0</v>
      </c>
      <c r="P334">
        <f>Table1[[#This Row],[TA 1 - Q1 Score]]+Table1[[#This Row],[TA 1 - Q2 Score]]+Table1[[#This Row],[TA 1 - Q3 Score]]</f>
        <v/>
      </c>
      <c r="Q334">
        <f>Table1[[#This Row],[TA 1 - Q1 Bonus]]+Table1[[#This Row],[TA 1 - Q2 Bonus]]+Table1[[#This Row],[TA 1 - Q4 Bonus]]</f>
        <v/>
      </c>
      <c r="R334">
        <f>Table1[[#This Row],[TA 2 - Q1 Score]]+Table1[[#This Row],[TA 2 - Q2 Score]]+Table1[[#This Row],[TA 2 - Q3 Score]]</f>
        <v/>
      </c>
      <c r="S334">
        <f>Table1[[#This Row],[TA 2 - Q1 Bonus]]+Table1[[#This Row],[TA 2 - Q2 Bonus]]+Table1[[#This Row],[TA 2 - Q4 Bonus]]</f>
        <v/>
      </c>
      <c r="T334">
        <f>(Table1[[#This Row],[TA 1 - Total Score (out of 35)]]+Table1[[#This Row],[TA 2 - Total Score (out of 35)]])/2</f>
        <v/>
      </c>
      <c r="U334">
        <f>(Table1[[#This Row],[TA 1 - Total Bonus (out of 13)]]+Table1[[#This Row],[TA 2 - Total Bonus (out of 13)]])/2</f>
        <v/>
      </c>
      <c r="V334">
        <f>Table1[[#This Row],[Average Questions]]/35*20+Table1[[#This Row],[Average Bonus]]/13*5</f>
        <v/>
      </c>
      <c r="W334" t="n">
        <v>6</v>
      </c>
      <c r="X334" t="n">
        <v>0</v>
      </c>
      <c r="Y334" t="inlineStr">
        <is>
          <t>The student failed to complete the transforms in Part 1, and the model loading and adaptation in Part 2. The training and validation functions in Part 3 were not implemented correctly. Although the student attempted to train the model in Part 4, the code is not well-organized and lacks clarity. The bonus task in Part 5 was not attempted.
Breakdown:
- Part 1: Load and Prepare Data: 0.0/?
- Part 2: Load Pretrained Model and Adapt: 0.0/?
- Part 3: Training and Validation Functions: 0.0/?
- Part 4: Training: 2.5/?
- Part 5: Bonus — Test Time Augmentation: 0.0/?</t>
        </is>
      </c>
      <c r="Z334" t="n">
        <v>2</v>
      </c>
      <c r="AA334" t="n">
        <v>0</v>
      </c>
      <c r="AB334" t="inlineStr">
        <is>
          <t>The student failed to complete any of the tasks in the rubric. The code provided does not follow the instructions and does not attempt to solve the problem. The student's submission does not demonstrate any understanding of the task and does not provide any working code. As a result, the student receives 0 points for each task.
Breakdown:
- Part 1: Load and Prepare Data: 0.0/?
- Part 2: Build the CNN Model: 0.0/?
- Part 3: Training and Validation Functions: 0.0/?
- Part 4: Training: 0.0/?
- Part 5: Bonus — Residual Connection: 0.0/?</t>
        </is>
      </c>
      <c r="AC334" t="n">
        <v>6</v>
      </c>
      <c r="AD334" t="inlineStr">
        <is>
          <t>The student's submission failed to meet the requirements of the reference solution. The code was disorganized, and several tasks were not attempted. The student did not define the dataset class, model class, training and validation loops, or the loss and optimizer. The model was not trained, and no code was submitted for visualizing predictions. As a result, the student earned 0 points for each task.
Breakdown:
- Task 1: Dataset Class: 0.0/?
- Task 2: Model Class: 0.0/?
- Task 3: Training and Validation Loops: 0.0/?
- Task 4: Running Training: 0.0/?
- Task 5: Visualizing Predictions: 0.0/?
- Bonus Task: 0.0/?</t>
        </is>
      </c>
      <c r="AE334" t="n">
        <v>0</v>
      </c>
      <c r="AF334" t="n">
        <v>0</v>
      </c>
      <c r="AG334" t="inlineStr">
        <is>
          <t>No submission found.</t>
        </is>
      </c>
      <c r="AH334" t="n">
        <v>14</v>
      </c>
      <c r="AI334" t="n">
        <v>0</v>
      </c>
    </row>
    <row r="335">
      <c r="A335" t="n">
        <v>334</v>
      </c>
      <c r="B335" t="inlineStr">
        <is>
          <t>TA_6</t>
        </is>
      </c>
      <c r="C335" t="inlineStr">
        <is>
          <t>TA_16</t>
        </is>
      </c>
      <c r="D335" t="n">
        <v>12</v>
      </c>
      <c r="E335" t="n">
        <v>0</v>
      </c>
      <c r="F335" t="n">
        <v>10</v>
      </c>
      <c r="G335" t="n">
        <v>0</v>
      </c>
      <c r="H335" t="n">
        <v>8</v>
      </c>
      <c r="I335" t="n">
        <v>0</v>
      </c>
      <c r="J335" t="n">
        <v>12</v>
      </c>
      <c r="K335" t="n">
        <v>0</v>
      </c>
      <c r="L335" t="n">
        <v>10</v>
      </c>
      <c r="M335" t="n">
        <v>0</v>
      </c>
      <c r="N335" t="n">
        <v>8</v>
      </c>
      <c r="O335" t="n">
        <v>0</v>
      </c>
      <c r="P335">
        <f>Table1[[#This Row],[TA 1 - Q1 Score]]+Table1[[#This Row],[TA 1 - Q2 Score]]+Table1[[#This Row],[TA 1 - Q3 Score]]</f>
        <v/>
      </c>
      <c r="Q335">
        <f>Table1[[#This Row],[TA 1 - Q1 Bonus]]+Table1[[#This Row],[TA 1 - Q2 Bonus]]+Table1[[#This Row],[TA 1 - Q4 Bonus]]</f>
        <v/>
      </c>
      <c r="R335">
        <f>Table1[[#This Row],[TA 2 - Q1 Score]]+Table1[[#This Row],[TA 2 - Q2 Score]]+Table1[[#This Row],[TA 2 - Q3 Score]]</f>
        <v/>
      </c>
      <c r="S335">
        <f>Table1[[#This Row],[TA 2 - Q1 Bonus]]+Table1[[#This Row],[TA 2 - Q2 Bonus]]+Table1[[#This Row],[TA 2 - Q4 Bonus]]</f>
        <v/>
      </c>
      <c r="T335">
        <f>(Table1[[#This Row],[TA 1 - Total Score (out of 35)]]+Table1[[#This Row],[TA 2 - Total Score (out of 35)]])/2</f>
        <v/>
      </c>
      <c r="U335">
        <f>(Table1[[#This Row],[TA 1 - Total Bonus (out of 13)]]+Table1[[#This Row],[TA 2 - Total Bonus (out of 13)]])/2</f>
        <v/>
      </c>
      <c r="V335">
        <f>Table1[[#This Row],[Average Questions]]/35*20+Table1[[#This Row],[Average Bonus]]/13*5</f>
        <v/>
      </c>
      <c r="W335" t="n">
        <v>6</v>
      </c>
      <c r="X335" t="n">
        <v>0</v>
      </c>
      <c r="Y335" t="inlineStr">
        <is>
          <t>The student failed to complete the transforms in Part 1, and the model loading and adaptation in Part 2. The training and validation functions in Part 3 were not implemented correctly. Although the student was able to train the model in Part 4, the rest of the tasks were not completed. The bonus task was not attempted.
Breakdown:
- Part 1: Load and Prepare Data: 0.0/?
- Part 2: Load Pretrained Model and Adapt: 0.0/?
- Part 3: Training and Validation Functions: 0.0/?
- Part 4: Training: 2.5/?
- Part 5: Bonus — Test Time Augmentation: 0.0/?</t>
        </is>
      </c>
      <c r="Z335" t="n">
        <v>4</v>
      </c>
      <c r="AA335" t="n">
        <v>0</v>
      </c>
      <c r="AB335" t="inlineStr">
        <is>
          <t>The student's submission failed to meet the requirements of the task. The code is disorganized and does not follow the structure of the reference solution. The student attempted to load and prepare the data, but the code is incomplete and does not display sample images with labels. The CNN model is not built correctly, and the training and validation functions are not implemented. The training process is also not completed. The bonus task of adding a residual connection is not attempted. Overall, the submission lacks a clear understanding of the task requirements and does not demonstrate a working solution.
Breakdown:
- Part 1: Load and Prepare Data: 0.0/?
- Part 2: Build the CNN Model: 0.0/?
- Part 3: Training and Validation Functions: 0.0/?
- Part 4: Training: 0.0/?
- Part 5: Bonus — Residual Connection: 0.0/?</t>
        </is>
      </c>
      <c r="AC335" t="n">
        <v>6</v>
      </c>
      <c r="AD335"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335" t="n">
        <v>0</v>
      </c>
      <c r="AF335" t="n">
        <v>0</v>
      </c>
      <c r="AG335" t="inlineStr">
        <is>
          <t>No submission found.</t>
        </is>
      </c>
      <c r="AH335" t="n">
        <v>16</v>
      </c>
      <c r="AI335" t="n">
        <v>0</v>
      </c>
    </row>
    <row r="336">
      <c r="A336" t="n">
        <v>335</v>
      </c>
      <c r="B336" t="inlineStr">
        <is>
          <t>TA_6</t>
        </is>
      </c>
      <c r="C336" t="inlineStr">
        <is>
          <t>TA_16</t>
        </is>
      </c>
      <c r="D336" t="n">
        <v>12</v>
      </c>
      <c r="E336" t="n">
        <v>0</v>
      </c>
      <c r="F336" t="n">
        <v>11</v>
      </c>
      <c r="G336" t="n">
        <v>0</v>
      </c>
      <c r="H336" t="n">
        <v>7.5</v>
      </c>
      <c r="I336" t="n">
        <v>0</v>
      </c>
      <c r="J336" t="n">
        <v>12</v>
      </c>
      <c r="K336" t="n">
        <v>0</v>
      </c>
      <c r="L336" t="n">
        <v>11</v>
      </c>
      <c r="M336" t="n">
        <v>0</v>
      </c>
      <c r="N336" t="n">
        <v>7.5</v>
      </c>
      <c r="O336" t="n">
        <v>0</v>
      </c>
      <c r="P336">
        <f>Table1[[#This Row],[TA 1 - Q1 Score]]+Table1[[#This Row],[TA 1 - Q2 Score]]+Table1[[#This Row],[TA 1 - Q3 Score]]</f>
        <v/>
      </c>
      <c r="Q336">
        <f>Table1[[#This Row],[TA 1 - Q1 Bonus]]+Table1[[#This Row],[TA 1 - Q2 Bonus]]+Table1[[#This Row],[TA 1 - Q4 Bonus]]</f>
        <v/>
      </c>
      <c r="R336">
        <f>Table1[[#This Row],[TA 2 - Q1 Score]]+Table1[[#This Row],[TA 2 - Q2 Score]]+Table1[[#This Row],[TA 2 - Q3 Score]]</f>
        <v/>
      </c>
      <c r="S336">
        <f>Table1[[#This Row],[TA 2 - Q1 Bonus]]+Table1[[#This Row],[TA 2 - Q2 Bonus]]+Table1[[#This Row],[TA 2 - Q4 Bonus]]</f>
        <v/>
      </c>
      <c r="T336">
        <f>(Table1[[#This Row],[TA 1 - Total Score (out of 35)]]+Table1[[#This Row],[TA 2 - Total Score (out of 35)]])/2</f>
        <v/>
      </c>
      <c r="U336">
        <f>(Table1[[#This Row],[TA 1 - Total Bonus (out of 13)]]+Table1[[#This Row],[TA 2 - Total Bonus (out of 13)]])/2</f>
        <v/>
      </c>
      <c r="V336">
        <f>Table1[[#This Row],[Average Questions]]/35*20+Table1[[#This Row],[Average Bonus]]/13*5</f>
        <v/>
      </c>
      <c r="W336" t="n">
        <v>6</v>
      </c>
      <c r="X336" t="n">
        <v>0</v>
      </c>
      <c r="Y336" t="inlineStr">
        <is>
          <t>The student's submission failed to address several key tasks, including loading and preparing data, loading a pretrained model, and implementing training and validation functions. While the student did write some code for the training task, it is incomplete and does not run end-to-end. As a result, the student's submission does not meet the requirements of the question and does not demonstrate a clear understanding of the concepts.
Breakdown:
- Part 1: Load and Prepare Data: 0.0/?
- Part 2: Load Pretrained Model and Adapt: 0.0/?
- Part 3: Training and Validation Functions: 0.0/?
- Part 4: Training: 2.5/?
- Part 5: Bonus — Test Time Augmentation: 0.0/?</t>
        </is>
      </c>
      <c r="Z336" t="n">
        <v>4</v>
      </c>
      <c r="AA336" t="n">
        <v>0</v>
      </c>
      <c r="AB336"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36" t="n">
        <v>6</v>
      </c>
      <c r="AD336" t="inlineStr">
        <is>
          <t>The student's submission failed to meet the requirements of the task, with no code written for several tasks and incorrect or incomplete code for the remaining tasks. The student's code did not run end-to-end and failed to produce the correct output. As a result, the student received a score of 0 for each task, with a total score of 6.0 and no bonus points.
Breakdown:
- Task 1: Dataset Class: 0.0/?
- Task 2: Model Class: 0.0/?
- Task 3: Training and Validation Loops: 0.0/?
- Task 4: Running Training: 0.0/?
- Task 5: Visualizing Predictions: 0.0/?</t>
        </is>
      </c>
      <c r="AE336" t="n">
        <v>0</v>
      </c>
      <c r="AF336" t="n">
        <v>0</v>
      </c>
      <c r="AG336" t="inlineStr">
        <is>
          <t>No submission found.</t>
        </is>
      </c>
      <c r="AH336" t="n">
        <v>16</v>
      </c>
      <c r="AI336" t="n">
        <v>0</v>
      </c>
    </row>
    <row r="337">
      <c r="A337" t="n">
        <v>336</v>
      </c>
      <c r="B337" t="inlineStr">
        <is>
          <t>TA_6</t>
        </is>
      </c>
      <c r="C337" t="inlineStr">
        <is>
          <t>TA_16</t>
        </is>
      </c>
      <c r="D337" t="n">
        <v>10.5</v>
      </c>
      <c r="E337" t="n">
        <v>0</v>
      </c>
      <c r="F337" t="n">
        <v>9</v>
      </c>
      <c r="G337" t="n">
        <v>0</v>
      </c>
      <c r="H337" t="n">
        <v>11.5</v>
      </c>
      <c r="I337" t="n">
        <v>0</v>
      </c>
      <c r="J337" t="n">
        <v>10.5</v>
      </c>
      <c r="K337" t="n">
        <v>0</v>
      </c>
      <c r="L337" t="n">
        <v>9</v>
      </c>
      <c r="M337" t="n">
        <v>0</v>
      </c>
      <c r="N337" t="n">
        <v>11.5</v>
      </c>
      <c r="O337" t="n">
        <v>0</v>
      </c>
      <c r="P337">
        <f>Table1[[#This Row],[TA 1 - Q1 Score]]+Table1[[#This Row],[TA 1 - Q2 Score]]+Table1[[#This Row],[TA 1 - Q3 Score]]</f>
        <v/>
      </c>
      <c r="Q337">
        <f>Table1[[#This Row],[TA 1 - Q1 Bonus]]+Table1[[#This Row],[TA 1 - Q2 Bonus]]+Table1[[#This Row],[TA 1 - Q4 Bonus]]</f>
        <v/>
      </c>
      <c r="R337">
        <f>Table1[[#This Row],[TA 2 - Q1 Score]]+Table1[[#This Row],[TA 2 - Q2 Score]]+Table1[[#This Row],[TA 2 - Q3 Score]]</f>
        <v/>
      </c>
      <c r="S337">
        <f>Table1[[#This Row],[TA 2 - Q1 Bonus]]+Table1[[#This Row],[TA 2 - Q2 Bonus]]+Table1[[#This Row],[TA 2 - Q4 Bonus]]</f>
        <v/>
      </c>
      <c r="T337">
        <f>(Table1[[#This Row],[TA 1 - Total Score (out of 35)]]+Table1[[#This Row],[TA 2 - Total Score (out of 35)]])/2</f>
        <v/>
      </c>
      <c r="U337">
        <f>(Table1[[#This Row],[TA 1 - Total Bonus (out of 13)]]+Table1[[#This Row],[TA 2 - Total Bonus (out of 13)]])/2</f>
        <v/>
      </c>
      <c r="V337">
        <f>Table1[[#This Row],[Average Questions]]/35*20+Table1[[#This Row],[Average Bonus]]/13*5</f>
        <v/>
      </c>
      <c r="W337" t="n">
        <v>6</v>
      </c>
      <c r="X337" t="n">
        <v>0</v>
      </c>
      <c r="Y33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training curves, their code contained several syntax and logic mistakes. The student's implementation of test time augmentation was also incomplete. As a result, the student's submission was awarded a score of 6.0, with no bonus points.
Breakdown:
- Part 1: Load and Prepare Data: 0.0/?
- Part 2: Load Pretrained Model and Adapt: 0.0/?
- Part 3: Training and Validation Functions: 0.0/?
- Part 4: Training: 2.0/?
- Part 5: Bonus — Test Time Augmentation: 0.0/?</t>
        </is>
      </c>
      <c r="Z337" t="n">
        <v>4</v>
      </c>
      <c r="AA337" t="n">
        <v>0</v>
      </c>
      <c r="AB337"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disorganized and does not run end-to-end. As a result, the student receives 0 points for each task.
Breakdown:
- Part 1: Load and Prepare Data: 0.0/?
- Part 2: Build the CNN Model: 0.0/?
- Part 3: Training and Validation Functions: 0.0/?
- Part 4: Training: 0.0/?
- Part 5: Bonus — Residual Connection: 0.0/?</t>
        </is>
      </c>
      <c r="AC337" t="n">
        <v>6</v>
      </c>
      <c r="AD337"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37" t="n">
        <v>0</v>
      </c>
      <c r="AF337" t="n">
        <v>0</v>
      </c>
      <c r="AG337" t="inlineStr">
        <is>
          <t>The student's submission has multiple errors in the `ColorizationDataset` class implementation. The `rgb_to_grayscale` method is missing the `img` parameter, and the `__getitem__` method is not correctly implemented. The `self.img` attribute is not defined, and the `color_image` variable is not defined. As a result, the submission does not meet the requirements of the task and does not award any points.
Breakdown:
- Correctly implemented `ColorizationDataset` class:: 0.0/?
- Any mistake in implementation: 0.0/?</t>
        </is>
      </c>
      <c r="AH337" t="n">
        <v>16</v>
      </c>
      <c r="AI337" t="n">
        <v>0</v>
      </c>
    </row>
    <row r="338">
      <c r="A338" t="n">
        <v>337</v>
      </c>
      <c r="B338" t="inlineStr">
        <is>
          <t>TA_6</t>
        </is>
      </c>
      <c r="C338" t="inlineStr">
        <is>
          <t>TA_16</t>
        </is>
      </c>
      <c r="D338" t="n">
        <v>4.5</v>
      </c>
      <c r="E338" t="n">
        <v>0</v>
      </c>
      <c r="F338" t="n">
        <v>9</v>
      </c>
      <c r="G338" t="n">
        <v>0</v>
      </c>
      <c r="H338" t="n">
        <v>0</v>
      </c>
      <c r="I338" t="n">
        <v>0</v>
      </c>
      <c r="J338" t="n">
        <v>4.5</v>
      </c>
      <c r="K338" t="n">
        <v>0</v>
      </c>
      <c r="L338" t="n">
        <v>8</v>
      </c>
      <c r="M338" t="n">
        <v>0</v>
      </c>
      <c r="N338" t="n">
        <v>0</v>
      </c>
      <c r="O338" t="n">
        <v>0</v>
      </c>
      <c r="P338">
        <f>Table1[[#This Row],[TA 1 - Q1 Score]]+Table1[[#This Row],[TA 1 - Q2 Score]]+Table1[[#This Row],[TA 1 - Q3 Score]]</f>
        <v/>
      </c>
      <c r="Q338">
        <f>Table1[[#This Row],[TA 1 - Q1 Bonus]]+Table1[[#This Row],[TA 1 - Q2 Bonus]]+Table1[[#This Row],[TA 1 - Q4 Bonus]]</f>
        <v/>
      </c>
      <c r="R338">
        <f>Table1[[#This Row],[TA 2 - Q1 Score]]+Table1[[#This Row],[TA 2 - Q2 Score]]+Table1[[#This Row],[TA 2 - Q3 Score]]</f>
        <v/>
      </c>
      <c r="S338">
        <f>Table1[[#This Row],[TA 2 - Q1 Bonus]]+Table1[[#This Row],[TA 2 - Q2 Bonus]]+Table1[[#This Row],[TA 2 - Q4 Bonus]]</f>
        <v/>
      </c>
      <c r="T338">
        <f>(Table1[[#This Row],[TA 1 - Total Score (out of 35)]]+Table1[[#This Row],[TA 2 - Total Score (out of 35)]])/2</f>
        <v/>
      </c>
      <c r="U338">
        <f>(Table1[[#This Row],[TA 1 - Total Bonus (out of 13)]]+Table1[[#This Row],[TA 2 - Total Bonus (out of 13)]])/2</f>
        <v/>
      </c>
      <c r="V338">
        <f>Table1[[#This Row],[Average Questions]]/35*20+Table1[[#This Row],[Average Bonus]]/13*5</f>
        <v/>
      </c>
      <c r="W338" t="n">
        <v>6</v>
      </c>
      <c r="X338" t="n">
        <v>0</v>
      </c>
      <c r="Y33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correctly.
Breakdown:
- Part 1: Load and Prepare Data: 0.0/?
- Part 2: Load Pretrained Model and Adapt: 0.0/?
- Part 3: Training and Validation Functions: 0.0/?
- Part 4: Training: 2.0/?
- Part 5: Bonus — Test Time Augmentation: 0.0/?</t>
        </is>
      </c>
      <c r="Z338" t="n">
        <v>6</v>
      </c>
      <c r="AA338" t="n">
        <v>0</v>
      </c>
      <c r="AB33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338" t="n">
        <v>6</v>
      </c>
      <c r="AD338" t="inlineStr">
        <is>
          <t>The student's submission failed to address any of the tasks in Question 3. The code provided does not attempt to build a custom dataset class, define a model class, implement training and validation loops, run training, or visualize predictions. As a result, the student earned 0 points for each task, resulting in a total score of 6.0.
Breakdown:
- Task 1: Dataset Class: 0.0/?
- Task 2: Model Class: 0.0/?
- Task 3: Training and Validation Loops: 0.0/?
- Task 4: Running Training: 0.0/?
- Task 5: Visualizing Predictions: 0.0/?</t>
        </is>
      </c>
      <c r="AE338" t="n">
        <v>0</v>
      </c>
      <c r="AF338" t="n">
        <v>0</v>
      </c>
      <c r="AG338" t="inlineStr">
        <is>
          <t>The student's submission did not implement the `ColorizationDataset` class correctly, resulting in a score of 0.0 for the base task. Since the student did not implement the class correctly, they did not attempt the bonus task, resulting in a score of 0.0 for the bonus task.
Breakdown:
- Correctly implemented `ColorizationDataset` class:: 0.0/?
- Any mistake in implementation: 0.0/?</t>
        </is>
      </c>
      <c r="AH338" t="n">
        <v>18</v>
      </c>
      <c r="AI338" t="n">
        <v>0</v>
      </c>
    </row>
    <row r="339">
      <c r="A339" t="n">
        <v>338</v>
      </c>
      <c r="B339" t="inlineStr">
        <is>
          <t>TA_6</t>
        </is>
      </c>
      <c r="C339" t="inlineStr">
        <is>
          <t>TA_16</t>
        </is>
      </c>
      <c r="D339" t="n">
        <v>7.5</v>
      </c>
      <c r="E339" t="n">
        <v>0</v>
      </c>
      <c r="F339" t="n">
        <v>11.5</v>
      </c>
      <c r="G339" t="n">
        <v>0</v>
      </c>
      <c r="H339" t="n">
        <v>5.5</v>
      </c>
      <c r="I339" t="n">
        <v>0</v>
      </c>
      <c r="J339" t="n">
        <v>7.5</v>
      </c>
      <c r="K339" t="n">
        <v>0</v>
      </c>
      <c r="L339" t="n">
        <v>10.5</v>
      </c>
      <c r="M339" t="n">
        <v>0</v>
      </c>
      <c r="N339" t="n">
        <v>5.5</v>
      </c>
      <c r="O339" t="n">
        <v>0</v>
      </c>
      <c r="P339">
        <f>Table1[[#This Row],[TA 1 - Q1 Score]]+Table1[[#This Row],[TA 1 - Q2 Score]]+Table1[[#This Row],[TA 1 - Q3 Score]]</f>
        <v/>
      </c>
      <c r="Q339">
        <f>Table1[[#This Row],[TA 1 - Q1 Bonus]]+Table1[[#This Row],[TA 1 - Q2 Bonus]]+Table1[[#This Row],[TA 1 - Q4 Bonus]]</f>
        <v/>
      </c>
      <c r="R339">
        <f>Table1[[#This Row],[TA 2 - Q1 Score]]+Table1[[#This Row],[TA 2 - Q2 Score]]+Table1[[#This Row],[TA 2 - Q3 Score]]</f>
        <v/>
      </c>
      <c r="S339">
        <f>Table1[[#This Row],[TA 2 - Q1 Bonus]]+Table1[[#This Row],[TA 2 - Q2 Bonus]]+Table1[[#This Row],[TA 2 - Q4 Bonus]]</f>
        <v/>
      </c>
      <c r="T339">
        <f>(Table1[[#This Row],[TA 1 - Total Score (out of 35)]]+Table1[[#This Row],[TA 2 - Total Score (out of 35)]])/2</f>
        <v/>
      </c>
      <c r="U339">
        <f>(Table1[[#This Row],[TA 1 - Total Bonus (out of 13)]]+Table1[[#This Row],[TA 2 - Total Bonus (out of 13)]])/2</f>
        <v/>
      </c>
      <c r="V339">
        <f>Table1[[#This Row],[Average Questions]]/35*20+Table1[[#This Row],[Average Bonus]]/13*5</f>
        <v/>
      </c>
      <c r="W339" t="n">
        <v>6</v>
      </c>
      <c r="X339" t="n">
        <v>0</v>
      </c>
      <c r="Y339"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2.0/?
- Part 5: Bonus — Test Time Augmentation: 0.0/?</t>
        </is>
      </c>
      <c r="Z339" t="n">
        <v>6</v>
      </c>
      <c r="AA339" t="n">
        <v>0</v>
      </c>
      <c r="AB339" t="inlineStr">
        <is>
          <t>The student's submission failed to load and prepare the data correctly, as they did not use the provided dataset class or ImageFolder. They also did not implement the CNN model with the required 5 convolutional layers and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339" t="n">
        <v>6</v>
      </c>
      <c r="AD339" t="inlineStr">
        <is>
          <t>The student's submission failed to meet the requirements of several tasks. The dataset class was not implemented, and the model class was not defined correctly. The training and validation loops were not implemented, and the training process was not completed. Additionally, the predictions were not visualized correctly. As a result, the student did not meet the requirements of the task and did not earn any points.
Breakdown:
- Task 1: Dataset Class: 0.0/?
- Task 2: Model Class: 0.0/?
- Task 3: Training and Validation Loops: 0.0/?
- Task 4: Running Training: 0.0/?
- Task 5: Visualizing Predictions: 0.0/?</t>
        </is>
      </c>
      <c r="AE339" t="n">
        <v>0</v>
      </c>
      <c r="AF339" t="n">
        <v>0</v>
      </c>
      <c r="AG339" t="inlineStr">
        <is>
          <t>The student's submission does not meet the requirements of the task. The implementation of the `ColorizationDataset` class is incomplete and does not follow the reference solution. The student did not attempt to implement the correct formula for converting RGB to grayscale, and the `__getitem__` method does not return the correct (grayscale, color) tuple. As a result, the student's submission does not meet the requirements of the task and does not award any points.
Breakdown:
- Correctly implemented `ColorizationDataset` class:: 0.0/?
- Any mistake in implementation: 0.0/?</t>
        </is>
      </c>
      <c r="AH339" t="n">
        <v>18</v>
      </c>
      <c r="AI339" t="n">
        <v>0</v>
      </c>
    </row>
    <row r="340">
      <c r="A340" t="n">
        <v>339</v>
      </c>
      <c r="B340" t="inlineStr">
        <is>
          <t>TA_6</t>
        </is>
      </c>
      <c r="C340" t="inlineStr">
        <is>
          <t>TA_16</t>
        </is>
      </c>
      <c r="D340" t="n">
        <v>8</v>
      </c>
      <c r="E340" t="n">
        <v>0</v>
      </c>
      <c r="F340" t="n">
        <v>9</v>
      </c>
      <c r="G340" t="n">
        <v>0</v>
      </c>
      <c r="H340" t="n">
        <v>10</v>
      </c>
      <c r="I340" t="n">
        <v>0</v>
      </c>
      <c r="J340" t="n">
        <v>8</v>
      </c>
      <c r="K340" t="n">
        <v>0</v>
      </c>
      <c r="L340" t="n">
        <v>9</v>
      </c>
      <c r="M340" t="n">
        <v>0</v>
      </c>
      <c r="N340" t="n">
        <v>10</v>
      </c>
      <c r="O340" t="n">
        <v>0</v>
      </c>
      <c r="P340">
        <f>Table1[[#This Row],[TA 1 - Q1 Score]]+Table1[[#This Row],[TA 1 - Q2 Score]]+Table1[[#This Row],[TA 1 - Q3 Score]]</f>
        <v/>
      </c>
      <c r="Q340">
        <f>Table1[[#This Row],[TA 1 - Q1 Bonus]]+Table1[[#This Row],[TA 1 - Q2 Bonus]]+Table1[[#This Row],[TA 1 - Q4 Bonus]]</f>
        <v/>
      </c>
      <c r="R340">
        <f>Table1[[#This Row],[TA 2 - Q1 Score]]+Table1[[#This Row],[TA 2 - Q2 Score]]+Table1[[#This Row],[TA 2 - Q3 Score]]</f>
        <v/>
      </c>
      <c r="S340">
        <f>Table1[[#This Row],[TA 2 - Q1 Bonus]]+Table1[[#This Row],[TA 2 - Q2 Bonus]]+Table1[[#This Row],[TA 2 - Q4 Bonus]]</f>
        <v/>
      </c>
      <c r="T340">
        <f>(Table1[[#This Row],[TA 1 - Total Score (out of 35)]]+Table1[[#This Row],[TA 2 - Total Score (out of 35)]])/2</f>
        <v/>
      </c>
      <c r="U340">
        <f>(Table1[[#This Row],[TA 1 - Total Bonus (out of 13)]]+Table1[[#This Row],[TA 2 - Total Bonus (out of 13)]])/2</f>
        <v/>
      </c>
      <c r="V340">
        <f>Table1[[#This Row],[Average Questions]]/35*20+Table1[[#This Row],[Average Bonus]]/13*5</f>
        <v/>
      </c>
      <c r="W340" t="n">
        <v>6</v>
      </c>
      <c r="X340" t="n">
        <v>0</v>
      </c>
      <c r="Y340" t="inlineStr">
        <is>
          <t>The student failed to complete any of the tasks in the rubric. The code provided does not attempt to load and prepare the data, load the pretrained model and adapt it, define the training and validation functions, train the model, or implement test time augmentation. As a result, the student receives 0 points for each task.
Breakdown:
- Part 1: Load and Prepare Data: 0.0/?
- Part 2: Load Pretrained Model and Adapt: 0.0/?
- Part 3: Training and Validation Functions: 0.0/?
- Part 4: Training: 0.0/?
- Part 5: Bonus — Test Time Augmentation: 0.0/?</t>
        </is>
      </c>
      <c r="Z340" t="n">
        <v>4</v>
      </c>
      <c r="AA340" t="n">
        <v>0</v>
      </c>
      <c r="AB340"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40" t="n">
        <v>6</v>
      </c>
      <c r="AD340" t="inlineStr">
        <is>
          <t>The student's submission was incomplete and lacked code for several tasks. While the code for visualizing predictions was mostly correct, it did not run end-to-end due to missing imports and incorrect usage of the model. As a result, the student was awarded partial credit for this task only.
Breakdown:
- Task 1: Dataset Class: 0.0/?
- Task 2: Model Class: 0.0/?
- Task 3: Training and Validation Loops: 0.0/?
- Task 4: Running Training: 0.0/?
- Task 5: Visualizing Predictions: 6.0/?</t>
        </is>
      </c>
      <c r="AE340" t="n">
        <v>0</v>
      </c>
      <c r="AF340" t="n">
        <v>0</v>
      </c>
      <c r="AG340" t="inlineStr">
        <is>
          <t>No submission found.</t>
        </is>
      </c>
      <c r="AH340" t="n">
        <v>16</v>
      </c>
      <c r="AI340" t="n">
        <v>0</v>
      </c>
    </row>
    <row r="341">
      <c r="A341" t="n">
        <v>340</v>
      </c>
      <c r="B341" t="inlineStr">
        <is>
          <t>TA_6</t>
        </is>
      </c>
      <c r="C341" t="inlineStr">
        <is>
          <t>TA_16</t>
        </is>
      </c>
      <c r="D341" t="n">
        <v>8</v>
      </c>
      <c r="E341" t="n">
        <v>0</v>
      </c>
      <c r="F341" t="n">
        <v>6.5</v>
      </c>
      <c r="G341" t="n">
        <v>4</v>
      </c>
      <c r="H341" t="n">
        <v>11</v>
      </c>
      <c r="I341" t="n">
        <v>0</v>
      </c>
      <c r="J341" t="n">
        <v>8</v>
      </c>
      <c r="K341" t="n">
        <v>0</v>
      </c>
      <c r="L341" t="n">
        <v>6.5</v>
      </c>
      <c r="M341" t="n">
        <v>4</v>
      </c>
      <c r="N341" t="n">
        <v>11</v>
      </c>
      <c r="O341" t="n">
        <v>0</v>
      </c>
      <c r="P341">
        <f>Table1[[#This Row],[TA 1 - Q1 Score]]+Table1[[#This Row],[TA 1 - Q2 Score]]+Table1[[#This Row],[TA 1 - Q3 Score]]</f>
        <v/>
      </c>
      <c r="Q341">
        <f>Table1[[#This Row],[TA 1 - Q1 Bonus]]+Table1[[#This Row],[TA 1 - Q2 Bonus]]+Table1[[#This Row],[TA 1 - Q4 Bonus]]</f>
        <v/>
      </c>
      <c r="R341">
        <f>Table1[[#This Row],[TA 2 - Q1 Score]]+Table1[[#This Row],[TA 2 - Q2 Score]]+Table1[[#This Row],[TA 2 - Q3 Score]]</f>
        <v/>
      </c>
      <c r="S341">
        <f>Table1[[#This Row],[TA 2 - Q1 Bonus]]+Table1[[#This Row],[TA 2 - Q2 Bonus]]+Table1[[#This Row],[TA 2 - Q4 Bonus]]</f>
        <v/>
      </c>
      <c r="T341">
        <f>(Table1[[#This Row],[TA 1 - Total Score (out of 35)]]+Table1[[#This Row],[TA 2 - Total Score (out of 35)]])/2</f>
        <v/>
      </c>
      <c r="U341">
        <f>(Table1[[#This Row],[TA 1 - Total Bonus (out of 13)]]+Table1[[#This Row],[TA 2 - Total Bonus (out of 13)]])/2</f>
        <v/>
      </c>
      <c r="V341">
        <f>Table1[[#This Row],[Average Questions]]/35*20+Table1[[#This Row],[Average Bonus]]/13*5</f>
        <v/>
      </c>
      <c r="W341" t="n">
        <v>6</v>
      </c>
      <c r="X341" t="n">
        <v>0</v>
      </c>
      <c r="Y341" t="inlineStr">
        <is>
          <t>The student failed to submit code for any of the tasks in this question. As a result, no points can be awarded for this question.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0.0/?
- Part 3: Training and Validation Functions: 0.0/?
- Part 3: Training and Validation Functions: 0.0/?
- Part 4: Training: 0.0/?
- Part 4: Training: 0.0/?
- Part 4: Training: 0.0/?
- Part 4: Training: 0.0/?
- Part 5: Bonus — Test Time Augmentation: 0.0/?</t>
        </is>
      </c>
      <c r="Z341" t="n">
        <v>4</v>
      </c>
      <c r="AA341" t="n">
        <v>0</v>
      </c>
      <c r="AB34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points for each task, resulting in a total score of 0.
Breakdown:
- Part 1: Load and Prepare Data: 0.0/?
- Part 2: Build the CNN Model: 0.0/?
- Part 3: Training and Validation Functions: 0.0/?
- Part 4: Training: 0.0/?
- Part 5: Bonus — Residual Connection: 0.0/?</t>
        </is>
      </c>
      <c r="AC341" t="n">
        <v>6</v>
      </c>
      <c r="AD341" t="inlineStr">
        <is>
          <t>The student's submission demonstrates a lack of understanding of the required tasks and concepts. While the code attempts some tasks, it fails to complete them correctly, resulting in a score of 0 for each task. The student's code does not create a custom dataset class, define the required model class, implement the training and validation loops, or visualize the predictions. These omissions indicate a significant gap in the student's knowledge and understanding of the material.
Breakdown:
- Task 1: Dataset Class: 0.0/?
- Task 2: Model Class: 0.0/?
- Task 3: Training and Validation Loops: 0.0/?
- Task 4: Running Training: 0.0/?
- Task 5: Visualizing Predictions: 0.0/?</t>
        </is>
      </c>
      <c r="AE341" t="n">
        <v>0</v>
      </c>
      <c r="AF341" t="n">
        <v>0</v>
      </c>
      <c r="AG341" t="inlineStr">
        <is>
          <t>No submission found.</t>
        </is>
      </c>
      <c r="AH341" t="n">
        <v>16</v>
      </c>
      <c r="AI341" t="n">
        <v>0</v>
      </c>
    </row>
    <row r="342">
      <c r="A342" t="n">
        <v>341</v>
      </c>
      <c r="B342" t="inlineStr">
        <is>
          <t>TA_7</t>
        </is>
      </c>
      <c r="C342" t="inlineStr">
        <is>
          <t>TA_17</t>
        </is>
      </c>
      <c r="D342" t="n">
        <v>9</v>
      </c>
      <c r="E342" t="n">
        <v>0</v>
      </c>
      <c r="F342" t="n">
        <v>10.5</v>
      </c>
      <c r="G342" t="n">
        <v>0</v>
      </c>
      <c r="H342" t="n">
        <v>8</v>
      </c>
      <c r="I342" t="n">
        <v>0</v>
      </c>
      <c r="J342" t="n">
        <v>5.5</v>
      </c>
      <c r="K342" t="n">
        <v>0</v>
      </c>
      <c r="L342" t="n">
        <v>5</v>
      </c>
      <c r="M342" t="n">
        <v>0</v>
      </c>
      <c r="N342" t="n">
        <v>3</v>
      </c>
      <c r="O342" t="n">
        <v>0</v>
      </c>
      <c r="P342">
        <f>Table1[[#This Row],[TA 1 - Q1 Score]]+Table1[[#This Row],[TA 1 - Q2 Score]]+Table1[[#This Row],[TA 1 - Q3 Score]]</f>
        <v/>
      </c>
      <c r="Q342">
        <f>Table1[[#This Row],[TA 1 - Q1 Bonus]]+Table1[[#This Row],[TA 1 - Q2 Bonus]]+Table1[[#This Row],[TA 1 - Q4 Bonus]]</f>
        <v/>
      </c>
      <c r="R342">
        <f>Table1[[#This Row],[TA 2 - Q1 Score]]+Table1[[#This Row],[TA 2 - Q2 Score]]+Table1[[#This Row],[TA 2 - Q3 Score]]</f>
        <v/>
      </c>
      <c r="S342">
        <f>Table1[[#This Row],[TA 2 - Q1 Bonus]]+Table1[[#This Row],[TA 2 - Q2 Bonus]]+Table1[[#This Row],[TA 2 - Q4 Bonus]]</f>
        <v/>
      </c>
      <c r="T342">
        <f>(Table1[[#This Row],[TA 1 - Total Score (out of 35)]]+Table1[[#This Row],[TA 2 - Total Score (out of 35)]])/2</f>
        <v/>
      </c>
      <c r="U342">
        <f>(Table1[[#This Row],[TA 1 - Total Bonus (out of 13)]]+Table1[[#This Row],[TA 2 - Total Bonus (out of 13)]])/2</f>
        <v/>
      </c>
      <c r="V342">
        <f>Table1[[#This Row],[Average Questions]]/35*20+Table1[[#This Row],[Average Bonus]]/13*5</f>
        <v/>
      </c>
      <c r="W342" t="n">
        <v>6</v>
      </c>
      <c r="X342" t="n">
        <v>0</v>
      </c>
      <c r="Y342"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342" t="n">
        <v>4</v>
      </c>
      <c r="AA342" t="n">
        <v>0</v>
      </c>
      <c r="AB342"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342" t="n">
        <v>6</v>
      </c>
      <c r="AD342"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42" t="n">
        <v>0</v>
      </c>
      <c r="AF342" t="n">
        <v>0</v>
      </c>
      <c r="AG342" t="inlineStr">
        <is>
          <t>No submission found.</t>
        </is>
      </c>
      <c r="AH342" t="n">
        <v>16</v>
      </c>
      <c r="AI342" t="n">
        <v>0</v>
      </c>
    </row>
    <row r="343">
      <c r="A343" t="n">
        <v>342</v>
      </c>
      <c r="B343" t="inlineStr">
        <is>
          <t>TA_7</t>
        </is>
      </c>
      <c r="C343" t="inlineStr">
        <is>
          <t>TA_17</t>
        </is>
      </c>
      <c r="D343" t="n">
        <v>4.5</v>
      </c>
      <c r="E343" t="n">
        <v>0</v>
      </c>
      <c r="F343" t="n">
        <v>7</v>
      </c>
      <c r="G343" t="n">
        <v>0</v>
      </c>
      <c r="H343" t="n">
        <v>8.5</v>
      </c>
      <c r="I343" t="n">
        <v>0</v>
      </c>
      <c r="J343" t="n">
        <v>5</v>
      </c>
      <c r="K343" t="n">
        <v>0</v>
      </c>
      <c r="L343" t="n">
        <v>6.5</v>
      </c>
      <c r="M343" t="n">
        <v>0</v>
      </c>
      <c r="N343" t="n">
        <v>4.5</v>
      </c>
      <c r="O343" t="n">
        <v>0</v>
      </c>
      <c r="P343">
        <f>Table1[[#This Row],[TA 1 - Q1 Score]]+Table1[[#This Row],[TA 1 - Q2 Score]]+Table1[[#This Row],[TA 1 - Q3 Score]]</f>
        <v/>
      </c>
      <c r="Q343">
        <f>Table1[[#This Row],[TA 1 - Q1 Bonus]]+Table1[[#This Row],[TA 1 - Q2 Bonus]]+Table1[[#This Row],[TA 1 - Q4 Bonus]]</f>
        <v/>
      </c>
      <c r="R343">
        <f>Table1[[#This Row],[TA 2 - Q1 Score]]+Table1[[#This Row],[TA 2 - Q2 Score]]+Table1[[#This Row],[TA 2 - Q3 Score]]</f>
        <v/>
      </c>
      <c r="S343">
        <f>Table1[[#This Row],[TA 2 - Q1 Bonus]]+Table1[[#This Row],[TA 2 - Q2 Bonus]]+Table1[[#This Row],[TA 2 - Q4 Bonus]]</f>
        <v/>
      </c>
      <c r="T343">
        <f>(Table1[[#This Row],[TA 1 - Total Score (out of 35)]]+Table1[[#This Row],[TA 2 - Total Score (out of 35)]])/2</f>
        <v/>
      </c>
      <c r="U343">
        <f>(Table1[[#This Row],[TA 1 - Total Bonus (out of 13)]]+Table1[[#This Row],[TA 2 - Total Bonus (out of 13)]])/2</f>
        <v/>
      </c>
      <c r="V343">
        <f>Table1[[#This Row],[Average Questions]]/35*20+Table1[[#This Row],[Average Bonus]]/13*5</f>
        <v/>
      </c>
      <c r="W343" t="n">
        <v>6</v>
      </c>
      <c r="X343" t="n">
        <v>0</v>
      </c>
      <c r="Y343"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343" t="n">
        <v>4</v>
      </c>
      <c r="AA343" t="n">
        <v>0</v>
      </c>
      <c r="AB343"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43" t="n">
        <v>6</v>
      </c>
      <c r="AD343" t="inlineStr">
        <is>
          <t>The student's submission was incomplete and lacked code for several tasks. While the code for visualizing predictions was partially correct, it did not run end-to-end due to missing imports and incorrect usage of the model. As a result, the student was awarded 0 points for the majority of the tasks and 6 points for the task of visualizing predictions.
Breakdown:
- Task 1: Dataset Class: 0.0/?
- Task 2: Model Class: 0.0/?
- Task 3: Training and Validation Loops: 0.0/?
- Task 4: Running Training: 0.0/?
- Task 5: Visualizing Predictions: 6.0/?</t>
        </is>
      </c>
      <c r="AE343" t="n">
        <v>0</v>
      </c>
      <c r="AF343" t="n">
        <v>0</v>
      </c>
      <c r="AG343" t="inlineStr">
        <is>
          <t>No submission found.</t>
        </is>
      </c>
      <c r="AH343" t="n">
        <v>16</v>
      </c>
      <c r="AI343" t="n">
        <v>0</v>
      </c>
    </row>
    <row r="344">
      <c r="A344" t="n">
        <v>343</v>
      </c>
      <c r="B344" t="inlineStr">
        <is>
          <t>TA_7</t>
        </is>
      </c>
      <c r="C344" t="inlineStr">
        <is>
          <t>TA_17</t>
        </is>
      </c>
      <c r="D344" t="n">
        <v>11</v>
      </c>
      <c r="E344" t="n">
        <v>0</v>
      </c>
      <c r="F344" t="n">
        <v>10</v>
      </c>
      <c r="G344" t="n">
        <v>0</v>
      </c>
      <c r="H344" t="n">
        <v>6</v>
      </c>
      <c r="I344" t="n">
        <v>0</v>
      </c>
      <c r="J344" t="n">
        <v>11</v>
      </c>
      <c r="K344" t="n">
        <v>0</v>
      </c>
      <c r="L344" t="n">
        <v>10</v>
      </c>
      <c r="M344" t="n">
        <v>0</v>
      </c>
      <c r="N344" t="n">
        <v>5</v>
      </c>
      <c r="O344" t="n">
        <v>5</v>
      </c>
      <c r="P344">
        <f>Table1[[#This Row],[TA 1 - Q1 Score]]+Table1[[#This Row],[TA 1 - Q2 Score]]+Table1[[#This Row],[TA 1 - Q3 Score]]</f>
        <v/>
      </c>
      <c r="Q344">
        <f>Table1[[#This Row],[TA 1 - Q1 Bonus]]+Table1[[#This Row],[TA 1 - Q2 Bonus]]+Table1[[#This Row],[TA 1 - Q4 Bonus]]</f>
        <v/>
      </c>
      <c r="R344">
        <f>Table1[[#This Row],[TA 2 - Q1 Score]]+Table1[[#This Row],[TA 2 - Q2 Score]]+Table1[[#This Row],[TA 2 - Q3 Score]]</f>
        <v/>
      </c>
      <c r="S344">
        <f>Table1[[#This Row],[TA 2 - Q1 Bonus]]+Table1[[#This Row],[TA 2 - Q2 Bonus]]+Table1[[#This Row],[TA 2 - Q4 Bonus]]</f>
        <v/>
      </c>
      <c r="T344">
        <f>(Table1[[#This Row],[TA 1 - Total Score (out of 35)]]+Table1[[#This Row],[TA 2 - Total Score (out of 35)]])/2</f>
        <v/>
      </c>
      <c r="U344">
        <f>(Table1[[#This Row],[TA 1 - Total Bonus (out of 13)]]+Table1[[#This Row],[TA 2 - Total Bonus (out of 13)]])/2</f>
        <v/>
      </c>
      <c r="V344">
        <f>Table1[[#This Row],[Average Questions]]/35*20+Table1[[#This Row],[Average Bonus]]/13*5</f>
        <v/>
      </c>
      <c r="W344" t="n">
        <v>6</v>
      </c>
      <c r="X344" t="n">
        <v>0</v>
      </c>
      <c r="Y34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6.0/?
- Part 5: Bonus — Test Time Augmentation: 0.0/?</t>
        </is>
      </c>
      <c r="Z344" t="n">
        <v>4</v>
      </c>
      <c r="AA344" t="n">
        <v>0</v>
      </c>
      <c r="AB34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344" t="n">
        <v>6</v>
      </c>
      <c r="AD344" t="inlineStr">
        <is>
          <t>The student's submission was incomplete, with no code submitted for Tasks 1-4. However, the code for Task 5: Visualizing Predictions was correct and ran, earning 6 points. Unfortunately, the student did not attempt the other tasks, resulting in a total score of 6 points.
Breakdown:
- Task 1: Dataset Class: 0.0/?
- Task 2: Model Class: 0.0/?
- Task 3: Training and Validation Loops: 0.0/?
- Task 4: Running Training: 0.0/?
- Task 5: Visualizing Predictions: 6.0/?</t>
        </is>
      </c>
      <c r="AE344" t="n">
        <v>0</v>
      </c>
      <c r="AF344" t="n">
        <v>0</v>
      </c>
      <c r="AG344" t="inlineStr">
        <is>
          <t>The student's submission does not meet the requirements of the task. The `ColorizationDataset` class is not implemented correctly, and the code does not run end-to-end. The student attempted to implement the `rgb_to_grayscale` method, but it does not correctly calculate the grayscale value. Additionally, the `__getitem__` method does not return the correct grayscale and color images. As a result, the student did not earn any points for this task.
Breakdown:
- Correctly implemented `ColorizationDataset` class:: 0.0/?</t>
        </is>
      </c>
      <c r="AH344" t="n">
        <v>16</v>
      </c>
      <c r="AI344" t="n">
        <v>0</v>
      </c>
    </row>
    <row r="345">
      <c r="A345" t="n">
        <v>344</v>
      </c>
      <c r="B345" t="inlineStr">
        <is>
          <t>TA_7</t>
        </is>
      </c>
      <c r="C345" t="inlineStr">
        <is>
          <t>TA_17</t>
        </is>
      </c>
      <c r="D345" t="n">
        <v>5.5</v>
      </c>
      <c r="E345" t="n">
        <v>4</v>
      </c>
      <c r="F345" t="n">
        <v>11</v>
      </c>
      <c r="G345" t="n">
        <v>1</v>
      </c>
      <c r="H345" t="n">
        <v>9</v>
      </c>
      <c r="I345" t="n">
        <v>5</v>
      </c>
      <c r="J345" t="n">
        <v>3</v>
      </c>
      <c r="K345" t="n">
        <v>0</v>
      </c>
      <c r="L345" t="n">
        <v>10.5</v>
      </c>
      <c r="M345" t="n">
        <v>0</v>
      </c>
      <c r="N345" t="n">
        <v>11</v>
      </c>
      <c r="O345" t="n">
        <v>5</v>
      </c>
      <c r="P345">
        <f>Table1[[#This Row],[TA 1 - Q1 Score]]+Table1[[#This Row],[TA 1 - Q2 Score]]+Table1[[#This Row],[TA 1 - Q3 Score]]</f>
        <v/>
      </c>
      <c r="Q345">
        <f>Table1[[#This Row],[TA 1 - Q1 Bonus]]+Table1[[#This Row],[TA 1 - Q2 Bonus]]+Table1[[#This Row],[TA 1 - Q4 Bonus]]</f>
        <v/>
      </c>
      <c r="R345">
        <f>Table1[[#This Row],[TA 2 - Q1 Score]]+Table1[[#This Row],[TA 2 - Q2 Score]]+Table1[[#This Row],[TA 2 - Q3 Score]]</f>
        <v/>
      </c>
      <c r="S345">
        <f>Table1[[#This Row],[TA 2 - Q1 Bonus]]+Table1[[#This Row],[TA 2 - Q2 Bonus]]+Table1[[#This Row],[TA 2 - Q4 Bonus]]</f>
        <v/>
      </c>
      <c r="T345">
        <f>(Table1[[#This Row],[TA 1 - Total Score (out of 35)]]+Table1[[#This Row],[TA 2 - Total Score (out of 35)]])/2</f>
        <v/>
      </c>
      <c r="U345">
        <f>(Table1[[#This Row],[TA 1 - Total Bonus (out of 13)]]+Table1[[#This Row],[TA 2 - Total Bonus (out of 13)]])/2</f>
        <v/>
      </c>
      <c r="V345">
        <f>Table1[[#This Row],[Average Questions]]/35*20+Table1[[#This Row],[Average Bonus]]/13*5</f>
        <v/>
      </c>
      <c r="W345" t="n">
        <v>6</v>
      </c>
      <c r="X345" t="n">
        <v>0</v>
      </c>
      <c r="Y345" t="inlineStr">
        <is>
          <t>The student's submission failed to complete several key tasks, including loading and preparing the data, loading a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2.0/?
- Part 5: Bonus — Test Time Augmentation: 0.0/?</t>
        </is>
      </c>
      <c r="Z345" t="n">
        <v>4</v>
      </c>
      <c r="AA345" t="n">
        <v>0</v>
      </c>
      <c r="AB345"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not organized and does not follow the structure of the reference solution. As a result, the student did not earn any points for this task.
Breakdown:
- Part 1: Load and Prepare Data: 0.0/?
- Part 2: Build the CNN Model: 0.0/?
- Part 3: Training and Validation Functions: 0.0/?
- Part 4: Training: 0.0/?
- Part 5: Bonus — Residual Connection: 0.0/?</t>
        </is>
      </c>
      <c r="AC345" t="n">
        <v>6</v>
      </c>
      <c r="AD345" t="inlineStr">
        <is>
          <t>The student's submission failed to meet the requirements of the task. The code was not organized in a way that allowed it to run end-to-end, and several key components were missing or incorrect. The student attempted to implement some tasks, but the code contained syntax and logic mistakes. As a result, the student did not earn any points for this task.
Breakdown:
- Task 1: Dataset Class: 0.0/?
- Task 2: Model Class: 0.0/?
- Task 3: Training and Validation Loops: 0.0/?
- Task 4: Running Training: 0.0/?
- Task 5: Visualizing Predictions: 0.0/?</t>
        </is>
      </c>
      <c r="AE345" t="n">
        <v>0</v>
      </c>
      <c r="AF345" t="n">
        <v>0</v>
      </c>
      <c r="AG345" t="inlineStr">
        <is>
          <t>The student's submission does not meet the requirements of the task. The `ColorizationDataset` class is not implemented correctly, and the code does not run end-to-end. The student's implementation attempts to use the PIL library, which is not allowed according to the reference solution. The code also does not handle the image dimensions correctly, and the `__getitem__` method does not return a tuple of (grayscale, color) as required.
Breakdown:
- Correctly implemented `ColorizationDataset` class:: 0.0/?
- Any mistake in implementation: 0.0/?</t>
        </is>
      </c>
      <c r="AH345" t="n">
        <v>16</v>
      </c>
      <c r="AI345" t="n">
        <v>0</v>
      </c>
    </row>
    <row r="346">
      <c r="A346" t="n">
        <v>345</v>
      </c>
      <c r="B346" t="inlineStr">
        <is>
          <t>TA_7</t>
        </is>
      </c>
      <c r="C346" t="inlineStr">
        <is>
          <t>TA_17</t>
        </is>
      </c>
      <c r="D346" t="n">
        <v>6.5</v>
      </c>
      <c r="E346" t="n">
        <v>0</v>
      </c>
      <c r="F346" t="n">
        <v>5.5</v>
      </c>
      <c r="G346" t="n">
        <v>0</v>
      </c>
      <c r="H346" t="n">
        <v>10.5</v>
      </c>
      <c r="I346" t="n">
        <v>0</v>
      </c>
      <c r="J346" t="n">
        <v>1.5</v>
      </c>
      <c r="K346" t="n">
        <v>0</v>
      </c>
      <c r="L346" t="n">
        <v>4.5</v>
      </c>
      <c r="M346" t="n">
        <v>0</v>
      </c>
      <c r="N346" t="n">
        <v>11.5</v>
      </c>
      <c r="O346" t="n">
        <v>0</v>
      </c>
      <c r="P346">
        <f>Table1[[#This Row],[TA 1 - Q1 Score]]+Table1[[#This Row],[TA 1 - Q2 Score]]+Table1[[#This Row],[TA 1 - Q3 Score]]</f>
        <v/>
      </c>
      <c r="Q346">
        <f>Table1[[#This Row],[TA 1 - Q1 Bonus]]+Table1[[#This Row],[TA 1 - Q2 Bonus]]+Table1[[#This Row],[TA 1 - Q4 Bonus]]</f>
        <v/>
      </c>
      <c r="R346">
        <f>Table1[[#This Row],[TA 2 - Q1 Score]]+Table1[[#This Row],[TA 2 - Q2 Score]]+Table1[[#This Row],[TA 2 - Q3 Score]]</f>
        <v/>
      </c>
      <c r="S346">
        <f>Table1[[#This Row],[TA 2 - Q1 Bonus]]+Table1[[#This Row],[TA 2 - Q2 Bonus]]+Table1[[#This Row],[TA 2 - Q4 Bonus]]</f>
        <v/>
      </c>
      <c r="T346">
        <f>(Table1[[#This Row],[TA 1 - Total Score (out of 35)]]+Table1[[#This Row],[TA 2 - Total Score (out of 35)]])/2</f>
        <v/>
      </c>
      <c r="U346">
        <f>(Table1[[#This Row],[TA 1 - Total Bonus (out of 13)]]+Table1[[#This Row],[TA 2 - Total Bonus (out of 13)]])/2</f>
        <v/>
      </c>
      <c r="V346">
        <f>Table1[[#This Row],[Average Questions]]/35*20+Table1[[#This Row],[Average Bonus]]/13*5</f>
        <v/>
      </c>
      <c r="W346" t="n">
        <v>6</v>
      </c>
      <c r="X346" t="n">
        <v>0</v>
      </c>
      <c r="Y346" t="inlineStr">
        <is>
          <t>The student's submission failed to complete several key tasks, including loading and preparing the data, loading a pretrained model and adapting it, and implementing training and validation functions. While the student did attempt to train the model, their code contained several errors and did not run end-to-end. The bonus task was not attempted.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346" t="n">
        <v>4</v>
      </c>
      <c r="AA346" t="n">
        <v>0</v>
      </c>
      <c r="AB346"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46" t="n">
        <v>6</v>
      </c>
      <c r="AD346" t="inlineStr">
        <is>
          <t>The student's submission failed to meet the requirements of the task. They did not implement the dataset class, model class, training and validation loops, running training, and visualizing predictions correctly. The code was not well-organized, and the student did not follow the provided structure. As a result, the submission did not run end-to-end, and the student did not demonstrate a clear understanding of the task.
Breakdown:
- Task 1: Dataset Class: 0.0/?
- Task 2: Model Class: 0.0/?
- Task 3: Training and Validation Loops: 0.0/?
- Task 4: Running Training: 0.0/?
- Task 5: Visualizing Predictions: 0.0/?</t>
        </is>
      </c>
      <c r="AE346" t="n">
        <v>0</v>
      </c>
      <c r="AF346" t="n">
        <v>0</v>
      </c>
      <c r="AG346" t="inlineStr">
        <is>
          <t>No submission found.</t>
        </is>
      </c>
      <c r="AH346" t="n">
        <v>16</v>
      </c>
      <c r="AI346" t="n">
        <v>0</v>
      </c>
    </row>
    <row r="347">
      <c r="A347" t="n">
        <v>346</v>
      </c>
      <c r="B347" t="inlineStr">
        <is>
          <t>TA_7</t>
        </is>
      </c>
      <c r="C347" t="inlineStr">
        <is>
          <t>TA_17</t>
        </is>
      </c>
      <c r="D347" t="n">
        <v>8.5</v>
      </c>
      <c r="E347" t="n">
        <v>0</v>
      </c>
      <c r="F347" t="n">
        <v>8.5</v>
      </c>
      <c r="G347" t="n">
        <v>0</v>
      </c>
      <c r="H347" t="n">
        <v>5</v>
      </c>
      <c r="I347" t="n">
        <v>0</v>
      </c>
      <c r="J347" t="n">
        <v>5.5</v>
      </c>
      <c r="K347" t="n">
        <v>0</v>
      </c>
      <c r="L347" t="n">
        <v>7.5</v>
      </c>
      <c r="M347" t="n">
        <v>0</v>
      </c>
      <c r="N347" t="n">
        <v>5</v>
      </c>
      <c r="O347" t="n">
        <v>0</v>
      </c>
      <c r="P347">
        <f>Table1[[#This Row],[TA 1 - Q1 Score]]+Table1[[#This Row],[TA 1 - Q2 Score]]+Table1[[#This Row],[TA 1 - Q3 Score]]</f>
        <v/>
      </c>
      <c r="Q347">
        <f>Table1[[#This Row],[TA 1 - Q1 Bonus]]+Table1[[#This Row],[TA 1 - Q2 Bonus]]+Table1[[#This Row],[TA 1 - Q4 Bonus]]</f>
        <v/>
      </c>
      <c r="R347">
        <f>Table1[[#This Row],[TA 2 - Q1 Score]]+Table1[[#This Row],[TA 2 - Q2 Score]]+Table1[[#This Row],[TA 2 - Q3 Score]]</f>
        <v/>
      </c>
      <c r="S347">
        <f>Table1[[#This Row],[TA 2 - Q1 Bonus]]+Table1[[#This Row],[TA 2 - Q2 Bonus]]+Table1[[#This Row],[TA 2 - Q4 Bonus]]</f>
        <v/>
      </c>
      <c r="T347">
        <f>(Table1[[#This Row],[TA 1 - Total Score (out of 35)]]+Table1[[#This Row],[TA 2 - Total Score (out of 35)]])/2</f>
        <v/>
      </c>
      <c r="U347">
        <f>(Table1[[#This Row],[TA 1 - Total Bonus (out of 13)]]+Table1[[#This Row],[TA 2 - Total Bonus (out of 13)]])/2</f>
        <v/>
      </c>
      <c r="V347">
        <f>Table1[[#This Row],[Average Questions]]/35*20+Table1[[#This Row],[Average Bonus]]/13*5</f>
        <v/>
      </c>
      <c r="W347" t="n">
        <v>6</v>
      </c>
      <c r="X347" t="n">
        <v>0</v>
      </c>
      <c r="Y347" t="inlineStr">
        <is>
          <t>The student's submission failed to complete several key tasks, including loading and preparing the data, loading the pretrained model and adapting it, and training the model. While the student attempted to write code for these tasks, their implementations contained significant errors and did not run end-to-end. The student's code for the training and validation functions was the only partially correct submission, but it did not address the required tasks. As a result, the student's score is low, and they did not earn any bonus points.
Breakdown:
- Part 1: Load and Prepare Data: 0.0/?
- Part 2: Load Pretrained Model and Adapt: 0.0/?
- Part 3: Training and Validation Functions: 1.5/?
- Part 4: Training: 0.0/?
- Part 5: Bonus — Test Time Augmentation: 0.0/?</t>
        </is>
      </c>
      <c r="Z347" t="n">
        <v>4</v>
      </c>
      <c r="AA347" t="n">
        <v>0</v>
      </c>
      <c r="AB347"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47" t="n">
        <v>6</v>
      </c>
      <c r="AD347" t="inlineStr">
        <is>
          <t>The student's submission failed to meet the requirements of several tasks. Task 1 was not attempted, and the model class, training and validation loops, and running training were not defined correctly. Additionally, the student failed to visualize predictions. As a result, the student received a score of 6.0 out of 12.0 for the base tasks and 0.0 out of 0.0 for the bonus task.
Breakdown:
- Task 1: Dataset Class: 0.0/?
- Task 2: Model Class: 0.0/?
- Task 3: Training and Validation Loops: 0.0/?
- Task 4: Running Training: 0.0/?
- Task 5: Visualizing Predictions: 0.0/?</t>
        </is>
      </c>
      <c r="AE347" t="n">
        <v>0</v>
      </c>
      <c r="AF347" t="n">
        <v>0</v>
      </c>
      <c r="AG347" t="inlineStr">
        <is>
          <t>The student's submission does not meet the requirements of the task. The `ColorizationDataset` class is not implemented correctly, and the student's code does not run end-to-end. The student's implementation is incomplete and does not follow the reference solution.
Breakdown:
- Correctly implemented `ColorizationDataset` class:: 0.0/?
- Any mistake in implementation: 0.0/?</t>
        </is>
      </c>
      <c r="AH347" t="n">
        <v>16</v>
      </c>
      <c r="AI347" t="n">
        <v>0</v>
      </c>
    </row>
    <row r="348">
      <c r="A348" t="n">
        <v>347</v>
      </c>
      <c r="B348" t="inlineStr">
        <is>
          <t>TA_7</t>
        </is>
      </c>
      <c r="C348" t="inlineStr">
        <is>
          <t>TA_17</t>
        </is>
      </c>
      <c r="D348" t="n">
        <v>12</v>
      </c>
      <c r="E348" t="n">
        <v>4</v>
      </c>
      <c r="F348" t="n">
        <v>10</v>
      </c>
      <c r="G348" t="n">
        <v>0</v>
      </c>
      <c r="H348" t="n">
        <v>12</v>
      </c>
      <c r="I348" t="n">
        <v>5</v>
      </c>
      <c r="J348" t="n">
        <v>11.5</v>
      </c>
      <c r="K348" t="n">
        <v>1.5</v>
      </c>
      <c r="L348" t="n">
        <v>9.5</v>
      </c>
      <c r="M348" t="n">
        <v>0</v>
      </c>
      <c r="N348" t="n">
        <v>12</v>
      </c>
      <c r="O348" t="n">
        <v>5</v>
      </c>
      <c r="P348">
        <f>Table1[[#This Row],[TA 1 - Q1 Score]]+Table1[[#This Row],[TA 1 - Q2 Score]]+Table1[[#This Row],[TA 1 - Q3 Score]]</f>
        <v/>
      </c>
      <c r="Q348">
        <f>Table1[[#This Row],[TA 1 - Q1 Bonus]]+Table1[[#This Row],[TA 1 - Q2 Bonus]]+Table1[[#This Row],[TA 1 - Q4 Bonus]]</f>
        <v/>
      </c>
      <c r="R348">
        <f>Table1[[#This Row],[TA 2 - Q1 Score]]+Table1[[#This Row],[TA 2 - Q2 Score]]+Table1[[#This Row],[TA 2 - Q3 Score]]</f>
        <v/>
      </c>
      <c r="S348">
        <f>Table1[[#This Row],[TA 2 - Q1 Bonus]]+Table1[[#This Row],[TA 2 - Q2 Bonus]]+Table1[[#This Row],[TA 2 - Q4 Bonus]]</f>
        <v/>
      </c>
      <c r="T348">
        <f>(Table1[[#This Row],[TA 1 - Total Score (out of 35)]]+Table1[[#This Row],[TA 2 - Total Score (out of 35)]])/2</f>
        <v/>
      </c>
      <c r="U348">
        <f>(Table1[[#This Row],[TA 1 - Total Bonus (out of 13)]]+Table1[[#This Row],[TA 2 - Total Bonus (out of 13)]])/2</f>
        <v/>
      </c>
      <c r="V348">
        <f>Table1[[#This Row],[Average Questions]]/35*20+Table1[[#This Row],[Average Bonus]]/13*5</f>
        <v/>
      </c>
      <c r="W348" t="n">
        <v>6</v>
      </c>
      <c r="X348" t="n">
        <v>0</v>
      </c>
      <c r="Y348" t="inlineStr">
        <is>
          <t>The student's submission failed to complete several key tasks, including loading and preparing the data, loading a pretrained model and adapting it for the task, and training the model. While the student made an attempt at implementing the training and validation functions, the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348" t="n">
        <v>6</v>
      </c>
      <c r="AA348" t="n">
        <v>0</v>
      </c>
      <c r="AB348" t="inlineStr">
        <is>
          <t>The student's submission failed to load and prepare the data correctly, resulting in a score of 0 for Part 1. The CNN model was partially built, but it lacked the correct number of convolutional layers and did not include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48" t="n">
        <v>6</v>
      </c>
      <c r="AD348"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48" t="n">
        <v>0</v>
      </c>
      <c r="AF348" t="n">
        <v>0</v>
      </c>
      <c r="AG348" t="inlineStr">
        <is>
          <t>The student's submission attempts to implement the `ColorizationDataset` class, but it is not fully correct. The `rgb_to_grayscale` method is missing the channel dimension, and the `__getitem__` method is not correctly returning the grayscale and color images. As a result, the student does not receive any points for this task.
Breakdown:
- Correctly implemented `ColorizationDataset` class:: 0.0/?</t>
        </is>
      </c>
      <c r="AH348" t="n">
        <v>18</v>
      </c>
      <c r="AI348" t="n">
        <v>0</v>
      </c>
    </row>
    <row r="349">
      <c r="A349" t="n">
        <v>348</v>
      </c>
      <c r="B349" t="inlineStr">
        <is>
          <t>TA_7</t>
        </is>
      </c>
      <c r="C349" t="inlineStr">
        <is>
          <t>TA_17</t>
        </is>
      </c>
      <c r="D349" t="n">
        <v>5</v>
      </c>
      <c r="E349" t="n">
        <v>0</v>
      </c>
      <c r="F349" t="n">
        <v>10</v>
      </c>
      <c r="G349" t="n">
        <v>0</v>
      </c>
      <c r="H349" t="n">
        <v>12</v>
      </c>
      <c r="I349" t="n">
        <v>0</v>
      </c>
      <c r="J349" t="n">
        <v>6</v>
      </c>
      <c r="K349" t="n">
        <v>0</v>
      </c>
      <c r="L349" t="n">
        <v>7.5</v>
      </c>
      <c r="M349" t="n">
        <v>0</v>
      </c>
      <c r="N349" t="n">
        <v>12</v>
      </c>
      <c r="O349" t="n">
        <v>0</v>
      </c>
      <c r="P349">
        <f>Table1[[#This Row],[TA 1 - Q1 Score]]+Table1[[#This Row],[TA 1 - Q2 Score]]+Table1[[#This Row],[TA 1 - Q3 Score]]</f>
        <v/>
      </c>
      <c r="Q349">
        <f>Table1[[#This Row],[TA 1 - Q1 Bonus]]+Table1[[#This Row],[TA 1 - Q2 Bonus]]+Table1[[#This Row],[TA 1 - Q4 Bonus]]</f>
        <v/>
      </c>
      <c r="R349">
        <f>Table1[[#This Row],[TA 2 - Q1 Score]]+Table1[[#This Row],[TA 2 - Q2 Score]]+Table1[[#This Row],[TA 2 - Q3 Score]]</f>
        <v/>
      </c>
      <c r="S349">
        <f>Table1[[#This Row],[TA 2 - Q1 Bonus]]+Table1[[#This Row],[TA 2 - Q2 Bonus]]+Table1[[#This Row],[TA 2 - Q4 Bonus]]</f>
        <v/>
      </c>
      <c r="T349">
        <f>(Table1[[#This Row],[TA 1 - Total Score (out of 35)]]+Table1[[#This Row],[TA 2 - Total Score (out of 35)]])/2</f>
        <v/>
      </c>
      <c r="U349">
        <f>(Table1[[#This Row],[TA 1 - Total Bonus (out of 13)]]+Table1[[#This Row],[TA 2 - Total Bonus (out of 13)]])/2</f>
        <v/>
      </c>
      <c r="V349">
        <f>Table1[[#This Row],[Average Questions]]/35*20+Table1[[#This Row],[Average Bonus]]/13*5</f>
        <v/>
      </c>
      <c r="W349" t="n">
        <v>6</v>
      </c>
      <c r="X349" t="n">
        <v>0</v>
      </c>
      <c r="Y349"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errors and did not run end-to-end. The bonus task of implementing test time augmentation was also not completed. As a result, the student's score is limited to the points awarded for the training task, which was partially completed.
Breakdown:
- Part 1: Load and Prepare Data: 0.0/?
- Part 2: Load Pretrained Model and Adapt: 0.0/?
- Part 3: Training and Validation Functions: 0.0/?
- Part 4: Training: 3.0/?
- Part 5: Bonus — Test Time Augmentation: 0.0/?</t>
        </is>
      </c>
      <c r="Z349" t="n">
        <v>4</v>
      </c>
      <c r="AA349" t="n">
        <v>0</v>
      </c>
      <c r="AB349" t="inlineStr">
        <is>
          <t>The student's submission failed to address any of the tasks outlined in the rubric. The code provided does not attempt to load and prepare the data, build the CNN model, define training and validation functions, train the model, or implement the residual connection bonus task. As a result, the student earns 0 points for each task, resulting in a total score of 0.
Breakdown:
- Part 1: Load and Prepare Data: 0.0/?
- Part 2: Build the CNN Model: 0.0/?
- Part 3: Training and Validation Functions: 0.0/?
- Part 4: Training: 0.0/?
- Part 5: Bonus — Residual Connection: 0.0/?</t>
        </is>
      </c>
      <c r="AC349" t="n">
        <v>6</v>
      </c>
      <c r="AD349" t="inlineStr">
        <is>
          <t>The student's submission was incomplete, with no code provided for Tasks 1-4. However, the code for Task 5 was mostly correct, with the student successfully visualizing predictions against the ground truth for several images. Unfortunately, the student's code did not display the ground truth masks correctly, resulting in a score of 6.0 for this task.
Breakdown:
- Task 1: Dataset Class: 0.0/?
- Task 2: Model Class: 0.0/?
- Task 3: Training and Validation Loops: 0.0/?
- Task 4: Running Training: 0.0/?
- Task 5: Visualizing Predictions: 6.0/?</t>
        </is>
      </c>
      <c r="AE349" t="n">
        <v>0</v>
      </c>
      <c r="AF349" t="n">
        <v>0</v>
      </c>
      <c r="AG349" t="inlineStr">
        <is>
          <t>No submission found.</t>
        </is>
      </c>
      <c r="AH349" t="n">
        <v>16</v>
      </c>
      <c r="AI349" t="n">
        <v>0</v>
      </c>
    </row>
    <row r="350">
      <c r="A350" t="n">
        <v>349</v>
      </c>
      <c r="B350" t="inlineStr">
        <is>
          <t>TA_7</t>
        </is>
      </c>
      <c r="C350" t="inlineStr">
        <is>
          <t>TA_17</t>
        </is>
      </c>
      <c r="D350" t="n">
        <v>11</v>
      </c>
      <c r="E350" t="n">
        <v>0</v>
      </c>
      <c r="F350" t="n">
        <v>10.5</v>
      </c>
      <c r="G350" t="n">
        <v>0</v>
      </c>
      <c r="H350" t="n">
        <v>0</v>
      </c>
      <c r="I350" t="n">
        <v>0</v>
      </c>
      <c r="J350" t="n">
        <v>10.5</v>
      </c>
      <c r="K350" t="n">
        <v>0</v>
      </c>
      <c r="L350" t="n">
        <v>8.5</v>
      </c>
      <c r="M350" t="n">
        <v>0</v>
      </c>
      <c r="N350" t="n">
        <v>0</v>
      </c>
      <c r="O350" t="n">
        <v>0</v>
      </c>
      <c r="P350">
        <f>Table1[[#This Row],[TA 1 - Q1 Score]]+Table1[[#This Row],[TA 1 - Q2 Score]]+Table1[[#This Row],[TA 1 - Q3 Score]]</f>
        <v/>
      </c>
      <c r="Q350">
        <f>Table1[[#This Row],[TA 1 - Q1 Bonus]]+Table1[[#This Row],[TA 1 - Q2 Bonus]]+Table1[[#This Row],[TA 1 - Q4 Bonus]]</f>
        <v/>
      </c>
      <c r="R350">
        <f>Table1[[#This Row],[TA 2 - Q1 Score]]+Table1[[#This Row],[TA 2 - Q2 Score]]+Table1[[#This Row],[TA 2 - Q3 Score]]</f>
        <v/>
      </c>
      <c r="S350">
        <f>Table1[[#This Row],[TA 2 - Q1 Bonus]]+Table1[[#This Row],[TA 2 - Q2 Bonus]]+Table1[[#This Row],[TA 2 - Q4 Bonus]]</f>
        <v/>
      </c>
      <c r="T350">
        <f>(Table1[[#This Row],[TA 1 - Total Score (out of 35)]]+Table1[[#This Row],[TA 2 - Total Score (out of 35)]])/2</f>
        <v/>
      </c>
      <c r="U350">
        <f>(Table1[[#This Row],[TA 1 - Total Bonus (out of 13)]]+Table1[[#This Row],[TA 2 - Total Bonus (out of 13)]])/2</f>
        <v/>
      </c>
      <c r="V350">
        <f>Table1[[#This Row],[Average Questions]]/35*20+Table1[[#This Row],[Average Bonus]]/13*5</f>
        <v/>
      </c>
      <c r="W350" t="n">
        <v>6</v>
      </c>
      <c r="X350" t="n">
        <v>0</v>
      </c>
      <c r="Y35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350" t="n">
        <v>4</v>
      </c>
      <c r="AA350" t="n">
        <v>0</v>
      </c>
      <c r="AB350"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50" t="n">
        <v>6</v>
      </c>
      <c r="AD350"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for the bonus tasks.
Breakdown:
- Task 1: Dataset Class: 0.0/?
- Task 2: Model Class: 0.0/?
- Task 3: Training and Validation Loops: 0.0/?
- Task 4: Running Training: 0.0/?
- Task 5: Visualizing Predictions: 6.0/?</t>
        </is>
      </c>
      <c r="AE350" t="n">
        <v>0</v>
      </c>
      <c r="AF350" t="n">
        <v>0</v>
      </c>
      <c r="AG350" t="inlineStr">
        <is>
          <t>The student's submission did not implement the `ColorizationDataset` class correctly, resulting in a score of 0.0 for the base task. Since the student did not implement the class correctly, they did not attempt the bonus task, resulting in a score of 0.0 for the bonus task.
Breakdown:
- Correctly implemented `ColorizationDataset` class:: 0.0/?
- Any mistake in implementation: 0.0/?</t>
        </is>
      </c>
      <c r="AH350" t="n">
        <v>16</v>
      </c>
      <c r="AI350" t="n">
        <v>0</v>
      </c>
    </row>
    <row r="351">
      <c r="A351" t="n">
        <v>350</v>
      </c>
      <c r="B351" t="inlineStr">
        <is>
          <t>TA_7</t>
        </is>
      </c>
      <c r="C351" t="inlineStr">
        <is>
          <t>TA_17</t>
        </is>
      </c>
      <c r="D351" t="n">
        <v>12</v>
      </c>
      <c r="E351" t="n">
        <v>3</v>
      </c>
      <c r="F351" t="n">
        <v>8</v>
      </c>
      <c r="G351" t="n">
        <v>0</v>
      </c>
      <c r="H351" t="n">
        <v>12</v>
      </c>
      <c r="I351" t="n">
        <v>0</v>
      </c>
      <c r="J351" t="n">
        <v>11</v>
      </c>
      <c r="K351" t="n">
        <v>0</v>
      </c>
      <c r="L351" t="n">
        <v>9</v>
      </c>
      <c r="M351" t="n">
        <v>0</v>
      </c>
      <c r="N351" t="n">
        <v>12</v>
      </c>
      <c r="O351" t="n">
        <v>0</v>
      </c>
      <c r="P351">
        <f>Table1[[#This Row],[TA 1 - Q1 Score]]+Table1[[#This Row],[TA 1 - Q2 Score]]+Table1[[#This Row],[TA 1 - Q3 Score]]</f>
        <v/>
      </c>
      <c r="Q351">
        <f>Table1[[#This Row],[TA 1 - Q1 Bonus]]+Table1[[#This Row],[TA 1 - Q2 Bonus]]+Table1[[#This Row],[TA 1 - Q4 Bonus]]</f>
        <v/>
      </c>
      <c r="R351">
        <f>Table1[[#This Row],[TA 2 - Q1 Score]]+Table1[[#This Row],[TA 2 - Q2 Score]]+Table1[[#This Row],[TA 2 - Q3 Score]]</f>
        <v/>
      </c>
      <c r="S351">
        <f>Table1[[#This Row],[TA 2 - Q1 Bonus]]+Table1[[#This Row],[TA 2 - Q2 Bonus]]+Table1[[#This Row],[TA 2 - Q4 Bonus]]</f>
        <v/>
      </c>
      <c r="T351">
        <f>(Table1[[#This Row],[TA 1 - Total Score (out of 35)]]+Table1[[#This Row],[TA 2 - Total Score (out of 35)]])/2</f>
        <v/>
      </c>
      <c r="U351">
        <f>(Table1[[#This Row],[TA 1 - Total Bonus (out of 13)]]+Table1[[#This Row],[TA 2 - Total Bonus (out of 13)]])/2</f>
        <v/>
      </c>
      <c r="V351">
        <f>Table1[[#This Row],[Average Questions]]/35*20+Table1[[#This Row],[Average Bonus]]/13*5</f>
        <v/>
      </c>
      <c r="W351" t="n">
        <v>8</v>
      </c>
      <c r="X351" t="n">
        <v>0</v>
      </c>
      <c r="Y351" t="inlineStr">
        <is>
          <t>The student's submission failed to complete several key tasks, including loading and preparing the data, loading the pretrained model and adapting it, and implementing test time augmentation. While they made an attempt at the training and validation functions, their implementation was incomplete and did not run end-to-end. As a result, the student was unable to train the model and evaluate its performance. The submission also failed to display sample images, which is a critical component of the task. Overall, the student's submission demonstrated a lack of understanding of the task requirements and a failure to implement key components of the solution.
Breakdown:
- Part 1: Load and Prepare Data: 0.0/?
- Part 2: Load Pretrained Model and Adapt: 0.0/?
- Part 3: Training and Validation Functions: 1.5/?
- Part 4: Training: 2.5/?
- Part 5: Bonus — Test Time Augmentation: 0.0/?</t>
        </is>
      </c>
      <c r="Z351" t="n">
        <v>6</v>
      </c>
      <c r="AA351" t="n">
        <v>0</v>
      </c>
      <c r="AB351" t="inlineStr">
        <is>
          <t>The student's submission failed to meet the requirements for several tasks. In Part 1, the student incorrectly used the ImageFolder class and failed to apply the specified transforms. In Part 2, the student defined a CNN model with incorrect architecture. In Part 3, the student defined training and validation functions but failed to implement them correctly. In Part 4, the student was able to train the model but failed to plot the losses and accuracy. In Part 5, the student failed to implement the residual connection correctly. Overall, the student's submission demonstrated a lack of understanding of the required tasks and concepts.
Breakdown:
- Part 1: Load and Prepare Data: 0.0/?
- Part 2: Build the CNN Model: 0.0/?
- Part 3: Training and Validation Functions: 0.0/?
- Part 4: Training: 2.0/?
- Part 5: Bonus — Residual Connection: 0.0/?</t>
        </is>
      </c>
      <c r="AC351" t="n">
        <v>6</v>
      </c>
      <c r="AD351" t="inlineStr">
        <is>
          <t>The student's submission was incomplete and contained several errors. They failed to implement the dataset class, model class, training and validation loops, and running training correctly. However, they were able to visualize the predictions correctly, which earned them 6 points for Task 5.
Breakdown:
- Task 1: Dataset Class: 0.0/?
- Task 2: Model Class: 0.0/?
- Task 3: Training and Validation Loops: 0.0/?
- Task 4: Running Training: 0.0/?
- Task 5: Visualizing Predictions: 6.0/?</t>
        </is>
      </c>
      <c r="AE351" t="n">
        <v>0</v>
      </c>
      <c r="AF351" t="n">
        <v>0</v>
      </c>
      <c r="AG351" t="inlineStr">
        <is>
          <t>The student's submission does not meet the requirements of the task. The `ColorizationDataset` class is not implemented correctly, and the code contains several syntax and logic mistakes. As a result, the student does not receive any points for this task.
Breakdown:
- Correctly implemented `ColorizationDataset` class:: 0.0/?</t>
        </is>
      </c>
      <c r="AH351" t="n">
        <v>20</v>
      </c>
      <c r="AI351" t="n">
        <v>0</v>
      </c>
    </row>
    <row r="352">
      <c r="A352" t="n">
        <v>351</v>
      </c>
      <c r="B352" t="inlineStr">
        <is>
          <t>TA_7</t>
        </is>
      </c>
      <c r="C352" t="inlineStr">
        <is>
          <t>TA_17</t>
        </is>
      </c>
      <c r="D352" t="n">
        <v>5.5</v>
      </c>
      <c r="E352" t="n">
        <v>4</v>
      </c>
      <c r="F352" t="n">
        <v>11</v>
      </c>
      <c r="G352" t="n">
        <v>4</v>
      </c>
      <c r="H352" t="n">
        <v>8</v>
      </c>
      <c r="I352" t="n">
        <v>5</v>
      </c>
      <c r="J352" t="n">
        <v>4.5</v>
      </c>
      <c r="K352" t="n">
        <v>0</v>
      </c>
      <c r="L352" t="n">
        <v>9</v>
      </c>
      <c r="M352" t="n">
        <v>4</v>
      </c>
      <c r="N352" t="n">
        <v>0</v>
      </c>
      <c r="O352" t="n">
        <v>5</v>
      </c>
      <c r="P352">
        <f>Table1[[#This Row],[TA 1 - Q1 Score]]+Table1[[#This Row],[TA 1 - Q2 Score]]+Table1[[#This Row],[TA 1 - Q3 Score]]</f>
        <v/>
      </c>
      <c r="Q352">
        <f>Table1[[#This Row],[TA 1 - Q1 Bonus]]+Table1[[#This Row],[TA 1 - Q2 Bonus]]+Table1[[#This Row],[TA 1 - Q4 Bonus]]</f>
        <v/>
      </c>
      <c r="R352">
        <f>Table1[[#This Row],[TA 2 - Q1 Score]]+Table1[[#This Row],[TA 2 - Q2 Score]]+Table1[[#This Row],[TA 2 - Q3 Score]]</f>
        <v/>
      </c>
      <c r="S352">
        <f>Table1[[#This Row],[TA 2 - Q1 Bonus]]+Table1[[#This Row],[TA 2 - Q2 Bonus]]+Table1[[#This Row],[TA 2 - Q4 Bonus]]</f>
        <v/>
      </c>
      <c r="T352">
        <f>(Table1[[#This Row],[TA 1 - Total Score (out of 35)]]+Table1[[#This Row],[TA 2 - Total Score (out of 35)]])/2</f>
        <v/>
      </c>
      <c r="U352">
        <f>(Table1[[#This Row],[TA 1 - Total Bonus (out of 13)]]+Table1[[#This Row],[TA 2 - Total Bonus (out of 13)]])/2</f>
        <v/>
      </c>
      <c r="V352">
        <f>Table1[[#This Row],[Average Questions]]/35*20+Table1[[#This Row],[Average Bonus]]/13*5</f>
        <v/>
      </c>
      <c r="W352" t="n">
        <v>6</v>
      </c>
      <c r="X352" t="n">
        <v>0</v>
      </c>
      <c r="Y35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352" t="n">
        <v>6</v>
      </c>
      <c r="AA352" t="n">
        <v>0</v>
      </c>
      <c r="AB352" t="inlineStr">
        <is>
          <t>The student's submission failed to implement several key tasks, including loading and preparing the data, building the CNN model, training and validation functions, and training the model. The student also failed to implement the residual connection correctly. As a result, the student's submission was awarded 0 points for each of these tasks.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352" t="n">
        <v>6</v>
      </c>
      <c r="AD352" t="inlineStr">
        <is>
          <t>The student's submission had several issues. The dataset class was not implemented, and the model class was not defined correctly. The training and validation loops were also not implemented correctly, and the training process was not implemented correctly. However, the predictions were visualized correctly, which earned 6 points for Task 5.
Breakdown:
- Task 1: Dataset Class: 0.0/?
- Task 2: Model Class: 0.0/?
- Task 3: Training and Validation Loops: 0.0/?
- Task 4: Running Training: 0.0/?
- Task 5: Visualizing Predictions: 6.0/?</t>
        </is>
      </c>
      <c r="AE352" t="n">
        <v>0</v>
      </c>
      <c r="AF352" t="n">
        <v>0</v>
      </c>
      <c r="AG352" t="inlineStr">
        <is>
          <t>The student's submission contains multiple mistakes in the implementation of the `ColorizationDataset` class. The `__init__` method does not store the dataset correctly, the `__len__` method does not return the correct length, the `rgb_to_grayscale` method does not handle the dimensions correctly, and the `__getitem__` method does not return the correct (grayscale, color) tuple. As a result, the student does not receive any points for this task.
Breakdown:
- Correctly implemented `ColorizationDataset` class:: 0.0/?
- Any mistake in implementation: 0.0/?</t>
        </is>
      </c>
      <c r="AH352" t="n">
        <v>18</v>
      </c>
      <c r="AI352" t="n">
        <v>0</v>
      </c>
    </row>
    <row r="353">
      <c r="A353" t="n">
        <v>352</v>
      </c>
      <c r="B353" t="inlineStr">
        <is>
          <t>TA_7</t>
        </is>
      </c>
      <c r="C353" t="inlineStr">
        <is>
          <t>TA_17</t>
        </is>
      </c>
      <c r="D353" t="n">
        <v>4</v>
      </c>
      <c r="E353" t="n">
        <v>0</v>
      </c>
      <c r="F353" t="n">
        <v>9</v>
      </c>
      <c r="G353" t="n">
        <v>0</v>
      </c>
      <c r="H353" t="n">
        <v>4.5</v>
      </c>
      <c r="I353" t="n">
        <v>0</v>
      </c>
      <c r="J353" t="n">
        <v>4</v>
      </c>
      <c r="K353" t="n">
        <v>0</v>
      </c>
      <c r="L353" t="n">
        <v>8.5</v>
      </c>
      <c r="M353" t="n">
        <v>0</v>
      </c>
      <c r="N353" t="n">
        <v>6.5</v>
      </c>
      <c r="O353" t="n">
        <v>0</v>
      </c>
      <c r="P353">
        <f>Table1[[#This Row],[TA 1 - Q1 Score]]+Table1[[#This Row],[TA 1 - Q2 Score]]+Table1[[#This Row],[TA 1 - Q3 Score]]</f>
        <v/>
      </c>
      <c r="Q353">
        <f>Table1[[#This Row],[TA 1 - Q1 Bonus]]+Table1[[#This Row],[TA 1 - Q2 Bonus]]+Table1[[#This Row],[TA 1 - Q4 Bonus]]</f>
        <v/>
      </c>
      <c r="R353">
        <f>Table1[[#This Row],[TA 2 - Q1 Score]]+Table1[[#This Row],[TA 2 - Q2 Score]]+Table1[[#This Row],[TA 2 - Q3 Score]]</f>
        <v/>
      </c>
      <c r="S353">
        <f>Table1[[#This Row],[TA 2 - Q1 Bonus]]+Table1[[#This Row],[TA 2 - Q2 Bonus]]+Table1[[#This Row],[TA 2 - Q4 Bonus]]</f>
        <v/>
      </c>
      <c r="T353">
        <f>(Table1[[#This Row],[TA 1 - Total Score (out of 35)]]+Table1[[#This Row],[TA 2 - Total Score (out of 35)]])/2</f>
        <v/>
      </c>
      <c r="U353">
        <f>(Table1[[#This Row],[TA 1 - Total Bonus (out of 13)]]+Table1[[#This Row],[TA 2 - Total Bonus (out of 13)]])/2</f>
        <v/>
      </c>
      <c r="V353">
        <f>Table1[[#This Row],[Average Questions]]/35*20+Table1[[#This Row],[Average Bonus]]/13*5</f>
        <v/>
      </c>
      <c r="W353" t="n">
        <v>6</v>
      </c>
      <c r="X353" t="n">
        <v>0</v>
      </c>
      <c r="Y353" t="inlineStr">
        <is>
          <t>The student's submission failed to complete several key tasks, including loading and preparing the data, loading the pretrained model and adapting it, and training the model. The training and validation functions were partially implemented, but the student failed to fix the labels, resulting in a penalty. The bonus task of implementing test time augmentation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353" t="n">
        <v>4</v>
      </c>
      <c r="AA353" t="n">
        <v>0</v>
      </c>
      <c r="AB353"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The submission did not demonstrate a clear understanding of the task and the requirements.
Breakdown:
- Part 1: Load and Prepare Data: 0.0/?
- Part 2: Build the CNN Model: 0.0/?
- Part 3: Training and Validation Functions: 0.0/?
- Part 4: Training: 0.0/?
- Part 5: Bonus — Residual Connection: 0.0/?</t>
        </is>
      </c>
      <c r="AC353" t="n">
        <v>6</v>
      </c>
      <c r="AD353"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353" t="n">
        <v>0</v>
      </c>
      <c r="AF353" t="n">
        <v>0</v>
      </c>
      <c r="AG353" t="inlineStr">
        <is>
          <t>No submission found.</t>
        </is>
      </c>
      <c r="AH353" t="n">
        <v>16</v>
      </c>
      <c r="AI353" t="n">
        <v>0</v>
      </c>
    </row>
    <row r="354">
      <c r="A354" t="n">
        <v>353</v>
      </c>
      <c r="B354" t="inlineStr">
        <is>
          <t>TA_7</t>
        </is>
      </c>
      <c r="C354" t="inlineStr">
        <is>
          <t>TA_17</t>
        </is>
      </c>
      <c r="D354" t="n">
        <v>12</v>
      </c>
      <c r="E354" t="n">
        <v>0</v>
      </c>
      <c r="F354" t="n">
        <v>8.5</v>
      </c>
      <c r="G354" t="n">
        <v>0</v>
      </c>
      <c r="H354" t="n">
        <v>12</v>
      </c>
      <c r="I354" t="n">
        <v>0</v>
      </c>
      <c r="J354" t="n">
        <v>12</v>
      </c>
      <c r="K354" t="n">
        <v>0</v>
      </c>
      <c r="L354" t="n">
        <v>9</v>
      </c>
      <c r="M354" t="n">
        <v>0</v>
      </c>
      <c r="N354" t="n">
        <v>12</v>
      </c>
      <c r="O354" t="n">
        <v>0</v>
      </c>
      <c r="P354">
        <f>Table1[[#This Row],[TA 1 - Q1 Score]]+Table1[[#This Row],[TA 1 - Q2 Score]]+Table1[[#This Row],[TA 1 - Q3 Score]]</f>
        <v/>
      </c>
      <c r="Q354">
        <f>Table1[[#This Row],[TA 1 - Q1 Bonus]]+Table1[[#This Row],[TA 1 - Q2 Bonus]]+Table1[[#This Row],[TA 1 - Q4 Bonus]]</f>
        <v/>
      </c>
      <c r="R354">
        <f>Table1[[#This Row],[TA 2 - Q1 Score]]+Table1[[#This Row],[TA 2 - Q2 Score]]+Table1[[#This Row],[TA 2 - Q3 Score]]</f>
        <v/>
      </c>
      <c r="S354">
        <f>Table1[[#This Row],[TA 2 - Q1 Bonus]]+Table1[[#This Row],[TA 2 - Q2 Bonus]]+Table1[[#This Row],[TA 2 - Q4 Bonus]]</f>
        <v/>
      </c>
      <c r="T354">
        <f>(Table1[[#This Row],[TA 1 - Total Score (out of 35)]]+Table1[[#This Row],[TA 2 - Total Score (out of 35)]])/2</f>
        <v/>
      </c>
      <c r="U354">
        <f>(Table1[[#This Row],[TA 1 - Total Bonus (out of 13)]]+Table1[[#This Row],[TA 2 - Total Bonus (out of 13)]])/2</f>
        <v/>
      </c>
      <c r="V354">
        <f>Table1[[#This Row],[Average Questions]]/35*20+Table1[[#This Row],[Average Bonus]]/13*5</f>
        <v/>
      </c>
      <c r="W354" t="n">
        <v>6</v>
      </c>
      <c r="X354" t="n">
        <v>0</v>
      </c>
      <c r="Y354" t="inlineStr">
        <is>
          <t>The student's submission failed to complete several key tasks, including loading and preparing the data, loading the pretrained model and adapting it, and implementing the training and validation functions. Although the student attempted to train the model, their code contained several errors and did not run end-to-end. As a result, the student was unable to complete the bonus task of implementing test time augmentation. Overall, the student's submission demonstrated a lack of understanding of the key concepts and failed to execute the tasks correctly.
Breakdown:
- Part 1: Load and Prepare Data: 0.0/?
- Part 2: Load Pretrained Model and Adapt: 0.0/?
- Part 3: Training and Validation Functions: 0.0/?
- Part 4: Training: 2.0/?
- Part 5: Bonus — Test Time Augmentation: 0.0/?</t>
        </is>
      </c>
      <c r="Z354" t="n">
        <v>4</v>
      </c>
      <c r="AA354" t="n">
        <v>0</v>
      </c>
      <c r="AB354" t="inlineStr">
        <is>
          <t>The student's submission failed to meet the requirements of the task. The code did not run end-to-end, and several key components were missing. The student attempted to load and prepare the data, but the code was incomplete and did not follow the instructions. The CNN model was not built correctly, and the training and validation functions were not implemented. The training process was also not completed. The bonus task of adding a residual connection was not attempted. Overall, the submission did not demonstrate a clear understanding of the task requirements and did not produce a working model.
Breakdown:
- Part 1: Load and Prepare Data: 0.0/?
- Part 2: Build the CNN Model: 0.0/?
- Part 3: Training and Validation Functions: 0.0/?
- Part 4: Training: 0.0/?
- Part 5: Bonus — Residual Connection: 0.0/?</t>
        </is>
      </c>
      <c r="AC354" t="n">
        <v>6</v>
      </c>
      <c r="AD354" t="inlineStr">
        <is>
          <t>The student's submission failed to address several key tasks, including building a custom dataset class, defining a model class, and implementing training and validation loops. While the student did attempt to visualize predictions, their code did not meet the full requirements of the task.
Breakdown:
- Task 1: Dataset Class: 0.0/?
- Task 2: Model Class: 0.0/?
- Task 3: Training and Validation Loops: 0.0/?
- Task 4: Running Training: 0.0/?
- Task 5: Visualizing Predictions: 6.0/?</t>
        </is>
      </c>
      <c r="AE354" t="n">
        <v>0</v>
      </c>
      <c r="AF354" t="n">
        <v>0</v>
      </c>
      <c r="AG354" t="inlineStr">
        <is>
          <t>No submission found.</t>
        </is>
      </c>
      <c r="AH354" t="n">
        <v>16</v>
      </c>
      <c r="AI354" t="n">
        <v>0</v>
      </c>
    </row>
    <row r="355">
      <c r="A355" t="n">
        <v>354</v>
      </c>
      <c r="B355" t="inlineStr">
        <is>
          <t>TA_7</t>
        </is>
      </c>
      <c r="C355" t="inlineStr">
        <is>
          <t>TA_17</t>
        </is>
      </c>
      <c r="D355" t="n">
        <v>12</v>
      </c>
      <c r="E355" t="n">
        <v>3</v>
      </c>
      <c r="F355" t="n">
        <v>9</v>
      </c>
      <c r="G355" t="n">
        <v>0</v>
      </c>
      <c r="H355" t="n">
        <v>7</v>
      </c>
      <c r="I355" t="n">
        <v>0</v>
      </c>
      <c r="J355" t="n">
        <v>11.5</v>
      </c>
      <c r="K355" t="n">
        <v>0</v>
      </c>
      <c r="L355" t="n">
        <v>8.5</v>
      </c>
      <c r="M355" t="n">
        <v>0</v>
      </c>
      <c r="N355" t="n">
        <v>6</v>
      </c>
      <c r="O355" t="n">
        <v>0</v>
      </c>
      <c r="P355">
        <f>Table1[[#This Row],[TA 1 - Q1 Score]]+Table1[[#This Row],[TA 1 - Q2 Score]]+Table1[[#This Row],[TA 1 - Q3 Score]]</f>
        <v/>
      </c>
      <c r="Q355">
        <f>Table1[[#This Row],[TA 1 - Q1 Bonus]]+Table1[[#This Row],[TA 1 - Q2 Bonus]]+Table1[[#This Row],[TA 1 - Q4 Bonus]]</f>
        <v/>
      </c>
      <c r="R355">
        <f>Table1[[#This Row],[TA 2 - Q1 Score]]+Table1[[#This Row],[TA 2 - Q2 Score]]+Table1[[#This Row],[TA 2 - Q3 Score]]</f>
        <v/>
      </c>
      <c r="S355">
        <f>Table1[[#This Row],[TA 2 - Q1 Bonus]]+Table1[[#This Row],[TA 2 - Q2 Bonus]]+Table1[[#This Row],[TA 2 - Q4 Bonus]]</f>
        <v/>
      </c>
      <c r="T355">
        <f>(Table1[[#This Row],[TA 1 - Total Score (out of 35)]]+Table1[[#This Row],[TA 2 - Total Score (out of 35)]])/2</f>
        <v/>
      </c>
      <c r="U355">
        <f>(Table1[[#This Row],[TA 1 - Total Bonus (out of 13)]]+Table1[[#This Row],[TA 2 - Total Bonus (out of 13)]])/2</f>
        <v/>
      </c>
      <c r="V355">
        <f>Table1[[#This Row],[Average Questions]]/35*20+Table1[[#This Row],[Average Bonus]]/13*5</f>
        <v/>
      </c>
      <c r="W355" t="n">
        <v>6</v>
      </c>
      <c r="X355" t="n">
        <v>0</v>
      </c>
      <c r="Y355" t="inlineStr">
        <is>
          <t>The student's submission failed to complete several key tasks, including loading and preparing the data, loading a pretrained model and adapting it, and implementing test time augmentation. While they made an attempt at the training and validation functions, their code contained syntax errors and did not run correctly. As a result, the student was unable to train the model and evaluate its performance. The lack of correct code for several key tasks resulted in a low overall score.
Breakdown:
- Part 1: Load and Prepare Data: 0.0/?
- Part 2: Load Pretrained Model and Adapt: 0.0/?
- Part 3: Training and Validation Functions: 1.5/?
- Part 4: Training: 2.5/?
- Part 5: Bonus — Test Time Augmentation: 0.0/?</t>
        </is>
      </c>
      <c r="Z355" t="n">
        <v>4</v>
      </c>
      <c r="AA355" t="n">
        <v>0</v>
      </c>
      <c r="AB355" t="inlineStr">
        <is>
          <t>The student's submission failed to meet the requirements of the task. The code was not organized, and the structure was different from the reference solution. The student attempted to implement some tasks, but the code contained syntax and logic mistakes. The student did not provide any code for Part 1, Part 3, Part 4, and Part 5, which resulted in a score of 0 for these tasks. The student's submission did not run end-to-end, and the code was not tested correctly.
Breakdown:
- Part 1: Load and Prepare Data: 0.0/?
- Part 2: Build the CNN Model: 0.0/?
- Part 3: Training and Validation Functions: 0.0/?
- Part 4: Training: 0.0/?
- Part 5: Bonus — Residual Connection: 0.0/?</t>
        </is>
      </c>
      <c r="AC355" t="n">
        <v>6</v>
      </c>
      <c r="AD355" t="inlineStr">
        <is>
          <t>The student's submission failed to meet the requirements of the task. The code was not organized, and several tasks were not implemented correctly. The student attempted to use a different encoder, and the training and validation loops were not implemented correctly. The loss and optimizer were not defined correctly, and the model was not trained.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355" t="n">
        <v>0</v>
      </c>
      <c r="AF355" t="n">
        <v>0</v>
      </c>
      <c r="AG355" t="inlineStr">
        <is>
          <t>No submission found.</t>
        </is>
      </c>
      <c r="AH355" t="n">
        <v>16</v>
      </c>
      <c r="AI355" t="n">
        <v>0</v>
      </c>
    </row>
    <row r="356">
      <c r="A356" t="n">
        <v>355</v>
      </c>
      <c r="B356" t="inlineStr">
        <is>
          <t>TA_7</t>
        </is>
      </c>
      <c r="C356" t="inlineStr">
        <is>
          <t>TA_17</t>
        </is>
      </c>
      <c r="D356" t="n">
        <v>6</v>
      </c>
      <c r="E356" t="n">
        <v>0</v>
      </c>
      <c r="F356" t="n">
        <v>8.5</v>
      </c>
      <c r="G356" t="n">
        <v>0</v>
      </c>
      <c r="H356" t="n">
        <v>8</v>
      </c>
      <c r="I356" t="n">
        <v>0</v>
      </c>
      <c r="J356" t="n">
        <v>6</v>
      </c>
      <c r="K356" t="n">
        <v>0</v>
      </c>
      <c r="L356" t="n">
        <v>9.5</v>
      </c>
      <c r="M356" t="n">
        <v>0</v>
      </c>
      <c r="N356" t="n">
        <v>5.5</v>
      </c>
      <c r="O356" t="n">
        <v>0</v>
      </c>
      <c r="P356">
        <f>Table1[[#This Row],[TA 1 - Q1 Score]]+Table1[[#This Row],[TA 1 - Q2 Score]]+Table1[[#This Row],[TA 1 - Q3 Score]]</f>
        <v/>
      </c>
      <c r="Q356">
        <f>Table1[[#This Row],[TA 1 - Q1 Bonus]]+Table1[[#This Row],[TA 1 - Q2 Bonus]]+Table1[[#This Row],[TA 1 - Q4 Bonus]]</f>
        <v/>
      </c>
      <c r="R356">
        <f>Table1[[#This Row],[TA 2 - Q1 Score]]+Table1[[#This Row],[TA 2 - Q2 Score]]+Table1[[#This Row],[TA 2 - Q3 Score]]</f>
        <v/>
      </c>
      <c r="S356">
        <f>Table1[[#This Row],[TA 2 - Q1 Bonus]]+Table1[[#This Row],[TA 2 - Q2 Bonus]]+Table1[[#This Row],[TA 2 - Q4 Bonus]]</f>
        <v/>
      </c>
      <c r="T356">
        <f>(Table1[[#This Row],[TA 1 - Total Score (out of 35)]]+Table1[[#This Row],[TA 2 - Total Score (out of 35)]])/2</f>
        <v/>
      </c>
      <c r="U356">
        <f>(Table1[[#This Row],[TA 1 - Total Bonus (out of 13)]]+Table1[[#This Row],[TA 2 - Total Bonus (out of 13)]])/2</f>
        <v/>
      </c>
      <c r="V356">
        <f>Table1[[#This Row],[Average Questions]]/35*20+Table1[[#This Row],[Average Bonus]]/13*5</f>
        <v/>
      </c>
      <c r="W356" t="n">
        <v>6</v>
      </c>
      <c r="X356" t="n">
        <v>0</v>
      </c>
      <c r="Y356"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displaying sample images, freezing the backbone, and replacing the classifier head. The bonus task of implementing test time augmentation was also not completed. Overall, the submission demonstrated a lack of understanding of the task requirements and failed to execute several key components.
Breakdown:
- Part 1: Load and Prepare Data: 0.0/?
- Part 2: Load Pretrained Model and Adapt: 0.0/?
- Part 3: Training and Validation Functions: 0.0/?
- Part 4: Training: 2.0/?
- Part 5: Bonus — Test Time Augmentation: 0.0/?</t>
        </is>
      </c>
      <c r="Z356" t="n">
        <v>4</v>
      </c>
      <c r="AA356" t="n">
        <v>0</v>
      </c>
      <c r="AB356" t="inlineStr">
        <is>
          <t>The student's submission failed to meet the requirements of the task. They did not create a custom Dataset class or use ImageFolder, and their code did not run end-to-end. The CNN model was not built correctly, and the training and validation functions were not implemented. The student did not attempt to add a residual connection to the model. As a result, the student did not earn any points for this task.
Breakdown:
- Part 1: Load and Prepare Data: 0.0/?
- Part 2: Build the CNN Model: 0.0/?
- Part 3: Training and Validation Functions: 0.0/?
- Part 4: Training: 0.0/?
- Part 5: Bonus — Residual Connection: 0.0/?</t>
        </is>
      </c>
      <c r="AC356" t="n">
        <v>6</v>
      </c>
      <c r="AD356" t="inlineStr">
        <is>
          <t>The student's submission was incomplete and lacked code for most tasks. The only task that was attempted was Task 5: Visualizing Predictions, where the student's code was mostly correct but had some minor issues. The rest of the tasks were not attempted, resulting in a score of 6.0 out of 12.0.
Breakdown:
- Task 1: Dataset Class: 0.0/?
- Task 2: Model Class: 0.0/?
- Task 3: Training and Validation Loops: 0.0/?
- Task 4: Running Training: 0.0/?
- Task 5: Visualizing Predictions: 6.0/?</t>
        </is>
      </c>
      <c r="AE356" t="n">
        <v>0</v>
      </c>
      <c r="AF356" t="n">
        <v>0</v>
      </c>
      <c r="AG356" t="inlineStr">
        <is>
          <t>The student's submission contains several errors and incomplete implementations, resulting in a score of 0.0 for the base tasks and 0.0 for the bonus task. The student's code does not run end-to-end, and several tasks are not implemented correctly.
Breakdown:
- Correctly implemented `ColorizationDataset` class:: 0.0/?
- Any mistake in implementation: 0.0/?</t>
        </is>
      </c>
      <c r="AH356" t="n">
        <v>16</v>
      </c>
      <c r="AI356" t="n">
        <v>0</v>
      </c>
    </row>
    <row r="357">
      <c r="A357" t="n">
        <v>356</v>
      </c>
      <c r="B357" t="inlineStr">
        <is>
          <t>TA_7</t>
        </is>
      </c>
      <c r="C357" t="inlineStr">
        <is>
          <t>TA_17</t>
        </is>
      </c>
      <c r="D357" t="n">
        <v>8.5</v>
      </c>
      <c r="E357" t="n">
        <v>0</v>
      </c>
      <c r="F357" t="n">
        <v>7</v>
      </c>
      <c r="G357" t="n">
        <v>0</v>
      </c>
      <c r="H357" t="n">
        <v>2</v>
      </c>
      <c r="I357" t="n">
        <v>0</v>
      </c>
      <c r="J357" t="n">
        <v>5.5</v>
      </c>
      <c r="K357" t="n">
        <v>0</v>
      </c>
      <c r="L357" t="n">
        <v>9.5</v>
      </c>
      <c r="M357" t="n">
        <v>0</v>
      </c>
      <c r="N357" t="n">
        <v>0</v>
      </c>
      <c r="O357" t="n">
        <v>0</v>
      </c>
      <c r="P357">
        <f>Table1[[#This Row],[TA 1 - Q1 Score]]+Table1[[#This Row],[TA 1 - Q2 Score]]+Table1[[#This Row],[TA 1 - Q3 Score]]</f>
        <v/>
      </c>
      <c r="Q357">
        <f>Table1[[#This Row],[TA 1 - Q1 Bonus]]+Table1[[#This Row],[TA 1 - Q2 Bonus]]+Table1[[#This Row],[TA 1 - Q4 Bonus]]</f>
        <v/>
      </c>
      <c r="R357">
        <f>Table1[[#This Row],[TA 2 - Q1 Score]]+Table1[[#This Row],[TA 2 - Q2 Score]]+Table1[[#This Row],[TA 2 - Q3 Score]]</f>
        <v/>
      </c>
      <c r="S357">
        <f>Table1[[#This Row],[TA 2 - Q1 Bonus]]+Table1[[#This Row],[TA 2 - Q2 Bonus]]+Table1[[#This Row],[TA 2 - Q4 Bonus]]</f>
        <v/>
      </c>
      <c r="T357">
        <f>(Table1[[#This Row],[TA 1 - Total Score (out of 35)]]+Table1[[#This Row],[TA 2 - Total Score (out of 35)]])/2</f>
        <v/>
      </c>
      <c r="U357">
        <f>(Table1[[#This Row],[TA 1 - Total Bonus (out of 13)]]+Table1[[#This Row],[TA 2 - Total Bonus (out of 13)]])/2</f>
        <v/>
      </c>
      <c r="V357">
        <f>Table1[[#This Row],[Average Questions]]/35*20+Table1[[#This Row],[Average Bonus]]/13*5</f>
        <v/>
      </c>
      <c r="W357" t="n">
        <v>6</v>
      </c>
      <c r="X357" t="n">
        <v>0</v>
      </c>
      <c r="Y357" t="inlineStr">
        <is>
          <t>The student's submission failed to complete several key tasks, including loading and preparing the data, loading a pretrained model, and training the model. The code for the training and validation functions was partially correct, but the student failed to fix the labels, resulting in a penalty. The bonus task was not attempted. Overall, the submission demonstrates a lack of understanding of the required tasks and a failure to follow the instructions.
Breakdown:
- Part 1: Load and Prepare Data: 0.0/?
- Part 2: Load Pretrained Model and Adapt: 0.0/?
- Part 3: Training and Validation Functions: 1.5/?
- Part 4: Training: 0.0/?
- Part 5: Bonus — Test Time Augmentation: 0.0/?</t>
        </is>
      </c>
      <c r="Z357" t="n">
        <v>4</v>
      </c>
      <c r="AA357" t="n">
        <v>0</v>
      </c>
      <c r="AB357" t="inlineStr">
        <is>
          <t>The student's submission failed to load and prepare the data correctly, as evident from the missing code for Part 1. Furthermore, the CNN model was not built as per the requirements in Part 2. The training and validation functions were also not implemented correctly in Part 3. The training process was not executed in Part 4. Lastly, the bonus task of adding a residual connection was not attempted. As a result, the student scored 0% for each task, leading to a total score of 0.0.
Breakdown:
- Part 1: Load and Prepare Data: 0.0/?
- Part 2: Build the CNN Model: 0.0/?
- Part 3: Training and Validation Functions: 0.0/?
- Part 4: Training: 0.0/?
- Part 5: Bonus — Residual Connection: 0.0/?</t>
        </is>
      </c>
      <c r="AC357" t="n">
        <v>6</v>
      </c>
      <c r="AD357" t="inlineStr">
        <is>
          <t>The student's submission failed to address any of the tasks in Question 3. The code provided does not attempt to implement the required functionality, and no effort is made to address the tasks outlined in the rubric. As a result, the student earns 0 points for each task, resulting in a total score of 6.0.
Breakdown:
- Task 1: Dataset Class: 0.0/?
- Task 2: Model Class: 0.0/?
- Task 3: Training and Validation Loops: 0.0/?
- Task 4: Running Training: 0.0/?
- Task 5: Visualizing Predictions: 0.0/?</t>
        </is>
      </c>
      <c r="AE357" t="n">
        <v>0</v>
      </c>
      <c r="AF357" t="n">
        <v>0</v>
      </c>
      <c r="AG357" t="inlineStr">
        <is>
          <t>No submission found.</t>
        </is>
      </c>
      <c r="AH357" t="n">
        <v>16</v>
      </c>
      <c r="AI357" t="n">
        <v>0</v>
      </c>
    </row>
    <row r="358">
      <c r="A358" t="n">
        <v>357</v>
      </c>
      <c r="B358" t="inlineStr">
        <is>
          <t>TA_7</t>
        </is>
      </c>
      <c r="C358" t="inlineStr">
        <is>
          <t>TA_17</t>
        </is>
      </c>
      <c r="D358" t="n">
        <v>12</v>
      </c>
      <c r="E358" t="n">
        <v>3</v>
      </c>
      <c r="F358" t="n">
        <v>11</v>
      </c>
      <c r="G358" t="n">
        <v>0</v>
      </c>
      <c r="H358" t="n">
        <v>12</v>
      </c>
      <c r="I358" t="n">
        <v>0</v>
      </c>
      <c r="J358" t="n">
        <v>11</v>
      </c>
      <c r="K358" t="n">
        <v>0</v>
      </c>
      <c r="L358" t="n">
        <v>11</v>
      </c>
      <c r="M358" t="n">
        <v>0</v>
      </c>
      <c r="N358" t="n">
        <v>12</v>
      </c>
      <c r="O358" t="n">
        <v>0</v>
      </c>
      <c r="P358">
        <f>Table1[[#This Row],[TA 1 - Q1 Score]]+Table1[[#This Row],[TA 1 - Q2 Score]]+Table1[[#This Row],[TA 1 - Q3 Score]]</f>
        <v/>
      </c>
      <c r="Q358">
        <f>Table1[[#This Row],[TA 1 - Q1 Bonus]]+Table1[[#This Row],[TA 1 - Q2 Bonus]]+Table1[[#This Row],[TA 1 - Q4 Bonus]]</f>
        <v/>
      </c>
      <c r="R358">
        <f>Table1[[#This Row],[TA 2 - Q1 Score]]+Table1[[#This Row],[TA 2 - Q2 Score]]+Table1[[#This Row],[TA 2 - Q3 Score]]</f>
        <v/>
      </c>
      <c r="S358">
        <f>Table1[[#This Row],[TA 2 - Q1 Bonus]]+Table1[[#This Row],[TA 2 - Q2 Bonus]]+Table1[[#This Row],[TA 2 - Q4 Bonus]]</f>
        <v/>
      </c>
      <c r="T358">
        <f>(Table1[[#This Row],[TA 1 - Total Score (out of 35)]]+Table1[[#This Row],[TA 2 - Total Score (out of 35)]])/2</f>
        <v/>
      </c>
      <c r="U358">
        <f>(Table1[[#This Row],[TA 1 - Total Bonus (out of 13)]]+Table1[[#This Row],[TA 2 - Total Bonus (out of 13)]])/2</f>
        <v/>
      </c>
      <c r="V358">
        <f>Table1[[#This Row],[Average Questions]]/35*20+Table1[[#This Row],[Average Bonus]]/13*5</f>
        <v/>
      </c>
      <c r="W358" t="n">
        <v>6</v>
      </c>
      <c r="X358" t="n">
        <v>0</v>
      </c>
      <c r="Y358"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implementation of test time augmentation was also incomplete. Overall, the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358" t="n">
        <v>6</v>
      </c>
      <c r="AA358" t="n">
        <v>0</v>
      </c>
      <c r="AB358"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demonstrate the full range of skills required for this question.
Breakdown:
- Part 1: Load and Prepare Data: 0.0/?
- Part 2: Build the CNN Model: 0.0/?
- Part 3: Training and Validation Functions: 0.0/?
- Part 4: Training: 2.0/?
- Part 5: Bonus — Residual Connection: 0.0/?</t>
        </is>
      </c>
      <c r="AC358" t="n">
        <v>6</v>
      </c>
      <c r="AD358" t="inlineStr">
        <is>
          <t>The student's submission failed to meet the requirements of the task. The code was not organized in a logical structure, and the tasks were not completed correctly. The student attempted to use different approaches and methods, which resulted in incorrect implementation of the tasks. As a result, the student did not receive any points for this task.
Breakdown:
- Task 1: Dataset Class: 0.0/?
- Task 2: Model Class: 0.0/?
- Task 3: Training and Validation Loops: 0.0/?
- Task 4: Running Training: 0.0/?
- Task 5: Visualizing Predictions: 0.0/?</t>
        </is>
      </c>
      <c r="AE358" t="n">
        <v>0</v>
      </c>
      <c r="AF358" t="n">
        <v>0</v>
      </c>
      <c r="AG358" t="inlineStr">
        <is>
          <t>No submission found.</t>
        </is>
      </c>
      <c r="AH358" t="n">
        <v>18</v>
      </c>
      <c r="AI358" t="n">
        <v>0</v>
      </c>
    </row>
    <row r="359">
      <c r="A359" t="n">
        <v>358</v>
      </c>
      <c r="B359" t="inlineStr">
        <is>
          <t>TA_7</t>
        </is>
      </c>
      <c r="C359" t="inlineStr">
        <is>
          <t>TA_17</t>
        </is>
      </c>
      <c r="D359" t="n">
        <v>12</v>
      </c>
      <c r="E359" t="n">
        <v>0</v>
      </c>
      <c r="F359" t="n">
        <v>11</v>
      </c>
      <c r="G359" t="n">
        <v>0</v>
      </c>
      <c r="H359" t="n">
        <v>8</v>
      </c>
      <c r="I359" t="n">
        <v>5</v>
      </c>
      <c r="J359" t="n">
        <v>11</v>
      </c>
      <c r="K359" t="n">
        <v>0</v>
      </c>
      <c r="L359" t="n">
        <v>11</v>
      </c>
      <c r="M359" t="n">
        <v>0</v>
      </c>
      <c r="N359" t="n">
        <v>6.5</v>
      </c>
      <c r="O359" t="n">
        <v>5</v>
      </c>
      <c r="P359">
        <f>Table1[[#This Row],[TA 1 - Q1 Score]]+Table1[[#This Row],[TA 1 - Q2 Score]]+Table1[[#This Row],[TA 1 - Q3 Score]]</f>
        <v/>
      </c>
      <c r="Q359">
        <f>Table1[[#This Row],[TA 1 - Q1 Bonus]]+Table1[[#This Row],[TA 1 - Q2 Bonus]]+Table1[[#This Row],[TA 1 - Q4 Bonus]]</f>
        <v/>
      </c>
      <c r="R359">
        <f>Table1[[#This Row],[TA 2 - Q1 Score]]+Table1[[#This Row],[TA 2 - Q2 Score]]+Table1[[#This Row],[TA 2 - Q3 Score]]</f>
        <v/>
      </c>
      <c r="S359">
        <f>Table1[[#This Row],[TA 2 - Q1 Bonus]]+Table1[[#This Row],[TA 2 - Q2 Bonus]]+Table1[[#This Row],[TA 2 - Q4 Bonus]]</f>
        <v/>
      </c>
      <c r="T359">
        <f>(Table1[[#This Row],[TA 1 - Total Score (out of 35)]]+Table1[[#This Row],[TA 2 - Total Score (out of 35)]])/2</f>
        <v/>
      </c>
      <c r="U359">
        <f>(Table1[[#This Row],[TA 1 - Total Bonus (out of 13)]]+Table1[[#This Row],[TA 2 - Total Bonus (out of 13)]])/2</f>
        <v/>
      </c>
      <c r="V359">
        <f>Table1[[#This Row],[Average Questions]]/35*20+Table1[[#This Row],[Average Bonus]]/13*5</f>
        <v/>
      </c>
      <c r="W359" t="n">
        <v>6</v>
      </c>
      <c r="X359" t="n">
        <v>0</v>
      </c>
      <c r="Y359" t="inlineStr">
        <is>
          <t>The student's submission failed to complete several key tasks, including loading and preparing the data, loading a pretrained model, and training the model. The code for training and validation functions was partially correct, but the student failed to fix the labels, resulting in a penalty. The bonus task was not attempted. Overall, the submission demonstrates a lack of understanding of the required tasks and a failure to follow instructions.
Breakdown:
- Part 1: Load and Prepare Data: 0.0/?
- Part 2: Load Pretrained Model and Adapt: 0.0/?
- Part 3: Training and Validation Functions: 1.5/?
- Part 4: Training: 0.0/?
- Part 5: Bonus — Test Time Augmentation: 0.0/?</t>
        </is>
      </c>
      <c r="Z359" t="n">
        <v>6</v>
      </c>
      <c r="AA359" t="n">
        <v>0</v>
      </c>
      <c r="AB359" t="inlineStr">
        <is>
          <t>The student's submission failed to complete several key tasks, including loading and preparing the data, building the CNN model, and implementing training and validation functions. While the student did attempt to train the model, their implementation was incomplete and did not follow the reference solution. As a result, the student did not earn full credit for the base tasks, and their bonus task was not attempted.
Breakdown:
- Part 1: Load and Prepare Data: 0.0/?
- Part 2: Build the CNN Model: 0.0/?
- Part 3: Training and Validation Functions: 0.0/?
- Part 4: Training: 2.0/?
- Part 5: Bonus — Residual Connection: 0.0/?</t>
        </is>
      </c>
      <c r="AC359" t="n">
        <v>6</v>
      </c>
      <c r="AD359" t="inlineStr">
        <is>
          <t>The student's submission failed to meet the requirements of the task. They did not complete any of the tasks correctly, and their code was not organized or structured as per the reference solution. As a result, they did not earn any points for this question.
Breakdown:
- Task 1: Dataset Class: 0.0/?
- Task 2: Model Class: 0.0/?
- Task 3: Training and Validation Loops: 0.0/?
- Task 4: Running Training: 0.0/?
- Task 5: Visualizing Predictions: 0.0/?</t>
        </is>
      </c>
      <c r="AE359" t="n">
        <v>0</v>
      </c>
      <c r="AF359" t="n">
        <v>0</v>
      </c>
      <c r="AG359" t="inlineStr">
        <is>
          <t>The student's submission does not meet the requirements of the task. The `ColorizationDataset` class is missing several key methods, and the methods that are implemented are not correctly implemented. As a result, the submission does not run end-to-end and does not produce the correct output.
Breakdown:
- Correctly implemented `ColorizationDataset` class:: 0.0/?</t>
        </is>
      </c>
      <c r="AH359" t="n">
        <v>18</v>
      </c>
      <c r="AI359" t="n">
        <v>0</v>
      </c>
    </row>
    <row r="360">
      <c r="A360" t="n">
        <v>359</v>
      </c>
      <c r="B360" t="inlineStr">
        <is>
          <t>TA_7</t>
        </is>
      </c>
      <c r="C360" t="inlineStr">
        <is>
          <t>TA_17</t>
        </is>
      </c>
      <c r="D360" t="n">
        <v>4</v>
      </c>
      <c r="E360" t="n">
        <v>0</v>
      </c>
      <c r="F360" t="n">
        <v>8</v>
      </c>
      <c r="G360" t="n">
        <v>0</v>
      </c>
      <c r="H360" t="n">
        <v>0</v>
      </c>
      <c r="I360" t="n">
        <v>0</v>
      </c>
      <c r="J360" t="n">
        <v>3.5</v>
      </c>
      <c r="K360" t="n">
        <v>0</v>
      </c>
      <c r="L360" t="n">
        <v>8</v>
      </c>
      <c r="M360" t="n">
        <v>0</v>
      </c>
      <c r="N360" t="n">
        <v>0</v>
      </c>
      <c r="O360" t="n">
        <v>0</v>
      </c>
      <c r="P360">
        <f>Table1[[#This Row],[TA 1 - Q1 Score]]+Table1[[#This Row],[TA 1 - Q2 Score]]+Table1[[#This Row],[TA 1 - Q3 Score]]</f>
        <v/>
      </c>
      <c r="Q360">
        <f>Table1[[#This Row],[TA 1 - Q1 Bonus]]+Table1[[#This Row],[TA 1 - Q2 Bonus]]+Table1[[#This Row],[TA 1 - Q4 Bonus]]</f>
        <v/>
      </c>
      <c r="R360">
        <f>Table1[[#This Row],[TA 2 - Q1 Score]]+Table1[[#This Row],[TA 2 - Q2 Score]]+Table1[[#This Row],[TA 2 - Q3 Score]]</f>
        <v/>
      </c>
      <c r="S360">
        <f>Table1[[#This Row],[TA 2 - Q1 Bonus]]+Table1[[#This Row],[TA 2 - Q2 Bonus]]+Table1[[#This Row],[TA 2 - Q4 Bonus]]</f>
        <v/>
      </c>
      <c r="T360">
        <f>(Table1[[#This Row],[TA 1 - Total Score (out of 35)]]+Table1[[#This Row],[TA 2 - Total Score (out of 35)]])/2</f>
        <v/>
      </c>
      <c r="U360">
        <f>(Table1[[#This Row],[TA 1 - Total Bonus (out of 13)]]+Table1[[#This Row],[TA 2 - Total Bonus (out of 13)]])/2</f>
        <v/>
      </c>
      <c r="V360">
        <f>Table1[[#This Row],[Average Questions]]/35*20+Table1[[#This Row],[Average Bonus]]/13*5</f>
        <v/>
      </c>
      <c r="W360" t="n">
        <v>6</v>
      </c>
      <c r="X360" t="n">
        <v>0</v>
      </c>
      <c r="Y360" t="inlineStr">
        <is>
          <t>The student's submission failed to complete several key tasks, including loading and preparing the data, loading the pretrained model and adapting it, and implementing the training and validation functions. While the student did attempt to train the model, their code contained several errors and did not run end-to-end. The bonus task of implementing test time augmentation was also not completed. As a result, the student's score is significantly lower than the maximum possible score.
Breakdown:
- Part 1: Load and Prepare Data: 0.0/?
- Part 2: Load Pretrained Model and Adapt: 0.0/?
- Part 3: Training and Validation Functions: 0.0/?
- Part 4: Training: 2.0/?
- Part 5: Bonus — Test Time Augmentation: 0.0/?</t>
        </is>
      </c>
      <c r="Z360" t="n">
        <v>4</v>
      </c>
      <c r="AA360" t="n">
        <v>0</v>
      </c>
      <c r="AB360"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60" t="n">
        <v>0</v>
      </c>
      <c r="AD360" t="inlineStr">
        <is>
          <t>No submission found.</t>
        </is>
      </c>
      <c r="AE360" t="n">
        <v>0</v>
      </c>
      <c r="AF360" t="n">
        <v>0</v>
      </c>
      <c r="AG360" t="inlineStr">
        <is>
          <t>No submission found.</t>
        </is>
      </c>
      <c r="AH360" t="n">
        <v>10</v>
      </c>
      <c r="AI360" t="n">
        <v>0</v>
      </c>
    </row>
    <row r="361">
      <c r="A361" t="n">
        <v>360</v>
      </c>
      <c r="B361" t="inlineStr">
        <is>
          <t>TA_7</t>
        </is>
      </c>
      <c r="C361" t="inlineStr">
        <is>
          <t>TA_17</t>
        </is>
      </c>
      <c r="D361" t="n">
        <v>11</v>
      </c>
      <c r="E361" t="n">
        <v>0</v>
      </c>
      <c r="F361" t="n">
        <v>9</v>
      </c>
      <c r="G361" t="n">
        <v>0</v>
      </c>
      <c r="H361" t="n">
        <v>12</v>
      </c>
      <c r="I361" t="n">
        <v>0</v>
      </c>
      <c r="J361" t="n">
        <v>6.5</v>
      </c>
      <c r="K361" t="n">
        <v>0</v>
      </c>
      <c r="L361" t="n">
        <v>9</v>
      </c>
      <c r="M361" t="n">
        <v>0</v>
      </c>
      <c r="N361" t="n">
        <v>12</v>
      </c>
      <c r="O361" t="n">
        <v>0</v>
      </c>
      <c r="P361">
        <f>Table1[[#This Row],[TA 1 - Q1 Score]]+Table1[[#This Row],[TA 1 - Q2 Score]]+Table1[[#This Row],[TA 1 - Q3 Score]]</f>
        <v/>
      </c>
      <c r="Q361">
        <f>Table1[[#This Row],[TA 1 - Q1 Bonus]]+Table1[[#This Row],[TA 1 - Q2 Bonus]]+Table1[[#This Row],[TA 1 - Q4 Bonus]]</f>
        <v/>
      </c>
      <c r="R361">
        <f>Table1[[#This Row],[TA 2 - Q1 Score]]+Table1[[#This Row],[TA 2 - Q2 Score]]+Table1[[#This Row],[TA 2 - Q3 Score]]</f>
        <v/>
      </c>
      <c r="S361">
        <f>Table1[[#This Row],[TA 2 - Q1 Bonus]]+Table1[[#This Row],[TA 2 - Q2 Bonus]]+Table1[[#This Row],[TA 2 - Q4 Bonus]]</f>
        <v/>
      </c>
      <c r="T361">
        <f>(Table1[[#This Row],[TA 1 - Total Score (out of 35)]]+Table1[[#This Row],[TA 2 - Total Score (out of 35)]])/2</f>
        <v/>
      </c>
      <c r="U361">
        <f>(Table1[[#This Row],[TA 1 - Total Bonus (out of 13)]]+Table1[[#This Row],[TA 2 - Total Bonus (out of 13)]])/2</f>
        <v/>
      </c>
      <c r="V361">
        <f>Table1[[#This Row],[Average Questions]]/35*20+Table1[[#This Row],[Average Bonus]]/13*5</f>
        <v/>
      </c>
      <c r="W361" t="n">
        <v>6</v>
      </c>
      <c r="X361" t="n">
        <v>0</v>
      </c>
      <c r="Y36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361" t="n">
        <v>4</v>
      </c>
      <c r="AA361" t="n">
        <v>0</v>
      </c>
      <c r="AB361" t="inlineStr">
        <is>
          <t>The student's submission failed to meet the requirements of the task. They did not load and prepare the data correctly, and their CNN model was not built as specified. The training and validation functions were not implemented, and the model was not trained. The bonus task of adding a residual connection was also not attempted. As a result, the student received 0 points for each task.
Breakdown:
- Part 1: Load and Prepare Data: 0.0/?
- Part 2: Build the CNN Model: 0.0/?
- Part 3: Training and Validation Functions: 0.0/?
- Part 4: Training: 0.0/?
- Part 5: Bonus — Residual Connection: 0.0/?</t>
        </is>
      </c>
      <c r="AC361" t="n">
        <v>6</v>
      </c>
      <c r="AD361" t="inlineStr">
        <is>
          <t>The student's submission was incomplete and lacked code for most tasks. The only task that was attempted was Task 5: Visualizing Predictions, where the student's code was mostly correct but had a minor issue with displaying the ground truth masks. As a result, the student scored 6.0 out of 12.0 for the base tasks and 0.0 for the bonus tasks.
Breakdown:
- Task 1: Dataset Class: 0.0/?
- Task 2: Model Class: 0.0/?
- Task 3: Training and Validation Loops: 0.0/?
- Task 4: Running Training: 0.0/?
- Task 5: Visualizing Predictions: 6.0/?</t>
        </is>
      </c>
      <c r="AE361" t="n">
        <v>0</v>
      </c>
      <c r="AF361" t="n">
        <v>0</v>
      </c>
      <c r="AG361" t="inlineStr">
        <is>
          <t>No submission found.</t>
        </is>
      </c>
      <c r="AH361" t="n">
        <v>16</v>
      </c>
      <c r="AI361" t="n">
        <v>0</v>
      </c>
    </row>
    <row r="362">
      <c r="A362" t="n">
        <v>361</v>
      </c>
      <c r="B362" t="inlineStr">
        <is>
          <t>TA_7</t>
        </is>
      </c>
      <c r="C362" t="inlineStr">
        <is>
          <t>TA_17</t>
        </is>
      </c>
      <c r="D362" t="n">
        <v>7.5</v>
      </c>
      <c r="E362" t="n">
        <v>0</v>
      </c>
      <c r="F362" t="n">
        <v>9</v>
      </c>
      <c r="G362" t="n">
        <v>0</v>
      </c>
      <c r="H362" t="n">
        <v>2.5</v>
      </c>
      <c r="I362" t="n">
        <v>0</v>
      </c>
      <c r="J362" t="n">
        <v>6</v>
      </c>
      <c r="K362" t="n">
        <v>0</v>
      </c>
      <c r="L362" t="n">
        <v>9.5</v>
      </c>
      <c r="M362" t="n">
        <v>0</v>
      </c>
      <c r="N362" t="n">
        <v>3</v>
      </c>
      <c r="O362" t="n">
        <v>0</v>
      </c>
      <c r="P362">
        <f>Table1[[#This Row],[TA 1 - Q1 Score]]+Table1[[#This Row],[TA 1 - Q2 Score]]+Table1[[#This Row],[TA 1 - Q3 Score]]</f>
        <v/>
      </c>
      <c r="Q362">
        <f>Table1[[#This Row],[TA 1 - Q1 Bonus]]+Table1[[#This Row],[TA 1 - Q2 Bonus]]+Table1[[#This Row],[TA 1 - Q4 Bonus]]</f>
        <v/>
      </c>
      <c r="R362">
        <f>Table1[[#This Row],[TA 2 - Q1 Score]]+Table1[[#This Row],[TA 2 - Q2 Score]]+Table1[[#This Row],[TA 2 - Q3 Score]]</f>
        <v/>
      </c>
      <c r="S362">
        <f>Table1[[#This Row],[TA 2 - Q1 Bonus]]+Table1[[#This Row],[TA 2 - Q2 Bonus]]+Table1[[#This Row],[TA 2 - Q4 Bonus]]</f>
        <v/>
      </c>
      <c r="T362">
        <f>(Table1[[#This Row],[TA 1 - Total Score (out of 35)]]+Table1[[#This Row],[TA 2 - Total Score (out of 35)]])/2</f>
        <v/>
      </c>
      <c r="U362">
        <f>(Table1[[#This Row],[TA 1 - Total Bonus (out of 13)]]+Table1[[#This Row],[TA 2 - Total Bonus (out of 13)]])/2</f>
        <v/>
      </c>
      <c r="V362">
        <f>Table1[[#This Row],[Average Questions]]/35*20+Table1[[#This Row],[Average Bonus]]/13*5</f>
        <v/>
      </c>
      <c r="W362" t="n">
        <v>6</v>
      </c>
      <c r="X362" t="n">
        <v>0</v>
      </c>
      <c r="Y362" t="inlineStr">
        <is>
          <t>The student failed to submit code for any of the tasks in Question 1. As a result, no points can be awarded for this question. The student's submission does not demonstrate any understanding of the concepts or ability to implement the required code.
Breakdown:
- Part 1: Load and Prepare Data: 0.0/?
- Part 2: Load Pretrained Model and Adapt: 0.0/?
- Part 3: Training and Validation Functions: 0.0/?
- Part 4: Training: 0.0/?
- Part 5: Bonus — Test Time Augmentation: 0.0/?</t>
        </is>
      </c>
      <c r="Z362" t="n">
        <v>4</v>
      </c>
      <c r="AA362" t="n">
        <v>0</v>
      </c>
      <c r="AB362"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62" t="n">
        <v>6</v>
      </c>
      <c r="AD362" t="inlineStr">
        <is>
          <t>The student's submission failed to meet the requirements of the reference solution. The code was not organized in a structured manner, and several tasks were not implemented correctly. The student did not attempt to address the tasks in the reference solution, resulting in a score of 0 for each task.
Breakdown:
- Task 1: Dataset Class: 0.0/?
- Task 2: Model Class: 0.0/?
- Task 3: Training and Validation Loops: 0.0/?
- Task 4: Running Training: 0.0/?
- Task 5: Visualizing Predictions: 0.0/?</t>
        </is>
      </c>
      <c r="AE362" t="n">
        <v>0</v>
      </c>
      <c r="AF362" t="n">
        <v>0</v>
      </c>
      <c r="AG362" t="inlineStr">
        <is>
          <t>No submission found.</t>
        </is>
      </c>
      <c r="AH362" t="n">
        <v>16</v>
      </c>
      <c r="AI362" t="n">
        <v>0</v>
      </c>
    </row>
    <row r="363">
      <c r="A363" t="n">
        <v>362</v>
      </c>
      <c r="B363" t="inlineStr">
        <is>
          <t>TA_7</t>
        </is>
      </c>
      <c r="C363" t="inlineStr">
        <is>
          <t>TA_17</t>
        </is>
      </c>
      <c r="D363" t="n">
        <v>11.5</v>
      </c>
      <c r="E363" t="n">
        <v>0</v>
      </c>
      <c r="F363" t="n">
        <v>11</v>
      </c>
      <c r="G363" t="n">
        <v>0</v>
      </c>
      <c r="H363" t="n">
        <v>6.5</v>
      </c>
      <c r="I363" t="n">
        <v>0</v>
      </c>
      <c r="J363" t="n">
        <v>7</v>
      </c>
      <c r="K363" t="n">
        <v>0</v>
      </c>
      <c r="L363" t="n">
        <v>11</v>
      </c>
      <c r="M363" t="n">
        <v>0</v>
      </c>
      <c r="N363" t="n">
        <v>5</v>
      </c>
      <c r="O363" t="n">
        <v>0</v>
      </c>
      <c r="P363">
        <f>Table1[[#This Row],[TA 1 - Q1 Score]]+Table1[[#This Row],[TA 1 - Q2 Score]]+Table1[[#This Row],[TA 1 - Q3 Score]]</f>
        <v/>
      </c>
      <c r="Q363">
        <f>Table1[[#This Row],[TA 1 - Q1 Bonus]]+Table1[[#This Row],[TA 1 - Q2 Bonus]]+Table1[[#This Row],[TA 1 - Q4 Bonus]]</f>
        <v/>
      </c>
      <c r="R363">
        <f>Table1[[#This Row],[TA 2 - Q1 Score]]+Table1[[#This Row],[TA 2 - Q2 Score]]+Table1[[#This Row],[TA 2 - Q3 Score]]</f>
        <v/>
      </c>
      <c r="S363">
        <f>Table1[[#This Row],[TA 2 - Q1 Bonus]]+Table1[[#This Row],[TA 2 - Q2 Bonus]]+Table1[[#This Row],[TA 2 - Q4 Bonus]]</f>
        <v/>
      </c>
      <c r="T363">
        <f>(Table1[[#This Row],[TA 1 - Total Score (out of 35)]]+Table1[[#This Row],[TA 2 - Total Score (out of 35)]])/2</f>
        <v/>
      </c>
      <c r="U363">
        <f>(Table1[[#This Row],[TA 1 - Total Bonus (out of 13)]]+Table1[[#This Row],[TA 2 - Total Bonus (out of 13)]])/2</f>
        <v/>
      </c>
      <c r="V363">
        <f>Table1[[#This Row],[Average Questions]]/35*20+Table1[[#This Row],[Average Bonus]]/13*5</f>
        <v/>
      </c>
      <c r="W363" t="n">
        <v>6</v>
      </c>
      <c r="X363" t="n">
        <v>0</v>
      </c>
      <c r="Y36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implementation was incomplete and contained several errors. As a result, the student was unable to complete the bonus task of implementing test time augmentation. Overall, the student's submission demonstrated a lack of understanding of the key concepts and a failure to follow the instructions.
Breakdown:
- Part 1: Load and Prepare Data: 0.0/?
- Part 2: Load Pretrained Model and Adapt: 0.0/?
- Part 3: Training and Validation Functions: 0.0/?
- Part 4: Training: 2.0/?
- Part 5: Bonus — Test Time Augmentation: 0.0/?</t>
        </is>
      </c>
      <c r="Z363" t="n">
        <v>4</v>
      </c>
      <c r="AA363" t="n">
        <v>0</v>
      </c>
      <c r="AB363"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363" t="n">
        <v>6</v>
      </c>
      <c r="AD363" t="inlineStr">
        <is>
          <t>The student's submission was incomplete and failed to run end-to-end. While the student attempted some tasks, they did not provide code for the majority of the tasks, resulting in a low score. The student's code for visualizing predictions was mostly correct, but it had some issues that prevented it from running correctly.
Breakdown:
- Task 1: Dataset Class: 0.0/?
- Task 2: Model Class: 0.0/?
- Task 3: Training and Validation Loops: 0.0/?
- Task 4: Running Training: 0.0/?
- Task 5: Visualizing Predictions: 6.0/?</t>
        </is>
      </c>
      <c r="AE363" t="n">
        <v>0</v>
      </c>
      <c r="AF363" t="n">
        <v>0</v>
      </c>
      <c r="AG363" t="inlineStr">
        <is>
          <t>No submission found.</t>
        </is>
      </c>
      <c r="AH363" t="n">
        <v>16</v>
      </c>
      <c r="AI363" t="n">
        <v>0</v>
      </c>
    </row>
    <row r="364">
      <c r="A364" t="n">
        <v>363</v>
      </c>
      <c r="B364" t="inlineStr">
        <is>
          <t>TA_7</t>
        </is>
      </c>
      <c r="C364" t="inlineStr">
        <is>
          <t>TA_17</t>
        </is>
      </c>
      <c r="D364" t="n">
        <v>12</v>
      </c>
      <c r="E364" t="n">
        <v>0</v>
      </c>
      <c r="F364" t="n">
        <v>8.5</v>
      </c>
      <c r="G364" t="n">
        <v>0</v>
      </c>
      <c r="H364" t="n">
        <v>11.5</v>
      </c>
      <c r="I364" t="n">
        <v>0</v>
      </c>
      <c r="J364" t="n">
        <v>10.5</v>
      </c>
      <c r="K364" t="n">
        <v>0</v>
      </c>
      <c r="L364" t="n">
        <v>8.5</v>
      </c>
      <c r="M364" t="n">
        <v>0</v>
      </c>
      <c r="N364" t="n">
        <v>12</v>
      </c>
      <c r="O364" t="n">
        <v>0</v>
      </c>
      <c r="P364">
        <f>Table1[[#This Row],[TA 1 - Q1 Score]]+Table1[[#This Row],[TA 1 - Q2 Score]]+Table1[[#This Row],[TA 1 - Q3 Score]]</f>
        <v/>
      </c>
      <c r="Q364">
        <f>Table1[[#This Row],[TA 1 - Q1 Bonus]]+Table1[[#This Row],[TA 1 - Q2 Bonus]]+Table1[[#This Row],[TA 1 - Q4 Bonus]]</f>
        <v/>
      </c>
      <c r="R364">
        <f>Table1[[#This Row],[TA 2 - Q1 Score]]+Table1[[#This Row],[TA 2 - Q2 Score]]+Table1[[#This Row],[TA 2 - Q3 Score]]</f>
        <v/>
      </c>
      <c r="S364">
        <f>Table1[[#This Row],[TA 2 - Q1 Bonus]]+Table1[[#This Row],[TA 2 - Q2 Bonus]]+Table1[[#This Row],[TA 2 - Q4 Bonus]]</f>
        <v/>
      </c>
      <c r="T364">
        <f>(Table1[[#This Row],[TA 1 - Total Score (out of 35)]]+Table1[[#This Row],[TA 2 - Total Score (out of 35)]])/2</f>
        <v/>
      </c>
      <c r="U364">
        <f>(Table1[[#This Row],[TA 1 - Total Bonus (out of 13)]]+Table1[[#This Row],[TA 2 - Total Bonus (out of 13)]])/2</f>
        <v/>
      </c>
      <c r="V364">
        <f>Table1[[#This Row],[Average Questions]]/35*20+Table1[[#This Row],[Average Bonus]]/13*5</f>
        <v/>
      </c>
      <c r="W364" t="n">
        <v>6</v>
      </c>
      <c r="X364" t="n">
        <v>0</v>
      </c>
      <c r="Y364" t="inlineStr">
        <is>
          <t>The student's submission failed to meet the requirements of the task. They did not complete the necessary code for loading and preparing the data, loading the pretrained model and adapting it, or implementing the training and validation functions. Although they attempted to write code for the training task, it was incomplete. As a result, the student did not meet the requirements of the task and did not earn any points for the base tasks. They also did not attempt the bonus task, so they did not earn any points for the bonus.
Breakdown:
- Part 1: Load and Prepare Data: 0.0/?
- Part 2: Load Pretrained Model and Adapt: 0.0/?
- Part 3: Training and Validation Functions: 0.0/?
- Part 4: Training: 2.5/?
- Part 5: Bonus — Test Time Augmentation: 0.0/?</t>
        </is>
      </c>
      <c r="Z364" t="n">
        <v>4</v>
      </c>
      <c r="AA364" t="n">
        <v>0</v>
      </c>
      <c r="AB364"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disorganized and does not run end-to-end. As a result, the student receives 0 points for each task.
Breakdown:
- Part 1: Load and Prepare Data: 0.0/?
- Part 2: Build the CNN Model: 0.0/?
- Part 3: Training and Validation Functions: 0.0/?
- Part 4: Training: 0.0/?
- Part 5: Bonus — Residual Connection: 0.0/?</t>
        </is>
      </c>
      <c r="AC364" t="n">
        <v>6</v>
      </c>
      <c r="AD364" t="inlineStr">
        <is>
          <t>The student's submission is incomplete and lacks code for several tasks. While they attempted to visualize predictions, their code is not fully functional and does not meet the requirements of the task.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364" t="n">
        <v>0</v>
      </c>
      <c r="AF364" t="n">
        <v>0</v>
      </c>
      <c r="AG364" t="inlineStr">
        <is>
          <t>No submission found.</t>
        </is>
      </c>
      <c r="AH364" t="n">
        <v>16</v>
      </c>
      <c r="AI364" t="n">
        <v>0</v>
      </c>
    </row>
    <row r="365">
      <c r="A365" t="n">
        <v>364</v>
      </c>
      <c r="B365" t="inlineStr">
        <is>
          <t>TA_7</t>
        </is>
      </c>
      <c r="C365" t="inlineStr">
        <is>
          <t>TA_17</t>
        </is>
      </c>
      <c r="D365" t="n">
        <v>7</v>
      </c>
      <c r="E365" t="n">
        <v>0</v>
      </c>
      <c r="F365" t="n">
        <v>5.5</v>
      </c>
      <c r="G365" t="n">
        <v>0</v>
      </c>
      <c r="H365" t="n">
        <v>6.5</v>
      </c>
      <c r="I365" t="n">
        <v>0</v>
      </c>
      <c r="J365" t="n">
        <v>4</v>
      </c>
      <c r="K365" t="n">
        <v>0</v>
      </c>
      <c r="L365" t="n">
        <v>6</v>
      </c>
      <c r="M365" t="n">
        <v>0</v>
      </c>
      <c r="N365" t="n">
        <v>5</v>
      </c>
      <c r="O365" t="n">
        <v>0</v>
      </c>
      <c r="P365">
        <f>Table1[[#This Row],[TA 1 - Q1 Score]]+Table1[[#This Row],[TA 1 - Q2 Score]]+Table1[[#This Row],[TA 1 - Q3 Score]]</f>
        <v/>
      </c>
      <c r="Q365">
        <f>Table1[[#This Row],[TA 1 - Q1 Bonus]]+Table1[[#This Row],[TA 1 - Q2 Bonus]]+Table1[[#This Row],[TA 1 - Q4 Bonus]]</f>
        <v/>
      </c>
      <c r="R365">
        <f>Table1[[#This Row],[TA 2 - Q1 Score]]+Table1[[#This Row],[TA 2 - Q2 Score]]+Table1[[#This Row],[TA 2 - Q3 Score]]</f>
        <v/>
      </c>
      <c r="S365">
        <f>Table1[[#This Row],[TA 2 - Q1 Bonus]]+Table1[[#This Row],[TA 2 - Q2 Bonus]]+Table1[[#This Row],[TA 2 - Q4 Bonus]]</f>
        <v/>
      </c>
      <c r="T365">
        <f>(Table1[[#This Row],[TA 1 - Total Score (out of 35)]]+Table1[[#This Row],[TA 2 - Total Score (out of 35)]])/2</f>
        <v/>
      </c>
      <c r="U365">
        <f>(Table1[[#This Row],[TA 1 - Total Bonus (out of 13)]]+Table1[[#This Row],[TA 2 - Total Bonus (out of 13)]])/2</f>
        <v/>
      </c>
      <c r="V365">
        <f>Table1[[#This Row],[Average Questions]]/35*20+Table1[[#This Row],[Average Bonus]]/13*5</f>
        <v/>
      </c>
      <c r="W365" t="n">
        <v>6</v>
      </c>
      <c r="X365" t="n">
        <v>0</v>
      </c>
      <c r="Y365" t="inlineStr">
        <is>
          <t>The student failed to complete several key tasks, including loading and preparing the data, loading the pretrained model and adapting it, and implementing the training and validation functions. While they did attempt to train the model and plot the losses and accuracy, their code contained several syntax and logic mistakes. The student did not implement the bonus task of test time augmentation, and their code did not run end-to-end due to these errors.
Breakdown:
- Part 1: Load and Prepare Data: 0.0/?
- Part 2: Load Pretrained Model and Adapt: 0.0/?
- Part 3: Training and Validation Functions: 0.0/?
- Part 4: Training: 2.0/?
- Part 5: Bonus — Test Time Augmentation: 0.0/?</t>
        </is>
      </c>
      <c r="Z365" t="n">
        <v>4</v>
      </c>
      <c r="AA365" t="n">
        <v>0</v>
      </c>
      <c r="AB365"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65" t="n">
        <v>6</v>
      </c>
      <c r="AD365" t="inlineStr">
        <is>
          <t>The student's submission failed to meet the requirements of the task. The code was not able to run end-to-end and did not produce the correct output. The student attempted to define the dataset class, model class, training and validation loops, and running training, but the code was incorrect and did not meet the requirements of the task. The student also failed to visualize the predictions correctly. As a result, the student received 0 points for each task.
Breakdown:
- Task 1: Dataset Class: 0.0/?
- Task 2: Model Class: 0.0/?
- Task 3: Training and Validation Loops: 0.0/?
- Task 4: Running Training: 0.0/?
- Task 5: Visualizing Predictions: 0.0/?</t>
        </is>
      </c>
      <c r="AE365" t="n">
        <v>0</v>
      </c>
      <c r="AF365" t="n">
        <v>0</v>
      </c>
      <c r="AG365" t="inlineStr">
        <is>
          <t>No submission found.</t>
        </is>
      </c>
      <c r="AH365" t="n">
        <v>16</v>
      </c>
      <c r="AI365" t="n">
        <v>0</v>
      </c>
    </row>
    <row r="366">
      <c r="A366" t="n">
        <v>365</v>
      </c>
      <c r="B366" t="inlineStr">
        <is>
          <t>TA_7</t>
        </is>
      </c>
      <c r="C366" t="inlineStr">
        <is>
          <t>TA_17</t>
        </is>
      </c>
      <c r="D366" t="n">
        <v>5</v>
      </c>
      <c r="E366" t="n">
        <v>0</v>
      </c>
      <c r="F366" t="n">
        <v>9</v>
      </c>
      <c r="G366" t="n">
        <v>1</v>
      </c>
      <c r="H366" t="n">
        <v>7</v>
      </c>
      <c r="I366" t="n">
        <v>5</v>
      </c>
      <c r="J366" t="n">
        <v>6.5</v>
      </c>
      <c r="K366" t="n">
        <v>0</v>
      </c>
      <c r="L366" t="n">
        <v>8</v>
      </c>
      <c r="M366" t="n">
        <v>0</v>
      </c>
      <c r="N366" t="n">
        <v>7</v>
      </c>
      <c r="O366" t="n">
        <v>5</v>
      </c>
      <c r="P366">
        <f>Table1[[#This Row],[TA 1 - Q1 Score]]+Table1[[#This Row],[TA 1 - Q2 Score]]+Table1[[#This Row],[TA 1 - Q3 Score]]</f>
        <v/>
      </c>
      <c r="Q366">
        <f>Table1[[#This Row],[TA 1 - Q1 Bonus]]+Table1[[#This Row],[TA 1 - Q2 Bonus]]+Table1[[#This Row],[TA 1 - Q4 Bonus]]</f>
        <v/>
      </c>
      <c r="R366">
        <f>Table1[[#This Row],[TA 2 - Q1 Score]]+Table1[[#This Row],[TA 2 - Q2 Score]]+Table1[[#This Row],[TA 2 - Q3 Score]]</f>
        <v/>
      </c>
      <c r="S366">
        <f>Table1[[#This Row],[TA 2 - Q1 Bonus]]+Table1[[#This Row],[TA 2 - Q2 Bonus]]+Table1[[#This Row],[TA 2 - Q4 Bonus]]</f>
        <v/>
      </c>
      <c r="T366">
        <f>(Table1[[#This Row],[TA 1 - Total Score (out of 35)]]+Table1[[#This Row],[TA 2 - Total Score (out of 35)]])/2</f>
        <v/>
      </c>
      <c r="U366">
        <f>(Table1[[#This Row],[TA 1 - Total Bonus (out of 13)]]+Table1[[#This Row],[TA 2 - Total Bonus (out of 13)]])/2</f>
        <v/>
      </c>
      <c r="V366">
        <f>Table1[[#This Row],[Average Questions]]/35*20+Table1[[#This Row],[Average Bonus]]/13*5</f>
        <v/>
      </c>
      <c r="W366" t="n">
        <v>6</v>
      </c>
      <c r="X366" t="n">
        <v>0</v>
      </c>
      <c r="Y366" t="inlineStr">
        <is>
          <t>The student failed to complete several key tasks, including loading and preparing the data, loading a pretrained model, and training the model. While they did attempt to implement the training and validation functions, their code contained syntax errors and did not run correctly. Additionally, they did not implement test time augmentation as required for the bonus task. As a result, the student earned a score of 6.0, with no bonus points awarded.
Breakdown:
- Part 1: Load and Prepare Data: 0.0/?
- Part 2: Load Pretrained Model and Adapt: 0.0/?
- Part 3: Training and Validation Functions: 1.5/?
- Part 4: Training: 0.0/?
- Part 5: Bonus — Test Time Augmentation: 0.0/?</t>
        </is>
      </c>
      <c r="Z366" t="n">
        <v>6</v>
      </c>
      <c r="AA366" t="n">
        <v>0</v>
      </c>
      <c r="AB366" t="inlineStr">
        <is>
          <t>The student's submission failed to load and prepare the data correctly, as they did not create a custom Dataset class or use ImageFolder. They also failed to build the CNN model with 5 convolutional layers and add batch normalization. The training and validation functions were not implemented correctly. Although the student attempted to train the model, they did not plot the losses and accuracy. The bonus task of adding a residual connection was not attempted.
Breakdown:
- Part 1: Load and Prepare Data: 0.0/?
- Part 2: Build the CNN Model: 0.0/?
- Part 3: Training and Validation Functions: 0.0/?
- Part 4: Training: 2.0/?
- Part 5: Bonus — Residual Connection: 0.0/?</t>
        </is>
      </c>
      <c r="AC366" t="n">
        <v>6</v>
      </c>
      <c r="AD366" t="inlineStr">
        <is>
          <t>The student's submission was incomplete and lacked code for most tasks. The only task that was attempted was Task 5: Visualizing Predictions, where the student's code was mostly correct but had a minor issue with displaying the ground truth masks. As a result, the student scored 6.0 out of 12.0 for the base tasks and 0.0 for the bonus tasks.
Breakdown:
- Task 1: Dataset Class: 0.0/?
- Task 2: Model Class: 0.0/?
- Task 3: Training and Validation Loops: 0.0/?
- Task 4: Running Training: 0.0/?
- Task 5: Visualizing Predictions: 6.0/?</t>
        </is>
      </c>
      <c r="AE366" t="n">
        <v>0</v>
      </c>
      <c r="AF366" t="n">
        <v>0</v>
      </c>
      <c r="AG366" t="inlineStr">
        <is>
          <t>The student's submission does not meet the requirements of the task. The `ColorizationDataset` class is not implemented correctly, and the code does not run end-to-end. The student attempted to implement the `rgb_to_grayscale` method, but it does not correctly calculate the grayscale value. Additionally, the `__getitem__` method does not return the correct grayscale and color images. As a result, the student did not earn any points for this task.
Breakdown:
- Correctly implemented `ColorizationDataset` class:: 0.0/?</t>
        </is>
      </c>
      <c r="AH366" t="n">
        <v>18</v>
      </c>
      <c r="AI366" t="n">
        <v>0</v>
      </c>
    </row>
    <row r="367">
      <c r="A367" t="n">
        <v>366</v>
      </c>
      <c r="B367" t="inlineStr">
        <is>
          <t>TA_7</t>
        </is>
      </c>
      <c r="C367" t="inlineStr">
        <is>
          <t>TA_17</t>
        </is>
      </c>
      <c r="D367" t="n">
        <v>12</v>
      </c>
      <c r="E367" t="n">
        <v>0</v>
      </c>
      <c r="F367" t="n">
        <v>11</v>
      </c>
      <c r="G367" t="n">
        <v>0</v>
      </c>
      <c r="H367" t="n">
        <v>2.5</v>
      </c>
      <c r="I367" t="n">
        <v>0</v>
      </c>
      <c r="J367" t="n">
        <v>11</v>
      </c>
      <c r="K367" t="n">
        <v>0</v>
      </c>
      <c r="L367" t="n">
        <v>11</v>
      </c>
      <c r="M367" t="n">
        <v>0</v>
      </c>
      <c r="N367" t="n">
        <v>1</v>
      </c>
      <c r="O367" t="n">
        <v>0</v>
      </c>
      <c r="P367">
        <f>Table1[[#This Row],[TA 1 - Q1 Score]]+Table1[[#This Row],[TA 1 - Q2 Score]]+Table1[[#This Row],[TA 1 - Q3 Score]]</f>
        <v/>
      </c>
      <c r="Q367">
        <f>Table1[[#This Row],[TA 1 - Q1 Bonus]]+Table1[[#This Row],[TA 1 - Q2 Bonus]]+Table1[[#This Row],[TA 1 - Q4 Bonus]]</f>
        <v/>
      </c>
      <c r="R367">
        <f>Table1[[#This Row],[TA 2 - Q1 Score]]+Table1[[#This Row],[TA 2 - Q2 Score]]+Table1[[#This Row],[TA 2 - Q3 Score]]</f>
        <v/>
      </c>
      <c r="S367">
        <f>Table1[[#This Row],[TA 2 - Q1 Bonus]]+Table1[[#This Row],[TA 2 - Q2 Bonus]]+Table1[[#This Row],[TA 2 - Q4 Bonus]]</f>
        <v/>
      </c>
      <c r="T367">
        <f>(Table1[[#This Row],[TA 1 - Total Score (out of 35)]]+Table1[[#This Row],[TA 2 - Total Score (out of 35)]])/2</f>
        <v/>
      </c>
      <c r="U367">
        <f>(Table1[[#This Row],[TA 1 - Total Bonus (out of 13)]]+Table1[[#This Row],[TA 2 - Total Bonus (out of 13)]])/2</f>
        <v/>
      </c>
      <c r="V367">
        <f>Table1[[#This Row],[Average Questions]]/35*20+Table1[[#This Row],[Average Bonus]]/13*5</f>
        <v/>
      </c>
      <c r="W367" t="n">
        <v>6</v>
      </c>
      <c r="X367" t="n">
        <v>0</v>
      </c>
      <c r="Y36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2.0/?
- Part 5: Bonus — Test Time Augmentation: 0.0/?</t>
        </is>
      </c>
      <c r="Z367" t="n">
        <v>4</v>
      </c>
      <c r="AA367" t="n">
        <v>0</v>
      </c>
      <c r="AB367" t="inlineStr">
        <is>
          <t>The student's submission failed to load and prepare the data correctly, as evidenced by the missing code for Part 1. The CNN model was not built as per the reference solution, resulting in a score of 0 for Part 2. The training and validation functions were not implemented, leading to a score of 0 for Part 3. The training process was not executed, and the model was not trained, resulting in a score of 0 for Part 4. The bonus task of adding a residual connection was not attempted, resulting in a score of 0 for Part 5. Overall, the student's submission demonstrates a lack of understanding of the required tasks and implementation details.
Breakdown:
- Part 1: Load and Prepare Data: 0.0/?
- Part 2: Build the CNN Model: 0.0/?
- Part 3: Training and Validation Functions: 0.0/?
- Part 4: Training: 0.0/?
- Part 5: Bonus — Residual Connection: 0.0/?</t>
        </is>
      </c>
      <c r="AC367" t="n">
        <v>6</v>
      </c>
      <c r="AD36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67" t="n">
        <v>0</v>
      </c>
      <c r="AF367" t="n">
        <v>0</v>
      </c>
      <c r="AG367" t="inlineStr">
        <is>
          <t>No submission found.</t>
        </is>
      </c>
      <c r="AH367" t="n">
        <v>16</v>
      </c>
      <c r="AI367" t="n">
        <v>0</v>
      </c>
    </row>
    <row r="368">
      <c r="A368" t="n">
        <v>367</v>
      </c>
      <c r="B368" t="inlineStr">
        <is>
          <t>TA_7</t>
        </is>
      </c>
      <c r="C368" t="inlineStr">
        <is>
          <t>TA_17</t>
        </is>
      </c>
      <c r="D368" t="n">
        <v>11</v>
      </c>
      <c r="E368" t="n">
        <v>0</v>
      </c>
      <c r="F368" t="n">
        <v>9</v>
      </c>
      <c r="G368" t="n">
        <v>0</v>
      </c>
      <c r="H368" t="n">
        <v>10</v>
      </c>
      <c r="I368" t="n">
        <v>0</v>
      </c>
      <c r="J368" t="n">
        <v>11</v>
      </c>
      <c r="K368" t="n">
        <v>0</v>
      </c>
      <c r="L368" t="n">
        <v>9</v>
      </c>
      <c r="M368" t="n">
        <v>0</v>
      </c>
      <c r="N368" t="n">
        <v>10.5</v>
      </c>
      <c r="O368" t="n">
        <v>0</v>
      </c>
      <c r="P368">
        <f>Table1[[#This Row],[TA 1 - Q1 Score]]+Table1[[#This Row],[TA 1 - Q2 Score]]+Table1[[#This Row],[TA 1 - Q3 Score]]</f>
        <v/>
      </c>
      <c r="Q368">
        <f>Table1[[#This Row],[TA 1 - Q1 Bonus]]+Table1[[#This Row],[TA 1 - Q2 Bonus]]+Table1[[#This Row],[TA 1 - Q4 Bonus]]</f>
        <v/>
      </c>
      <c r="R368">
        <f>Table1[[#This Row],[TA 2 - Q1 Score]]+Table1[[#This Row],[TA 2 - Q2 Score]]+Table1[[#This Row],[TA 2 - Q3 Score]]</f>
        <v/>
      </c>
      <c r="S368">
        <f>Table1[[#This Row],[TA 2 - Q1 Bonus]]+Table1[[#This Row],[TA 2 - Q2 Bonus]]+Table1[[#This Row],[TA 2 - Q4 Bonus]]</f>
        <v/>
      </c>
      <c r="T368">
        <f>(Table1[[#This Row],[TA 1 - Total Score (out of 35)]]+Table1[[#This Row],[TA 2 - Total Score (out of 35)]])/2</f>
        <v/>
      </c>
      <c r="U368">
        <f>(Table1[[#This Row],[TA 1 - Total Bonus (out of 13)]]+Table1[[#This Row],[TA 2 - Total Bonus (out of 13)]])/2</f>
        <v/>
      </c>
      <c r="V368">
        <f>Table1[[#This Row],[Average Questions]]/35*20+Table1[[#This Row],[Average Bonus]]/13*5</f>
        <v/>
      </c>
      <c r="W368" t="n">
        <v>6</v>
      </c>
      <c r="X368" t="n">
        <v>0</v>
      </c>
      <c r="Y368"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approach to the bonus task was entirely wrong, disregarding explicit instructions. Overall, the submission demonstrated a lack of understanding of the required tasks and concepts.
Breakdown:
- Part 1: Load and Prepare Data: 0.0/?
- Part 2: Load Pretrained Model and Adapt: 0.0/?
- Part 3: Training and Validation Functions: 0.0/?
- Part 4: Training: 2.0/?
- Part 5: Bonus — Test Time Augmentation: 0.0/?</t>
        </is>
      </c>
      <c r="Z368" t="n">
        <v>4</v>
      </c>
      <c r="AA368" t="n">
        <v>0</v>
      </c>
      <c r="AB368"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68" t="n">
        <v>6</v>
      </c>
      <c r="AD368" t="inlineStr">
        <is>
          <t>The student's submission failed to meet the requirements of the task. The code was not organized, and the tasks were not completed correctly. The student attempted to define the dataset class, but it was not done correctly. The model class was not defined, and the training and validation loops were not implemented. The training process was not defined, and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368" t="n">
        <v>0</v>
      </c>
      <c r="AF368" t="n">
        <v>0</v>
      </c>
      <c r="AG368" t="inlineStr">
        <is>
          <t>The student's submission for Question 4 is incomplete and contains syntax errors. The `ColorizationDataset` class is not implemented correctly, and the student's code does not run end-to-end. As a result, the student does not receive any points for this question.
Breakdown:
- Correctly implemented `ColorizationDataset` class:: 0.0/?
- Any mistake in implementation: 0.0/?</t>
        </is>
      </c>
      <c r="AH368" t="n">
        <v>16</v>
      </c>
      <c r="AI368" t="n">
        <v>0</v>
      </c>
    </row>
    <row r="369">
      <c r="A369" t="n">
        <v>368</v>
      </c>
      <c r="B369" t="inlineStr">
        <is>
          <t>TA_7</t>
        </is>
      </c>
      <c r="C369" t="inlineStr">
        <is>
          <t>TA_17</t>
        </is>
      </c>
      <c r="D369" t="n">
        <v>12</v>
      </c>
      <c r="E369" t="n">
        <v>0</v>
      </c>
      <c r="F369" t="n">
        <v>11</v>
      </c>
      <c r="G369" t="n">
        <v>0</v>
      </c>
      <c r="H369" t="n">
        <v>9</v>
      </c>
      <c r="I369" t="n">
        <v>0</v>
      </c>
      <c r="J369" t="n">
        <v>12</v>
      </c>
      <c r="K369" t="n">
        <v>0</v>
      </c>
      <c r="L369" t="n">
        <v>11</v>
      </c>
      <c r="M369" t="n">
        <v>0</v>
      </c>
      <c r="N369" t="n">
        <v>7.5</v>
      </c>
      <c r="O369" t="n">
        <v>0</v>
      </c>
      <c r="P369">
        <f>Table1[[#This Row],[TA 1 - Q1 Score]]+Table1[[#This Row],[TA 1 - Q2 Score]]+Table1[[#This Row],[TA 1 - Q3 Score]]</f>
        <v/>
      </c>
      <c r="Q369">
        <f>Table1[[#This Row],[TA 1 - Q1 Bonus]]+Table1[[#This Row],[TA 1 - Q2 Bonus]]+Table1[[#This Row],[TA 1 - Q4 Bonus]]</f>
        <v/>
      </c>
      <c r="R369">
        <f>Table1[[#This Row],[TA 2 - Q1 Score]]+Table1[[#This Row],[TA 2 - Q2 Score]]+Table1[[#This Row],[TA 2 - Q3 Score]]</f>
        <v/>
      </c>
      <c r="S369">
        <f>Table1[[#This Row],[TA 2 - Q1 Bonus]]+Table1[[#This Row],[TA 2 - Q2 Bonus]]+Table1[[#This Row],[TA 2 - Q4 Bonus]]</f>
        <v/>
      </c>
      <c r="T369">
        <f>(Table1[[#This Row],[TA 1 - Total Score (out of 35)]]+Table1[[#This Row],[TA 2 - Total Score (out of 35)]])/2</f>
        <v/>
      </c>
      <c r="U369">
        <f>(Table1[[#This Row],[TA 1 - Total Bonus (out of 13)]]+Table1[[#This Row],[TA 2 - Total Bonus (out of 13)]])/2</f>
        <v/>
      </c>
      <c r="V369">
        <f>Table1[[#This Row],[Average Questions]]/35*20+Table1[[#This Row],[Average Bonus]]/13*5</f>
        <v/>
      </c>
      <c r="W369" t="n">
        <v>6</v>
      </c>
      <c r="X369" t="n">
        <v>0</v>
      </c>
      <c r="Y36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disregarding the explicit instructions provided in the reference solution.
Breakdown:
- Part 1: Load and Prepare Data: 0.0/?
- Part 2: Load Pretrained Model and Adapt: 0.0/?
- Part 3: Training and Validation Functions: 0.0/?
- Part 4: Training: 3.0/?
- Part 5: Bonus — Test Time Augmentation: 0.0/?</t>
        </is>
      </c>
      <c r="Z369" t="n">
        <v>6</v>
      </c>
      <c r="AA369" t="n">
        <v>0</v>
      </c>
      <c r="AB369" t="inlineStr">
        <is>
          <t>The student's submission failed to meet the requirements for most tasks. In Part 1, the student incorrectly used the ImageFolder class and failed to apply the specified transforms. In Part 2, the student built a CNN model but did not include batch normalization as required. In Part 3, the student defined the training and validation functions but did not implement them correctly. In Part 4, the student was able to train the model but failed to plot the losses and accuracy. In Part 5, the student did not attempt the bonus task. Overall,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369" t="n">
        <v>6</v>
      </c>
      <c r="AD369" t="inlineStr">
        <is>
          <t>The student's submission failed to meet the requirements of the task. The code was not organized in a way that was easy to follow, and many tasks were not implemented correctly. The student did not use the provided functions and did not define the model class correctly. As a result, the submission was awarded 0 points for each task.
Breakdown:
- Task 1: Dataset Class: 0.0/?
- Task 2: Model Class: 0.0/?
- Task 3: Training and Validation Loops: 0.0/?
- Task 4: Running Training: 0.0/?
- Task 5: Visualizing Predictions: 0.0/?</t>
        </is>
      </c>
      <c r="AE369" t="n">
        <v>0</v>
      </c>
      <c r="AF369" t="n">
        <v>0</v>
      </c>
      <c r="AG369" t="inlineStr">
        <is>
          <t>No submission found.</t>
        </is>
      </c>
      <c r="AH369" t="n">
        <v>18</v>
      </c>
      <c r="AI369" t="n">
        <v>0</v>
      </c>
    </row>
    <row r="370">
      <c r="A370" t="n">
        <v>369</v>
      </c>
      <c r="B370" t="inlineStr">
        <is>
          <t>TA_7</t>
        </is>
      </c>
      <c r="C370" t="inlineStr">
        <is>
          <t>TA_17</t>
        </is>
      </c>
      <c r="D370" t="n">
        <v>12</v>
      </c>
      <c r="E370" t="n">
        <v>4</v>
      </c>
      <c r="F370" t="n">
        <v>11</v>
      </c>
      <c r="G370" t="n">
        <v>4</v>
      </c>
      <c r="H370" t="n">
        <v>12</v>
      </c>
      <c r="I370" t="n">
        <v>5</v>
      </c>
      <c r="J370" t="n">
        <v>10.5</v>
      </c>
      <c r="K370" t="n">
        <v>1.5</v>
      </c>
      <c r="L370" t="n">
        <v>8</v>
      </c>
      <c r="M370" t="n">
        <v>2</v>
      </c>
      <c r="N370" t="n">
        <v>12</v>
      </c>
      <c r="O370" t="n">
        <v>5</v>
      </c>
      <c r="P370">
        <f>Table1[[#This Row],[TA 1 - Q1 Score]]+Table1[[#This Row],[TA 1 - Q2 Score]]+Table1[[#This Row],[TA 1 - Q3 Score]]</f>
        <v/>
      </c>
      <c r="Q370">
        <f>Table1[[#This Row],[TA 1 - Q1 Bonus]]+Table1[[#This Row],[TA 1 - Q2 Bonus]]+Table1[[#This Row],[TA 1 - Q4 Bonus]]</f>
        <v/>
      </c>
      <c r="R370">
        <f>Table1[[#This Row],[TA 2 - Q1 Score]]+Table1[[#This Row],[TA 2 - Q2 Score]]+Table1[[#This Row],[TA 2 - Q3 Score]]</f>
        <v/>
      </c>
      <c r="S370">
        <f>Table1[[#This Row],[TA 2 - Q1 Bonus]]+Table1[[#This Row],[TA 2 - Q2 Bonus]]+Table1[[#This Row],[TA 2 - Q4 Bonus]]</f>
        <v/>
      </c>
      <c r="T370">
        <f>(Table1[[#This Row],[TA 1 - Total Score (out of 35)]]+Table1[[#This Row],[TA 2 - Total Score (out of 35)]])/2</f>
        <v/>
      </c>
      <c r="U370">
        <f>(Table1[[#This Row],[TA 1 - Total Bonus (out of 13)]]+Table1[[#This Row],[TA 2 - Total Bonus (out of 13)]])/2</f>
        <v/>
      </c>
      <c r="V370">
        <f>Table1[[#This Row],[Average Questions]]/35*20+Table1[[#This Row],[Average Bonus]]/13*5</f>
        <v/>
      </c>
      <c r="W370" t="n">
        <v>6</v>
      </c>
      <c r="X370" t="n">
        <v>0</v>
      </c>
      <c r="Y370" t="inlineStr">
        <is>
          <t>The student's submission failed to address several key tasks, including loading and preparing data, loading a pretrained model and adapting it, and implementing training and validation functions. While the student did write some code for the training task, it was incomplete. As a result, the student's submission was unable to run end-to-end and failed to demonstrate a clear understanding of the required concepts.
Breakdown:
- Part 1: Load and Prepare Data: 0.0/?
- Part 2: Load Pretrained Model and Adapt: 0.0/?
- Part 3: Training and Validation Functions: 0.0/?
- Part 4: Training: 2.5/?
- Part 5: Bonus — Test Time Augmentation: 0.0/?</t>
        </is>
      </c>
      <c r="Z370" t="n">
        <v>6</v>
      </c>
      <c r="AA370" t="n">
        <v>0</v>
      </c>
      <c r="AB370" t="inlineStr">
        <is>
          <t>The student's submission failed to load and prepare the data correctly, as they used a different path than the reference solution. The CNN model was not built correctly, and the training and validation functions were not implemented. Although the student attempted to train the model, the submission did not plot the training and validation losses and accuracy. The bonus task of adding a residual connection was not attempted.
Breakdown:
- Part 1: Load and Prepare Data: 0.0/?
- Part 2: Build the CNN Model: 0.0/?
- Part 3: Training and Validation Functions: 0.0/?
- Part 4: Training: 2.0/?
- Part 5: Bonus — Residual Connection: 0.0/?</t>
        </is>
      </c>
      <c r="AC370" t="n">
        <v>6</v>
      </c>
      <c r="AD370" t="inlineStr">
        <is>
          <t>The student's submission is incomplete and lacks code for several tasks. While they attempted to visualize predictions, their code is not fully functional and does not meet the requirements of the task. As a result, the student earns 0 points for Tasks 1-4 and 6 points for Task 5, for a total score of 6.0.
Breakdown:
- Task 1: Dataset Class: 0.0/?
- Task 2: Model Class: 0.0/?
- Task 3: Training and Validation Loops: 0.0/?
- Task 4: Running Training: 0.0/?
- Task 5: Visualizing Predictions: 6.0/?</t>
        </is>
      </c>
      <c r="AE370" t="n">
        <v>0</v>
      </c>
      <c r="AF370" t="n">
        <v>0</v>
      </c>
      <c r="AG370" t="inlineStr">
        <is>
          <t>The student's submission does not meet the requirements of the task. The `ColorizationDataset` class is not implemented correctly, and the code does not run end-to-end. The student attempted to implement the `rgb_to_grayscale` method, but it does not correctly calculate the grayscale value. Additionally, the `__getitem__` method does not return the correct grayscale and color images. As a result, the student did not earn any points for this task.
Breakdown:
- Correctly implemented `ColorizationDataset` class:: 0.0/?</t>
        </is>
      </c>
      <c r="AH370" t="n">
        <v>18</v>
      </c>
      <c r="AI370" t="n">
        <v>0</v>
      </c>
    </row>
    <row r="371">
      <c r="A371" t="n">
        <v>370</v>
      </c>
      <c r="B371" t="inlineStr">
        <is>
          <t>TA_7</t>
        </is>
      </c>
      <c r="C371" t="inlineStr">
        <is>
          <t>TA_17</t>
        </is>
      </c>
      <c r="D371" t="n">
        <v>11</v>
      </c>
      <c r="E371" t="n">
        <v>0</v>
      </c>
      <c r="F371" t="n">
        <v>9</v>
      </c>
      <c r="G371" t="n">
        <v>0</v>
      </c>
      <c r="H371" t="n">
        <v>10.5</v>
      </c>
      <c r="I371" t="n">
        <v>0</v>
      </c>
      <c r="J371" t="n">
        <v>11</v>
      </c>
      <c r="K371" t="n">
        <v>0</v>
      </c>
      <c r="L371" t="n">
        <v>9</v>
      </c>
      <c r="M371" t="n">
        <v>0</v>
      </c>
      <c r="N371" t="n">
        <v>9</v>
      </c>
      <c r="O371" t="n">
        <v>0</v>
      </c>
      <c r="P371">
        <f>Table1[[#This Row],[TA 1 - Q1 Score]]+Table1[[#This Row],[TA 1 - Q2 Score]]+Table1[[#This Row],[TA 1 - Q3 Score]]</f>
        <v/>
      </c>
      <c r="Q371">
        <f>Table1[[#This Row],[TA 1 - Q1 Bonus]]+Table1[[#This Row],[TA 1 - Q2 Bonus]]+Table1[[#This Row],[TA 1 - Q4 Bonus]]</f>
        <v/>
      </c>
      <c r="R371">
        <f>Table1[[#This Row],[TA 2 - Q1 Score]]+Table1[[#This Row],[TA 2 - Q2 Score]]+Table1[[#This Row],[TA 2 - Q3 Score]]</f>
        <v/>
      </c>
      <c r="S371">
        <f>Table1[[#This Row],[TA 2 - Q1 Bonus]]+Table1[[#This Row],[TA 2 - Q2 Bonus]]+Table1[[#This Row],[TA 2 - Q4 Bonus]]</f>
        <v/>
      </c>
      <c r="T371">
        <f>(Table1[[#This Row],[TA 1 - Total Score (out of 35)]]+Table1[[#This Row],[TA 2 - Total Score (out of 35)]])/2</f>
        <v/>
      </c>
      <c r="U371">
        <f>(Table1[[#This Row],[TA 1 - Total Bonus (out of 13)]]+Table1[[#This Row],[TA 2 - Total Bonus (out of 13)]])/2</f>
        <v/>
      </c>
      <c r="V371">
        <f>Table1[[#This Row],[Average Questions]]/35*20+Table1[[#This Row],[Average Bonus]]/13*5</f>
        <v/>
      </c>
      <c r="W371" t="n">
        <v>6</v>
      </c>
      <c r="X371" t="n">
        <v>0</v>
      </c>
      <c r="Y37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incorrect, disregarding the explicit instructions provided in the reference solution.
Breakdown:
- Part 1: Load and Prepare Data: 0.0/?
- Part 2: Load Pretrained Model and Adapt: 0.0/?
- Part 3: Training and Validation Functions: 0.0/?
- Part 4: Training: 2.0/?
- Part 5: Bonus — Test Time Augmentation: 0.0/?</t>
        </is>
      </c>
      <c r="Z371" t="n">
        <v>4</v>
      </c>
      <c r="AA371" t="n">
        <v>0</v>
      </c>
      <c r="AB371" t="inlineStr">
        <is>
          <t>The submission failed to load and prepare the data correctly, as it did not create a custom Dataset class or use ImageFolder. The CNN model was not built with the correct architecture, and the training and validation functions were not implemented. The training process was also not executed. The bonus task of adding a residual connection was not attempted.
Breakdown:
- Part 1: Load and Prepare Data: 0.0/?
- Part 2: Build the CNN Model: 0.0/?
- Part 3: Training and Validation Functions: 0.0/?
- Part 4: Training: 0.0/?
- Part 5: Bonus — Residual Connection: 0.0/?</t>
        </is>
      </c>
      <c r="AC371" t="n">
        <v>6</v>
      </c>
      <c r="AD371" t="inlineStr">
        <is>
          <t>The student's submission had several issues, including incorrect implementation of the dataset class, model class, training and validation loops, and running training. Additionally, the student's code had issues with displaying the images and visualizing the predictions. As a result, the student did not complete any of the tasks correctly, and the score is 0 for each task.
Breakdown:
- Task 1: Dataset Class: 0.0/?
- Task 2: Model Class: 0.0/?
- Task 3: Training and Validation Loops: 0.0/?
- Task 4: Running Training: 0.0/?
- Task 5: Visualizing Predictions: 0.0/?</t>
        </is>
      </c>
      <c r="AE371" t="n">
        <v>0</v>
      </c>
      <c r="AF371" t="n">
        <v>0</v>
      </c>
      <c r="AG371" t="inlineStr">
        <is>
          <t>No submission found.</t>
        </is>
      </c>
      <c r="AH371" t="n">
        <v>16</v>
      </c>
      <c r="AI371" t="n">
        <v>0</v>
      </c>
    </row>
    <row r="372">
      <c r="A372" t="n">
        <v>371</v>
      </c>
      <c r="B372" t="inlineStr">
        <is>
          <t>TA_7</t>
        </is>
      </c>
      <c r="C372" t="inlineStr">
        <is>
          <t>TA_17</t>
        </is>
      </c>
      <c r="D372" t="n">
        <v>7.5</v>
      </c>
      <c r="E372" t="n">
        <v>0</v>
      </c>
      <c r="F372" t="n">
        <v>6.5</v>
      </c>
      <c r="G372" t="n">
        <v>0</v>
      </c>
      <c r="H372" t="n">
        <v>6</v>
      </c>
      <c r="I372" t="n">
        <v>0</v>
      </c>
      <c r="J372" t="n">
        <v>6</v>
      </c>
      <c r="K372" t="n">
        <v>0</v>
      </c>
      <c r="L372" t="n">
        <v>7</v>
      </c>
      <c r="M372" t="n">
        <v>0</v>
      </c>
      <c r="N372" t="n">
        <v>4</v>
      </c>
      <c r="O372" t="n">
        <v>0</v>
      </c>
      <c r="P372">
        <f>Table1[[#This Row],[TA 1 - Q1 Score]]+Table1[[#This Row],[TA 1 - Q2 Score]]+Table1[[#This Row],[TA 1 - Q3 Score]]</f>
        <v/>
      </c>
      <c r="Q372">
        <f>Table1[[#This Row],[TA 1 - Q1 Bonus]]+Table1[[#This Row],[TA 1 - Q2 Bonus]]+Table1[[#This Row],[TA 1 - Q4 Bonus]]</f>
        <v/>
      </c>
      <c r="R372">
        <f>Table1[[#This Row],[TA 2 - Q1 Score]]+Table1[[#This Row],[TA 2 - Q2 Score]]+Table1[[#This Row],[TA 2 - Q3 Score]]</f>
        <v/>
      </c>
      <c r="S372">
        <f>Table1[[#This Row],[TA 2 - Q1 Bonus]]+Table1[[#This Row],[TA 2 - Q2 Bonus]]+Table1[[#This Row],[TA 2 - Q4 Bonus]]</f>
        <v/>
      </c>
      <c r="T372">
        <f>(Table1[[#This Row],[TA 1 - Total Score (out of 35)]]+Table1[[#This Row],[TA 2 - Total Score (out of 35)]])/2</f>
        <v/>
      </c>
      <c r="U372">
        <f>(Table1[[#This Row],[TA 1 - Total Bonus (out of 13)]]+Table1[[#This Row],[TA 2 - Total Bonus (out of 13)]])/2</f>
        <v/>
      </c>
      <c r="V372">
        <f>Table1[[#This Row],[Average Questions]]/35*20+Table1[[#This Row],[Average Bonus]]/13*5</f>
        <v/>
      </c>
      <c r="W372" t="n">
        <v>6</v>
      </c>
      <c r="X372" t="n">
        <v>0</v>
      </c>
      <c r="Y37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2.0/?
- Part 5: Bonus — Test Time Augmentation: 0.0/?</t>
        </is>
      </c>
      <c r="Z372" t="n">
        <v>6</v>
      </c>
      <c r="AA372" t="n">
        <v>0</v>
      </c>
      <c r="AB372" t="inlineStr">
        <is>
          <t>The student's submission failed to load and prepare the data correctly, as they did not create a custom dataset class or use ImageFolder. They also failed to build the CNN model with the correct architecture, and did not implement the training and validation functions. Although they attempted to train the model, their implementation was incomplete and did not follow the reference solution. The bonus task was not attempted.
Breakdown:
- Part 1: Load and Prepare Data: 0.0/?
- Part 2: Build the CNN Model: 0.0/?
- Part 3: Training and Validation Functions: 0.0/?
- Part 4: Training: 2.0/?
- Part 5: Bonus — Residual Connection: 0.0/?</t>
        </is>
      </c>
      <c r="AC372" t="n">
        <v>6</v>
      </c>
      <c r="AD372" t="inlineStr">
        <is>
          <t>The student's submission failed to meet the requirements of the task. The code was not organized in a way that allowed it to run end-to-end, and several tasks were not implemented correctly. The student attempted to define a dataset class, but it was not used correctly. The model class was not defined correctly, and the training and validation loops were not implemented. The training process was not implemented correctly, and the visualization of predictions was not implemented. Overall, the submission did not demonstrate a clear understanding of the task requirements.
Breakdown:
- Task 1: Dataset Class: 0.0/?
- Task 2: Model Class: 0.0/?
- Task 3: Training and Validation Loops: 0.0/?
- Task 4: Running Training: 0.0/?
- Task 5: Visualizing Predictions: 0.0/?</t>
        </is>
      </c>
      <c r="AE372" t="n">
        <v>0</v>
      </c>
      <c r="AF372" t="n">
        <v>0</v>
      </c>
      <c r="AG372" t="inlineStr">
        <is>
          <t>No submission found.</t>
        </is>
      </c>
      <c r="AH372" t="n">
        <v>18</v>
      </c>
      <c r="AI372" t="n">
        <v>0</v>
      </c>
    </row>
    <row r="373">
      <c r="A373" t="n">
        <v>372</v>
      </c>
      <c r="B373" t="inlineStr">
        <is>
          <t>TA_7</t>
        </is>
      </c>
      <c r="C373" t="inlineStr">
        <is>
          <t>TA_17</t>
        </is>
      </c>
      <c r="D373" t="n">
        <v>10</v>
      </c>
      <c r="E373" t="n">
        <v>0</v>
      </c>
      <c r="F373" t="n">
        <v>10</v>
      </c>
      <c r="G373" t="n">
        <v>0</v>
      </c>
      <c r="H373" t="n">
        <v>8.5</v>
      </c>
      <c r="I373" t="n">
        <v>0</v>
      </c>
      <c r="J373" t="n">
        <v>10</v>
      </c>
      <c r="K373" t="n">
        <v>0</v>
      </c>
      <c r="L373" t="n">
        <v>10</v>
      </c>
      <c r="M373" t="n">
        <v>0</v>
      </c>
      <c r="N373" t="n">
        <v>10</v>
      </c>
      <c r="O373" t="n">
        <v>0</v>
      </c>
      <c r="P373">
        <f>Table1[[#This Row],[TA 1 - Q1 Score]]+Table1[[#This Row],[TA 1 - Q2 Score]]+Table1[[#This Row],[TA 1 - Q3 Score]]</f>
        <v/>
      </c>
      <c r="Q373">
        <f>Table1[[#This Row],[TA 1 - Q1 Bonus]]+Table1[[#This Row],[TA 1 - Q2 Bonus]]+Table1[[#This Row],[TA 1 - Q4 Bonus]]</f>
        <v/>
      </c>
      <c r="R373">
        <f>Table1[[#This Row],[TA 2 - Q1 Score]]+Table1[[#This Row],[TA 2 - Q2 Score]]+Table1[[#This Row],[TA 2 - Q3 Score]]</f>
        <v/>
      </c>
      <c r="S373">
        <f>Table1[[#This Row],[TA 2 - Q1 Bonus]]+Table1[[#This Row],[TA 2 - Q2 Bonus]]+Table1[[#This Row],[TA 2 - Q4 Bonus]]</f>
        <v/>
      </c>
      <c r="T373">
        <f>(Table1[[#This Row],[TA 1 - Total Score (out of 35)]]+Table1[[#This Row],[TA 2 - Total Score (out of 35)]])/2</f>
        <v/>
      </c>
      <c r="U373">
        <f>(Table1[[#This Row],[TA 1 - Total Bonus (out of 13)]]+Table1[[#This Row],[TA 2 - Total Bonus (out of 13)]])/2</f>
        <v/>
      </c>
      <c r="V373">
        <f>Table1[[#This Row],[Average Questions]]/35*20+Table1[[#This Row],[Average Bonus]]/13*5</f>
        <v/>
      </c>
      <c r="W373" t="n">
        <v>6</v>
      </c>
      <c r="X373" t="n">
        <v>0</v>
      </c>
      <c r="Y373" t="inlineStr">
        <is>
          <t>The student's submission failed to complete several key tasks, including loading and preparing the data, loading a pretrained model and adapting it, and implementing training and validation functions. While the student did attempt to train the model and plot the loss and accuracy curves,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2.0/?
- Part 5: Bonus — Test Time Augmentation: 0.0/?</t>
        </is>
      </c>
      <c r="Z373" t="n">
        <v>4</v>
      </c>
      <c r="AA373" t="n">
        <v>0</v>
      </c>
      <c r="AB373" t="inlineStr">
        <is>
          <t>The submission failed to load and prepare the data correctly, as the dataset class or ImageFolder was not implemented. The CNN model was not built with the correct architecture, and the training and validation functions were not defined. The training process was also not implemented. The bonus task of adding a residual connection was not attempted. The code is disorganized and does not run end-to-end.
Breakdown:
- Part 1: Load and Prepare Data: 0.0/?
- Part 2: Build the CNN Model: 0.0/?
- Part 3: Training and Validation Functions: 0.0/?
- Part 4: Training: 0.0/?
- Part 5: Bonus — Residual Connection: 0.0/?</t>
        </is>
      </c>
      <c r="AC373" t="n">
        <v>6</v>
      </c>
      <c r="AD373" t="inlineStr">
        <is>
          <t>The student's submission failed to meet the requirements of the task, with incorrect implementation of the dataset class, model class, training and validation loops, running training, and visualizing predictions. The code was not organized and failed to run end-to-end, resulting in a score of 0 for each task.
Breakdown:
- Task 1: Dataset Class: 0.0/?
- Task 2: Model Class: 0.0/?
- Task 3: Training and Validation Loops: 0.0/?
- Task 4: Running Training: 0.0/?
- Task 5: Visualizing Predictions: 0.0/?</t>
        </is>
      </c>
      <c r="AE373" t="n">
        <v>0</v>
      </c>
      <c r="AF373" t="n">
        <v>0</v>
      </c>
      <c r="AG373" t="inlineStr">
        <is>
          <t>No submission found.</t>
        </is>
      </c>
      <c r="AH373" t="n">
        <v>16</v>
      </c>
      <c r="AI373" t="n">
        <v>0</v>
      </c>
    </row>
    <row r="374">
      <c r="A374" t="n">
        <v>373</v>
      </c>
      <c r="B374" t="inlineStr">
        <is>
          <t>TA_7</t>
        </is>
      </c>
      <c r="C374" t="inlineStr">
        <is>
          <t>TA_17</t>
        </is>
      </c>
      <c r="D374" t="n">
        <v>8.5</v>
      </c>
      <c r="E374" t="n">
        <v>0</v>
      </c>
      <c r="F374" t="n">
        <v>8.5</v>
      </c>
      <c r="G374" t="n">
        <v>0</v>
      </c>
      <c r="H374" t="n">
        <v>12</v>
      </c>
      <c r="I374" t="n">
        <v>0</v>
      </c>
      <c r="J374" t="n">
        <v>10</v>
      </c>
      <c r="K374" t="n">
        <v>0</v>
      </c>
      <c r="L374" t="n">
        <v>8.5</v>
      </c>
      <c r="M374" t="n">
        <v>0</v>
      </c>
      <c r="N374" t="n">
        <v>12</v>
      </c>
      <c r="O374" t="n">
        <v>0</v>
      </c>
      <c r="P374">
        <f>Table1[[#This Row],[TA 1 - Q1 Score]]+Table1[[#This Row],[TA 1 - Q2 Score]]+Table1[[#This Row],[TA 1 - Q3 Score]]</f>
        <v/>
      </c>
      <c r="Q374">
        <f>Table1[[#This Row],[TA 1 - Q1 Bonus]]+Table1[[#This Row],[TA 1 - Q2 Bonus]]+Table1[[#This Row],[TA 1 - Q4 Bonus]]</f>
        <v/>
      </c>
      <c r="R374">
        <f>Table1[[#This Row],[TA 2 - Q1 Score]]+Table1[[#This Row],[TA 2 - Q2 Score]]+Table1[[#This Row],[TA 2 - Q3 Score]]</f>
        <v/>
      </c>
      <c r="S374">
        <f>Table1[[#This Row],[TA 2 - Q1 Bonus]]+Table1[[#This Row],[TA 2 - Q2 Bonus]]+Table1[[#This Row],[TA 2 - Q4 Bonus]]</f>
        <v/>
      </c>
      <c r="T374">
        <f>(Table1[[#This Row],[TA 1 - Total Score (out of 35)]]+Table1[[#This Row],[TA 2 - Total Score (out of 35)]])/2</f>
        <v/>
      </c>
      <c r="U374">
        <f>(Table1[[#This Row],[TA 1 - Total Bonus (out of 13)]]+Table1[[#This Row],[TA 2 - Total Bonus (out of 13)]])/2</f>
        <v/>
      </c>
      <c r="V374">
        <f>Table1[[#This Row],[Average Questions]]/35*20+Table1[[#This Row],[Average Bonus]]/13*5</f>
        <v/>
      </c>
      <c r="W374" t="n">
        <v>6</v>
      </c>
      <c r="X374" t="n">
        <v>0</v>
      </c>
      <c r="Y374" t="inlineStr">
        <is>
          <t>The student's submission failed to complete several key tasks, including loading and preparing data, loading a pretrained model, and adapting it for the task. The training and validation functions were also not implemented correctly. Although the student attempted to train the model, the submission lacked several critical components, including displaying sample images, freezing the backbone, and replacing the classifier head. The bonus task of implementing test time augmentation was also not completed. Overall, the submission demonstrated a lack of understanding of the task requirements and failed to execute several key components.
Breakdown:
- Part 1: Load and Prepare Data: 0.0/?
- Part 2: Load Pretrained Model and Adapt: 0.0/?
- Part 3: Training and Validation Functions: 0.0/?
- Part 4: Training: 3.0/?
- Part 5: Bonus — Test Time Augmentation: 0.0/?</t>
        </is>
      </c>
      <c r="Z374" t="n">
        <v>4</v>
      </c>
      <c r="AA374" t="n">
        <v>0</v>
      </c>
      <c r="AB374"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74" t="n">
        <v>6</v>
      </c>
      <c r="AD374" t="inlineStr">
        <is>
          <t>The student's submission was incomplete, with no code submitted for Tasks 1-4. However, the code for Task 5 was mostly correct, with the student successfully visualizing the predictions and displaying the original images. The only issue was that the ground truth masks were not displayed correctly.
Breakdown:
- Task 1: Dataset Class: 0.0/?
- Task 2: Model Class: 0.0/?
- Task 3: Training and Validation Loops: 0.0/?
- Task 4: Running Training: 0.0/?
- Task 5: Visualizing Predictions: 6.0/?</t>
        </is>
      </c>
      <c r="AE374" t="n">
        <v>0</v>
      </c>
      <c r="AF374" t="n">
        <v>0</v>
      </c>
      <c r="AG374" t="inlineStr">
        <is>
          <t>No submission found.</t>
        </is>
      </c>
      <c r="AH374" t="n">
        <v>16</v>
      </c>
      <c r="AI374" t="n">
        <v>0</v>
      </c>
    </row>
    <row r="375">
      <c r="A375" t="n">
        <v>374</v>
      </c>
      <c r="B375" t="inlineStr">
        <is>
          <t>TA_7</t>
        </is>
      </c>
      <c r="C375" t="inlineStr">
        <is>
          <t>TA_17</t>
        </is>
      </c>
      <c r="D375" t="n">
        <v>9.5</v>
      </c>
      <c r="E375" t="n">
        <v>3</v>
      </c>
      <c r="F375" t="n">
        <v>8</v>
      </c>
      <c r="G375" t="n">
        <v>1</v>
      </c>
      <c r="H375" t="n">
        <v>3</v>
      </c>
      <c r="I375" t="n">
        <v>0</v>
      </c>
      <c r="J375" t="n">
        <v>8.5</v>
      </c>
      <c r="K375" t="n">
        <v>0</v>
      </c>
      <c r="L375" t="n">
        <v>7.5</v>
      </c>
      <c r="M375" t="n">
        <v>0</v>
      </c>
      <c r="N375" t="n">
        <v>4</v>
      </c>
      <c r="O375" t="n">
        <v>0</v>
      </c>
      <c r="P375">
        <f>Table1[[#This Row],[TA 1 - Q1 Score]]+Table1[[#This Row],[TA 1 - Q2 Score]]+Table1[[#This Row],[TA 1 - Q3 Score]]</f>
        <v/>
      </c>
      <c r="Q375">
        <f>Table1[[#This Row],[TA 1 - Q1 Bonus]]+Table1[[#This Row],[TA 1 - Q2 Bonus]]+Table1[[#This Row],[TA 1 - Q4 Bonus]]</f>
        <v/>
      </c>
      <c r="R375">
        <f>Table1[[#This Row],[TA 2 - Q1 Score]]+Table1[[#This Row],[TA 2 - Q2 Score]]+Table1[[#This Row],[TA 2 - Q3 Score]]</f>
        <v/>
      </c>
      <c r="S375">
        <f>Table1[[#This Row],[TA 2 - Q1 Bonus]]+Table1[[#This Row],[TA 2 - Q2 Bonus]]+Table1[[#This Row],[TA 2 - Q4 Bonus]]</f>
        <v/>
      </c>
      <c r="T375">
        <f>(Table1[[#This Row],[TA 1 - Total Score (out of 35)]]+Table1[[#This Row],[TA 2 - Total Score (out of 35)]])/2</f>
        <v/>
      </c>
      <c r="U375">
        <f>(Table1[[#This Row],[TA 1 - Total Bonus (out of 13)]]+Table1[[#This Row],[TA 2 - Total Bonus (out of 13)]])/2</f>
        <v/>
      </c>
      <c r="V375">
        <f>Table1[[#This Row],[Average Questions]]/35*20+Table1[[#This Row],[Average Bonus]]/13*5</f>
        <v/>
      </c>
      <c r="W375" t="n">
        <v>6</v>
      </c>
      <c r="X375" t="n">
        <v>0</v>
      </c>
      <c r="Y375"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displaying sample images, freezing the backbone, and replacing the classifier head. The bonus task of implementing test time augmentation was also not completed. Overall, the submission demonstrated a lack of understanding of the task requirements and failed to execute several key components.
Breakdown:
- Part 1: Load and Prepare Data: 0.0/?
- Part 2: Load Pretrained Model and Adapt: 0.0/?
- Part 3: Training and Validation Functions: 0.0/?
- Part 4: Training: 2.0/?
- Part 5: Bonus — Test Time Augmentation: 0.0/?</t>
        </is>
      </c>
      <c r="Z375" t="n">
        <v>6</v>
      </c>
      <c r="AA375" t="n">
        <v>0</v>
      </c>
      <c r="AB375" t="inlineStr">
        <is>
          <t>The student's submission failed to load and prepare the data correctly, resulting in a score of 0 for Part 1. The CNN model was partially built, but it lacked the necessary layers and activation functions, earning 2 points for Part 2. The training and validation functions were not implemented, resulting in a score of 0 for Part 3. The training process was not completed, and the model was not trained, earning 0 points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375" t="n">
        <v>6</v>
      </c>
      <c r="AD375" t="inlineStr">
        <is>
          <t>The student's submission failed to meet the requirements of the task. They did not complete the dataset class, model class, training and validation loops, running training, or visualizing predictions correctly. As a result, the student received 0 points for each task.
Breakdown:
- Task 1: Dataset Class: 0.0/?
- Task 2: Model Class: 0.0/?
- Task 3: Training and Validation Loops: 0.0/?
- Task 4: Running Training: 0.0/?
- Task 5: Visualizing Predictions: 0.0/?</t>
        </is>
      </c>
      <c r="AE375" t="n">
        <v>0</v>
      </c>
      <c r="AF375" t="n">
        <v>0</v>
      </c>
      <c r="AG375" t="inlineStr">
        <is>
          <t>The student's submission does not meet the requirements of the task. The `ColorizationDataset` class is not implemented correctly, and the `rgb_to_grayscale` method has a syntax error. Additionally, the `__getitem__` method is not implemented, which is a critical part of the dataset class. As a result, the submission does not run end-to-end and does not produce the expected output.
Breakdown:
- Correctly implemented `ColorizationDataset` class:: 0.0/?
- Any mistake in implementation: 0.0/?</t>
        </is>
      </c>
      <c r="AH375" t="n">
        <v>18</v>
      </c>
      <c r="AI375" t="n">
        <v>0</v>
      </c>
    </row>
    <row r="376">
      <c r="A376" t="n">
        <v>375</v>
      </c>
      <c r="B376" t="inlineStr">
        <is>
          <t>TA_7</t>
        </is>
      </c>
      <c r="C376" t="inlineStr">
        <is>
          <t>TA_17</t>
        </is>
      </c>
      <c r="D376" t="n">
        <v>6.5</v>
      </c>
      <c r="E376" t="n">
        <v>0</v>
      </c>
      <c r="F376" t="n">
        <v>6.5</v>
      </c>
      <c r="G376" t="n">
        <v>0</v>
      </c>
      <c r="H376" t="n">
        <v>7.5</v>
      </c>
      <c r="I376" t="n">
        <v>0</v>
      </c>
      <c r="J376" t="n">
        <v>6</v>
      </c>
      <c r="K376" t="n">
        <v>0</v>
      </c>
      <c r="L376" t="n">
        <v>7.5</v>
      </c>
      <c r="M376" t="n">
        <v>0</v>
      </c>
      <c r="N376" t="n">
        <v>6.5</v>
      </c>
      <c r="O376" t="n">
        <v>0</v>
      </c>
      <c r="P376">
        <f>Table1[[#This Row],[TA 1 - Q1 Score]]+Table1[[#This Row],[TA 1 - Q2 Score]]+Table1[[#This Row],[TA 1 - Q3 Score]]</f>
        <v/>
      </c>
      <c r="Q376">
        <f>Table1[[#This Row],[TA 1 - Q1 Bonus]]+Table1[[#This Row],[TA 1 - Q2 Bonus]]+Table1[[#This Row],[TA 1 - Q4 Bonus]]</f>
        <v/>
      </c>
      <c r="R376">
        <f>Table1[[#This Row],[TA 2 - Q1 Score]]+Table1[[#This Row],[TA 2 - Q2 Score]]+Table1[[#This Row],[TA 2 - Q3 Score]]</f>
        <v/>
      </c>
      <c r="S376">
        <f>Table1[[#This Row],[TA 2 - Q1 Bonus]]+Table1[[#This Row],[TA 2 - Q2 Bonus]]+Table1[[#This Row],[TA 2 - Q4 Bonus]]</f>
        <v/>
      </c>
      <c r="T376">
        <f>(Table1[[#This Row],[TA 1 - Total Score (out of 35)]]+Table1[[#This Row],[TA 2 - Total Score (out of 35)]])/2</f>
        <v/>
      </c>
      <c r="U376">
        <f>(Table1[[#This Row],[TA 1 - Total Bonus (out of 13)]]+Table1[[#This Row],[TA 2 - Total Bonus (out of 13)]])/2</f>
        <v/>
      </c>
      <c r="V376">
        <f>Table1[[#This Row],[Average Questions]]/35*20+Table1[[#This Row],[Average Bonus]]/13*5</f>
        <v/>
      </c>
      <c r="W376" t="n">
        <v>6</v>
      </c>
      <c r="X376" t="n">
        <v>0</v>
      </c>
      <c r="Y376"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implementation of the training loop and validation function. As a result, the student was unable to complete the bonus task of implementing test time augmentation.
Breakdown:
- Part 1: Load and Prepare Data: 0.0/?
- Part 2: Load Pretrained Model and Adapt: 0.0/?
- Part 3: Training and Validation Functions: 0.0/?
- Part 4: Training: 2.5/?
- Part 5: Bonus — Test Time Augmentation: 0.0/?</t>
        </is>
      </c>
      <c r="Z376" t="n">
        <v>4</v>
      </c>
      <c r="AA376" t="n">
        <v>0</v>
      </c>
      <c r="AB376"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training process was not executed, and the residual connection was not added to the model. The student's submission did not demonstrate a clear understanding of the task and the required code structure.
Breakdown:
- Part 1: Load and Prepare Data: 0.0/?
- Part 2: Build the CNN Model: 0.0/?
- Part 3: Training and Validation Functions: 0.0/?
- Part 4: Training: 0.0/?
- Part 5: Bonus — Residual Connection: 0.0/?</t>
        </is>
      </c>
      <c r="AC376" t="n">
        <v>6</v>
      </c>
      <c r="AD376" t="inlineStr">
        <is>
          <t>The student's submission failed to meet the requirements of the task, with incorrect implementation of the dataset class, model class, training and validation loops, running training, and visualizing predictions. The student's code was not able to run end-to-end, and the tasks were not completed correctly.
Breakdown:
- Task 1: Dataset Class: 0.0/?
- Task 2: Model Class: 0.0/?
- Task 3: Training and Validation Loops: 0.0/?
- Task 4: Running Training: 0.0/?
- Task 5: Visualizing Predictions: 0.0/?</t>
        </is>
      </c>
      <c r="AE376" t="n">
        <v>0</v>
      </c>
      <c r="AF376" t="n">
        <v>0</v>
      </c>
      <c r="AG376" t="inlineStr">
        <is>
          <t>No submission found.</t>
        </is>
      </c>
      <c r="AH376" t="n">
        <v>16</v>
      </c>
      <c r="AI376" t="n">
        <v>0</v>
      </c>
    </row>
    <row r="377">
      <c r="A377" t="n">
        <v>376</v>
      </c>
      <c r="B377" t="inlineStr">
        <is>
          <t>TA_7</t>
        </is>
      </c>
      <c r="C377" t="inlineStr">
        <is>
          <t>TA_17</t>
        </is>
      </c>
      <c r="D377" t="n">
        <v>9</v>
      </c>
      <c r="E377" t="n">
        <v>0</v>
      </c>
      <c r="F377" t="n">
        <v>8.5</v>
      </c>
      <c r="G377" t="n">
        <v>0</v>
      </c>
      <c r="H377" t="n">
        <v>10</v>
      </c>
      <c r="I377" t="n">
        <v>0</v>
      </c>
      <c r="J377" t="n">
        <v>6</v>
      </c>
      <c r="K377" t="n">
        <v>0</v>
      </c>
      <c r="L377" t="n">
        <v>8.5</v>
      </c>
      <c r="M377" t="n">
        <v>0</v>
      </c>
      <c r="N377" t="n">
        <v>9.5</v>
      </c>
      <c r="O377" t="n">
        <v>0</v>
      </c>
      <c r="P377">
        <f>Table1[[#This Row],[TA 1 - Q1 Score]]+Table1[[#This Row],[TA 1 - Q2 Score]]+Table1[[#This Row],[TA 1 - Q3 Score]]</f>
        <v/>
      </c>
      <c r="Q377">
        <f>Table1[[#This Row],[TA 1 - Q1 Bonus]]+Table1[[#This Row],[TA 1 - Q2 Bonus]]+Table1[[#This Row],[TA 1 - Q4 Bonus]]</f>
        <v/>
      </c>
      <c r="R377">
        <f>Table1[[#This Row],[TA 2 - Q1 Score]]+Table1[[#This Row],[TA 2 - Q2 Score]]+Table1[[#This Row],[TA 2 - Q3 Score]]</f>
        <v/>
      </c>
      <c r="S377">
        <f>Table1[[#This Row],[TA 2 - Q1 Bonus]]+Table1[[#This Row],[TA 2 - Q2 Bonus]]+Table1[[#This Row],[TA 2 - Q4 Bonus]]</f>
        <v/>
      </c>
      <c r="T377">
        <f>(Table1[[#This Row],[TA 1 - Total Score (out of 35)]]+Table1[[#This Row],[TA 2 - Total Score (out of 35)]])/2</f>
        <v/>
      </c>
      <c r="U377">
        <f>(Table1[[#This Row],[TA 1 - Total Bonus (out of 13)]]+Table1[[#This Row],[TA 2 - Total Bonus (out of 13)]])/2</f>
        <v/>
      </c>
      <c r="V377">
        <f>Table1[[#This Row],[Average Questions]]/35*20+Table1[[#This Row],[Average Bonus]]/13*5</f>
        <v/>
      </c>
      <c r="W377" t="n">
        <v>6</v>
      </c>
      <c r="X377" t="n">
        <v>0</v>
      </c>
      <c r="Y377" t="inlineStr">
        <is>
          <t>The student's submission failed to meet the requirements of several tasks. Specifically, the student did not write code for Part 1, Part 2, Part 3, and Part 5. In Part 4, the student's code attempts the task but contains syntax/logic mistakes. As a result, the student's score is 6.0, which is the sum of the awarded points for Part 4.
Breakdown:
- Part 1: Load and Prepare Data: 0.0/?
- Part 2: Load Pretrained Model and Adapt: 0.0/?
- Part 3: Training and Validation Functions: 0.0/?
- Part 4: Training: 2.5/?
- Part 5: Bonus — Test Time Augmentation: 0.0/?</t>
        </is>
      </c>
      <c r="Z377" t="n">
        <v>4</v>
      </c>
      <c r="AA377" t="n">
        <v>0</v>
      </c>
      <c r="AB377" t="inlineStr">
        <is>
          <t>The student's submission failed to meet the requirements of the task. The code was not organized in a way that allowed it to run end-to-end, and several key components were missing or incorrect. The CNN model class was not defined with 5 convolutional layers, and the training loop function was not defined.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377" t="n">
        <v>6</v>
      </c>
      <c r="AD377" t="inlineStr">
        <is>
          <t>The student's submission had several issues. The dataset class was not defined correctly, and the model class was also incorrect. The training and validation loops were not defined, and the loss and optimizer were not defined correctly. However, the student was able to visualize the predictions against the ground truth for several images, which is a good start. Overall, the submission needs significant improvement to achieve a higher score.
Breakdown:
- Task 1: Dataset Class: 0.0/?
- Task 2: Model Class: 0.0/?
- Task 3: Training and Validation Loops: 0.0/?
- Task 4: Running Training: 0.0/?
- Task 5: Visualizing Predictions: 6.0/?</t>
        </is>
      </c>
      <c r="AE377" t="n">
        <v>0</v>
      </c>
      <c r="AF377" t="n">
        <v>0</v>
      </c>
      <c r="AG377" t="inlineStr">
        <is>
          <t>No submission found.</t>
        </is>
      </c>
      <c r="AH377" t="n">
        <v>16</v>
      </c>
      <c r="AI377" t="n">
        <v>0</v>
      </c>
    </row>
    <row r="378">
      <c r="A378" t="n">
        <v>377</v>
      </c>
      <c r="B378" t="inlineStr">
        <is>
          <t>TA_7</t>
        </is>
      </c>
      <c r="C378" t="inlineStr">
        <is>
          <t>TA_17</t>
        </is>
      </c>
      <c r="D378" t="n">
        <v>10.5</v>
      </c>
      <c r="E378" t="n">
        <v>0</v>
      </c>
      <c r="F378" t="n">
        <v>8</v>
      </c>
      <c r="G378" t="n">
        <v>0</v>
      </c>
      <c r="H378" t="n">
        <v>9</v>
      </c>
      <c r="I378" t="n">
        <v>0</v>
      </c>
      <c r="J378" t="n">
        <v>10</v>
      </c>
      <c r="K378" t="n">
        <v>0</v>
      </c>
      <c r="L378" t="n">
        <v>7.5</v>
      </c>
      <c r="M378" t="n">
        <v>0</v>
      </c>
      <c r="N378" t="n">
        <v>7</v>
      </c>
      <c r="O378" t="n">
        <v>0</v>
      </c>
      <c r="P378">
        <f>Table1[[#This Row],[TA 1 - Q1 Score]]+Table1[[#This Row],[TA 1 - Q2 Score]]+Table1[[#This Row],[TA 1 - Q3 Score]]</f>
        <v/>
      </c>
      <c r="Q378">
        <f>Table1[[#This Row],[TA 1 - Q1 Bonus]]+Table1[[#This Row],[TA 1 - Q2 Bonus]]+Table1[[#This Row],[TA 1 - Q4 Bonus]]</f>
        <v/>
      </c>
      <c r="R378">
        <f>Table1[[#This Row],[TA 2 - Q1 Score]]+Table1[[#This Row],[TA 2 - Q2 Score]]+Table1[[#This Row],[TA 2 - Q3 Score]]</f>
        <v/>
      </c>
      <c r="S378">
        <f>Table1[[#This Row],[TA 2 - Q1 Bonus]]+Table1[[#This Row],[TA 2 - Q2 Bonus]]+Table1[[#This Row],[TA 2 - Q4 Bonus]]</f>
        <v/>
      </c>
      <c r="T378">
        <f>(Table1[[#This Row],[TA 1 - Total Score (out of 35)]]+Table1[[#This Row],[TA 2 - Total Score (out of 35)]])/2</f>
        <v/>
      </c>
      <c r="U378">
        <f>(Table1[[#This Row],[TA 1 - Total Bonus (out of 13)]]+Table1[[#This Row],[TA 2 - Total Bonus (out of 13)]])/2</f>
        <v/>
      </c>
      <c r="V378">
        <f>Table1[[#This Row],[Average Questions]]/35*20+Table1[[#This Row],[Average Bonus]]/13*5</f>
        <v/>
      </c>
      <c r="W378" t="n">
        <v>6</v>
      </c>
      <c r="X378" t="n">
        <v>0</v>
      </c>
      <c r="Y378" t="inlineStr">
        <is>
          <t>The student's submission failed to complete several key tasks, including loading and preparing the data, loading a pretrained model and adapting it, and training the model. While the student made an attempt at defining the training and validation functions, the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378" t="n">
        <v>4</v>
      </c>
      <c r="AA378" t="n">
        <v>0</v>
      </c>
      <c r="AB378"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disorganized and does not run end-to-end. As a result, the student receives 0 points for each task.
Breakdown:
- Part 1: Load and Prepare Data: 0.0/?
- Part 2: Build the CNN Model: 0.0/?
- Part 3: Training and Validation Functions: 0.0/?
- Part 4: Training: 0.0/?
- Part 5: Bonus — Residual Connection: 0.0/?</t>
        </is>
      </c>
      <c r="AC378" t="n">
        <v>6</v>
      </c>
      <c r="AD378" t="inlineStr">
        <is>
          <t>The student's submission was incomplete and lacked code for most tasks. The only task that was attempted was Task 5: Visualizing Predictions, where the student's code was mostly correct but had a minor issue with displaying the ground truth masks. As a result, the student scored 6.0 out of 12.0 for the base tasks and 0.0 for the bonus tasks.
Breakdown:
- Task 1: Dataset Class: 0.0/?
- Task 2: Model Class: 0.0/?
- Task 3: Training and Validation Loops: 0.0/?
- Task 4: Running Training: 0.0/?
- Task 5: Visualizing Predictions: 6.0/?</t>
        </is>
      </c>
      <c r="AE378" t="n">
        <v>0</v>
      </c>
      <c r="AF378" t="n">
        <v>0</v>
      </c>
      <c r="AG378" t="inlineStr">
        <is>
          <t>No submission found.</t>
        </is>
      </c>
      <c r="AH378" t="n">
        <v>16</v>
      </c>
      <c r="AI378" t="n">
        <v>0</v>
      </c>
    </row>
    <row r="379">
      <c r="A379" t="n">
        <v>378</v>
      </c>
      <c r="B379" t="inlineStr">
        <is>
          <t>TA_7</t>
        </is>
      </c>
      <c r="C379" t="inlineStr">
        <is>
          <t>TA_17</t>
        </is>
      </c>
      <c r="D379" t="n">
        <v>12</v>
      </c>
      <c r="E379" t="n">
        <v>0</v>
      </c>
      <c r="F379" t="n">
        <v>11</v>
      </c>
      <c r="G379" t="n">
        <v>4</v>
      </c>
      <c r="H379" t="n">
        <v>12</v>
      </c>
      <c r="I379" t="n">
        <v>5</v>
      </c>
      <c r="J379" t="n">
        <v>6</v>
      </c>
      <c r="K379" t="n">
        <v>0</v>
      </c>
      <c r="L379" t="n">
        <v>8.5</v>
      </c>
      <c r="M379" t="n">
        <v>0</v>
      </c>
      <c r="N379" t="n">
        <v>12</v>
      </c>
      <c r="O379" t="n">
        <v>5</v>
      </c>
      <c r="P379">
        <f>Table1[[#This Row],[TA 1 - Q1 Score]]+Table1[[#This Row],[TA 1 - Q2 Score]]+Table1[[#This Row],[TA 1 - Q3 Score]]</f>
        <v/>
      </c>
      <c r="Q379">
        <f>Table1[[#This Row],[TA 1 - Q1 Bonus]]+Table1[[#This Row],[TA 1 - Q2 Bonus]]+Table1[[#This Row],[TA 1 - Q4 Bonus]]</f>
        <v/>
      </c>
      <c r="R379">
        <f>Table1[[#This Row],[TA 2 - Q1 Score]]+Table1[[#This Row],[TA 2 - Q2 Score]]+Table1[[#This Row],[TA 2 - Q3 Score]]</f>
        <v/>
      </c>
      <c r="S379">
        <f>Table1[[#This Row],[TA 2 - Q1 Bonus]]+Table1[[#This Row],[TA 2 - Q2 Bonus]]+Table1[[#This Row],[TA 2 - Q4 Bonus]]</f>
        <v/>
      </c>
      <c r="T379">
        <f>(Table1[[#This Row],[TA 1 - Total Score (out of 35)]]+Table1[[#This Row],[TA 2 - Total Score (out of 35)]])/2</f>
        <v/>
      </c>
      <c r="U379">
        <f>(Table1[[#This Row],[TA 1 - Total Bonus (out of 13)]]+Table1[[#This Row],[TA 2 - Total Bonus (out of 13)]])/2</f>
        <v/>
      </c>
      <c r="V379">
        <f>Table1[[#This Row],[Average Questions]]/35*20+Table1[[#This Row],[Average Bonus]]/13*5</f>
        <v/>
      </c>
      <c r="W379" t="n">
        <v>6</v>
      </c>
      <c r="X379" t="n">
        <v>0</v>
      </c>
      <c r="Y379"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implementation of test time augmentation was also incomplete and did not produce the correct output. Overall, the student's submission demonstrated a lack of understanding of the key concepts and failed to produce a working solution.
Breakdown:
- Part 1: Load and Prepare Data: 0.0/?
- Part 2: Load Pretrained Model and Adapt: 0.0/?
- Part 3: Training and Validation Functions: 0.0/?
- Part 4: Training: 2.5/?
- Part 5: Bonus — Test Time Augmentation: 0.0/?</t>
        </is>
      </c>
      <c r="Z379" t="n">
        <v>6</v>
      </c>
      <c r="AA379" t="n">
        <v>0</v>
      </c>
      <c r="AB379" t="inlineStr">
        <is>
          <t>The student's submission failed to meet the requirements for several tasks. In Part 1, the student did not create a custom Dataset class or use ImageFolder, and did not display sample images with labels. In Part 2, the student built a CNN model with 5 convolutional layers, but did not add Batch Normalization after each layer. In Part 3, the student did not define the training loop function. In Part 4, the student did not set up the device, model, loss function, and optimizer, and did not train the model. In Part 5, the student did not redefine the CNN model with a residual connection. The student's submission did not meet the requirements for any of the tasks, and therefore did not earn any points.
Breakdown:
- Part 1: Load and Prepare Data: 0.0/?
- Part 2: Build the CNN Model: 2.0/?
- Part 3: Training and Validation Functions: 0.0/?
- Part 4: Training: 0.0/?
- Part 5: Bonus — Residual Connection: 0.0/?</t>
        </is>
      </c>
      <c r="AC379" t="n">
        <v>6</v>
      </c>
      <c r="AD379" t="inlineStr">
        <is>
          <t>The student's submission was incomplete and lacked code for most tasks. However, they did attempt to visualize predictions, which earned them 6 points. Unfortunately, their code for this task had some issues with displaying the ground truth masks. Overall, the student's submission was not well-organized and lacked a clear understanding of the tasks.
Breakdown:
- Task 1: Dataset Class: 0.0/?
- Task 2: Model Class: 0.0/?
- Task 3: Training and Validation Loops: 0.0/?
- Task 4: Running Training: 0.0/?
- Task 5: Visualizing Predictions: 6.0/?</t>
        </is>
      </c>
      <c r="AE379" t="n">
        <v>0</v>
      </c>
      <c r="AF379" t="n">
        <v>0</v>
      </c>
      <c r="AG379" t="inlineStr">
        <is>
          <t>The student's submission for Question 4 is incomplete and contains several errors. The `ColorizationDataset` class is not correctly implemented, and the `rgb_to_grayscale` method is not correctly implemented. As a result, the student does not receive any points for this question.
Breakdown:
- Correctly implemented `ColorizationDataset` class:: 0.0/?
- Any mistake in implementation: 0.0/?</t>
        </is>
      </c>
      <c r="AH379" t="n">
        <v>18</v>
      </c>
      <c r="AI379" t="n">
        <v>0</v>
      </c>
    </row>
    <row r="380">
      <c r="A380" t="n">
        <v>379</v>
      </c>
      <c r="B380" t="inlineStr">
        <is>
          <t>TA_7</t>
        </is>
      </c>
      <c r="C380" t="inlineStr">
        <is>
          <t>TA_17</t>
        </is>
      </c>
      <c r="D380" t="n">
        <v>12</v>
      </c>
      <c r="E380" t="n">
        <v>4</v>
      </c>
      <c r="F380" t="n">
        <v>11</v>
      </c>
      <c r="G380" t="n">
        <v>4</v>
      </c>
      <c r="H380" t="n">
        <v>12</v>
      </c>
      <c r="I380" t="n">
        <v>0</v>
      </c>
      <c r="J380" t="n">
        <v>12</v>
      </c>
      <c r="K380" t="n">
        <v>2</v>
      </c>
      <c r="L380" t="n">
        <v>11</v>
      </c>
      <c r="M380" t="n">
        <v>4</v>
      </c>
      <c r="N380" t="n">
        <v>12</v>
      </c>
      <c r="O380" t="n">
        <v>5</v>
      </c>
      <c r="P380">
        <f>Table1[[#This Row],[TA 1 - Q1 Score]]+Table1[[#This Row],[TA 1 - Q2 Score]]+Table1[[#This Row],[TA 1 - Q3 Score]]</f>
        <v/>
      </c>
      <c r="Q380">
        <f>Table1[[#This Row],[TA 1 - Q1 Bonus]]+Table1[[#This Row],[TA 1 - Q2 Bonus]]+Table1[[#This Row],[TA 1 - Q4 Bonus]]</f>
        <v/>
      </c>
      <c r="R380">
        <f>Table1[[#This Row],[TA 2 - Q1 Score]]+Table1[[#This Row],[TA 2 - Q2 Score]]+Table1[[#This Row],[TA 2 - Q3 Score]]</f>
        <v/>
      </c>
      <c r="S380">
        <f>Table1[[#This Row],[TA 2 - Q1 Bonus]]+Table1[[#This Row],[TA 2 - Q2 Bonus]]+Table1[[#This Row],[TA 2 - Q4 Bonus]]</f>
        <v/>
      </c>
      <c r="T380">
        <f>(Table1[[#This Row],[TA 1 - Total Score (out of 35)]]+Table1[[#This Row],[TA 2 - Total Score (out of 35)]])/2</f>
        <v/>
      </c>
      <c r="U380">
        <f>(Table1[[#This Row],[TA 1 - Total Bonus (out of 13)]]+Table1[[#This Row],[TA 2 - Total Bonus (out of 13)]])/2</f>
        <v/>
      </c>
      <c r="V380">
        <f>Table1[[#This Row],[Average Questions]]/35*20+Table1[[#This Row],[Average Bonus]]/13*5</f>
        <v/>
      </c>
      <c r="W380" t="n">
        <v>6</v>
      </c>
      <c r="X380" t="n">
        <v>0</v>
      </c>
      <c r="Y38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implementation of test time augmentation was also incomplete.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380" t="n">
        <v>6</v>
      </c>
      <c r="AA380" t="n">
        <v>0</v>
      </c>
      <c r="AB380" t="inlineStr">
        <is>
          <t>The student's submission failed to implement several key tasks, including loading and preparing the data, building the CNN model, training and validation functions, and training the model. The student also failed to implement the residual connection correctly and retrain the model with the residual connection. As a result, the student's submission was awarded 0 points for each of these tasks.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380" t="n">
        <v>6</v>
      </c>
      <c r="AD380" t="inlineStr">
        <is>
          <t>The student's submission was incomplete and lacked code for several tasks. While the code for visualizing predictions was mostly correct, it did not display the ground truth masks correctly. As a result, the student was awarded 0 points for the first four tasks and 6 points for the fifth task.
Breakdown:
- Task 1: Dataset Class: 0.0/?
- Task 2: Model Class: 0.0/?
- Task 3: Training and Validation Loops: 0.0/?
- Task 4: Running Training: 0.0/?
- Task 5: Visualizing Predictions: 6.0/?</t>
        </is>
      </c>
      <c r="AE380" t="n">
        <v>0</v>
      </c>
      <c r="AF380" t="n">
        <v>0</v>
      </c>
      <c r="AG380" t="inlineStr">
        <is>
          <t>The student's submission does not meet the requirements of the task. The `ColorizationDataset` class is not implemented correctly, and the `rgb_to_grayscale` method uses numpy, which is not the expected implementation. Additionally, the `__getitem__` method does not return the correct grayscale image. As a result, the student does not receive any points for this task.
Breakdown:
- Correctly implemented `ColorizationDataset` class:: 0.0/?</t>
        </is>
      </c>
      <c r="AH380" t="n">
        <v>18</v>
      </c>
      <c r="AI380" t="n">
        <v>0</v>
      </c>
    </row>
    <row r="381">
      <c r="A381" t="n">
        <v>380</v>
      </c>
      <c r="B381" t="inlineStr">
        <is>
          <t>TA_7</t>
        </is>
      </c>
      <c r="C381" t="inlineStr">
        <is>
          <t>TA_17</t>
        </is>
      </c>
      <c r="D381" t="n">
        <v>11</v>
      </c>
      <c r="E381" t="n">
        <v>4</v>
      </c>
      <c r="F381" t="n">
        <v>11</v>
      </c>
      <c r="G381" t="n">
        <v>4</v>
      </c>
      <c r="H381" t="n">
        <v>12</v>
      </c>
      <c r="I381" t="n">
        <v>5</v>
      </c>
      <c r="J381" t="n">
        <v>11</v>
      </c>
      <c r="K381" t="n">
        <v>4</v>
      </c>
      <c r="L381" t="n">
        <v>11</v>
      </c>
      <c r="M381" t="n">
        <v>4</v>
      </c>
      <c r="N381" t="n">
        <v>12</v>
      </c>
      <c r="O381" t="n">
        <v>5</v>
      </c>
      <c r="P381">
        <f>Table1[[#This Row],[TA 1 - Q1 Score]]+Table1[[#This Row],[TA 1 - Q2 Score]]+Table1[[#This Row],[TA 1 - Q3 Score]]</f>
        <v/>
      </c>
      <c r="Q381">
        <f>Table1[[#This Row],[TA 1 - Q1 Bonus]]+Table1[[#This Row],[TA 1 - Q2 Bonus]]+Table1[[#This Row],[TA 1 - Q4 Bonus]]</f>
        <v/>
      </c>
      <c r="R381">
        <f>Table1[[#This Row],[TA 2 - Q1 Score]]+Table1[[#This Row],[TA 2 - Q2 Score]]+Table1[[#This Row],[TA 2 - Q3 Score]]</f>
        <v/>
      </c>
      <c r="S381">
        <f>Table1[[#This Row],[TA 2 - Q1 Bonus]]+Table1[[#This Row],[TA 2 - Q2 Bonus]]+Table1[[#This Row],[TA 2 - Q4 Bonus]]</f>
        <v/>
      </c>
      <c r="T381">
        <f>(Table1[[#This Row],[TA 1 - Total Score (out of 35)]]+Table1[[#This Row],[TA 2 - Total Score (out of 35)]])/2</f>
        <v/>
      </c>
      <c r="U381">
        <f>(Table1[[#This Row],[TA 1 - Total Bonus (out of 13)]]+Table1[[#This Row],[TA 2 - Total Bonus (out of 13)]])/2</f>
        <v/>
      </c>
      <c r="V381">
        <f>Table1[[#This Row],[Average Questions]]/35*20+Table1[[#This Row],[Average Bonus]]/13*5</f>
        <v/>
      </c>
      <c r="W381" t="n">
        <v>6</v>
      </c>
      <c r="X381" t="n">
        <v>0</v>
      </c>
      <c r="Y38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6.0/?
- Part 5: Bonus — Test Time Augmentation: 0.0/?</t>
        </is>
      </c>
      <c r="Z381" t="n">
        <v>4</v>
      </c>
      <c r="AA381" t="n">
        <v>0</v>
      </c>
      <c r="AB381" t="inlineStr">
        <is>
          <t>The student's submission failed to meet the requirements of the task. The code did not load and prepare the data correctly, and the CNN model was not built as specified. The training and validation functions were not implemented, and the training process was not executed. The bonus task of adding a residual connection was not attempted. As a result, the student received 0 points for each task.
Breakdown:
- Part 1: Load and Prepare Data: 0.0/?
- Part 2: Build the CNN Model: 0.0/?
- Part 3: Training and Validation Functions: 0.0/?
- Part 4: Training: 0.0/?
- Part 5: Bonus — Residual Connection: 0.0/?</t>
        </is>
      </c>
      <c r="AC381" t="n">
        <v>6</v>
      </c>
      <c r="AD381" t="inlineStr">
        <is>
          <t>The student's submission was incomplete, with no code submitted for Tasks 1-4. However, the code for Task 5 was mostly correct, with the student successfully visualizing the predictions against the ground truth for several images. The only issue was that the ground truth masks were not displayed correctly.
Breakdown:
- Task 1: Dataset Class: 0.0/?
- Task 2: Model Class: 0.0/?
- Task 3: Training and Validation Loops: 0.0/?
- Task 4: Running Training: 0.0/?
- Task 5: Visualizing Predictions: 6.0/?</t>
        </is>
      </c>
      <c r="AE381" t="n">
        <v>0</v>
      </c>
      <c r="AF381" t="n">
        <v>0</v>
      </c>
      <c r="AG381" t="inlineStr">
        <is>
          <t>The student's submission does not meet the requirements of the task. The `ColorizationDataset` class is not implemented correctly, and the code has several syntax and logic mistakes. The student attempted to implement the `rgb_to_grayscale` method using numpy, which is not the correct approach. Additionally, the `__getitem__` method does not return the correct (grayscale, color) tuple. Therefore, the student did not earn any points for this task.
Breakdown:
- Correctly implemented `ColorizationDataset` class:: 0.0/?</t>
        </is>
      </c>
      <c r="AH381" t="n">
        <v>16</v>
      </c>
      <c r="AI381" t="n">
        <v>0</v>
      </c>
    </row>
    <row r="382">
      <c r="A382" t="n">
        <v>381</v>
      </c>
      <c r="B382" t="inlineStr">
        <is>
          <t>TA_7</t>
        </is>
      </c>
      <c r="C382" t="inlineStr">
        <is>
          <t>TA_17</t>
        </is>
      </c>
      <c r="D382" t="n">
        <v>12</v>
      </c>
      <c r="E382" t="n">
        <v>4</v>
      </c>
      <c r="F382" t="n">
        <v>11</v>
      </c>
      <c r="G382" t="n">
        <v>4</v>
      </c>
      <c r="H382" t="n">
        <v>12</v>
      </c>
      <c r="I382" t="n">
        <v>0</v>
      </c>
      <c r="J382" t="n">
        <v>11</v>
      </c>
      <c r="K382" t="n">
        <v>0</v>
      </c>
      <c r="L382" t="n">
        <v>11</v>
      </c>
      <c r="M382" t="n">
        <v>4</v>
      </c>
      <c r="N382" t="n">
        <v>12</v>
      </c>
      <c r="O382" t="n">
        <v>0</v>
      </c>
      <c r="P382">
        <f>Table1[[#This Row],[TA 1 - Q1 Score]]+Table1[[#This Row],[TA 1 - Q2 Score]]+Table1[[#This Row],[TA 1 - Q3 Score]]</f>
        <v/>
      </c>
      <c r="Q382">
        <f>Table1[[#This Row],[TA 1 - Q1 Bonus]]+Table1[[#This Row],[TA 1 - Q2 Bonus]]+Table1[[#This Row],[TA 1 - Q4 Bonus]]</f>
        <v/>
      </c>
      <c r="R382">
        <f>Table1[[#This Row],[TA 2 - Q1 Score]]+Table1[[#This Row],[TA 2 - Q2 Score]]+Table1[[#This Row],[TA 2 - Q3 Score]]</f>
        <v/>
      </c>
      <c r="S382">
        <f>Table1[[#This Row],[TA 2 - Q1 Bonus]]+Table1[[#This Row],[TA 2 - Q2 Bonus]]+Table1[[#This Row],[TA 2 - Q4 Bonus]]</f>
        <v/>
      </c>
      <c r="T382">
        <f>(Table1[[#This Row],[TA 1 - Total Score (out of 35)]]+Table1[[#This Row],[TA 2 - Total Score (out of 35)]])/2</f>
        <v/>
      </c>
      <c r="U382">
        <f>(Table1[[#This Row],[TA 1 - Total Bonus (out of 13)]]+Table1[[#This Row],[TA 2 - Total Bonus (out of 13)]])/2</f>
        <v/>
      </c>
      <c r="V382">
        <f>Table1[[#This Row],[Average Questions]]/35*20+Table1[[#This Row],[Average Bonus]]/13*5</f>
        <v/>
      </c>
      <c r="W382" t="n">
        <v>6</v>
      </c>
      <c r="X382" t="n">
        <v>0</v>
      </c>
      <c r="Y382" t="inlineStr">
        <is>
          <t>The student's submission failed to complete several key tasks, including loading and preparing the data, loading a pretrained model and adapting it, and implementing test time augmentation. While they made an attempt at the training and validation functions, their implementation was incomplete and did not run end-to-end. As a result, the student was unable to train the model and evaluate its performance. The submission did not demonstrate a clear understanding of the required tasks and concepts.
Breakdown:
- Part 1: Load and Prepare Data: 0.0/?
- Part 2: Load Pretrained Model and Adapt: 0.0/?
- Part 3: Training and Validation Functions: 1.5/?
- Part 4: Training: 2.5/?
- Part 5: Bonus — Test Time Augmentation: 0.0/?</t>
        </is>
      </c>
      <c r="Z382" t="n">
        <v>6</v>
      </c>
      <c r="AA382" t="n">
        <v>0</v>
      </c>
      <c r="AB382" t="inlineStr">
        <is>
          <t>The student's submission failed to meet the requirements for several tasks. In Part 1, the student incorrectly used the ImageFolder class and failed to implement the transforms and display sample images with labels. In Part 2, the student's CNN model class did not meet the specifications, and the student failed to implement the residual connection in Part 5. Additionally, the student's code for Part 3 and Part 4 was incomplete and did not meet the requirements. As a result, the student earned 0 points for these tasks. The student earned 2 points for Part 4, as the code for training the model was partially correct.
Breakdown:
- Part 1: Load and Prepare Data: 0.0/?
- Part 2: Build the CNN Model: 0.0/?
- Part 3: Training and Validation Functions: 0.0/?
- Part 4: Training: 2.0/?
- Part 5: Bonus — Residual Connection: 0.0/?</t>
        </is>
      </c>
      <c r="AC382" t="n">
        <v>6</v>
      </c>
      <c r="AD382" t="inlineStr">
        <is>
          <t>The student's submission is incomplete and lacks code for several tasks. While they attempted to visualize predictions, the code is not fully implemented and does not run end-to-end. As a result, the student earns 0 points for Tasks 1-4 and 6 points for Task 5, for a total score of 6.0.
Breakdown:
- Task 1: Dataset Class: 0.0/?
- Task 2: Model Class: 0.0/?
- Task 3: Training and Validation Loops: 0.0/?
- Task 4: Running Training: 0.0/?
- Task 5: Visualizing Predictions: 6.0/?</t>
        </is>
      </c>
      <c r="AE382" t="n">
        <v>0</v>
      </c>
      <c r="AF382" t="n">
        <v>0</v>
      </c>
      <c r="AG382" t="inlineStr">
        <is>
          <t>No submission found.</t>
        </is>
      </c>
      <c r="AH382" t="n">
        <v>18</v>
      </c>
      <c r="AI382" t="n">
        <v>0</v>
      </c>
    </row>
    <row r="383">
      <c r="A383" t="n">
        <v>382</v>
      </c>
      <c r="B383" t="inlineStr">
        <is>
          <t>TA_7</t>
        </is>
      </c>
      <c r="C383" t="inlineStr">
        <is>
          <t>TA_17</t>
        </is>
      </c>
      <c r="D383" t="n">
        <v>12</v>
      </c>
      <c r="E383" t="n">
        <v>0</v>
      </c>
      <c r="F383" t="n">
        <v>8</v>
      </c>
      <c r="G383" t="n">
        <v>0</v>
      </c>
      <c r="H383" t="n">
        <v>7</v>
      </c>
      <c r="I383" t="n">
        <v>0</v>
      </c>
      <c r="J383" t="n">
        <v>12</v>
      </c>
      <c r="K383" t="n">
        <v>0</v>
      </c>
      <c r="L383" t="n">
        <v>8.5</v>
      </c>
      <c r="M383" t="n">
        <v>0</v>
      </c>
      <c r="N383" t="n">
        <v>6</v>
      </c>
      <c r="O383" t="n">
        <v>0</v>
      </c>
      <c r="P383">
        <f>Table1[[#This Row],[TA 1 - Q1 Score]]+Table1[[#This Row],[TA 1 - Q2 Score]]+Table1[[#This Row],[TA 1 - Q3 Score]]</f>
        <v/>
      </c>
      <c r="Q383">
        <f>Table1[[#This Row],[TA 1 - Q1 Bonus]]+Table1[[#This Row],[TA 1 - Q2 Bonus]]+Table1[[#This Row],[TA 1 - Q4 Bonus]]</f>
        <v/>
      </c>
      <c r="R383">
        <f>Table1[[#This Row],[TA 2 - Q1 Score]]+Table1[[#This Row],[TA 2 - Q2 Score]]+Table1[[#This Row],[TA 2 - Q3 Score]]</f>
        <v/>
      </c>
      <c r="S383">
        <f>Table1[[#This Row],[TA 2 - Q1 Bonus]]+Table1[[#This Row],[TA 2 - Q2 Bonus]]+Table1[[#This Row],[TA 2 - Q4 Bonus]]</f>
        <v/>
      </c>
      <c r="T383">
        <f>(Table1[[#This Row],[TA 1 - Total Score (out of 35)]]+Table1[[#This Row],[TA 2 - Total Score (out of 35)]])/2</f>
        <v/>
      </c>
      <c r="U383">
        <f>(Table1[[#This Row],[TA 1 - Total Bonus (out of 13)]]+Table1[[#This Row],[TA 2 - Total Bonus (out of 13)]])/2</f>
        <v/>
      </c>
      <c r="V383">
        <f>Table1[[#This Row],[Average Questions]]/35*20+Table1[[#This Row],[Average Bonus]]/13*5</f>
        <v/>
      </c>
      <c r="W383" t="n">
        <v>6</v>
      </c>
      <c r="X383" t="n">
        <v>0</v>
      </c>
      <c r="Y383" t="inlineStr">
        <is>
          <t>The student's submission failed to complete several key tasks, including loading and preparing the data, loading the pretrained model and adapting it, and implementing the training and validation functions. Although the student attempted to train the model, their implementation was incomplete and did not follow the reference solution.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2.0/?
- Part 5: Bonus — Test Time Augmentation: 0.0/?</t>
        </is>
      </c>
      <c r="Z383" t="n">
        <v>4</v>
      </c>
      <c r="AA383" t="n">
        <v>0</v>
      </c>
      <c r="AB383"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83" t="n">
        <v>6</v>
      </c>
      <c r="AD383"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383" t="n">
        <v>0</v>
      </c>
      <c r="AF383" t="n">
        <v>0</v>
      </c>
      <c r="AG383" t="inlineStr">
        <is>
          <t>No submission found.</t>
        </is>
      </c>
      <c r="AH383" t="n">
        <v>16</v>
      </c>
      <c r="AI383" t="n">
        <v>0</v>
      </c>
    </row>
    <row r="384">
      <c r="A384" t="n">
        <v>383</v>
      </c>
      <c r="B384" t="inlineStr">
        <is>
          <t>TA_7</t>
        </is>
      </c>
      <c r="C384" t="inlineStr">
        <is>
          <t>TA_17</t>
        </is>
      </c>
      <c r="D384" t="n">
        <v>10.5</v>
      </c>
      <c r="E384" t="n">
        <v>0</v>
      </c>
      <c r="F384" t="n">
        <v>8.5</v>
      </c>
      <c r="G384" t="n">
        <v>0</v>
      </c>
      <c r="H384" t="n">
        <v>7</v>
      </c>
      <c r="I384" t="n">
        <v>0</v>
      </c>
      <c r="J384" t="n">
        <v>6</v>
      </c>
      <c r="K384" t="n">
        <v>0</v>
      </c>
      <c r="L384" t="n">
        <v>8.5</v>
      </c>
      <c r="M384" t="n">
        <v>1.5</v>
      </c>
      <c r="N384" t="n">
        <v>7.5</v>
      </c>
      <c r="O384" t="n">
        <v>0</v>
      </c>
      <c r="P384">
        <f>Table1[[#This Row],[TA 1 - Q1 Score]]+Table1[[#This Row],[TA 1 - Q2 Score]]+Table1[[#This Row],[TA 1 - Q3 Score]]</f>
        <v/>
      </c>
      <c r="Q384">
        <f>Table1[[#This Row],[TA 1 - Q1 Bonus]]+Table1[[#This Row],[TA 1 - Q2 Bonus]]+Table1[[#This Row],[TA 1 - Q4 Bonus]]</f>
        <v/>
      </c>
      <c r="R384">
        <f>Table1[[#This Row],[TA 2 - Q1 Score]]+Table1[[#This Row],[TA 2 - Q2 Score]]+Table1[[#This Row],[TA 2 - Q3 Score]]</f>
        <v/>
      </c>
      <c r="S384">
        <f>Table1[[#This Row],[TA 2 - Q1 Bonus]]+Table1[[#This Row],[TA 2 - Q2 Bonus]]+Table1[[#This Row],[TA 2 - Q4 Bonus]]</f>
        <v/>
      </c>
      <c r="T384">
        <f>(Table1[[#This Row],[TA 1 - Total Score (out of 35)]]+Table1[[#This Row],[TA 2 - Total Score (out of 35)]])/2</f>
        <v/>
      </c>
      <c r="U384">
        <f>(Table1[[#This Row],[TA 1 - Total Bonus (out of 13)]]+Table1[[#This Row],[TA 2 - Total Bonus (out of 13)]])/2</f>
        <v/>
      </c>
      <c r="V384">
        <f>Table1[[#This Row],[Average Questions]]/35*20+Table1[[#This Row],[Average Bonus]]/13*5</f>
        <v/>
      </c>
      <c r="W384" t="n">
        <v>6</v>
      </c>
      <c r="X384" t="n">
        <v>0</v>
      </c>
      <c r="Y38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6.0/?
- Part 5: Bonus — Test Time Augmentation: 0.0/?</t>
        </is>
      </c>
      <c r="Z384" t="n">
        <v>4</v>
      </c>
      <c r="AA384" t="n">
        <v>0</v>
      </c>
      <c r="AB384"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84" t="n">
        <v>6</v>
      </c>
      <c r="AD384" t="inlineStr">
        <is>
          <t>The student's submission is incomplete and lacks code for several tasks. While they attempted to visualize predictions, their code is not fully functional and does not meet the requirements of the task. As a result, the student earns 0 points for the majority of the tasks and 6 points for the task of visualizing predictions, which is the only task they partially completed.
Breakdown:
- Task 1: Dataset Class: 0.0/?
- Task 2: Model Class: 0.0/?
- Task 3: Training and Validation Loops: 0.0/?
- Task 4: Running Training: 0.0/?
- Task 5: Visualizing Predictions: 6.0/?</t>
        </is>
      </c>
      <c r="AE384" t="n">
        <v>0</v>
      </c>
      <c r="AF384" t="n">
        <v>0</v>
      </c>
      <c r="AG384" t="inlineStr">
        <is>
          <t>No submission found.</t>
        </is>
      </c>
      <c r="AH384" t="n">
        <v>16</v>
      </c>
      <c r="AI384" t="n">
        <v>0</v>
      </c>
    </row>
    <row r="385">
      <c r="A385" t="n">
        <v>384</v>
      </c>
      <c r="B385" t="inlineStr">
        <is>
          <t>TA_7</t>
        </is>
      </c>
      <c r="C385" t="inlineStr">
        <is>
          <t>TA_17</t>
        </is>
      </c>
      <c r="D385" t="n">
        <v>2</v>
      </c>
      <c r="E385" t="n">
        <v>0</v>
      </c>
      <c r="F385" t="n">
        <v>4</v>
      </c>
      <c r="G385" t="n">
        <v>0</v>
      </c>
      <c r="H385" t="n">
        <v>5.5</v>
      </c>
      <c r="I385" t="n">
        <v>0</v>
      </c>
      <c r="J385" t="n">
        <v>3</v>
      </c>
      <c r="K385" t="n">
        <v>0</v>
      </c>
      <c r="L385" t="n">
        <v>4</v>
      </c>
      <c r="M385" t="n">
        <v>0</v>
      </c>
      <c r="N385" t="n">
        <v>2</v>
      </c>
      <c r="O385" t="n">
        <v>0</v>
      </c>
      <c r="P385">
        <f>Table1[[#This Row],[TA 1 - Q1 Score]]+Table1[[#This Row],[TA 1 - Q2 Score]]+Table1[[#This Row],[TA 1 - Q3 Score]]</f>
        <v/>
      </c>
      <c r="Q385">
        <f>Table1[[#This Row],[TA 1 - Q1 Bonus]]+Table1[[#This Row],[TA 1 - Q2 Bonus]]+Table1[[#This Row],[TA 1 - Q4 Bonus]]</f>
        <v/>
      </c>
      <c r="R385">
        <f>Table1[[#This Row],[TA 2 - Q1 Score]]+Table1[[#This Row],[TA 2 - Q2 Score]]+Table1[[#This Row],[TA 2 - Q3 Score]]</f>
        <v/>
      </c>
      <c r="S385">
        <f>Table1[[#This Row],[TA 2 - Q1 Bonus]]+Table1[[#This Row],[TA 2 - Q2 Bonus]]+Table1[[#This Row],[TA 2 - Q4 Bonus]]</f>
        <v/>
      </c>
      <c r="T385">
        <f>(Table1[[#This Row],[TA 1 - Total Score (out of 35)]]+Table1[[#This Row],[TA 2 - Total Score (out of 35)]])/2</f>
        <v/>
      </c>
      <c r="U385">
        <f>(Table1[[#This Row],[TA 1 - Total Bonus (out of 13)]]+Table1[[#This Row],[TA 2 - Total Bonus (out of 13)]])/2</f>
        <v/>
      </c>
      <c r="V385">
        <f>Table1[[#This Row],[Average Questions]]/35*20+Table1[[#This Row],[Average Bonus]]/13*5</f>
        <v/>
      </c>
      <c r="W385" t="n">
        <v>6</v>
      </c>
      <c r="X385" t="n">
        <v>0</v>
      </c>
      <c r="Y385" t="inlineStr">
        <is>
          <t>The student's submission failed to complete several key tasks, including loading and preparing the data, loading the pretrained model and adapting it, and implementing the training and validation functions. While the student did attempt to train the model, their code contained several errors and did not run end-to-end. The bonus task was not attempted. Overall, the submission demonstrated a lack of understanding of the required tasks and a failure to execute the code correctly.
Breakdown:
- Part 1: Load and Prepare Data: 0.0/?
- Part 2: Load Pretrained Model and Adapt: 0.0/?
- Part 3: Training and Validation Functions: 0.0/?
- Part 4: Training: 2.0/?
- Part 5: Bonus — Test Time Augmentation: 0.0/?</t>
        </is>
      </c>
      <c r="Z385" t="n">
        <v>4</v>
      </c>
      <c r="AA385" t="n">
        <v>0</v>
      </c>
      <c r="AB385"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disorganized and does not run end-to-end. As a result, the student receives 0% for each task.
Breakdown:
- Part 1: Load and Prepare Data: 0.0/?
- Part 2: Build the CNN Model: 0.0/?
- Part 3: Training and Validation Functions: 0.0/?
- Part 4: Training: 0.0/?
- Part 5: Bonus — Residual Connection: 0.0/?</t>
        </is>
      </c>
      <c r="AC385" t="n">
        <v>6</v>
      </c>
      <c r="AD385" t="inlineStr">
        <is>
          <t>The student's submission failed to meet the requirements of the task. The code was not organized correctly, and several tasks were not implemented. The model class was not defined correctly, and the training and validation loops were not implemented. The training process was not implemented correctly, and the visualization of predictions was not implemented. As a result, the student did not earn any points for this task.
Breakdown:
- Task 1: Dataset Class: 0.0/?
- Task 2: Model Class: 0.0/?
- Task 3: Training and Validation Loops: 0.0/?
- Task 4: Running Training: 0.0/?
- Task 5: Visualizing Predictions: 0.0/?</t>
        </is>
      </c>
      <c r="AE385" t="n">
        <v>0</v>
      </c>
      <c r="AF385" t="n">
        <v>0</v>
      </c>
      <c r="AG385" t="inlineStr">
        <is>
          <t>No submission found.</t>
        </is>
      </c>
      <c r="AH385" t="n">
        <v>16</v>
      </c>
      <c r="AI385" t="n">
        <v>0</v>
      </c>
    </row>
    <row r="386">
      <c r="A386" t="n">
        <v>385</v>
      </c>
      <c r="B386" t="inlineStr">
        <is>
          <t>TA_7</t>
        </is>
      </c>
      <c r="C386" t="inlineStr">
        <is>
          <t>TA_17</t>
        </is>
      </c>
      <c r="D386" t="n">
        <v>4</v>
      </c>
      <c r="E386" t="n">
        <v>0</v>
      </c>
      <c r="F386" t="n">
        <v>7.5</v>
      </c>
      <c r="G386" t="n">
        <v>0</v>
      </c>
      <c r="H386" t="n">
        <v>5.5</v>
      </c>
      <c r="I386" t="n">
        <v>0</v>
      </c>
      <c r="J386" t="n">
        <v>5</v>
      </c>
      <c r="K386" t="n">
        <v>0</v>
      </c>
      <c r="L386" t="n">
        <v>8</v>
      </c>
      <c r="M386" t="n">
        <v>0</v>
      </c>
      <c r="N386" t="n">
        <v>2</v>
      </c>
      <c r="O386" t="n">
        <v>0</v>
      </c>
      <c r="P386">
        <f>Table1[[#This Row],[TA 1 - Q1 Score]]+Table1[[#This Row],[TA 1 - Q2 Score]]+Table1[[#This Row],[TA 1 - Q3 Score]]</f>
        <v/>
      </c>
      <c r="Q386">
        <f>Table1[[#This Row],[TA 1 - Q1 Bonus]]+Table1[[#This Row],[TA 1 - Q2 Bonus]]+Table1[[#This Row],[TA 1 - Q4 Bonus]]</f>
        <v/>
      </c>
      <c r="R386">
        <f>Table1[[#This Row],[TA 2 - Q1 Score]]+Table1[[#This Row],[TA 2 - Q2 Score]]+Table1[[#This Row],[TA 2 - Q3 Score]]</f>
        <v/>
      </c>
      <c r="S386">
        <f>Table1[[#This Row],[TA 2 - Q1 Bonus]]+Table1[[#This Row],[TA 2 - Q2 Bonus]]+Table1[[#This Row],[TA 2 - Q4 Bonus]]</f>
        <v/>
      </c>
      <c r="T386">
        <f>(Table1[[#This Row],[TA 1 - Total Score (out of 35)]]+Table1[[#This Row],[TA 2 - Total Score (out of 35)]])/2</f>
        <v/>
      </c>
      <c r="U386">
        <f>(Table1[[#This Row],[TA 1 - Total Bonus (out of 13)]]+Table1[[#This Row],[TA 2 - Total Bonus (out of 13)]])/2</f>
        <v/>
      </c>
      <c r="V386">
        <f>Table1[[#This Row],[Average Questions]]/35*20+Table1[[#This Row],[Average Bonus]]/13*5</f>
        <v/>
      </c>
      <c r="W386" t="n">
        <v>6</v>
      </c>
      <c r="X386" t="n">
        <v>0</v>
      </c>
      <c r="Y386"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resulting in a low overall score. The bonus task was not attempted.
Breakdown:
- Part 1: Load and Prepare Data: 0.0/?
- Part 2: Load Pretrained Model and Adapt: 0.0/?
- Part 3: Training and Validation Functions: 0.0/?
- Part 4: Training: 2.0/?
- Part 5: Bonus — Test Time Augmentation: 0.0/?</t>
        </is>
      </c>
      <c r="Z386" t="n">
        <v>4</v>
      </c>
      <c r="AA386" t="n">
        <v>0</v>
      </c>
      <c r="AB386"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The submission did not demonstrate a clear understanding of the task and the requirements.
Breakdown:
- Part 1: Load and Prepare Data: 0.0/?
- Part 2: Build the CNN Model: 0.0/?
- Part 3: Training and Validation Functions: 0.0/?
- Part 4: Training: 0.0/?
- Part 5: Bonus — Residual Connection: 0.0/?</t>
        </is>
      </c>
      <c r="AC386" t="n">
        <v>6</v>
      </c>
      <c r="AD386" t="inlineStr">
        <is>
          <t>The student's submission failed to meet the requirements of the task. The code was not organized correctly, and many tasks were not completed. The student did not use a pretrained U-Net with efficientnet-b1 encoder, and the training and validation loops were not defined correctly. The training process was also not defined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86" t="n">
        <v>0</v>
      </c>
      <c r="AF386" t="n">
        <v>0</v>
      </c>
      <c r="AG386" t="inlineStr">
        <is>
          <t>No submission found.</t>
        </is>
      </c>
      <c r="AH386" t="n">
        <v>16</v>
      </c>
      <c r="AI386" t="n">
        <v>0</v>
      </c>
    </row>
    <row r="387">
      <c r="A387" t="n">
        <v>386</v>
      </c>
      <c r="B387" t="inlineStr">
        <is>
          <t>TA_7</t>
        </is>
      </c>
      <c r="C387" t="inlineStr">
        <is>
          <t>TA_17</t>
        </is>
      </c>
      <c r="D387" t="n">
        <v>12</v>
      </c>
      <c r="E387" t="n">
        <v>4</v>
      </c>
      <c r="F387" t="n">
        <v>11</v>
      </c>
      <c r="G387" t="n">
        <v>1</v>
      </c>
      <c r="H387" t="n">
        <v>7.5</v>
      </c>
      <c r="I387" t="n">
        <v>0</v>
      </c>
      <c r="J387" t="n">
        <v>11.5</v>
      </c>
      <c r="K387" t="n">
        <v>4</v>
      </c>
      <c r="L387" t="n">
        <v>11</v>
      </c>
      <c r="M387" t="n">
        <v>0</v>
      </c>
      <c r="N387" t="n">
        <v>11</v>
      </c>
      <c r="O387" t="n">
        <v>0</v>
      </c>
      <c r="P387">
        <f>Table1[[#This Row],[TA 1 - Q1 Score]]+Table1[[#This Row],[TA 1 - Q2 Score]]+Table1[[#This Row],[TA 1 - Q3 Score]]</f>
        <v/>
      </c>
      <c r="Q387">
        <f>Table1[[#This Row],[TA 1 - Q1 Bonus]]+Table1[[#This Row],[TA 1 - Q2 Bonus]]+Table1[[#This Row],[TA 1 - Q4 Bonus]]</f>
        <v/>
      </c>
      <c r="R387">
        <f>Table1[[#This Row],[TA 2 - Q1 Score]]+Table1[[#This Row],[TA 2 - Q2 Score]]+Table1[[#This Row],[TA 2 - Q3 Score]]</f>
        <v/>
      </c>
      <c r="S387">
        <f>Table1[[#This Row],[TA 2 - Q1 Bonus]]+Table1[[#This Row],[TA 2 - Q2 Bonus]]+Table1[[#This Row],[TA 2 - Q4 Bonus]]</f>
        <v/>
      </c>
      <c r="T387">
        <f>(Table1[[#This Row],[TA 1 - Total Score (out of 35)]]+Table1[[#This Row],[TA 2 - Total Score (out of 35)]])/2</f>
        <v/>
      </c>
      <c r="U387">
        <f>(Table1[[#This Row],[TA 1 - Total Bonus (out of 13)]]+Table1[[#This Row],[TA 2 - Total Bonus (out of 13)]])/2</f>
        <v/>
      </c>
      <c r="V387">
        <f>Table1[[#This Row],[Average Questions]]/35*20+Table1[[#This Row],[Average Bonus]]/13*5</f>
        <v/>
      </c>
      <c r="W387" t="n">
        <v>6</v>
      </c>
      <c r="X387" t="n">
        <v>0</v>
      </c>
      <c r="Y387"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387" t="n">
        <v>4</v>
      </c>
      <c r="AA387" t="n">
        <v>0</v>
      </c>
      <c r="AB387"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each task.
Breakdown:
- Part 1: Load and Prepare Data: 0.0/?
- Part 2: Build the CNN Model: 0.0/?
- Part 3: Training and Validation Functions: 0.0/?
- Part 4: Training: 0.0/?
- Part 5: Bonus — Residual Connection: 0.0/?</t>
        </is>
      </c>
      <c r="AC387" t="n">
        <v>6</v>
      </c>
      <c r="AD387"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387" t="n">
        <v>0</v>
      </c>
      <c r="AF387" t="n">
        <v>0</v>
      </c>
      <c r="AG387" t="inlineStr">
        <is>
          <t>No submission found.</t>
        </is>
      </c>
      <c r="AH387" t="n">
        <v>16</v>
      </c>
      <c r="AI387" t="n">
        <v>0</v>
      </c>
    </row>
    <row r="388">
      <c r="A388" t="n">
        <v>387</v>
      </c>
      <c r="B388" t="inlineStr">
        <is>
          <t>TA_7</t>
        </is>
      </c>
      <c r="C388" t="inlineStr">
        <is>
          <t>TA_17</t>
        </is>
      </c>
      <c r="D388" t="n">
        <v>12</v>
      </c>
      <c r="E388" t="n">
        <v>4</v>
      </c>
      <c r="F388" t="n">
        <v>10.5</v>
      </c>
      <c r="G388" t="n">
        <v>4</v>
      </c>
      <c r="H388" t="n">
        <v>11.5</v>
      </c>
      <c r="I388" t="n">
        <v>0</v>
      </c>
      <c r="J388" t="n">
        <v>12</v>
      </c>
      <c r="K388" t="n">
        <v>4</v>
      </c>
      <c r="L388" t="n">
        <v>10.5</v>
      </c>
      <c r="M388" t="n">
        <v>4</v>
      </c>
      <c r="N388" t="n">
        <v>12</v>
      </c>
      <c r="O388" t="n">
        <v>0</v>
      </c>
      <c r="P388">
        <f>Table1[[#This Row],[TA 1 - Q1 Score]]+Table1[[#This Row],[TA 1 - Q2 Score]]+Table1[[#This Row],[TA 1 - Q3 Score]]</f>
        <v/>
      </c>
      <c r="Q388">
        <f>Table1[[#This Row],[TA 1 - Q1 Bonus]]+Table1[[#This Row],[TA 1 - Q2 Bonus]]+Table1[[#This Row],[TA 1 - Q4 Bonus]]</f>
        <v/>
      </c>
      <c r="R388">
        <f>Table1[[#This Row],[TA 2 - Q1 Score]]+Table1[[#This Row],[TA 2 - Q2 Score]]+Table1[[#This Row],[TA 2 - Q3 Score]]</f>
        <v/>
      </c>
      <c r="S388">
        <f>Table1[[#This Row],[TA 2 - Q1 Bonus]]+Table1[[#This Row],[TA 2 - Q2 Bonus]]+Table1[[#This Row],[TA 2 - Q4 Bonus]]</f>
        <v/>
      </c>
      <c r="T388">
        <f>(Table1[[#This Row],[TA 1 - Total Score (out of 35)]]+Table1[[#This Row],[TA 2 - Total Score (out of 35)]])/2</f>
        <v/>
      </c>
      <c r="U388">
        <f>(Table1[[#This Row],[TA 1 - Total Bonus (out of 13)]]+Table1[[#This Row],[TA 2 - Total Bonus (out of 13)]])/2</f>
        <v/>
      </c>
      <c r="V388">
        <f>Table1[[#This Row],[Average Questions]]/35*20+Table1[[#This Row],[Average Bonus]]/13*5</f>
        <v/>
      </c>
      <c r="W388" t="n">
        <v>9</v>
      </c>
      <c r="X388" t="n">
        <v>0</v>
      </c>
      <c r="Y388"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388" t="n">
        <v>6</v>
      </c>
      <c r="AA388" t="n">
        <v>0</v>
      </c>
      <c r="AB388" t="inlineStr">
        <is>
          <t>The student's submission failed to load and prepare the data correctly, as they used the wrong dataset and did not create the train/test datasets and DataLoaders. The CNN model was not built correctly, and the training and validation functions were not implemented. Although the student attempted to train the model, they did not plot the losses and accuracy. The bonus task of adding a residual connection was not attempted.
Breakdown:
- Part 1: Load and Prepare Data: 0.0/?
- Part 2: Build the CNN Model: 0.0/?
- Part 3: Training and Validation Functions: 0.0/?
- Part 4: Training: 1.0/?
- Part 5: Bonus — Residual Connection: 0.0/?</t>
        </is>
      </c>
      <c r="AC388" t="n">
        <v>6</v>
      </c>
      <c r="AD388" t="inlineStr">
        <is>
          <t>The student's submission failed to meet the requirements of the task. The code was not organized in the same structure as the reference solution, and several tasks were not implemented correctly. The student did not use the provided functions and did not follow the instructions. As a result, the student did not earn any points for this task.
Breakdown:
- Task 1: Dataset Class: 0.0/?
- Task 2: Model Class: 0.0/?
- Task 3: Training and Validation Loops: 0.0/?
- Task 4: Running Training: 0.0/?
- Task 5: Visualizing Predictions: 0.0/?</t>
        </is>
      </c>
      <c r="AE388" t="n">
        <v>0</v>
      </c>
      <c r="AF388" t="n">
        <v>0</v>
      </c>
      <c r="AG388" t="inlineStr">
        <is>
          <t>No submission found.</t>
        </is>
      </c>
      <c r="AH388" t="n">
        <v>21</v>
      </c>
      <c r="AI388" t="n">
        <v>0</v>
      </c>
    </row>
    <row r="389">
      <c r="A389" t="n">
        <v>388</v>
      </c>
      <c r="B389" t="inlineStr">
        <is>
          <t>TA_7</t>
        </is>
      </c>
      <c r="C389" t="inlineStr">
        <is>
          <t>TA_17</t>
        </is>
      </c>
      <c r="D389" t="n">
        <v>3</v>
      </c>
      <c r="E389" t="n">
        <v>0</v>
      </c>
      <c r="F389" t="n">
        <v>7.5</v>
      </c>
      <c r="G389" t="n">
        <v>0</v>
      </c>
      <c r="H389" t="n">
        <v>7</v>
      </c>
      <c r="I389" t="n">
        <v>0</v>
      </c>
      <c r="J389" t="n">
        <v>2.5</v>
      </c>
      <c r="K389" t="n">
        <v>0</v>
      </c>
      <c r="L389" t="n">
        <v>6.5</v>
      </c>
      <c r="M389" t="n">
        <v>0</v>
      </c>
      <c r="N389" t="n">
        <v>3</v>
      </c>
      <c r="O389" t="n">
        <v>0</v>
      </c>
      <c r="P389">
        <f>Table1[[#This Row],[TA 1 - Q1 Score]]+Table1[[#This Row],[TA 1 - Q2 Score]]+Table1[[#This Row],[TA 1 - Q3 Score]]</f>
        <v/>
      </c>
      <c r="Q389">
        <f>Table1[[#This Row],[TA 1 - Q1 Bonus]]+Table1[[#This Row],[TA 1 - Q2 Bonus]]+Table1[[#This Row],[TA 1 - Q4 Bonus]]</f>
        <v/>
      </c>
      <c r="R389">
        <f>Table1[[#This Row],[TA 2 - Q1 Score]]+Table1[[#This Row],[TA 2 - Q2 Score]]+Table1[[#This Row],[TA 2 - Q3 Score]]</f>
        <v/>
      </c>
      <c r="S389">
        <f>Table1[[#This Row],[TA 2 - Q1 Bonus]]+Table1[[#This Row],[TA 2 - Q2 Bonus]]+Table1[[#This Row],[TA 2 - Q4 Bonus]]</f>
        <v/>
      </c>
      <c r="T389">
        <f>(Table1[[#This Row],[TA 1 - Total Score (out of 35)]]+Table1[[#This Row],[TA 2 - Total Score (out of 35)]])/2</f>
        <v/>
      </c>
      <c r="U389">
        <f>(Table1[[#This Row],[TA 1 - Total Bonus (out of 13)]]+Table1[[#This Row],[TA 2 - Total Bonus (out of 13)]])/2</f>
        <v/>
      </c>
      <c r="V389">
        <f>Table1[[#This Row],[Average Questions]]/35*20+Table1[[#This Row],[Average Bonus]]/13*5</f>
        <v/>
      </c>
      <c r="W389" t="n">
        <v>6</v>
      </c>
      <c r="X389" t="n">
        <v>0</v>
      </c>
      <c r="Y389"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resulting in a low overall score. The bonus task was not attempted.
Breakdown:
- Part 1: Load and Prepare Data: 0.0/?
- Part 2: Load Pretrained Model and Adapt: 0.0/?
- Part 3: Training and Validation Functions: 0.0/?
- Part 4: Training: 3.0/?
- Part 5: Bonus — Test Time Augmentation: 0.0/?</t>
        </is>
      </c>
      <c r="Z389" t="n">
        <v>4</v>
      </c>
      <c r="AA389" t="n">
        <v>0</v>
      </c>
      <c r="AB389"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add a residual connection to the model. As a result, the student did not earn any points for this task.
Breakdown:
- Part 1: Load and Prepare Data: 0.0/?
- Part 2: Build the CNN Model: 0.0/?
- Part 3: Training and Validation Functions: 0.0/?
- Part 4: Training: 0.0/?
- Part 5: Bonus — Residual Connection: 0.0/?</t>
        </is>
      </c>
      <c r="AC389" t="n">
        <v>6</v>
      </c>
      <c r="AD389" t="inlineStr">
        <is>
          <t>The student's submission failed to meet the requirements of the task. The code was not organized correctly, and the tasks were not implemented as required. The student's approach was not correct, and the code did not run end-to-end. As a result, the student did not receive any points for this task.
Breakdown:
- Task 1: Dataset Class: 0.0/?
- Task 2: Model Class: 0.0/?
- Task 3: Training and Validation Loops: 0.0/?
- Task 4: Running Training: 0.0/?
- Task 5: Visualizing Predictions: 0.0/?</t>
        </is>
      </c>
      <c r="AE389" t="n">
        <v>0</v>
      </c>
      <c r="AF389" t="n">
        <v>0</v>
      </c>
      <c r="AG389" t="inlineStr">
        <is>
          <t>No submission found.</t>
        </is>
      </c>
      <c r="AH389" t="n">
        <v>16</v>
      </c>
      <c r="AI389" t="n">
        <v>0</v>
      </c>
    </row>
    <row r="390">
      <c r="A390" t="n">
        <v>389</v>
      </c>
      <c r="B390" t="inlineStr">
        <is>
          <t>TA_7</t>
        </is>
      </c>
      <c r="C390" t="inlineStr">
        <is>
          <t>TA_17</t>
        </is>
      </c>
      <c r="D390" t="n">
        <v>12</v>
      </c>
      <c r="E390" t="n">
        <v>4</v>
      </c>
      <c r="F390" t="n">
        <v>11</v>
      </c>
      <c r="G390" t="n">
        <v>3</v>
      </c>
      <c r="H390" t="n">
        <v>9.5</v>
      </c>
      <c r="I390" t="n">
        <v>5</v>
      </c>
      <c r="J390" t="n">
        <v>10</v>
      </c>
      <c r="K390" t="n">
        <v>2</v>
      </c>
      <c r="L390" t="n">
        <v>11</v>
      </c>
      <c r="M390" t="n">
        <v>2</v>
      </c>
      <c r="N390" t="n">
        <v>12</v>
      </c>
      <c r="O390" t="n">
        <v>5</v>
      </c>
      <c r="P390">
        <f>Table1[[#This Row],[TA 1 - Q1 Score]]+Table1[[#This Row],[TA 1 - Q2 Score]]+Table1[[#This Row],[TA 1 - Q3 Score]]</f>
        <v/>
      </c>
      <c r="Q390">
        <f>Table1[[#This Row],[TA 1 - Q1 Bonus]]+Table1[[#This Row],[TA 1 - Q2 Bonus]]+Table1[[#This Row],[TA 1 - Q4 Bonus]]</f>
        <v/>
      </c>
      <c r="R390">
        <f>Table1[[#This Row],[TA 2 - Q1 Score]]+Table1[[#This Row],[TA 2 - Q2 Score]]+Table1[[#This Row],[TA 2 - Q3 Score]]</f>
        <v/>
      </c>
      <c r="S390">
        <f>Table1[[#This Row],[TA 2 - Q1 Bonus]]+Table1[[#This Row],[TA 2 - Q2 Bonus]]+Table1[[#This Row],[TA 2 - Q4 Bonus]]</f>
        <v/>
      </c>
      <c r="T390">
        <f>(Table1[[#This Row],[TA 1 - Total Score (out of 35)]]+Table1[[#This Row],[TA 2 - Total Score (out of 35)]])/2</f>
        <v/>
      </c>
      <c r="U390">
        <f>(Table1[[#This Row],[TA 1 - Total Bonus (out of 13)]]+Table1[[#This Row],[TA 2 - Total Bonus (out of 13)]])/2</f>
        <v/>
      </c>
      <c r="V390">
        <f>Table1[[#This Row],[Average Questions]]/35*20+Table1[[#This Row],[Average Bonus]]/13*5</f>
        <v/>
      </c>
      <c r="W390" t="n">
        <v>6</v>
      </c>
      <c r="X390" t="n">
        <v>0</v>
      </c>
      <c r="Y39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3.0/?
- Part 5: Bonus — Test Time Augmentation: 0.0/?</t>
        </is>
      </c>
      <c r="Z390" t="n">
        <v>6</v>
      </c>
      <c r="AA390" t="n">
        <v>0</v>
      </c>
      <c r="AB390" t="inlineStr">
        <is>
          <t>The student's submission failed to load and prepare the data correctly, as they used a different dataset and did not apply the required transforms. The CNN model was not built as per the reference solution, and the training and validation functions were not implemented. Although the student attempted to train the model, they did not plot the losses and accuracy as required. The bonus task of adding a residual connection was not attempted.
Breakdown:
- Part 1: Load and Prepare Data: 0.0/?
- Part 2: Build the CNN Model: 0.0/?
- Part 3: Training and Validation Functions: 0.0/?
- Part 4: Training: 2.0/?
- Part 5: Bonus — Residual Connection: 0.0/?</t>
        </is>
      </c>
      <c r="AC390" t="n">
        <v>6</v>
      </c>
      <c r="AD390" t="inlineStr">
        <is>
          <t>The student's submission was incomplete and lacked code for most tasks. Although they were able to display 4 images with their masks side by side, the rest of the tasks were not completed. As a result, the student was only able to earn 6 points out of a possible 12.
Breakdown:
- Task 1: Dataset Class: 0.0/?
- Task 2: Model Class: 0.0/?
- Task 3: Training and Validation Loops: 0.0/?
- Task 4: Running Training: 0.0/?
- Task 5: Visualizing Predictions: 6.0/?</t>
        </is>
      </c>
      <c r="AE390" t="n">
        <v>0</v>
      </c>
      <c r="AF390" t="n">
        <v>0</v>
      </c>
      <c r="AG390" t="inlineStr">
        <is>
          <t>The student's submission has several issues with the implementation of the `ColorizationDataset` class. The `__init__` method does not store the dataset, the `__len__` method does not return the correct length, the `rgb_to_grayscale` method does not have the correct dimensions, and the `__getitem__` method does not return the correct (grayscale, color) tuple. Additionally, the implementation has several syntax and logic mistakes. As a result, the student's submission does not meet the requirements of the task and does not run end-to-end.
Breakdown:
- Correctly implemented `ColorizationDataset` class:: 0.0/?
- Any mistake in implementation: 0.0/?</t>
        </is>
      </c>
      <c r="AH390" t="n">
        <v>18</v>
      </c>
      <c r="AI390" t="n">
        <v>0</v>
      </c>
    </row>
    <row r="391">
      <c r="A391" t="n">
        <v>390</v>
      </c>
      <c r="B391" t="inlineStr">
        <is>
          <t>TA_7</t>
        </is>
      </c>
      <c r="C391" t="inlineStr">
        <is>
          <t>TA_17</t>
        </is>
      </c>
      <c r="D391" t="n">
        <v>11</v>
      </c>
      <c r="E391" t="n">
        <v>0</v>
      </c>
      <c r="F391" t="n">
        <v>11</v>
      </c>
      <c r="G391" t="n">
        <v>0</v>
      </c>
      <c r="H391" t="n">
        <v>9</v>
      </c>
      <c r="I391" t="n">
        <v>0</v>
      </c>
      <c r="J391" t="n">
        <v>10.5</v>
      </c>
      <c r="K391" t="n">
        <v>0</v>
      </c>
      <c r="L391" t="n">
        <v>11</v>
      </c>
      <c r="M391" t="n">
        <v>0</v>
      </c>
      <c r="N391" t="n">
        <v>11</v>
      </c>
      <c r="O391" t="n">
        <v>0</v>
      </c>
      <c r="P391">
        <f>Table1[[#This Row],[TA 1 - Q1 Score]]+Table1[[#This Row],[TA 1 - Q2 Score]]+Table1[[#This Row],[TA 1 - Q3 Score]]</f>
        <v/>
      </c>
      <c r="Q391">
        <f>Table1[[#This Row],[TA 1 - Q1 Bonus]]+Table1[[#This Row],[TA 1 - Q2 Bonus]]+Table1[[#This Row],[TA 1 - Q4 Bonus]]</f>
        <v/>
      </c>
      <c r="R391">
        <f>Table1[[#This Row],[TA 2 - Q1 Score]]+Table1[[#This Row],[TA 2 - Q2 Score]]+Table1[[#This Row],[TA 2 - Q3 Score]]</f>
        <v/>
      </c>
      <c r="S391">
        <f>Table1[[#This Row],[TA 2 - Q1 Bonus]]+Table1[[#This Row],[TA 2 - Q2 Bonus]]+Table1[[#This Row],[TA 2 - Q4 Bonus]]</f>
        <v/>
      </c>
      <c r="T391">
        <f>(Table1[[#This Row],[TA 1 - Total Score (out of 35)]]+Table1[[#This Row],[TA 2 - Total Score (out of 35)]])/2</f>
        <v/>
      </c>
      <c r="U391">
        <f>(Table1[[#This Row],[TA 1 - Total Bonus (out of 13)]]+Table1[[#This Row],[TA 2 - Total Bonus (out of 13)]])/2</f>
        <v/>
      </c>
      <c r="V391">
        <f>Table1[[#This Row],[Average Questions]]/35*20+Table1[[#This Row],[Average Bonus]]/13*5</f>
        <v/>
      </c>
      <c r="W391" t="n">
        <v>6</v>
      </c>
      <c r="X391" t="n">
        <v>0</v>
      </c>
      <c r="Y39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2.0/?
- Part 5: Bonus — Test Time Augmentation: 0.0/?</t>
        </is>
      </c>
      <c r="Z391" t="n">
        <v>4</v>
      </c>
      <c r="AA391" t="n">
        <v>0</v>
      </c>
      <c r="AB391"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91" t="n">
        <v>6</v>
      </c>
      <c r="AD391"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391" t="n">
        <v>0</v>
      </c>
      <c r="AF391" t="n">
        <v>0</v>
      </c>
      <c r="AG391" t="inlineStr">
        <is>
          <t>The student's submission did not implement the `ColorizationDataset` class correctly, resulting in a score of 0.0 for the base task. Since the student did not implement the class correctly, they did not attempt the bonus task, resulting in a score of 0.0 for the bonus task.
Breakdown:
- Correctly implemented `ColorizationDataset` class:: 0.0/?
- Any mistake in implementation: 0.0/?</t>
        </is>
      </c>
      <c r="AH391" t="n">
        <v>16</v>
      </c>
      <c r="AI391" t="n">
        <v>0</v>
      </c>
    </row>
    <row r="392">
      <c r="A392" t="n">
        <v>391</v>
      </c>
      <c r="B392" t="inlineStr">
        <is>
          <t>TA_7</t>
        </is>
      </c>
      <c r="C392" t="inlineStr">
        <is>
          <t>TA_17</t>
        </is>
      </c>
      <c r="D392" t="n">
        <v>10.5</v>
      </c>
      <c r="E392" t="n">
        <v>0</v>
      </c>
      <c r="F392" t="n">
        <v>8</v>
      </c>
      <c r="G392" t="n">
        <v>0</v>
      </c>
      <c r="H392" t="n">
        <v>8.5</v>
      </c>
      <c r="I392" t="n">
        <v>0</v>
      </c>
      <c r="J392" t="n">
        <v>10.5</v>
      </c>
      <c r="K392" t="n">
        <v>0</v>
      </c>
      <c r="L392" t="n">
        <v>9.5</v>
      </c>
      <c r="M392" t="n">
        <v>0</v>
      </c>
      <c r="N392" t="n">
        <v>11.5</v>
      </c>
      <c r="O392" t="n">
        <v>0</v>
      </c>
      <c r="P392">
        <f>Table1[[#This Row],[TA 1 - Q1 Score]]+Table1[[#This Row],[TA 1 - Q2 Score]]+Table1[[#This Row],[TA 1 - Q3 Score]]</f>
        <v/>
      </c>
      <c r="Q392">
        <f>Table1[[#This Row],[TA 1 - Q1 Bonus]]+Table1[[#This Row],[TA 1 - Q2 Bonus]]+Table1[[#This Row],[TA 1 - Q4 Bonus]]</f>
        <v/>
      </c>
      <c r="R392">
        <f>Table1[[#This Row],[TA 2 - Q1 Score]]+Table1[[#This Row],[TA 2 - Q2 Score]]+Table1[[#This Row],[TA 2 - Q3 Score]]</f>
        <v/>
      </c>
      <c r="S392">
        <f>Table1[[#This Row],[TA 2 - Q1 Bonus]]+Table1[[#This Row],[TA 2 - Q2 Bonus]]+Table1[[#This Row],[TA 2 - Q4 Bonus]]</f>
        <v/>
      </c>
      <c r="T392">
        <f>(Table1[[#This Row],[TA 1 - Total Score (out of 35)]]+Table1[[#This Row],[TA 2 - Total Score (out of 35)]])/2</f>
        <v/>
      </c>
      <c r="U392">
        <f>(Table1[[#This Row],[TA 1 - Total Bonus (out of 13)]]+Table1[[#This Row],[TA 2 - Total Bonus (out of 13)]])/2</f>
        <v/>
      </c>
      <c r="V392">
        <f>Table1[[#This Row],[Average Questions]]/35*20+Table1[[#This Row],[Average Bonus]]/13*5</f>
        <v/>
      </c>
      <c r="W392" t="n">
        <v>6</v>
      </c>
      <c r="X392" t="n">
        <v>0</v>
      </c>
      <c r="Y392" t="inlineStr">
        <is>
          <t>The student's submission failed to complete several key tasks, including loading and preparing the data, loading a pretrained model, and implementing training and validation functions. While the student did attempt to train the model, their code contained several errors and did not run end-to-end. The bonus task was not attempted. Overall, the submission demonstrated a lack of understanding of the required tasks and a failure to execute the code correctly.
Breakdown:
- Part 1: Load and Prepare Data: 0.0/?
- Part 2: Load Pretrained Model and Adapt: 0.0/?
- Part 3: Training and Validation Functions: 0.0/?
- Part 4: Training: 3.0/?
- Part 5: Bonus — Test Time Augmentation: 0.0/?</t>
        </is>
      </c>
      <c r="Z392" t="n">
        <v>4</v>
      </c>
      <c r="AA392" t="n">
        <v>0</v>
      </c>
      <c r="AB392" t="inlineStr">
        <is>
          <t>The student's submission failed to meet the requirements of the task. The code is disorganized and does not follow the structure of the reference solution. The student attempted to load and prepare the data, but the code is incomplete and does not display sample images with labels. The CNN model is not built correctly, and the training and validation functions are not implemented. The training process is also not completed. The bonus task of adding a residual connection is not attempted. Overall, the submission lacks a clear understanding of the task requirements and does not demonstrate a working solution.
Breakdown:
- Part 1: Load and Prepare Data: 0.0/?
- Part 2: Build the CNN Model: 0.0/?
- Part 3: Training and Validation Functions: 0.0/?
- Part 4: Training: 0.0/?
- Part 5: Bonus — Residual Connection: 0.0/?</t>
        </is>
      </c>
      <c r="AC392" t="n">
        <v>6</v>
      </c>
      <c r="AD392" t="inlineStr">
        <is>
          <t>The student's submission is incomplete and lacks code for several tasks. While they attempted to visualize predictions, their code is not fully functional and does not meet the requirements of the task. As a result, the student earns 0 points for the first four tasks and 6 points for the fifth task, for a total score of 6.0.
Breakdown:
- Task 1: Dataset Class: 0.0/?
- Task 2: Model Class: 0.0/?
- Task 3: Training and Validation Loops: 0.0/?
- Task 4: Running Training: 0.0/?
- Task 5: Visualizing Predictions: 6.0/?</t>
        </is>
      </c>
      <c r="AE392" t="n">
        <v>0</v>
      </c>
      <c r="AF392" t="n">
        <v>0</v>
      </c>
      <c r="AG392" t="inlineStr">
        <is>
          <t>The student's submission does not meet the requirements of the task. The implementation of the `ColorizationDataset` class is incomplete and does not follow the reference solution. The student's code contains multiple mistakes, including incorrect usage of the `glob` module, incorrect usage of the `transforms` module, and incorrect implementation of the `ColorizationDataset` class. As a result, the student does not receive any points for this task.
Breakdown:
- Correctly implemented `ColorizationDataset` class:: 0.0/?
- Any mistake in implementation: 0.0/?</t>
        </is>
      </c>
      <c r="AH392" t="n">
        <v>16</v>
      </c>
      <c r="AI392" t="n">
        <v>0</v>
      </c>
    </row>
    <row r="393">
      <c r="A393" t="n">
        <v>392</v>
      </c>
      <c r="B393" t="inlineStr">
        <is>
          <t>TA_7</t>
        </is>
      </c>
      <c r="C393" t="inlineStr">
        <is>
          <t>TA_17</t>
        </is>
      </c>
      <c r="D393" t="n">
        <v>8.5</v>
      </c>
      <c r="E393" t="n">
        <v>4</v>
      </c>
      <c r="F393" t="n">
        <v>10</v>
      </c>
      <c r="G393" t="n">
        <v>0</v>
      </c>
      <c r="H393" t="n">
        <v>5.5</v>
      </c>
      <c r="I393" t="n">
        <v>0</v>
      </c>
      <c r="J393" t="n">
        <v>11</v>
      </c>
      <c r="K393" t="n">
        <v>2.5</v>
      </c>
      <c r="L393" t="n">
        <v>11</v>
      </c>
      <c r="M393" t="n">
        <v>0</v>
      </c>
      <c r="N393" t="n">
        <v>5</v>
      </c>
      <c r="O393" t="n">
        <v>0</v>
      </c>
      <c r="P393">
        <f>Table1[[#This Row],[TA 1 - Q1 Score]]+Table1[[#This Row],[TA 1 - Q2 Score]]+Table1[[#This Row],[TA 1 - Q3 Score]]</f>
        <v/>
      </c>
      <c r="Q393">
        <f>Table1[[#This Row],[TA 1 - Q1 Bonus]]+Table1[[#This Row],[TA 1 - Q2 Bonus]]+Table1[[#This Row],[TA 1 - Q4 Bonus]]</f>
        <v/>
      </c>
      <c r="R393">
        <f>Table1[[#This Row],[TA 2 - Q1 Score]]+Table1[[#This Row],[TA 2 - Q2 Score]]+Table1[[#This Row],[TA 2 - Q3 Score]]</f>
        <v/>
      </c>
      <c r="S393">
        <f>Table1[[#This Row],[TA 2 - Q1 Bonus]]+Table1[[#This Row],[TA 2 - Q2 Bonus]]+Table1[[#This Row],[TA 2 - Q4 Bonus]]</f>
        <v/>
      </c>
      <c r="T393">
        <f>(Table1[[#This Row],[TA 1 - Total Score (out of 35)]]+Table1[[#This Row],[TA 2 - Total Score (out of 35)]])/2</f>
        <v/>
      </c>
      <c r="U393">
        <f>(Table1[[#This Row],[TA 1 - Total Bonus (out of 13)]]+Table1[[#This Row],[TA 2 - Total Bonus (out of 13)]])/2</f>
        <v/>
      </c>
      <c r="V393">
        <f>Table1[[#This Row],[Average Questions]]/35*20+Table1[[#This Row],[Average Bonus]]/13*5</f>
        <v/>
      </c>
      <c r="W393" t="n">
        <v>9</v>
      </c>
      <c r="X393" t="n">
        <v>0</v>
      </c>
      <c r="Y393" t="inlineStr">
        <is>
          <t>The student's submission failed to complete several key tasks, including loading and preparing the data, loading the pretrained model and adapting it, and implementing the training and validation functions. While the student did attempt to train the model and implement test time augmentation, their code contained several syntax and logic mistakes, resulting in a low score for these tasks. Overall, the student's submission demonstrated a lack of understanding of the required tasks and concepts.
Breakdown:
- Part 1: Load and Prepare Data: 0.0/?
- Part 2: Load Pretrained Model and Adapt: 0.0/?
- Part 3: Training and Validation Functions: 0.0/?
- Part 4: Training: 2.5/?
- Part 5: Bonus — Test Time Augmentation: 0.0/?</t>
        </is>
      </c>
      <c r="Z393" t="n">
        <v>4</v>
      </c>
      <c r="AA393" t="n">
        <v>0</v>
      </c>
      <c r="AB393" t="inlineStr">
        <is>
          <t>The submission failed to load and prepare the data correctly, as the dataset class or ImageFolder was not implemented. The CNN model was not built with the correct architecture, and the training and validation functions were not defined. The training process was not executed, and the residual connection was not implemented. The student's code attempted to load the data but failed to implement the required tasks.
Breakdown:
- Part 1: Load and Prepare Data: 0.0/?
- Part 2: Build the CNN Model: 0.0/?
- Part 3: Training and Validation Functions: 0.0/?
- Part 4: Training: 0.0/?
- Part 5: Bonus — Residual Connection: 0.0/?</t>
        </is>
      </c>
      <c r="AC393" t="n">
        <v>6</v>
      </c>
      <c r="AD393" t="inlineStr">
        <is>
          <t>The student's submission failed to meet the requirements of the task. The code was not organized, and several tasks were not completed. The model class was not defined correctly, and the training and validation loops were not implemented. The loss and optimizer were not defined correctly, and the model was not trained. The student did not submit code for several tasks, including Task 1, Task 2, Task 4, and Task 5.
Breakdown:
- Task 1: Dataset Class: 0.0/?
- Task 2: Model Class: 0.0/?
- Task 3: Training and Validation Loops: 0.0/?
- Task 4: Running Training: 0.0/?
- Task 5: Visualizing Predictions: 0.0/?</t>
        </is>
      </c>
      <c r="AE393" t="n">
        <v>0</v>
      </c>
      <c r="AF393" t="n">
        <v>0</v>
      </c>
      <c r="AG393" t="inlineStr">
        <is>
          <t>No submission found.</t>
        </is>
      </c>
      <c r="AH393" t="n">
        <v>19</v>
      </c>
      <c r="AI393" t="n">
        <v>0</v>
      </c>
    </row>
    <row r="394">
      <c r="A394" t="n">
        <v>393</v>
      </c>
      <c r="B394" t="inlineStr">
        <is>
          <t>TA_7</t>
        </is>
      </c>
      <c r="C394" t="inlineStr">
        <is>
          <t>TA_17</t>
        </is>
      </c>
      <c r="D394" t="n">
        <v>12</v>
      </c>
      <c r="E394" t="n">
        <v>0</v>
      </c>
      <c r="F394" t="n">
        <v>11</v>
      </c>
      <c r="G394" t="n">
        <v>0</v>
      </c>
      <c r="H394" t="n">
        <v>10.5</v>
      </c>
      <c r="I394" t="n">
        <v>0</v>
      </c>
      <c r="J394" t="n">
        <v>12</v>
      </c>
      <c r="K394" t="n">
        <v>0</v>
      </c>
      <c r="L394" t="n">
        <v>10</v>
      </c>
      <c r="M394" t="n">
        <v>0</v>
      </c>
      <c r="N394" t="n">
        <v>11</v>
      </c>
      <c r="O394" t="n">
        <v>0</v>
      </c>
      <c r="P394">
        <f>Table1[[#This Row],[TA 1 - Q1 Score]]+Table1[[#This Row],[TA 1 - Q2 Score]]+Table1[[#This Row],[TA 1 - Q3 Score]]</f>
        <v/>
      </c>
      <c r="Q394">
        <f>Table1[[#This Row],[TA 1 - Q1 Bonus]]+Table1[[#This Row],[TA 1 - Q2 Bonus]]+Table1[[#This Row],[TA 1 - Q4 Bonus]]</f>
        <v/>
      </c>
      <c r="R394">
        <f>Table1[[#This Row],[TA 2 - Q1 Score]]+Table1[[#This Row],[TA 2 - Q2 Score]]+Table1[[#This Row],[TA 2 - Q3 Score]]</f>
        <v/>
      </c>
      <c r="S394">
        <f>Table1[[#This Row],[TA 2 - Q1 Bonus]]+Table1[[#This Row],[TA 2 - Q2 Bonus]]+Table1[[#This Row],[TA 2 - Q4 Bonus]]</f>
        <v/>
      </c>
      <c r="T394">
        <f>(Table1[[#This Row],[TA 1 - Total Score (out of 35)]]+Table1[[#This Row],[TA 2 - Total Score (out of 35)]])/2</f>
        <v/>
      </c>
      <c r="U394">
        <f>(Table1[[#This Row],[TA 1 - Total Bonus (out of 13)]]+Table1[[#This Row],[TA 2 - Total Bonus (out of 13)]])/2</f>
        <v/>
      </c>
      <c r="V394">
        <f>Table1[[#This Row],[Average Questions]]/35*20+Table1[[#This Row],[Average Bonus]]/13*5</f>
        <v/>
      </c>
      <c r="W394" t="n">
        <v>6</v>
      </c>
      <c r="X394" t="n">
        <v>0</v>
      </c>
      <c r="Y394"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394" t="n">
        <v>4</v>
      </c>
      <c r="AA394" t="n">
        <v>0</v>
      </c>
      <c r="AB394"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disorganized and does not run end-to-end. As a result, the student receives 0 points for each task.
Breakdown:
- Part 1: Load and Prepare Data: 0.0/?
- Part 2: Build the CNN Model: 0.0/?
- Part 3: Training and Validation Functions: 0.0/?
- Part 4: Training: 0.0/?
- Part 5: Bonus — Residual Connection: 0.0/?</t>
        </is>
      </c>
      <c r="AC394" t="n">
        <v>6</v>
      </c>
      <c r="AD394"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394" t="n">
        <v>0</v>
      </c>
      <c r="AF394" t="n">
        <v>0</v>
      </c>
      <c r="AG394" t="inlineStr">
        <is>
          <t>No submission found.</t>
        </is>
      </c>
      <c r="AH394" t="n">
        <v>16</v>
      </c>
      <c r="AI394" t="n">
        <v>0</v>
      </c>
    </row>
    <row r="395">
      <c r="A395" t="n">
        <v>394</v>
      </c>
      <c r="B395" t="inlineStr">
        <is>
          <t>TA_7</t>
        </is>
      </c>
      <c r="C395" t="inlineStr">
        <is>
          <t>TA_17</t>
        </is>
      </c>
      <c r="D395" t="n">
        <v>4</v>
      </c>
      <c r="E395" t="n">
        <v>0</v>
      </c>
      <c r="F395" t="n">
        <v>6.5</v>
      </c>
      <c r="G395" t="n">
        <v>0</v>
      </c>
      <c r="H395" t="n">
        <v>9</v>
      </c>
      <c r="I395" t="n">
        <v>0</v>
      </c>
      <c r="J395" t="n">
        <v>1.5</v>
      </c>
      <c r="K395" t="n">
        <v>0</v>
      </c>
      <c r="L395" t="n">
        <v>9</v>
      </c>
      <c r="M395" t="n">
        <v>0</v>
      </c>
      <c r="N395" t="n">
        <v>8</v>
      </c>
      <c r="O395" t="n">
        <v>0</v>
      </c>
      <c r="P395">
        <f>Table1[[#This Row],[TA 1 - Q1 Score]]+Table1[[#This Row],[TA 1 - Q2 Score]]+Table1[[#This Row],[TA 1 - Q3 Score]]</f>
        <v/>
      </c>
      <c r="Q395">
        <f>Table1[[#This Row],[TA 1 - Q1 Bonus]]+Table1[[#This Row],[TA 1 - Q2 Bonus]]+Table1[[#This Row],[TA 1 - Q4 Bonus]]</f>
        <v/>
      </c>
      <c r="R395">
        <f>Table1[[#This Row],[TA 2 - Q1 Score]]+Table1[[#This Row],[TA 2 - Q2 Score]]+Table1[[#This Row],[TA 2 - Q3 Score]]</f>
        <v/>
      </c>
      <c r="S395">
        <f>Table1[[#This Row],[TA 2 - Q1 Bonus]]+Table1[[#This Row],[TA 2 - Q2 Bonus]]+Table1[[#This Row],[TA 2 - Q4 Bonus]]</f>
        <v/>
      </c>
      <c r="T395">
        <f>(Table1[[#This Row],[TA 1 - Total Score (out of 35)]]+Table1[[#This Row],[TA 2 - Total Score (out of 35)]])/2</f>
        <v/>
      </c>
      <c r="U395">
        <f>(Table1[[#This Row],[TA 1 - Total Bonus (out of 13)]]+Table1[[#This Row],[TA 2 - Total Bonus (out of 13)]])/2</f>
        <v/>
      </c>
      <c r="V395">
        <f>Table1[[#This Row],[Average Questions]]/35*20+Table1[[#This Row],[Average Bonus]]/13*5</f>
        <v/>
      </c>
      <c r="W395" t="n">
        <v>6</v>
      </c>
      <c r="X395" t="n">
        <v>0</v>
      </c>
      <c r="Y395" t="inlineStr">
        <is>
          <t>The student's submission failed to complete several key tasks, including loading and preparing the data, loading a pretrained model and adapting it, and implementing training and validation functions. While the student did attempt to train the model, their code contained several errors and did not run end-to-end. The bonus task was not attempted. Overall, the submission demonstrated a lack of understanding of the required tasks and a failure to execute the code correctly.
Breakdown:
- Part 1: Load and Prepare Data: 0.0/?
- Part 2: Load Pretrained Model and Adapt: 0.0/?
- Part 3: Training and Validation Functions: 0.0/?
- Part 4: Training: 2.0/?
- Part 5: Bonus — Test Time Augmentation: 0.0/?</t>
        </is>
      </c>
      <c r="Z395" t="n">
        <v>4</v>
      </c>
      <c r="AA395" t="n">
        <v>0</v>
      </c>
      <c r="AB395"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95" t="n">
        <v>6</v>
      </c>
      <c r="AD395"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395" t="n">
        <v>0</v>
      </c>
      <c r="AF395" t="n">
        <v>0</v>
      </c>
      <c r="AG395" t="inlineStr">
        <is>
          <t>No submission found.</t>
        </is>
      </c>
      <c r="AH395" t="n">
        <v>16</v>
      </c>
      <c r="AI395" t="n">
        <v>0</v>
      </c>
    </row>
    <row r="396">
      <c r="A396" t="n">
        <v>395</v>
      </c>
      <c r="B396" t="inlineStr">
        <is>
          <t>TA_7</t>
        </is>
      </c>
      <c r="C396" t="inlineStr">
        <is>
          <t>TA_17</t>
        </is>
      </c>
      <c r="D396" t="n">
        <v>12</v>
      </c>
      <c r="E396" t="n">
        <v>0</v>
      </c>
      <c r="F396" t="n">
        <v>9</v>
      </c>
      <c r="G396" t="n">
        <v>4</v>
      </c>
      <c r="H396" t="n">
        <v>12</v>
      </c>
      <c r="I396" t="n">
        <v>0</v>
      </c>
      <c r="J396" t="n">
        <v>10</v>
      </c>
      <c r="K396" t="n">
        <v>0</v>
      </c>
      <c r="L396" t="n">
        <v>8.5</v>
      </c>
      <c r="M396" t="n">
        <v>0</v>
      </c>
      <c r="N396" t="n">
        <v>10</v>
      </c>
      <c r="O396" t="n">
        <v>0</v>
      </c>
      <c r="P396">
        <f>Table1[[#This Row],[TA 1 - Q1 Score]]+Table1[[#This Row],[TA 1 - Q2 Score]]+Table1[[#This Row],[TA 1 - Q3 Score]]</f>
        <v/>
      </c>
      <c r="Q396">
        <f>Table1[[#This Row],[TA 1 - Q1 Bonus]]+Table1[[#This Row],[TA 1 - Q2 Bonus]]+Table1[[#This Row],[TA 1 - Q4 Bonus]]</f>
        <v/>
      </c>
      <c r="R396">
        <f>Table1[[#This Row],[TA 2 - Q1 Score]]+Table1[[#This Row],[TA 2 - Q2 Score]]+Table1[[#This Row],[TA 2 - Q3 Score]]</f>
        <v/>
      </c>
      <c r="S396">
        <f>Table1[[#This Row],[TA 2 - Q1 Bonus]]+Table1[[#This Row],[TA 2 - Q2 Bonus]]+Table1[[#This Row],[TA 2 - Q4 Bonus]]</f>
        <v/>
      </c>
      <c r="T396">
        <f>(Table1[[#This Row],[TA 1 - Total Score (out of 35)]]+Table1[[#This Row],[TA 2 - Total Score (out of 35)]])/2</f>
        <v/>
      </c>
      <c r="U396">
        <f>(Table1[[#This Row],[TA 1 - Total Bonus (out of 13)]]+Table1[[#This Row],[TA 2 - Total Bonus (out of 13)]])/2</f>
        <v/>
      </c>
      <c r="V396">
        <f>Table1[[#This Row],[Average Questions]]/35*20+Table1[[#This Row],[Average Bonus]]/13*5</f>
        <v/>
      </c>
      <c r="W396" t="n">
        <v>6</v>
      </c>
      <c r="X396" t="n">
        <v>0</v>
      </c>
      <c r="Y396" t="inlineStr">
        <is>
          <t>The student's submission failed to address several key tasks, including loading and preparing data, loading a pretrained model and adapting it, and implementing training and validation functions. While the student did write code for training, it contained syntax/logic mistakes. The bonus task of implementing test time augmentation was also not addressed. Overall, the submission demonstrates a lack of understanding of the required tasks and concepts.
Breakdown:
- Part 1: Load and Prepare Data: 0.0/?
- Part 2: Load Pretrained Model and Adapt: 0.0/?
- Part 3: Training and Validation Functions: 0.0/?
- Part 4: Training: 2.5/?
- Part 5: Bonus — Test Time Augmentation: 0.0/?</t>
        </is>
      </c>
      <c r="Z396" t="n">
        <v>4</v>
      </c>
      <c r="AA396" t="n">
        <v>0</v>
      </c>
      <c r="AB396" t="inlineStr">
        <is>
          <t>The student's submission failed to meet the requirements of the task. The code did not load and prepare the data correctly, and the CNN model was not built as specified. The training and validation functions were not implemented, and the training process was not executed. The bonus task of adding a residual connection was not attempted. As a result, the student received 0 points for each task.
Breakdown:
- Part 1: Load and Prepare Data: 0.0/?
- Part 2: Build the CNN Model: 0.0/?
- Part 3: Training and Validation Functions: 0.0/?
- Part 4: Training: 0.0/?
- Part 5: Bonus — Residual Connection: 0.0/?</t>
        </is>
      </c>
      <c r="AC396" t="n">
        <v>6</v>
      </c>
      <c r="AD396" t="inlineStr">
        <is>
          <t>The student's submission was incomplete and contained several errors. They failed to complete tasks 1, 2, 3, and 4, and their implementation of task 5 was not entirely correct. The student's code was not well-organized and did not follow the provided structure. As a result, the student was only able to earn 6 points out of a possible 12.
Breakdown:
- Task 1: Dataset Class: 0.0/?
- Task 2: Model Class: 0.0/?
- Task 3: Training and Validation Loops: 0.0/?
- Task 4: Running Training: 0.0/?
- Task 5: Visualizing Predictions: 6.0/?</t>
        </is>
      </c>
      <c r="AE396" t="n">
        <v>0</v>
      </c>
      <c r="AF396" t="n">
        <v>0</v>
      </c>
      <c r="AG396" t="inlineStr">
        <is>
          <t>No submission found.</t>
        </is>
      </c>
      <c r="AH396" t="n">
        <v>16</v>
      </c>
      <c r="AI396" t="n">
        <v>0</v>
      </c>
    </row>
    <row r="397">
      <c r="A397" t="n">
        <v>396</v>
      </c>
      <c r="B397" t="inlineStr">
        <is>
          <t>TA_7</t>
        </is>
      </c>
      <c r="C397" t="inlineStr">
        <is>
          <t>TA_17</t>
        </is>
      </c>
      <c r="D397" t="n">
        <v>1.5</v>
      </c>
      <c r="E397" t="n">
        <v>0</v>
      </c>
      <c r="F397" t="n">
        <v>8.5</v>
      </c>
      <c r="G397" t="n">
        <v>0</v>
      </c>
      <c r="H397" t="n">
        <v>7</v>
      </c>
      <c r="I397" t="n">
        <v>0</v>
      </c>
      <c r="J397" t="n">
        <v>3</v>
      </c>
      <c r="K397" t="n">
        <v>0</v>
      </c>
      <c r="L397" t="n">
        <v>8.5</v>
      </c>
      <c r="M397" t="n">
        <v>0</v>
      </c>
      <c r="N397" t="n">
        <v>6</v>
      </c>
      <c r="O397" t="n">
        <v>0</v>
      </c>
      <c r="P397">
        <f>Table1[[#This Row],[TA 1 - Q1 Score]]+Table1[[#This Row],[TA 1 - Q2 Score]]+Table1[[#This Row],[TA 1 - Q3 Score]]</f>
        <v/>
      </c>
      <c r="Q397">
        <f>Table1[[#This Row],[TA 1 - Q1 Bonus]]+Table1[[#This Row],[TA 1 - Q2 Bonus]]+Table1[[#This Row],[TA 1 - Q4 Bonus]]</f>
        <v/>
      </c>
      <c r="R397">
        <f>Table1[[#This Row],[TA 2 - Q1 Score]]+Table1[[#This Row],[TA 2 - Q2 Score]]+Table1[[#This Row],[TA 2 - Q3 Score]]</f>
        <v/>
      </c>
      <c r="S397">
        <f>Table1[[#This Row],[TA 2 - Q1 Bonus]]+Table1[[#This Row],[TA 2 - Q2 Bonus]]+Table1[[#This Row],[TA 2 - Q4 Bonus]]</f>
        <v/>
      </c>
      <c r="T397">
        <f>(Table1[[#This Row],[TA 1 - Total Score (out of 35)]]+Table1[[#This Row],[TA 2 - Total Score (out of 35)]])/2</f>
        <v/>
      </c>
      <c r="U397">
        <f>(Table1[[#This Row],[TA 1 - Total Bonus (out of 13)]]+Table1[[#This Row],[TA 2 - Total Bonus (out of 13)]])/2</f>
        <v/>
      </c>
      <c r="V397">
        <f>Table1[[#This Row],[Average Questions]]/35*20+Table1[[#This Row],[Average Bonus]]/13*5</f>
        <v/>
      </c>
      <c r="W397" t="n">
        <v>6</v>
      </c>
      <c r="X397" t="n">
        <v>0</v>
      </c>
      <c r="Y397"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the correct data loaders and the necessary transforms.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2.0/?
- Part 5: Bonus — Test Time Augmentation: 0.0/?</t>
        </is>
      </c>
      <c r="Z397" t="n">
        <v>4</v>
      </c>
      <c r="AA397" t="n">
        <v>0</v>
      </c>
      <c r="AB397" t="inlineStr">
        <is>
          <t>The student's submission failed to meet the requirements of the task. The code did not load and prepare the data correctly, and the CNN model was not built as specified. The training and validation functions were not implemented, and the model was not trained. The bonus task of adding a residual connection was not attempted. The code was disorganized and failed to run end-to-end.
Breakdown:
- Part 1: Load and Prepare Data: 0.0/?
- Part 2: Build the CNN Model: 0.0/?
- Part 3: Training and Validation Functions: 0.0/?
- Part 4: Training: 0.0/?
- Part 5: Bonus — Residual Connection: 0.0/?</t>
        </is>
      </c>
      <c r="AC397" t="n">
        <v>6</v>
      </c>
      <c r="AD397" t="inlineStr">
        <is>
          <t>The student's submission failed to meet the requirements of several tasks. The dataset class was not defined, the model class was incorrect, the training and validation loops were not defined, and the loss and optimizer were not defined correctly. Additionally, the model was not trained and the predictions were not visualized. The student's submission did not demonstrate a clear understanding of the tasks and the requirements.
Breakdown:
- Task 1: Dataset Class: 0.0/?
- Task 2: Model Class: 0.0/?
- Task 3: Training and Validation Loops: 0.0/?
- Task 4: Running Training: 0.0/?
- Task 5: Visualizing Predictions: 0.0/?</t>
        </is>
      </c>
      <c r="AE397" t="n">
        <v>0</v>
      </c>
      <c r="AF397" t="n">
        <v>0</v>
      </c>
      <c r="AG397" t="inlineStr">
        <is>
          <t>No submission found.</t>
        </is>
      </c>
      <c r="AH397" t="n">
        <v>16</v>
      </c>
      <c r="AI397" t="n">
        <v>0</v>
      </c>
    </row>
    <row r="398">
      <c r="A398" t="n">
        <v>397</v>
      </c>
      <c r="B398" t="inlineStr">
        <is>
          <t>TA_7</t>
        </is>
      </c>
      <c r="C398" t="inlineStr">
        <is>
          <t>TA_17</t>
        </is>
      </c>
      <c r="D398" t="n">
        <v>6</v>
      </c>
      <c r="E398" t="n">
        <v>0</v>
      </c>
      <c r="F398" t="n">
        <v>9</v>
      </c>
      <c r="G398" t="n">
        <v>0</v>
      </c>
      <c r="H398" t="n">
        <v>8</v>
      </c>
      <c r="I398" t="n">
        <v>0</v>
      </c>
      <c r="J398" t="n">
        <v>6.5</v>
      </c>
      <c r="K398" t="n">
        <v>0</v>
      </c>
      <c r="L398" t="n">
        <v>9</v>
      </c>
      <c r="M398" t="n">
        <v>0</v>
      </c>
      <c r="N398" t="n">
        <v>7.25</v>
      </c>
      <c r="O398" t="n">
        <v>0</v>
      </c>
      <c r="P398">
        <f>Table1[[#This Row],[TA 1 - Q1 Score]]+Table1[[#This Row],[TA 1 - Q2 Score]]+Table1[[#This Row],[TA 1 - Q3 Score]]</f>
        <v/>
      </c>
      <c r="Q398">
        <f>Table1[[#This Row],[TA 1 - Q1 Bonus]]+Table1[[#This Row],[TA 1 - Q2 Bonus]]+Table1[[#This Row],[TA 1 - Q4 Bonus]]</f>
        <v/>
      </c>
      <c r="R398">
        <f>Table1[[#This Row],[TA 2 - Q1 Score]]+Table1[[#This Row],[TA 2 - Q2 Score]]+Table1[[#This Row],[TA 2 - Q3 Score]]</f>
        <v/>
      </c>
      <c r="S398">
        <f>Table1[[#This Row],[TA 2 - Q1 Bonus]]+Table1[[#This Row],[TA 2 - Q2 Bonus]]+Table1[[#This Row],[TA 2 - Q4 Bonus]]</f>
        <v/>
      </c>
      <c r="T398">
        <f>(Table1[[#This Row],[TA 1 - Total Score (out of 35)]]+Table1[[#This Row],[TA 2 - Total Score (out of 35)]])/2</f>
        <v/>
      </c>
      <c r="U398">
        <f>(Table1[[#This Row],[TA 1 - Total Bonus (out of 13)]]+Table1[[#This Row],[TA 2 - Total Bonus (out of 13)]])/2</f>
        <v/>
      </c>
      <c r="V398">
        <f>Table1[[#This Row],[Average Questions]]/35*20+Table1[[#This Row],[Average Bonus]]/13*5</f>
        <v/>
      </c>
      <c r="W398" t="n">
        <v>6</v>
      </c>
      <c r="X398" t="n">
        <v>0</v>
      </c>
      <c r="Y398" t="inlineStr">
        <is>
          <t>The student's submission failed to complete several key tasks, including loading and preparing the data, loading a pretrained model and adapting it, and implementing training and validation functions. While the student did attempt to train the model, their implementation was incomplete and did not follow the reference solution. As a result, the student was unable to achieve the full potential of the model and their submission was not evaluated for bonus points.
Breakdown:
- Part 1: Load and Prepare Data: 0.0/?
- Part 2: Load Pretrained Model and Adapt: 0.0/?
- Part 3: Training and Validation Functions: 0.0/?
- Part 4: Training: 2.5/?
- Part 5: Bonus — Test Time Augmentation: 0.0/?</t>
        </is>
      </c>
      <c r="Z398" t="n">
        <v>4</v>
      </c>
      <c r="AA398" t="n">
        <v>0</v>
      </c>
      <c r="AB398"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398" t="n">
        <v>6</v>
      </c>
      <c r="AD398"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398" t="n">
        <v>0</v>
      </c>
      <c r="AF398" t="n">
        <v>0</v>
      </c>
      <c r="AG398" t="inlineStr">
        <is>
          <t>No submission found.</t>
        </is>
      </c>
      <c r="AH398" t="n">
        <v>16</v>
      </c>
      <c r="AI398" t="n">
        <v>0</v>
      </c>
    </row>
    <row r="399">
      <c r="A399" t="n">
        <v>398</v>
      </c>
      <c r="B399" t="inlineStr">
        <is>
          <t>TA_8</t>
        </is>
      </c>
      <c r="C399" t="inlineStr">
        <is>
          <t>TA_18</t>
        </is>
      </c>
      <c r="D399" t="n">
        <v>6.5</v>
      </c>
      <c r="E399" t="n">
        <v>0</v>
      </c>
      <c r="F399" t="n">
        <v>8.5</v>
      </c>
      <c r="G399" t="n">
        <v>0</v>
      </c>
      <c r="H399" t="n">
        <v>9</v>
      </c>
      <c r="I399" t="n">
        <v>0</v>
      </c>
      <c r="J399" t="n">
        <v>5.5</v>
      </c>
      <c r="K399" t="n">
        <v>0</v>
      </c>
      <c r="L399" t="n">
        <v>8.25</v>
      </c>
      <c r="M399" t="n">
        <v>0</v>
      </c>
      <c r="N399" t="n">
        <v>7</v>
      </c>
      <c r="O399" t="n">
        <v>0</v>
      </c>
      <c r="P399">
        <f>Table1[[#This Row],[TA 1 - Q1 Score]]+Table1[[#This Row],[TA 1 - Q2 Score]]+Table1[[#This Row],[TA 1 - Q3 Score]]</f>
        <v/>
      </c>
      <c r="Q399">
        <f>Table1[[#This Row],[TA 1 - Q1 Bonus]]+Table1[[#This Row],[TA 1 - Q2 Bonus]]+Table1[[#This Row],[TA 1 - Q4 Bonus]]</f>
        <v/>
      </c>
      <c r="R399">
        <f>Table1[[#This Row],[TA 2 - Q1 Score]]+Table1[[#This Row],[TA 2 - Q2 Score]]+Table1[[#This Row],[TA 2 - Q3 Score]]</f>
        <v/>
      </c>
      <c r="S399">
        <f>Table1[[#This Row],[TA 2 - Q1 Bonus]]+Table1[[#This Row],[TA 2 - Q2 Bonus]]+Table1[[#This Row],[TA 2 - Q4 Bonus]]</f>
        <v/>
      </c>
      <c r="T399">
        <f>(Table1[[#This Row],[TA 1 - Total Score (out of 35)]]+Table1[[#This Row],[TA 2 - Total Score (out of 35)]])/2</f>
        <v/>
      </c>
      <c r="U399">
        <f>(Table1[[#This Row],[TA 1 - Total Bonus (out of 13)]]+Table1[[#This Row],[TA 2 - Total Bonus (out of 13)]])/2</f>
        <v/>
      </c>
      <c r="V399">
        <f>Table1[[#This Row],[Average Questions]]/35*20+Table1[[#This Row],[Average Bonus]]/13*5</f>
        <v/>
      </c>
      <c r="W399" t="n">
        <v>6</v>
      </c>
      <c r="X399" t="n">
        <v>0</v>
      </c>
      <c r="Y399"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the correct implementation of the training loop and validation function. As a result, the student was unable to complete the bonus task of implementing test time augmentation.
Breakdown:
- Part 1: Load and Prepare Data: 0.0/?
- Part 2: Load Pretrained Model and Adapt: 0.0/?
- Part 3: Training and Validation Functions: 0.0/?
- Part 4: Training: 3.0/?
- Part 5: Bonus — Test Time Augmentation: 0.0/?</t>
        </is>
      </c>
      <c r="Z399" t="n">
        <v>4</v>
      </c>
      <c r="AA399" t="n">
        <v>0</v>
      </c>
      <c r="AB399" t="inlineStr">
        <is>
          <t>The submission failed to load and prepare the data correctly, as evident from the missing code for Part 1. The CNN model was not built as per the requirements, resulting in a score of 0 for Part 2. The training and validation functions were not implemented, leading to a score of 0 for Part 3. The training process was not executed, resulting in a score of 0 for Part 4. The bonus task of adding a residual connection was not attempted, leading to a score of 0 for Part 5. Overall, the submission lacks essential code for the tasks, resulting in a score of 4.0.
Breakdown:
- Part 1: Load and Prepare Data: 0.0/?
- Part 2: Build the CNN Model: 0.0/?
- Part 3: Training and Validation Functions: 0.0/?
- Part 4: Training: 0.0/?
- Part 5: Bonus — Residual Connection: 0.0/?</t>
        </is>
      </c>
      <c r="AC399" t="n">
        <v>6</v>
      </c>
      <c r="AD399" t="inlineStr">
        <is>
          <t>The student's submission had several issues. They failed to implement the dataset class, model class, and training and validation loops correctly. Additionally, the training process was not implemented correctly, and the model was not trained correctly. However, the student was able to visualize the predictions against the ground truth for several images, which is why they received some credit for Task 5.
Breakdown:
- Task 1: Dataset Class: 0.0/?
- Task 2: Model Class: 0.0/?
- Task 3: Training and Validation Loops: 0.0/?
- Task 4: Running Training: 0.0/?
- Task 5: Visualizing Predictions: 6.0/?</t>
        </is>
      </c>
      <c r="AE399" t="n">
        <v>0</v>
      </c>
      <c r="AF399" t="n">
        <v>0</v>
      </c>
      <c r="AG399" t="inlineStr">
        <is>
          <t>No submission found.</t>
        </is>
      </c>
      <c r="AH399" t="n">
        <v>16</v>
      </c>
      <c r="AI399" t="n">
        <v>0</v>
      </c>
    </row>
    <row r="400">
      <c r="A400" t="n">
        <v>399</v>
      </c>
      <c r="B400" t="inlineStr">
        <is>
          <t>TA_8</t>
        </is>
      </c>
      <c r="C400" t="inlineStr">
        <is>
          <t>TA_18</t>
        </is>
      </c>
      <c r="D400" t="n">
        <v>9</v>
      </c>
      <c r="E400" t="n">
        <v>0</v>
      </c>
      <c r="F400" t="n">
        <v>0</v>
      </c>
      <c r="G400" t="n">
        <v>0</v>
      </c>
      <c r="H400" t="n">
        <v>12</v>
      </c>
      <c r="I400" t="n">
        <v>0</v>
      </c>
      <c r="J400" t="n">
        <v>11</v>
      </c>
      <c r="K400" t="n">
        <v>0</v>
      </c>
      <c r="L400" t="n">
        <v>0</v>
      </c>
      <c r="M400" t="n">
        <v>0</v>
      </c>
      <c r="N400" t="n">
        <v>12</v>
      </c>
      <c r="O400" t="n">
        <v>0</v>
      </c>
      <c r="P400">
        <f>Table1[[#This Row],[TA 1 - Q1 Score]]+Table1[[#This Row],[TA 1 - Q2 Score]]+Table1[[#This Row],[TA 1 - Q3 Score]]</f>
        <v/>
      </c>
      <c r="Q400">
        <f>Table1[[#This Row],[TA 1 - Q1 Bonus]]+Table1[[#This Row],[TA 1 - Q2 Bonus]]+Table1[[#This Row],[TA 1 - Q4 Bonus]]</f>
        <v/>
      </c>
      <c r="R400">
        <f>Table1[[#This Row],[TA 2 - Q1 Score]]+Table1[[#This Row],[TA 2 - Q2 Score]]+Table1[[#This Row],[TA 2 - Q3 Score]]</f>
        <v/>
      </c>
      <c r="S400">
        <f>Table1[[#This Row],[TA 2 - Q1 Bonus]]+Table1[[#This Row],[TA 2 - Q2 Bonus]]+Table1[[#This Row],[TA 2 - Q4 Bonus]]</f>
        <v/>
      </c>
      <c r="T400">
        <f>(Table1[[#This Row],[TA 1 - Total Score (out of 35)]]+Table1[[#This Row],[TA 2 - Total Score (out of 35)]])/2</f>
        <v/>
      </c>
      <c r="U400">
        <f>(Table1[[#This Row],[TA 1 - Total Bonus (out of 13)]]+Table1[[#This Row],[TA 2 - Total Bonus (out of 13)]])/2</f>
        <v/>
      </c>
      <c r="V400">
        <f>Table1[[#This Row],[Average Questions]]/35*20+Table1[[#This Row],[Average Bonus]]/13*5</f>
        <v/>
      </c>
      <c r="W400" t="n">
        <v>6</v>
      </c>
      <c r="X400" t="n">
        <v>0</v>
      </c>
      <c r="Y40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400" t="n">
        <v>4</v>
      </c>
      <c r="AA400" t="n">
        <v>0</v>
      </c>
      <c r="AB400" t="inlineStr">
        <is>
          <t>The student's submission is incomplete and lacks any meaningful attempt at the tasks. The code provided does not run end-to-end and fails to address the requirements of the problem. As a result, no credit can be awarded for any of the tasks. The student's submission does not demonstrate any understanding of the problem or the required concepts.
Breakdown:
- Part 1: Load and Prepare Data: 0.0/?
- Part 2: Build the CNN Model: 0.0/?
- Part 3: Training and Validation Functions: 0.0/?
- Part 4: Training: 0.0/?
- Part 5: Bonus — Residual Connection: 0.0/?</t>
        </is>
      </c>
      <c r="AC400" t="n">
        <v>6</v>
      </c>
      <c r="AD400" t="inlineStr">
        <is>
          <t>The student's submission failed to meet the requirements of the task. The code is disorganized and does not follow the reference solution. The student failed to create a custom dataset class, define a model class with a pretrained U-Net, and implement correct training and validation loops. The student also failed to visualize predictions correctly. As a result, the student did not earn any points for this task.
Breakdown:
- Task 1: Dataset Class: 0.0/?
- Task 2: Model Class: 0.0/?
- Task 3: Training and Validation Loops: 0.0/?
- Task 4: Running Training: 0.0/?
- Task 5: Visualizing Predictions: 0.0/?</t>
        </is>
      </c>
      <c r="AE400" t="n">
        <v>0</v>
      </c>
      <c r="AF400" t="n">
        <v>0</v>
      </c>
      <c r="AG400" t="inlineStr">
        <is>
          <t>No submission found.</t>
        </is>
      </c>
      <c r="AH400" t="n">
        <v>16</v>
      </c>
      <c r="AI400" t="n">
        <v>0</v>
      </c>
    </row>
    <row r="401">
      <c r="A401" t="n">
        <v>400</v>
      </c>
      <c r="B401" t="inlineStr">
        <is>
          <t>TA_8</t>
        </is>
      </c>
      <c r="C401" t="inlineStr">
        <is>
          <t>TA_18</t>
        </is>
      </c>
      <c r="D401" t="n">
        <v>12</v>
      </c>
      <c r="E401" t="n">
        <v>4</v>
      </c>
      <c r="F401" t="n">
        <v>11</v>
      </c>
      <c r="G401" t="n">
        <v>0</v>
      </c>
      <c r="H401" t="n">
        <v>12</v>
      </c>
      <c r="I401" t="n">
        <v>0</v>
      </c>
      <c r="J401" t="n">
        <v>11</v>
      </c>
      <c r="K401" t="n">
        <v>3.5</v>
      </c>
      <c r="L401" t="n">
        <v>10.5</v>
      </c>
      <c r="M401" t="n">
        <v>0</v>
      </c>
      <c r="N401" t="n">
        <v>12</v>
      </c>
      <c r="O401" t="n">
        <v>5</v>
      </c>
      <c r="P401">
        <f>Table1[[#This Row],[TA 1 - Q1 Score]]+Table1[[#This Row],[TA 1 - Q2 Score]]+Table1[[#This Row],[TA 1 - Q3 Score]]</f>
        <v/>
      </c>
      <c r="Q401">
        <f>Table1[[#This Row],[TA 1 - Q1 Bonus]]+Table1[[#This Row],[TA 1 - Q2 Bonus]]+Table1[[#This Row],[TA 1 - Q4 Bonus]]</f>
        <v/>
      </c>
      <c r="R401">
        <f>Table1[[#This Row],[TA 2 - Q1 Score]]+Table1[[#This Row],[TA 2 - Q2 Score]]+Table1[[#This Row],[TA 2 - Q3 Score]]</f>
        <v/>
      </c>
      <c r="S401">
        <f>Table1[[#This Row],[TA 2 - Q1 Bonus]]+Table1[[#This Row],[TA 2 - Q2 Bonus]]+Table1[[#This Row],[TA 2 - Q4 Bonus]]</f>
        <v/>
      </c>
      <c r="T401">
        <f>(Table1[[#This Row],[TA 1 - Total Score (out of 35)]]+Table1[[#This Row],[TA 2 - Total Score (out of 35)]])/2</f>
        <v/>
      </c>
      <c r="U401">
        <f>(Table1[[#This Row],[TA 1 - Total Bonus (out of 13)]]+Table1[[#This Row],[TA 2 - Total Bonus (out of 13)]])/2</f>
        <v/>
      </c>
      <c r="V401">
        <f>Table1[[#This Row],[Average Questions]]/35*20+Table1[[#This Row],[Average Bonus]]/13*5</f>
        <v/>
      </c>
      <c r="W401" t="n">
        <v>6</v>
      </c>
      <c r="X401" t="n">
        <v>0</v>
      </c>
      <c r="Y40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implementation of test time augmentation was also incomplete. As a result, the student's submission was awarded a score of 6.0, reflecting the partial completion of the training task.
Breakdown:
- Part 1: Load and Prepare Data: 0.0/?
- Part 2: Load Pretrained Model and Adapt: 0.0/?
- Part 3: Training and Validation Functions: 0.0/?
- Part 4: Training: 6.0/?
- Part 5: Bonus — Test Time Augmentation: 0.0/?</t>
        </is>
      </c>
      <c r="Z401" t="n">
        <v>4</v>
      </c>
      <c r="AA401" t="n">
        <v>0</v>
      </c>
      <c r="AB401"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01" t="n">
        <v>6</v>
      </c>
      <c r="AD401" t="inlineStr">
        <is>
          <t>The student's submission failed to address several key tasks, including building a custom dataset class, defining a model class, and implementing training and validation loops. While the student did attempt to visualize predictions, their code did not meet the full requirements of the task.
Breakdown:
- Task 1: Dataset Class: 0.0/?
- Task 2: Model Class: 0.0/?
- Task 3: Training and Validation Loops: 0.0/?
- Task 4: Running Training: 0.0/?
- Task 5: Visualizing Predictions: 6.0/?</t>
        </is>
      </c>
      <c r="AE401" t="n">
        <v>0</v>
      </c>
      <c r="AF401" t="n">
        <v>0</v>
      </c>
      <c r="AG401" t="inlineStr">
        <is>
          <t>The student's submission does not meet the requirements of the task. The `ColorizationDataset` class is not fully implemented, and the code contains several syntax and logic mistakes. As a result, the student does not receive any points for this task.
Breakdown:
- Correctly implemented `ColorizationDataset` class:: 0.0/?</t>
        </is>
      </c>
      <c r="AH401" t="n">
        <v>16</v>
      </c>
      <c r="AI401" t="n">
        <v>0</v>
      </c>
    </row>
    <row r="402">
      <c r="A402" t="n">
        <v>401</v>
      </c>
      <c r="B402" t="inlineStr">
        <is>
          <t>TA_8</t>
        </is>
      </c>
      <c r="C402" t="inlineStr">
        <is>
          <t>TA_18</t>
        </is>
      </c>
      <c r="D402" t="n">
        <v>8</v>
      </c>
      <c r="E402" t="n">
        <v>4</v>
      </c>
      <c r="F402" t="n">
        <v>8</v>
      </c>
      <c r="G402" t="n">
        <v>3</v>
      </c>
      <c r="H402" t="n">
        <v>0</v>
      </c>
      <c r="I402" t="n">
        <v>0</v>
      </c>
      <c r="J402" t="n">
        <v>11</v>
      </c>
      <c r="K402" t="n">
        <v>4</v>
      </c>
      <c r="L402" t="n">
        <v>7</v>
      </c>
      <c r="M402" t="n">
        <v>3</v>
      </c>
      <c r="N402" t="n">
        <v>4.5</v>
      </c>
      <c r="O402" t="n">
        <v>0</v>
      </c>
      <c r="P402">
        <f>Table1[[#This Row],[TA 1 - Q1 Score]]+Table1[[#This Row],[TA 1 - Q2 Score]]+Table1[[#This Row],[TA 1 - Q3 Score]]</f>
        <v/>
      </c>
      <c r="Q402">
        <f>Table1[[#This Row],[TA 1 - Q1 Bonus]]+Table1[[#This Row],[TA 1 - Q2 Bonus]]+Table1[[#This Row],[TA 1 - Q4 Bonus]]</f>
        <v/>
      </c>
      <c r="R402">
        <f>Table1[[#This Row],[TA 2 - Q1 Score]]+Table1[[#This Row],[TA 2 - Q2 Score]]+Table1[[#This Row],[TA 2 - Q3 Score]]</f>
        <v/>
      </c>
      <c r="S402">
        <f>Table1[[#This Row],[TA 2 - Q1 Bonus]]+Table1[[#This Row],[TA 2 - Q2 Bonus]]+Table1[[#This Row],[TA 2 - Q4 Bonus]]</f>
        <v/>
      </c>
      <c r="T402">
        <f>(Table1[[#This Row],[TA 1 - Total Score (out of 35)]]+Table1[[#This Row],[TA 2 - Total Score (out of 35)]])/2</f>
        <v/>
      </c>
      <c r="U402">
        <f>(Table1[[#This Row],[TA 1 - Total Bonus (out of 13)]]+Table1[[#This Row],[TA 2 - Total Bonus (out of 13)]])/2</f>
        <v/>
      </c>
      <c r="V402">
        <f>Table1[[#This Row],[Average Questions]]/35*20+Table1[[#This Row],[Average Bonus]]/13*5</f>
        <v/>
      </c>
      <c r="W402" t="n">
        <v>6</v>
      </c>
      <c r="X402" t="n">
        <v>0</v>
      </c>
      <c r="Y40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implementation of the training loop function was also incorrect, and they failed to fix the labels as required. As a result, the student's submission was awarded 0 points for several tasks, and a total score of 6.0.
Breakdown:
- Part 1: Load and Prepare Data: 0.0/?
- Part 2: Load Pretrained Model and Adapt: 0.0/?
- Part 3: Training and Validation Functions: 0.0/?
- Part 4: Training: 6.0/?
- Part 5: Bonus — Test Time Augmentation: 0.0/?</t>
        </is>
      </c>
      <c r="Z402" t="n">
        <v>4</v>
      </c>
      <c r="AA402" t="n">
        <v>0</v>
      </c>
      <c r="AB402" t="inlineStr">
        <is>
          <t>The student's submission failed to address any of the tasks outlined in the rubric. The code provided does not attempt to load and prepare the data, build the CNN model, define the training and validation functions, or implement the residual connection. As a result, the student earned 0 points for each task.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402" t="n">
        <v>6</v>
      </c>
      <c r="AD402" t="inlineStr">
        <is>
          <t>The student's submission was incomplete, with no code submitted for Tasks 1-4. However, the code for Task 5 was mostly correct, with the student successfully visualizing the predictions against the ground truth. The only issue was that the ground truth masks were not displayed correctly.
Breakdown:
- Task 1: Dataset Class: 0.0/?
- Task 2: Model Class: 0.0/?
- Task 3: Training and Validation Loops: 0.0/?
- Task 4: Running Training: 0.0/?
- Task 5: Visualizing Predictions: 6.0/?</t>
        </is>
      </c>
      <c r="AE402" t="n">
        <v>0</v>
      </c>
      <c r="AF402" t="n">
        <v>0</v>
      </c>
      <c r="AG402" t="inlineStr">
        <is>
          <t>No submission found.</t>
        </is>
      </c>
      <c r="AH402" t="n">
        <v>16</v>
      </c>
      <c r="AI402" t="n">
        <v>0</v>
      </c>
    </row>
    <row r="403">
      <c r="A403" t="n">
        <v>402</v>
      </c>
      <c r="B403" t="inlineStr">
        <is>
          <t>TA_8</t>
        </is>
      </c>
      <c r="C403" t="inlineStr">
        <is>
          <t>TA_18</t>
        </is>
      </c>
      <c r="D403" t="n">
        <v>2</v>
      </c>
      <c r="E403" t="n">
        <v>0</v>
      </c>
      <c r="F403" t="n">
        <v>7.5</v>
      </c>
      <c r="G403" t="n">
        <v>0</v>
      </c>
      <c r="H403" t="n">
        <v>4</v>
      </c>
      <c r="I403" t="n">
        <v>0</v>
      </c>
      <c r="J403" t="n">
        <v>6.25</v>
      </c>
      <c r="K403" t="n">
        <v>0</v>
      </c>
      <c r="L403" t="n">
        <v>8.5</v>
      </c>
      <c r="M403" t="n">
        <v>0</v>
      </c>
      <c r="N403" t="n">
        <v>4.25</v>
      </c>
      <c r="O403" t="n">
        <v>0</v>
      </c>
      <c r="P403">
        <f>Table1[[#This Row],[TA 1 - Q1 Score]]+Table1[[#This Row],[TA 1 - Q2 Score]]+Table1[[#This Row],[TA 1 - Q3 Score]]</f>
        <v/>
      </c>
      <c r="Q403">
        <f>Table1[[#This Row],[TA 1 - Q1 Bonus]]+Table1[[#This Row],[TA 1 - Q2 Bonus]]+Table1[[#This Row],[TA 1 - Q4 Bonus]]</f>
        <v/>
      </c>
      <c r="R403">
        <f>Table1[[#This Row],[TA 2 - Q1 Score]]+Table1[[#This Row],[TA 2 - Q2 Score]]+Table1[[#This Row],[TA 2 - Q3 Score]]</f>
        <v/>
      </c>
      <c r="S403">
        <f>Table1[[#This Row],[TA 2 - Q1 Bonus]]+Table1[[#This Row],[TA 2 - Q2 Bonus]]+Table1[[#This Row],[TA 2 - Q4 Bonus]]</f>
        <v/>
      </c>
      <c r="T403">
        <f>(Table1[[#This Row],[TA 1 - Total Score (out of 35)]]+Table1[[#This Row],[TA 2 - Total Score (out of 35)]])/2</f>
        <v/>
      </c>
      <c r="U403">
        <f>(Table1[[#This Row],[TA 1 - Total Bonus (out of 13)]]+Table1[[#This Row],[TA 2 - Total Bonus (out of 13)]])/2</f>
        <v/>
      </c>
      <c r="V403">
        <f>Table1[[#This Row],[Average Questions]]/35*20+Table1[[#This Row],[Average Bonus]]/13*5</f>
        <v/>
      </c>
      <c r="W403" t="n">
        <v>6</v>
      </c>
      <c r="X403" t="n">
        <v>0</v>
      </c>
      <c r="Y40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disregarding the explicit instructions provided in the reference solution.
Breakdown:
- Part 1: Load and Prepare Data: 0.0/?
- Part 2: Load Pretrained Model and Adapt: 0.0/?
- Part 3: Training and Validation Functions: 0.0/?
- Part 4: Training: 2.0/?
- Part 5: Bonus — Test Time Augmentation: 0.0/?</t>
        </is>
      </c>
      <c r="Z403" t="n">
        <v>4</v>
      </c>
      <c r="AA403" t="n">
        <v>0</v>
      </c>
      <c r="AB403" t="inlineStr">
        <is>
          <t>The student's submission failed to meet the requirements of the task. The code does not load and prepare the data correctly, does not build the CNN model as specified, does not implement the training and validation functions, does not train the model, and does not implement the residual connection. The student's code is incomplete and does not run end-to-end. As a result, the student receives 0% for each task.
Breakdown:
- Part 1: Load and Prepare Data: 0.0/?
- Part 2: Build the CNN Model: 0.0/?
- Part 3: Training and Validation Functions: 0.0/?
- Part 4: Training: 0.0/?
- Part 5: Bonus — Residual Connection: 0.0/?</t>
        </is>
      </c>
      <c r="AC403" t="n">
        <v>6</v>
      </c>
      <c r="AD403" t="inlineStr">
        <is>
          <t>The student's submission failed to meet the requirements of several tasks. The code for Task 1 was not submitted, and the code for Task 2 used a different model than the one specified. The code for Task 3 did not implement the training and validation loops correctly, and the code for Task 4 did not train the model for 10 epochs and did not print the training and validation losses. Finally, the code for Task 5 did not visualize the predictions correctly. As a result, the student received a score of 6.0 out of 12.0.
Breakdown:
- Task 1: Dataset Class: 0.0/?
- Task 2: Model Class: 0.0/?
- Task 3: Training and Validation Loops: 0.0/?
- Task 4: Running Training: 0.0/?
- Task 5: Visualizing Predictions: 0.0/?</t>
        </is>
      </c>
      <c r="AE403" t="n">
        <v>0</v>
      </c>
      <c r="AF403" t="n">
        <v>0</v>
      </c>
      <c r="AG403" t="inlineStr">
        <is>
          <t>The student's submission does not meet the requirements of the task. The implementation of the `ColorizationDataset` class is incomplete and contains several errors, and the code does not run end-to-end. As a result, the student does not receive any credit for this task.
Breakdown:
- Correctly implemented `ColorizationDataset` class:: 0.0/?</t>
        </is>
      </c>
      <c r="AH403" t="n">
        <v>16</v>
      </c>
      <c r="AI403" t="n">
        <v>0</v>
      </c>
    </row>
    <row r="404">
      <c r="A404" t="n">
        <v>403</v>
      </c>
      <c r="B404" t="inlineStr">
        <is>
          <t>TA_8</t>
        </is>
      </c>
      <c r="C404" t="inlineStr">
        <is>
          <t>TA_18</t>
        </is>
      </c>
      <c r="D404" t="n">
        <v>3</v>
      </c>
      <c r="E404" t="n">
        <v>0</v>
      </c>
      <c r="F404" t="n">
        <v>2</v>
      </c>
      <c r="G404" t="n">
        <v>0</v>
      </c>
      <c r="H404" t="n">
        <v>9</v>
      </c>
      <c r="I404" t="n">
        <v>0</v>
      </c>
      <c r="J404" t="n">
        <v>3</v>
      </c>
      <c r="K404" t="n">
        <v>0</v>
      </c>
      <c r="L404" t="n">
        <v>8</v>
      </c>
      <c r="M404" t="n">
        <v>0</v>
      </c>
      <c r="N404" t="n">
        <v>8.5</v>
      </c>
      <c r="O404" t="n">
        <v>0</v>
      </c>
      <c r="P404">
        <f>Table1[[#This Row],[TA 1 - Q1 Score]]+Table1[[#This Row],[TA 1 - Q2 Score]]+Table1[[#This Row],[TA 1 - Q3 Score]]</f>
        <v/>
      </c>
      <c r="Q404">
        <f>Table1[[#This Row],[TA 1 - Q1 Bonus]]+Table1[[#This Row],[TA 1 - Q2 Bonus]]+Table1[[#This Row],[TA 1 - Q4 Bonus]]</f>
        <v/>
      </c>
      <c r="R404">
        <f>Table1[[#This Row],[TA 2 - Q1 Score]]+Table1[[#This Row],[TA 2 - Q2 Score]]+Table1[[#This Row],[TA 2 - Q3 Score]]</f>
        <v/>
      </c>
      <c r="S404">
        <f>Table1[[#This Row],[TA 2 - Q1 Bonus]]+Table1[[#This Row],[TA 2 - Q2 Bonus]]+Table1[[#This Row],[TA 2 - Q4 Bonus]]</f>
        <v/>
      </c>
      <c r="T404">
        <f>(Table1[[#This Row],[TA 1 - Total Score (out of 35)]]+Table1[[#This Row],[TA 2 - Total Score (out of 35)]])/2</f>
        <v/>
      </c>
      <c r="U404">
        <f>(Table1[[#This Row],[TA 1 - Total Bonus (out of 13)]]+Table1[[#This Row],[TA 2 - Total Bonus (out of 13)]])/2</f>
        <v/>
      </c>
      <c r="V404">
        <f>Table1[[#This Row],[Average Questions]]/35*20+Table1[[#This Row],[Average Bonus]]/13*5</f>
        <v/>
      </c>
      <c r="W404" t="n">
        <v>6</v>
      </c>
      <c r="X404" t="n">
        <v>0</v>
      </c>
      <c r="Y404" t="inlineStr">
        <is>
          <t>The student's submission failed to complete several key tasks, including loading and preparing data, loading a pretrained model, and implementing training and validation functions. While the student did attempt to train the model and plot losses and accuracy, their code contained several syntax and logic mistakes. The student's approach to test time augmentation was entirely incorrect, disregarding the explicit instructions provided in the reference solution.
Breakdown:
- Part 1: Load and Prepare Data: 0.0/?
- Part 2: Load Pretrained Model and Adapt: 0.0/?
- Part 3: Training and Validation Functions: 0.0/?
- Part 4: Training: 2.5/?
- Part 5: Bonus — Test Time Augmentation: 0.0/?</t>
        </is>
      </c>
      <c r="Z404" t="n">
        <v>6</v>
      </c>
      <c r="AA404" t="n">
        <v>0</v>
      </c>
      <c r="AB404" t="inlineStr">
        <is>
          <t>The student's submission failed to meet the requirements for several tasks. In Part 1, the student did not create a custom Dataset class or use ImageFolder, and did not display sample images with labels. In Part 2, the student did not create a CNN model class with 5 convolutional layers. In Part 3, the student did not define the training loop function. In Part 4, the student did not plot the training and validation losses and training and validation accuracy. In Part 5, the student did not redefine the CNN model with a residual connection. The student's code had several syntax and logic mistakes, and failed to run end-to-end.
Breakdown:
- Part 1: Load and Prepare Data: 0.0/?
- Part 2: Build the CNN Model: 0.0/?
- Part 3: Training and Validation Functions: 0.0/?
- Part 4: Training: 2.0/?
- Part 5: Bonus — Residual Connection: 0.0/?</t>
        </is>
      </c>
      <c r="AC404" t="n">
        <v>6</v>
      </c>
      <c r="AD40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404" t="n">
        <v>0</v>
      </c>
      <c r="AF404" t="n">
        <v>0</v>
      </c>
      <c r="AG404" t="inlineStr">
        <is>
          <t>No submission found.</t>
        </is>
      </c>
      <c r="AH404" t="n">
        <v>18</v>
      </c>
      <c r="AI404" t="n">
        <v>0</v>
      </c>
    </row>
    <row r="405">
      <c r="A405" t="n">
        <v>404</v>
      </c>
      <c r="B405" t="inlineStr">
        <is>
          <t>TA_8</t>
        </is>
      </c>
      <c r="C405" t="inlineStr">
        <is>
          <t>TA_18</t>
        </is>
      </c>
      <c r="D405" t="n">
        <v>12</v>
      </c>
      <c r="E405" t="n">
        <v>0</v>
      </c>
      <c r="F405" t="n">
        <v>11</v>
      </c>
      <c r="G405" t="n">
        <v>4</v>
      </c>
      <c r="H405" t="n">
        <v>11.5</v>
      </c>
      <c r="I405" t="n">
        <v>0</v>
      </c>
      <c r="J405" t="n">
        <v>12</v>
      </c>
      <c r="K405" t="n">
        <v>3.75</v>
      </c>
      <c r="L405" t="n">
        <v>11</v>
      </c>
      <c r="M405" t="n">
        <v>4</v>
      </c>
      <c r="N405" t="n">
        <v>11.5</v>
      </c>
      <c r="O405" t="n">
        <v>0</v>
      </c>
      <c r="P405">
        <f>Table1[[#This Row],[TA 1 - Q1 Score]]+Table1[[#This Row],[TA 1 - Q2 Score]]+Table1[[#This Row],[TA 1 - Q3 Score]]</f>
        <v/>
      </c>
      <c r="Q405">
        <f>Table1[[#This Row],[TA 1 - Q1 Bonus]]+Table1[[#This Row],[TA 1 - Q2 Bonus]]+Table1[[#This Row],[TA 1 - Q4 Bonus]]</f>
        <v/>
      </c>
      <c r="R405">
        <f>Table1[[#This Row],[TA 2 - Q1 Score]]+Table1[[#This Row],[TA 2 - Q2 Score]]+Table1[[#This Row],[TA 2 - Q3 Score]]</f>
        <v/>
      </c>
      <c r="S405">
        <f>Table1[[#This Row],[TA 2 - Q1 Bonus]]+Table1[[#This Row],[TA 2 - Q2 Bonus]]+Table1[[#This Row],[TA 2 - Q4 Bonus]]</f>
        <v/>
      </c>
      <c r="T405">
        <f>(Table1[[#This Row],[TA 1 - Total Score (out of 35)]]+Table1[[#This Row],[TA 2 - Total Score (out of 35)]])/2</f>
        <v/>
      </c>
      <c r="U405">
        <f>(Table1[[#This Row],[TA 1 - Total Bonus (out of 13)]]+Table1[[#This Row],[TA 2 - Total Bonus (out of 13)]])/2</f>
        <v/>
      </c>
      <c r="V405">
        <f>Table1[[#This Row],[Average Questions]]/35*20+Table1[[#This Row],[Average Bonus]]/13*5</f>
        <v/>
      </c>
      <c r="W405" t="n">
        <v>9</v>
      </c>
      <c r="X405" t="n">
        <v>0</v>
      </c>
      <c r="Y405"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405" t="n">
        <v>6</v>
      </c>
      <c r="AA405" t="n">
        <v>0</v>
      </c>
      <c r="AB405" t="inlineStr">
        <is>
          <t>The student's submission failed to meet the requirements for most tasks. In Part 1, the student failed to create a custom Dataset class or use ImageFolder, and did not display sample images with labels. In Part 2, the student built a CNN model with only 5 convolutional layers, but did not add Batch Normalization. In Part 3, the student defined the training loop function but not the validation loop function. In Part 4, the student set up the device, model, loss function, and optimizer, and trained the model, but did not plot the training and validation losses and accuracy. In Part 5, the student did not redefine the CNN model with a residual connection, retrain the model, or plot the training and validation losses and accuracy.
Breakdown:
- Part 1: Load and Prepare Data: 0.0/?
- Part 2: Build the CNN Model: 0.0/?
- Part 3: Training and Validation Functions: 0.0/?
- Part 4: Training: 1.0/?
- Part 5: Bonus — Residual Connection: 0.0/?</t>
        </is>
      </c>
      <c r="AC405" t="n">
        <v>6</v>
      </c>
      <c r="AD405" t="inlineStr">
        <is>
          <t>The student's submission failed to meet the requirements of the task. The code was not organized in a way that allowed it to run end-to-end, and several key components were missing or incorrect. The student attempted to define a custom dataset class, but it was not used correctly. The model class was not defined correctly, and the training and validation loops were not implemented. The loss and optimizer were not defined correctly, and the model was not trained. Finally, the predictions were not visualized correctly. Overall, the submission demonstrated a lack of understanding of the task requirements and a failure to implement key components.
Breakdown:
- Task 1: Dataset Class: 0.0/?
- Task 2: Model Class: 0.0/?
- Task 3: Training and Validation Loops: 0.0/?
- Task 4: Running Training: 0.0/?
- Task 5: Visualizing Predictions: 0.0/?</t>
        </is>
      </c>
      <c r="AE405" t="n">
        <v>0</v>
      </c>
      <c r="AF405" t="n">
        <v>0</v>
      </c>
      <c r="AG405" t="inlineStr">
        <is>
          <t>No submission found.</t>
        </is>
      </c>
      <c r="AH405" t="n">
        <v>21</v>
      </c>
      <c r="AI405" t="n">
        <v>0</v>
      </c>
    </row>
    <row r="406">
      <c r="A406" t="n">
        <v>405</v>
      </c>
      <c r="B406" t="inlineStr">
        <is>
          <t>TA_8</t>
        </is>
      </c>
      <c r="C406" t="inlineStr">
        <is>
          <t>TA_18</t>
        </is>
      </c>
      <c r="D406" t="n">
        <v>10.5</v>
      </c>
      <c r="E406" t="n">
        <v>4</v>
      </c>
      <c r="F406" t="n">
        <v>11</v>
      </c>
      <c r="G406" t="n">
        <v>0</v>
      </c>
      <c r="H406" t="n">
        <v>12</v>
      </c>
      <c r="I406" t="n">
        <v>0</v>
      </c>
      <c r="J406" t="n">
        <v>10.5</v>
      </c>
      <c r="K406" t="n">
        <v>4</v>
      </c>
      <c r="L406" t="n">
        <v>11</v>
      </c>
      <c r="M406" t="n">
        <v>0</v>
      </c>
      <c r="N406" t="n">
        <v>12</v>
      </c>
      <c r="O406" t="n">
        <v>0</v>
      </c>
      <c r="P406">
        <f>Table1[[#This Row],[TA 1 - Q1 Score]]+Table1[[#This Row],[TA 1 - Q2 Score]]+Table1[[#This Row],[TA 1 - Q3 Score]]</f>
        <v/>
      </c>
      <c r="Q406">
        <f>Table1[[#This Row],[TA 1 - Q1 Bonus]]+Table1[[#This Row],[TA 1 - Q2 Bonus]]+Table1[[#This Row],[TA 1 - Q4 Bonus]]</f>
        <v/>
      </c>
      <c r="R406">
        <f>Table1[[#This Row],[TA 2 - Q1 Score]]+Table1[[#This Row],[TA 2 - Q2 Score]]+Table1[[#This Row],[TA 2 - Q3 Score]]</f>
        <v/>
      </c>
      <c r="S406">
        <f>Table1[[#This Row],[TA 2 - Q1 Bonus]]+Table1[[#This Row],[TA 2 - Q2 Bonus]]+Table1[[#This Row],[TA 2 - Q4 Bonus]]</f>
        <v/>
      </c>
      <c r="T406">
        <f>(Table1[[#This Row],[TA 1 - Total Score (out of 35)]]+Table1[[#This Row],[TA 2 - Total Score (out of 35)]])/2</f>
        <v/>
      </c>
      <c r="U406">
        <f>(Table1[[#This Row],[TA 1 - Total Bonus (out of 13)]]+Table1[[#This Row],[TA 2 - Total Bonus (out of 13)]])/2</f>
        <v/>
      </c>
      <c r="V406">
        <f>Table1[[#This Row],[Average Questions]]/35*20+Table1[[#This Row],[Average Bonus]]/13*5</f>
        <v/>
      </c>
      <c r="W406" t="n">
        <v>6</v>
      </c>
      <c r="X406" t="n">
        <v>0</v>
      </c>
      <c r="Y406" t="inlineStr">
        <is>
          <t>The student's submission failed to complete several key tasks, including loading and preparing the data, loading a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2.0/?
- Part 5: Bonus — Test Time Augmentation: 0.0/?</t>
        </is>
      </c>
      <c r="Z406" t="n">
        <v>6</v>
      </c>
      <c r="AA406" t="n">
        <v>0</v>
      </c>
      <c r="AB40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any points for the base tasks, and their bonus task was also not completed.
Breakdown:
- Part 1: Load and Prepare Data: 0.0/?
- Part 2: Build the CNN Model: 0.0/?
- Part 3: Training and Validation Functions: 0.0/?
- Part 4: Training: 2.0/?
- Part 5: Bonus — Residual Connection: 0.0/?</t>
        </is>
      </c>
      <c r="AC406" t="n">
        <v>6</v>
      </c>
      <c r="AD406"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06" t="n">
        <v>0</v>
      </c>
      <c r="AF406" t="n">
        <v>0</v>
      </c>
      <c r="AG406" t="inlineStr">
        <is>
          <t>The student's submission has several mistakes in the implementation of the `ColorizationDataset` class. The `__init__` method does not store the dataset, the `__len__` method does not return the correct length, the `rgb_to_grayscale` method does not apply the correct formula, and the `__getitem__` method does not return the correct (grayscale, color) tuple. Additionally, the implementation has several syntax and logic mistakes. Therefore, the student did not receive any points for this task.
Breakdown:
- Correctly implemented `ColorizationDataset` class:: 0.0/?
- Any mistake in implementation: 0.0/?</t>
        </is>
      </c>
      <c r="AH406" t="n">
        <v>18</v>
      </c>
      <c r="AI406" t="n">
        <v>0</v>
      </c>
    </row>
    <row r="407">
      <c r="A407" t="n">
        <v>406</v>
      </c>
      <c r="B407" t="inlineStr">
        <is>
          <t>TA_8</t>
        </is>
      </c>
      <c r="C407" t="inlineStr">
        <is>
          <t>TA_18</t>
        </is>
      </c>
      <c r="D407" t="n">
        <v>10.5</v>
      </c>
      <c r="E407" t="n">
        <v>0</v>
      </c>
      <c r="F407" t="n">
        <v>9</v>
      </c>
      <c r="G407" t="n">
        <v>0</v>
      </c>
      <c r="H407" t="n">
        <v>12</v>
      </c>
      <c r="I407" t="n">
        <v>0</v>
      </c>
      <c r="J407" t="n">
        <v>10.5</v>
      </c>
      <c r="K407" t="n">
        <v>0</v>
      </c>
      <c r="L407" t="n">
        <v>9</v>
      </c>
      <c r="M407" t="n">
        <v>0</v>
      </c>
      <c r="N407" t="n">
        <v>12</v>
      </c>
      <c r="O407" t="n">
        <v>0</v>
      </c>
      <c r="P407">
        <f>Table1[[#This Row],[TA 1 - Q1 Score]]+Table1[[#This Row],[TA 1 - Q2 Score]]+Table1[[#This Row],[TA 1 - Q3 Score]]</f>
        <v/>
      </c>
      <c r="Q407">
        <f>Table1[[#This Row],[TA 1 - Q1 Bonus]]+Table1[[#This Row],[TA 1 - Q2 Bonus]]+Table1[[#This Row],[TA 1 - Q4 Bonus]]</f>
        <v/>
      </c>
      <c r="R407">
        <f>Table1[[#This Row],[TA 2 - Q1 Score]]+Table1[[#This Row],[TA 2 - Q2 Score]]+Table1[[#This Row],[TA 2 - Q3 Score]]</f>
        <v/>
      </c>
      <c r="S407">
        <f>Table1[[#This Row],[TA 2 - Q1 Bonus]]+Table1[[#This Row],[TA 2 - Q2 Bonus]]+Table1[[#This Row],[TA 2 - Q4 Bonus]]</f>
        <v/>
      </c>
      <c r="T407">
        <f>(Table1[[#This Row],[TA 1 - Total Score (out of 35)]]+Table1[[#This Row],[TA 2 - Total Score (out of 35)]])/2</f>
        <v/>
      </c>
      <c r="U407">
        <f>(Table1[[#This Row],[TA 1 - Total Bonus (out of 13)]]+Table1[[#This Row],[TA 2 - Total Bonus (out of 13)]])/2</f>
        <v/>
      </c>
      <c r="V407">
        <f>Table1[[#This Row],[Average Questions]]/35*20+Table1[[#This Row],[Average Bonus]]/13*5</f>
        <v/>
      </c>
      <c r="W407" t="n">
        <v>6</v>
      </c>
      <c r="X407" t="n">
        <v>0</v>
      </c>
      <c r="Y407" t="inlineStr">
        <is>
          <t>The student's submission failed to complete several key tasks, including loading and preparing the data, loading a pretrained model and adapting it, and implementing training and validation functions. While the student did attempt to train the model, their code contained several errors and did not run end-to-end. The bonus task was not attempted. Overall, the submission demonstrated a lack of understanding of the required tasks and a failure to execute the code correctly.
Breakdown:
- Part 1: Load and Prepare Data: 0.0/?
- Part 2: Load Pretrained Model and Adapt: 0.0/?
- Part 3: Training and Validation Functions: 0.0/?
- Part 4: Training: 2.0/?
- Part 5: Bonus — Test Time Augmentation: 0.0/?</t>
        </is>
      </c>
      <c r="Z407" t="n">
        <v>4</v>
      </c>
      <c r="AA407" t="n">
        <v>0</v>
      </c>
      <c r="AB407" t="inlineStr">
        <is>
          <t>The submission failed to load and prepare the data correctly, as evidenced by the missing code for Part 1. The CNN model was not built as per the reference solution, resulting in a score of 0 for Part 2. The training and validation functions were not implemented, leading to a score of 0 for Part 3. The training process was not executed, resulting in a score of 0 for Part 4. The bonus task of adding a residual connection was not attempted, leading to a score of 0 for Part 5. Overall, the submission demonstrates a lack of understanding of the required tasks and implementation details.
Breakdown:
- Part 1: Load and Prepare Data: 0.0/?
- Part 2: Build the CNN Model: 0.0/?
- Part 3: Training and Validation Functions: 0.0/?
- Part 4: Training: 0.0/?
- Part 5: Bonus — Residual Connection: 0.0/?</t>
        </is>
      </c>
      <c r="AC407" t="n">
        <v>6</v>
      </c>
      <c r="AD407" t="inlineStr">
        <is>
          <t>The student's submission was incomplete and lacked code for most tasks. The only task that was attempted was Task 5: Visualizing Predictions, where the student's code was mostly correct but had some minor issues. The rest of the tasks were not attempted, resulting in a score of 6.0 out of 12.0.
Breakdown:
- Task 1: Dataset Class: 0.0/?
- Task 2: Model Class: 0.0/?
- Task 3: Training and Validation Loops: 0.0/?
- Task 4: Running Training: 0.0/?
- Task 5: Visualizing Predictions: 6.0/?</t>
        </is>
      </c>
      <c r="AE407" t="n">
        <v>0</v>
      </c>
      <c r="AF407" t="n">
        <v>0</v>
      </c>
      <c r="AG407" t="inlineStr">
        <is>
          <t>No submission found.</t>
        </is>
      </c>
      <c r="AH407" t="n">
        <v>16</v>
      </c>
      <c r="AI407" t="n">
        <v>0</v>
      </c>
    </row>
    <row r="408">
      <c r="A408" t="n">
        <v>407</v>
      </c>
      <c r="B408" t="inlineStr">
        <is>
          <t>TA_8</t>
        </is>
      </c>
      <c r="C408" t="inlineStr">
        <is>
          <t>TA_18</t>
        </is>
      </c>
      <c r="D408" t="n">
        <v>7</v>
      </c>
      <c r="E408" t="n">
        <v>0</v>
      </c>
      <c r="F408" t="n">
        <v>0</v>
      </c>
      <c r="G408" t="n">
        <v>0</v>
      </c>
      <c r="H408" t="n">
        <v>0</v>
      </c>
      <c r="I408" t="n">
        <v>0</v>
      </c>
      <c r="J408" t="n">
        <v>4.25</v>
      </c>
      <c r="K408" t="n">
        <v>0</v>
      </c>
      <c r="L408" t="n">
        <v>7.75</v>
      </c>
      <c r="M408" t="n">
        <v>0</v>
      </c>
      <c r="N408" t="n">
        <v>4.75</v>
      </c>
      <c r="O408" t="n">
        <v>0</v>
      </c>
      <c r="P408">
        <f>Table1[[#This Row],[TA 1 - Q1 Score]]+Table1[[#This Row],[TA 1 - Q2 Score]]+Table1[[#This Row],[TA 1 - Q3 Score]]</f>
        <v/>
      </c>
      <c r="Q408">
        <f>Table1[[#This Row],[TA 1 - Q1 Bonus]]+Table1[[#This Row],[TA 1 - Q2 Bonus]]+Table1[[#This Row],[TA 1 - Q4 Bonus]]</f>
        <v/>
      </c>
      <c r="R408">
        <f>Table1[[#This Row],[TA 2 - Q1 Score]]+Table1[[#This Row],[TA 2 - Q2 Score]]+Table1[[#This Row],[TA 2 - Q3 Score]]</f>
        <v/>
      </c>
      <c r="S408">
        <f>Table1[[#This Row],[TA 2 - Q1 Bonus]]+Table1[[#This Row],[TA 2 - Q2 Bonus]]+Table1[[#This Row],[TA 2 - Q4 Bonus]]</f>
        <v/>
      </c>
      <c r="T408">
        <f>(Table1[[#This Row],[TA 1 - Total Score (out of 35)]]+Table1[[#This Row],[TA 2 - Total Score (out of 35)]])/2</f>
        <v/>
      </c>
      <c r="U408">
        <f>(Table1[[#This Row],[TA 1 - Total Bonus (out of 13)]]+Table1[[#This Row],[TA 2 - Total Bonus (out of 13)]])/2</f>
        <v/>
      </c>
      <c r="V408">
        <f>Table1[[#This Row],[Average Questions]]/35*20+Table1[[#This Row],[Average Bonus]]/13*5</f>
        <v/>
      </c>
      <c r="W408" t="n">
        <v>6</v>
      </c>
      <c r="X408" t="n">
        <v>0</v>
      </c>
      <c r="Y408"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408" t="n">
        <v>4</v>
      </c>
      <c r="AA408" t="n">
        <v>0</v>
      </c>
      <c r="AB408"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08" t="n">
        <v>6</v>
      </c>
      <c r="AD408"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08" t="n">
        <v>0</v>
      </c>
      <c r="AF408" t="n">
        <v>0</v>
      </c>
      <c r="AG408" t="inlineStr">
        <is>
          <t>No submission found.</t>
        </is>
      </c>
      <c r="AH408" t="n">
        <v>16</v>
      </c>
      <c r="AI408" t="n">
        <v>0</v>
      </c>
    </row>
    <row r="409">
      <c r="A409" t="n">
        <v>408</v>
      </c>
      <c r="B409" t="inlineStr">
        <is>
          <t>TA_8</t>
        </is>
      </c>
      <c r="C409" t="inlineStr">
        <is>
          <t>TA_18</t>
        </is>
      </c>
      <c r="D409" t="n">
        <v>11</v>
      </c>
      <c r="E409" t="n">
        <v>0</v>
      </c>
      <c r="F409" t="n">
        <v>9</v>
      </c>
      <c r="G409" t="n">
        <v>0</v>
      </c>
      <c r="H409" t="n">
        <v>11.5</v>
      </c>
      <c r="I409" t="n">
        <v>0</v>
      </c>
      <c r="J409" t="n">
        <v>11</v>
      </c>
      <c r="K409" t="n">
        <v>0</v>
      </c>
      <c r="L409" t="n">
        <v>9</v>
      </c>
      <c r="M409" t="n">
        <v>0</v>
      </c>
      <c r="N409" t="n">
        <v>11.5</v>
      </c>
      <c r="O409" t="n">
        <v>0</v>
      </c>
      <c r="P409">
        <f>Table1[[#This Row],[TA 1 - Q1 Score]]+Table1[[#This Row],[TA 1 - Q2 Score]]+Table1[[#This Row],[TA 1 - Q3 Score]]</f>
        <v/>
      </c>
      <c r="Q409">
        <f>Table1[[#This Row],[TA 1 - Q1 Bonus]]+Table1[[#This Row],[TA 1 - Q2 Bonus]]+Table1[[#This Row],[TA 1 - Q4 Bonus]]</f>
        <v/>
      </c>
      <c r="R409">
        <f>Table1[[#This Row],[TA 2 - Q1 Score]]+Table1[[#This Row],[TA 2 - Q2 Score]]+Table1[[#This Row],[TA 2 - Q3 Score]]</f>
        <v/>
      </c>
      <c r="S409">
        <f>Table1[[#This Row],[TA 2 - Q1 Bonus]]+Table1[[#This Row],[TA 2 - Q2 Bonus]]+Table1[[#This Row],[TA 2 - Q4 Bonus]]</f>
        <v/>
      </c>
      <c r="T409">
        <f>(Table1[[#This Row],[TA 1 - Total Score (out of 35)]]+Table1[[#This Row],[TA 2 - Total Score (out of 35)]])/2</f>
        <v/>
      </c>
      <c r="U409">
        <f>(Table1[[#This Row],[TA 1 - Total Bonus (out of 13)]]+Table1[[#This Row],[TA 2 - Total Bonus (out of 13)]])/2</f>
        <v/>
      </c>
      <c r="V409">
        <f>Table1[[#This Row],[Average Questions]]/35*20+Table1[[#This Row],[Average Bonus]]/13*5</f>
        <v/>
      </c>
      <c r="W409" t="n">
        <v>6</v>
      </c>
      <c r="X409" t="n">
        <v>0</v>
      </c>
      <c r="Y40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disregarding the explicit instructions provided in the reference solution.
Breakdown:
- Part 1: Load and Prepare Data: 0.0/?
- Part 2: Load Pretrained Model and Adapt: 0.0/?
- Part 3: Training and Validation Functions: 0.0/?
- Part 4: Training: 2.0/?
- Part 5: Bonus — Test Time Augmentation: 0.0/?</t>
        </is>
      </c>
      <c r="Z409" t="n">
        <v>4</v>
      </c>
      <c r="AA409" t="n">
        <v>0</v>
      </c>
      <c r="AB409" t="inlineStr">
        <is>
          <t>The submission failed to load and prepare the data, build the CNN model, define the training and validation functions, set up the training process, and implement the residual connection. The code is disorganized and lacks a clear structure. The student attempted to load the dataset but failed to create the necessary data loaders and transforms. The CNN model was not built correctly, and the training and validation functions were not defined. The training process was not set up, and the residual connection was not implemented. The submission does not meet the requirements of the task and does not demonstrate a clear understanding of the concepts.
Breakdown:
- Part 1: Load and Prepare Data: 0.0/?
- Part 2: Build the CNN Model: 0.0/?
- Part 3: Training and Validation Functions: 0.0/?
- Part 4: Training: 0.0/?
- Part 5: Bonus — Residual Connection: 0.0/?</t>
        </is>
      </c>
      <c r="AC409" t="n">
        <v>6</v>
      </c>
      <c r="AD409" t="inlineStr">
        <is>
          <t>The student's submission was incomplete and lacked code for most tasks. The only task that was attempted was Task 5: Visualizing Predictions, where the student's code was mostly correct but had a minor issue with displaying the ground truth masks. As a result, the student scored 6.0 out of 12.0 for the base tasks and 0.0 for the bonus tasks.
Breakdown:
- Task 1: Dataset Class: 0.0/?
- Task 2: Model Class: 0.0/?
- Task 3: Training and Validation Loops: 0.0/?
- Task 4: Running Training: 0.0/?
- Task 5: Visualizing Predictions: 6.0/?</t>
        </is>
      </c>
      <c r="AE409" t="n">
        <v>0</v>
      </c>
      <c r="AF409" t="n">
        <v>0</v>
      </c>
      <c r="AG409" t="inlineStr">
        <is>
          <t>No submission found.</t>
        </is>
      </c>
      <c r="AH409" t="n">
        <v>16</v>
      </c>
      <c r="AI409" t="n">
        <v>0</v>
      </c>
    </row>
    <row r="410">
      <c r="A410" t="n">
        <v>409</v>
      </c>
      <c r="B410" t="inlineStr">
        <is>
          <t>TA_8</t>
        </is>
      </c>
      <c r="C410" t="inlineStr">
        <is>
          <t>TA_18</t>
        </is>
      </c>
      <c r="D410" t="n">
        <v>6.5</v>
      </c>
      <c r="E410" t="n">
        <v>0</v>
      </c>
      <c r="F410" t="n">
        <v>8.5</v>
      </c>
      <c r="G410" t="n">
        <v>0</v>
      </c>
      <c r="H410" t="n">
        <v>8</v>
      </c>
      <c r="I410" t="n">
        <v>0</v>
      </c>
      <c r="J410" t="n">
        <v>6.75</v>
      </c>
      <c r="K410" t="n">
        <v>0</v>
      </c>
      <c r="L410" t="n">
        <v>9</v>
      </c>
      <c r="M410" t="n">
        <v>0</v>
      </c>
      <c r="N410" t="n">
        <v>8.5</v>
      </c>
      <c r="O410" t="n">
        <v>0</v>
      </c>
      <c r="P410">
        <f>Table1[[#This Row],[TA 1 - Q1 Score]]+Table1[[#This Row],[TA 1 - Q2 Score]]+Table1[[#This Row],[TA 1 - Q3 Score]]</f>
        <v/>
      </c>
      <c r="Q410">
        <f>Table1[[#This Row],[TA 1 - Q1 Bonus]]+Table1[[#This Row],[TA 1 - Q2 Bonus]]+Table1[[#This Row],[TA 1 - Q4 Bonus]]</f>
        <v/>
      </c>
      <c r="R410">
        <f>Table1[[#This Row],[TA 2 - Q1 Score]]+Table1[[#This Row],[TA 2 - Q2 Score]]+Table1[[#This Row],[TA 2 - Q3 Score]]</f>
        <v/>
      </c>
      <c r="S410">
        <f>Table1[[#This Row],[TA 2 - Q1 Bonus]]+Table1[[#This Row],[TA 2 - Q2 Bonus]]+Table1[[#This Row],[TA 2 - Q4 Bonus]]</f>
        <v/>
      </c>
      <c r="T410">
        <f>(Table1[[#This Row],[TA 1 - Total Score (out of 35)]]+Table1[[#This Row],[TA 2 - Total Score (out of 35)]])/2</f>
        <v/>
      </c>
      <c r="U410">
        <f>(Table1[[#This Row],[TA 1 - Total Bonus (out of 13)]]+Table1[[#This Row],[TA 2 - Total Bonus (out of 13)]])/2</f>
        <v/>
      </c>
      <c r="V410">
        <f>Table1[[#This Row],[Average Questions]]/35*20+Table1[[#This Row],[Average Bonus]]/13*5</f>
        <v/>
      </c>
      <c r="W410" t="n">
        <v>6</v>
      </c>
      <c r="X410" t="n">
        <v>0</v>
      </c>
      <c r="Y410"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resulting in a low overall score.
Breakdown:
- Part 1: Load and Prepare Data: 0.0/?
- Part 2: Load Pretrained Model and Adapt: 0.0/?
- Part 3: Training and Validation Functions: 0.0/?
- Part 4: Training: 2.0/?
- Part 5: Bonus — Test Time Augmentation: 0.0/?</t>
        </is>
      </c>
      <c r="Z410" t="n">
        <v>6</v>
      </c>
      <c r="AA410" t="n">
        <v>0</v>
      </c>
      <c r="AB410"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In Part 3, the training and validation loop functions were not defined. In Part 4, the model was trained, but the validation loop was not implemented correctly. In Part 5, the residual connection was not added to the CNN model. As a result, the student did not meet the requirements for these tasks and did not earn any points for them.
Breakdown:
- Part 1: Load and Prepare Data: 0.0/?
- Part 2: Build the CNN Model: 0.0/?
- Part 3: Training and Validation Functions: 0.0/?
- Part 4: Training: 2.0/?
- Part 5: Bonus — Residual Connection: 0.0/?</t>
        </is>
      </c>
      <c r="AC410" t="n">
        <v>6</v>
      </c>
      <c r="AD410" t="inlineStr">
        <is>
          <t>The student failed to submit code for any of the tasks in Question 3. The submission is incomplete and does not demonstrate any understanding of the required concepts. As a result, the student receives 0 points for each task.
Breakdown:
- Task 1: Dataset Class: 0.0/?
- Task 2: Model Class: 0.0/?
- Task 3: Training and Validation Loops: 0.0/?
- Task 4: Running Training: 0.0/?
- Task 5: Visualizing Predictions: 0.0/?</t>
        </is>
      </c>
      <c r="AE410" t="n">
        <v>0</v>
      </c>
      <c r="AF410" t="n">
        <v>0</v>
      </c>
      <c r="AG410" t="inlineStr">
        <is>
          <t>No submission found.</t>
        </is>
      </c>
      <c r="AH410" t="n">
        <v>18</v>
      </c>
      <c r="AI410" t="n">
        <v>0</v>
      </c>
    </row>
    <row r="411">
      <c r="A411" t="n">
        <v>410</v>
      </c>
      <c r="B411" t="inlineStr">
        <is>
          <t>TA_8</t>
        </is>
      </c>
      <c r="C411" t="inlineStr">
        <is>
          <t>TA_18</t>
        </is>
      </c>
      <c r="D411" t="n">
        <v>7</v>
      </c>
      <c r="E411" t="n">
        <v>0</v>
      </c>
      <c r="F411" t="n">
        <v>11</v>
      </c>
      <c r="G411" t="n">
        <v>4</v>
      </c>
      <c r="H411" t="n">
        <v>12</v>
      </c>
      <c r="I411" t="n">
        <v>0</v>
      </c>
      <c r="J411" t="n">
        <v>10</v>
      </c>
      <c r="K411" t="n">
        <v>0</v>
      </c>
      <c r="L411" t="n">
        <v>11</v>
      </c>
      <c r="M411" t="n">
        <v>4</v>
      </c>
      <c r="N411" t="n">
        <v>12</v>
      </c>
      <c r="O411" t="n">
        <v>0</v>
      </c>
      <c r="P411">
        <f>Table1[[#This Row],[TA 1 - Q1 Score]]+Table1[[#This Row],[TA 1 - Q2 Score]]+Table1[[#This Row],[TA 1 - Q3 Score]]</f>
        <v/>
      </c>
      <c r="Q411">
        <f>Table1[[#This Row],[TA 1 - Q1 Bonus]]+Table1[[#This Row],[TA 1 - Q2 Bonus]]+Table1[[#This Row],[TA 1 - Q4 Bonus]]</f>
        <v/>
      </c>
      <c r="R411">
        <f>Table1[[#This Row],[TA 2 - Q1 Score]]+Table1[[#This Row],[TA 2 - Q2 Score]]+Table1[[#This Row],[TA 2 - Q3 Score]]</f>
        <v/>
      </c>
      <c r="S411">
        <f>Table1[[#This Row],[TA 2 - Q1 Bonus]]+Table1[[#This Row],[TA 2 - Q2 Bonus]]+Table1[[#This Row],[TA 2 - Q4 Bonus]]</f>
        <v/>
      </c>
      <c r="T411">
        <f>(Table1[[#This Row],[TA 1 - Total Score (out of 35)]]+Table1[[#This Row],[TA 2 - Total Score (out of 35)]])/2</f>
        <v/>
      </c>
      <c r="U411">
        <f>(Table1[[#This Row],[TA 1 - Total Bonus (out of 13)]]+Table1[[#This Row],[TA 2 - Total Bonus (out of 13)]])/2</f>
        <v/>
      </c>
      <c r="V411">
        <f>Table1[[#This Row],[Average Questions]]/35*20+Table1[[#This Row],[Average Bonus]]/13*5</f>
        <v/>
      </c>
      <c r="W411" t="n">
        <v>6</v>
      </c>
      <c r="X411" t="n">
        <v>0</v>
      </c>
      <c r="Y411"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As a result, the student's score is low, reflecting the incomplete and incorrect nature of their submission.
Breakdown:
- Part 1: Load and Prepare Data: 0.0/?
- Part 2: Load Pretrained Model and Adapt: 0.0/?
- Part 3: Training and Validation Functions: 1.5/?
- Part 4: Training: 0.0/?
- Part 5: Bonus — Test Time Augmentation: 0.0/?</t>
        </is>
      </c>
      <c r="Z411" t="n">
        <v>6</v>
      </c>
      <c r="AA411" t="n">
        <v>0</v>
      </c>
      <c r="AB411" t="inlineStr">
        <is>
          <t>The student's submission failed to meet the requirements for most tasks. In Part 1, the code did not create a custom Dataset class or use ImageFolder, and the transforms were not applied correctly. In Part 2, the CNN model class was not defined with 5 convolutional layers. In Part 3, the training and validation loop functions were not defined. In Part 4, the model was trained, but the validation loop function was not used. In Part 5, the residual connection was not implemented correctly. The student's code had several syntax and logic mistakes, and some tasks were not attempted at all.
Breakdown:
- Part 1: Load and Prepare Data: 0.0/?
- Part 2: Build the CNN Model: 0.0/?
- Part 3: Training and Validation Functions: 0.0/?
- Part 4: Training: 2.0/?
- Part 5: Bonus — Residual Connection: 0.0/?</t>
        </is>
      </c>
      <c r="AC411" t="n">
        <v>6</v>
      </c>
      <c r="AD411" t="inlineStr">
        <is>
          <t>The student's submission was incomplete and lacked code for several tasks. While the code for visualizing predictions was mostly correct, it did not run end-to-end due to missing imports and incorrect usage of the model. As a result, the student was awarded 0 points for the first four tasks and 6 points for the fifth task.
Breakdown:
- Task 1: Dataset Class: 0.0/?
- Task 2: Model Class: 0.0/?
- Task 3: Training and Validation Loops: 0.0/?
- Task 4: Running Training: 0.0/?
- Task 5: Visualizing Predictions: 6.0/?</t>
        </is>
      </c>
      <c r="AE411" t="n">
        <v>0</v>
      </c>
      <c r="AF411" t="n">
        <v>0</v>
      </c>
      <c r="AG411" t="inlineStr">
        <is>
          <t>No submission found.</t>
        </is>
      </c>
      <c r="AH411" t="n">
        <v>18</v>
      </c>
      <c r="AI411" t="n">
        <v>0</v>
      </c>
    </row>
    <row r="412">
      <c r="A412" t="n">
        <v>411</v>
      </c>
      <c r="B412" t="inlineStr">
        <is>
          <t>TA_8</t>
        </is>
      </c>
      <c r="C412" t="inlineStr">
        <is>
          <t>TA_18</t>
        </is>
      </c>
      <c r="D412" t="n">
        <v>12</v>
      </c>
      <c r="E412" t="n">
        <v>4</v>
      </c>
      <c r="F412" t="n">
        <v>11</v>
      </c>
      <c r="G412" t="n">
        <v>4</v>
      </c>
      <c r="H412" t="n">
        <v>11.5</v>
      </c>
      <c r="I412" t="n">
        <v>0</v>
      </c>
      <c r="J412" t="n">
        <v>12</v>
      </c>
      <c r="K412" t="n">
        <v>3.75</v>
      </c>
      <c r="L412" t="n">
        <v>11</v>
      </c>
      <c r="M412" t="n">
        <v>4</v>
      </c>
      <c r="N412" t="n">
        <v>11.5</v>
      </c>
      <c r="O412" t="n">
        <v>0</v>
      </c>
      <c r="P412">
        <f>Table1[[#This Row],[TA 1 - Q1 Score]]+Table1[[#This Row],[TA 1 - Q2 Score]]+Table1[[#This Row],[TA 1 - Q3 Score]]</f>
        <v/>
      </c>
      <c r="Q412">
        <f>Table1[[#This Row],[TA 1 - Q1 Bonus]]+Table1[[#This Row],[TA 1 - Q2 Bonus]]+Table1[[#This Row],[TA 1 - Q4 Bonus]]</f>
        <v/>
      </c>
      <c r="R412">
        <f>Table1[[#This Row],[TA 2 - Q1 Score]]+Table1[[#This Row],[TA 2 - Q2 Score]]+Table1[[#This Row],[TA 2 - Q3 Score]]</f>
        <v/>
      </c>
      <c r="S412">
        <f>Table1[[#This Row],[TA 2 - Q1 Bonus]]+Table1[[#This Row],[TA 2 - Q2 Bonus]]+Table1[[#This Row],[TA 2 - Q4 Bonus]]</f>
        <v/>
      </c>
      <c r="T412">
        <f>(Table1[[#This Row],[TA 1 - Total Score (out of 35)]]+Table1[[#This Row],[TA 2 - Total Score (out of 35)]])/2</f>
        <v/>
      </c>
      <c r="U412">
        <f>(Table1[[#This Row],[TA 1 - Total Bonus (out of 13)]]+Table1[[#This Row],[TA 2 - Total Bonus (out of 13)]])/2</f>
        <v/>
      </c>
      <c r="V412">
        <f>Table1[[#This Row],[Average Questions]]/35*20+Table1[[#This Row],[Average Bonus]]/13*5</f>
        <v/>
      </c>
      <c r="W412" t="n">
        <v>6</v>
      </c>
      <c r="X412" t="n">
        <v>0</v>
      </c>
      <c r="Y412"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produce a working solution.
Breakdown:
- Part 1: Load and Prepare Data: 0.0/?
- Part 2: Load Pretrained Model and Adapt: 0.0/?
- Part 3: Training and Validation Functions: 1.5/?
- Part 4: Training: 0.0/?
- Part 5: Bonus — Test Time Augmentation: 0.0/?</t>
        </is>
      </c>
      <c r="Z412" t="n">
        <v>4</v>
      </c>
      <c r="AA412" t="n">
        <v>0</v>
      </c>
      <c r="AB412"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412" t="n">
        <v>6</v>
      </c>
      <c r="AD412"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12" t="n">
        <v>0</v>
      </c>
      <c r="AF412" t="n">
        <v>0</v>
      </c>
      <c r="AG412" t="inlineStr">
        <is>
          <t>No submission found.</t>
        </is>
      </c>
      <c r="AH412" t="n">
        <v>16</v>
      </c>
      <c r="AI412" t="n">
        <v>0</v>
      </c>
    </row>
    <row r="413">
      <c r="A413" t="n">
        <v>412</v>
      </c>
      <c r="B413" t="inlineStr">
        <is>
          <t>TA_8</t>
        </is>
      </c>
      <c r="C413" t="inlineStr">
        <is>
          <t>TA_18</t>
        </is>
      </c>
      <c r="D413" t="n">
        <v>7</v>
      </c>
      <c r="E413" t="n">
        <v>0</v>
      </c>
      <c r="F413" t="n">
        <v>8.5</v>
      </c>
      <c r="G413" t="n">
        <v>0</v>
      </c>
      <c r="H413" t="n">
        <v>9.5</v>
      </c>
      <c r="I413" t="n">
        <v>0</v>
      </c>
      <c r="J413" t="n">
        <v>6.25</v>
      </c>
      <c r="K413" t="n">
        <v>2</v>
      </c>
      <c r="L413" t="n">
        <v>8.5</v>
      </c>
      <c r="M413" t="n">
        <v>0</v>
      </c>
      <c r="N413" t="n">
        <v>7</v>
      </c>
      <c r="O413" t="n">
        <v>0</v>
      </c>
      <c r="P413">
        <f>Table1[[#This Row],[TA 1 - Q1 Score]]+Table1[[#This Row],[TA 1 - Q2 Score]]+Table1[[#This Row],[TA 1 - Q3 Score]]</f>
        <v/>
      </c>
      <c r="Q413">
        <f>Table1[[#This Row],[TA 1 - Q1 Bonus]]+Table1[[#This Row],[TA 1 - Q2 Bonus]]+Table1[[#This Row],[TA 1 - Q4 Bonus]]</f>
        <v/>
      </c>
      <c r="R413">
        <f>Table1[[#This Row],[TA 2 - Q1 Score]]+Table1[[#This Row],[TA 2 - Q2 Score]]+Table1[[#This Row],[TA 2 - Q3 Score]]</f>
        <v/>
      </c>
      <c r="S413">
        <f>Table1[[#This Row],[TA 2 - Q1 Bonus]]+Table1[[#This Row],[TA 2 - Q2 Bonus]]+Table1[[#This Row],[TA 2 - Q4 Bonus]]</f>
        <v/>
      </c>
      <c r="T413">
        <f>(Table1[[#This Row],[TA 1 - Total Score (out of 35)]]+Table1[[#This Row],[TA 2 - Total Score (out of 35)]])/2</f>
        <v/>
      </c>
      <c r="U413">
        <f>(Table1[[#This Row],[TA 1 - Total Bonus (out of 13)]]+Table1[[#This Row],[TA 2 - Total Bonus (out of 13)]])/2</f>
        <v/>
      </c>
      <c r="V413">
        <f>Table1[[#This Row],[Average Questions]]/35*20+Table1[[#This Row],[Average Bonus]]/13*5</f>
        <v/>
      </c>
      <c r="W413" t="n">
        <v>6</v>
      </c>
      <c r="X413" t="n">
        <v>0</v>
      </c>
      <c r="Y41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test time augmentation was also incorrect, and they failed to average the predictions correctly. Overall, the student's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413" t="n">
        <v>6</v>
      </c>
      <c r="AA413" t="n">
        <v>0</v>
      </c>
      <c r="AB413" t="inlineStr">
        <is>
          <t>The student's submission failed to load and prepare the data correctly, resulting in a score of 0 for Part 1. The CNN model was partially built, but it lacked the necessary layers and activation functions,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413" t="n">
        <v>6</v>
      </c>
      <c r="AD413" t="inlineStr">
        <is>
          <t>The student's submission failed to meet the requirements of the task. The code was not organized correctly, and many tasks were not completed. The student attempted to define the dataset class, but it was not done correctly. The model class was not defined, and the model was not loaded with the correct encoder. The training and validation loops were not defined correctly, and the loss function was not used correctly. The training process was not executed correctly, and the loss and optimizer were not defined correctly. The predictions were not visualized correctly, and the model was not used correctly to make predictions.
Breakdown:
- Task 1: Dataset Class: 0.0/?
- Task 2: Model Class: 0.0/?
- Task 3: Training and Validation Loops: 0.0/?
- Task 4: Running Training: 0.0/?
- Task 5: Visualizing Predictions: 0.0/?</t>
        </is>
      </c>
      <c r="AE413" t="n">
        <v>0</v>
      </c>
      <c r="AF413" t="n">
        <v>0</v>
      </c>
      <c r="AG413" t="inlineStr">
        <is>
          <t>No submission found.</t>
        </is>
      </c>
      <c r="AH413" t="n">
        <v>18</v>
      </c>
      <c r="AI413" t="n">
        <v>0</v>
      </c>
    </row>
    <row r="414">
      <c r="A414" t="n">
        <v>413</v>
      </c>
      <c r="B414" t="inlineStr">
        <is>
          <t>TA_8</t>
        </is>
      </c>
      <c r="C414" t="inlineStr">
        <is>
          <t>TA_18</t>
        </is>
      </c>
      <c r="D414" t="n">
        <v>6.5</v>
      </c>
      <c r="E414" t="n">
        <v>0</v>
      </c>
      <c r="F414" t="n">
        <v>7.5</v>
      </c>
      <c r="G414" t="n">
        <v>0</v>
      </c>
      <c r="H414" t="n">
        <v>12</v>
      </c>
      <c r="I414" t="n">
        <v>0</v>
      </c>
      <c r="J414" t="n">
        <v>6.75</v>
      </c>
      <c r="K414" t="n">
        <v>0</v>
      </c>
      <c r="L414" t="n">
        <v>7.5</v>
      </c>
      <c r="M414" t="n">
        <v>0</v>
      </c>
      <c r="N414" t="n">
        <v>12</v>
      </c>
      <c r="O414" t="n">
        <v>0</v>
      </c>
      <c r="P414">
        <f>Table1[[#This Row],[TA 1 - Q1 Score]]+Table1[[#This Row],[TA 1 - Q2 Score]]+Table1[[#This Row],[TA 1 - Q3 Score]]</f>
        <v/>
      </c>
      <c r="Q414">
        <f>Table1[[#This Row],[TA 1 - Q1 Bonus]]+Table1[[#This Row],[TA 1 - Q2 Bonus]]+Table1[[#This Row],[TA 1 - Q4 Bonus]]</f>
        <v/>
      </c>
      <c r="R414">
        <f>Table1[[#This Row],[TA 2 - Q1 Score]]+Table1[[#This Row],[TA 2 - Q2 Score]]+Table1[[#This Row],[TA 2 - Q3 Score]]</f>
        <v/>
      </c>
      <c r="S414">
        <f>Table1[[#This Row],[TA 2 - Q1 Bonus]]+Table1[[#This Row],[TA 2 - Q2 Bonus]]+Table1[[#This Row],[TA 2 - Q4 Bonus]]</f>
        <v/>
      </c>
      <c r="T414">
        <f>(Table1[[#This Row],[TA 1 - Total Score (out of 35)]]+Table1[[#This Row],[TA 2 - Total Score (out of 35)]])/2</f>
        <v/>
      </c>
      <c r="U414">
        <f>(Table1[[#This Row],[TA 1 - Total Bonus (out of 13)]]+Table1[[#This Row],[TA 2 - Total Bonus (out of 13)]])/2</f>
        <v/>
      </c>
      <c r="V414">
        <f>Table1[[#This Row],[Average Questions]]/35*20+Table1[[#This Row],[Average Bonus]]/13*5</f>
        <v/>
      </c>
      <c r="W414" t="n">
        <v>6</v>
      </c>
      <c r="X414" t="n">
        <v>0</v>
      </c>
      <c r="Y414"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syntax and logic mistakes, resulting in a score of 6.0 for this task. Unfortunately, the student did not complete the bonus task, Test Time Augmentation, and their submission did not run end-to-end due to errors in the code.
Breakdown:
- Part 1: Load and Prepare Data: 0.0/?
- Part 2: Load Pretrained Model and Adapt: 0.0/?
- Part 3: Training and Validation Functions: 0.0/?
- Part 4: Training: 6.0/?
- Part 5: Bonus — Test Time Augmentation: 0.0/?</t>
        </is>
      </c>
      <c r="Z414" t="n">
        <v>4</v>
      </c>
      <c r="AA414" t="n">
        <v>0</v>
      </c>
      <c r="AB414"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14" t="n">
        <v>6</v>
      </c>
      <c r="AD414" t="inlineStr">
        <is>
          <t>The student's submission was incomplete, with no code provided for Tasks 1-4. However, the code for Task 5 was mostly correct, but it did not meet the requirements of displaying the ground truth and the predicted masks for multiple images.
Breakdown:
- Task 1: Dataset Class: 0.0/?
- Task 2: Model Class: 0.0/?
- Task 3: Training and Validation Loops: 0.0/?
- Task 4: Running Training: 0.0/?
- Task 5: Visualizing Predictions: 6.0/?</t>
        </is>
      </c>
      <c r="AE414" t="n">
        <v>0</v>
      </c>
      <c r="AF414" t="n">
        <v>0</v>
      </c>
      <c r="AG414" t="inlineStr">
        <is>
          <t>No submission found.</t>
        </is>
      </c>
      <c r="AH414" t="n">
        <v>16</v>
      </c>
      <c r="AI414" t="n">
        <v>0</v>
      </c>
    </row>
    <row r="415">
      <c r="A415" t="n">
        <v>414</v>
      </c>
      <c r="B415" t="inlineStr">
        <is>
          <t>TA_8</t>
        </is>
      </c>
      <c r="C415" t="inlineStr">
        <is>
          <t>TA_18</t>
        </is>
      </c>
      <c r="D415" t="n">
        <v>5.5</v>
      </c>
      <c r="E415" t="n">
        <v>0</v>
      </c>
      <c r="F415" t="n">
        <v>7.5</v>
      </c>
      <c r="G415" t="n">
        <v>0</v>
      </c>
      <c r="H415" t="n">
        <v>12</v>
      </c>
      <c r="I415" t="n">
        <v>0</v>
      </c>
      <c r="J415" t="n">
        <v>5.5</v>
      </c>
      <c r="K415" t="n">
        <v>0</v>
      </c>
      <c r="L415" t="n">
        <v>7.5</v>
      </c>
      <c r="M415" t="n">
        <v>0</v>
      </c>
      <c r="N415" t="n">
        <v>12</v>
      </c>
      <c r="O415" t="n">
        <v>0</v>
      </c>
      <c r="P415">
        <f>Table1[[#This Row],[TA 1 - Q1 Score]]+Table1[[#This Row],[TA 1 - Q2 Score]]+Table1[[#This Row],[TA 1 - Q3 Score]]</f>
        <v/>
      </c>
      <c r="Q415">
        <f>Table1[[#This Row],[TA 1 - Q1 Bonus]]+Table1[[#This Row],[TA 1 - Q2 Bonus]]+Table1[[#This Row],[TA 1 - Q4 Bonus]]</f>
        <v/>
      </c>
      <c r="R415">
        <f>Table1[[#This Row],[TA 2 - Q1 Score]]+Table1[[#This Row],[TA 2 - Q2 Score]]+Table1[[#This Row],[TA 2 - Q3 Score]]</f>
        <v/>
      </c>
      <c r="S415">
        <f>Table1[[#This Row],[TA 2 - Q1 Bonus]]+Table1[[#This Row],[TA 2 - Q2 Bonus]]+Table1[[#This Row],[TA 2 - Q4 Bonus]]</f>
        <v/>
      </c>
      <c r="T415">
        <f>(Table1[[#This Row],[TA 1 - Total Score (out of 35)]]+Table1[[#This Row],[TA 2 - Total Score (out of 35)]])/2</f>
        <v/>
      </c>
      <c r="U415">
        <f>(Table1[[#This Row],[TA 1 - Total Bonus (out of 13)]]+Table1[[#This Row],[TA 2 - Total Bonus (out of 13)]])/2</f>
        <v/>
      </c>
      <c r="V415">
        <f>Table1[[#This Row],[Average Questions]]/35*20+Table1[[#This Row],[Average Bonus]]/13*5</f>
        <v/>
      </c>
      <c r="W415" t="n">
        <v>6</v>
      </c>
      <c r="X415" t="n">
        <v>0</v>
      </c>
      <c r="Y415" t="inlineStr">
        <is>
          <t>The student's submission failed to complete several key tasks, including loading and preparing the data, loading a pretrained model, and adapting it for the task. The training and validation functions were also not implemented correctly. However, the student did manage to complete the training process and plot the losses and accuracy.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415" t="n">
        <v>4</v>
      </c>
      <c r="AA415" t="n">
        <v>0</v>
      </c>
      <c r="AB415"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15" t="n">
        <v>6</v>
      </c>
      <c r="AD415" t="inlineStr">
        <is>
          <t>The student's submission failed to meet the requirements of the task. The code is incomplete, disorganized, and does not follow the reference solution. The student failed to create a custom dataset class, define a pretrained U-Net, define the training and validation loops, and train the model for 10 epochs. The student also failed to visualize the model's predictions against the ground truth for several images.
Breakdown:
- Task 1: Dataset Class: 0.0/?
- Task 2: Model Class: 0.0/?
- Task 3: Training and Validation Loops: 0.0/?
- Task 4: Running Training: 0.0/?
- Task 5: Visualizing Predictions: 0.0/?</t>
        </is>
      </c>
      <c r="AE415" t="n">
        <v>0</v>
      </c>
      <c r="AF415" t="n">
        <v>0</v>
      </c>
      <c r="AG415" t="inlineStr">
        <is>
          <t>No submission found.</t>
        </is>
      </c>
      <c r="AH415" t="n">
        <v>16</v>
      </c>
      <c r="AI415" t="n">
        <v>0</v>
      </c>
    </row>
    <row r="416">
      <c r="A416" t="n">
        <v>415</v>
      </c>
      <c r="B416" t="inlineStr">
        <is>
          <t>TA_8</t>
        </is>
      </c>
      <c r="C416" t="inlineStr">
        <is>
          <t>TA_18</t>
        </is>
      </c>
      <c r="D416" t="n">
        <v>12</v>
      </c>
      <c r="E416" t="n">
        <v>4</v>
      </c>
      <c r="F416" t="n">
        <v>11</v>
      </c>
      <c r="G416" t="n">
        <v>4</v>
      </c>
      <c r="H416" t="n">
        <v>12</v>
      </c>
      <c r="I416" t="n">
        <v>0</v>
      </c>
      <c r="J416" t="n">
        <v>12</v>
      </c>
      <c r="K416" t="n">
        <v>4</v>
      </c>
      <c r="L416" t="n">
        <v>11</v>
      </c>
      <c r="M416" t="n">
        <v>2.5</v>
      </c>
      <c r="N416" t="n">
        <v>12</v>
      </c>
      <c r="O416" t="n">
        <v>5</v>
      </c>
      <c r="P416">
        <f>Table1[[#This Row],[TA 1 - Q1 Score]]+Table1[[#This Row],[TA 1 - Q2 Score]]+Table1[[#This Row],[TA 1 - Q3 Score]]</f>
        <v/>
      </c>
      <c r="Q416">
        <f>Table1[[#This Row],[TA 1 - Q1 Bonus]]+Table1[[#This Row],[TA 1 - Q2 Bonus]]+Table1[[#This Row],[TA 1 - Q4 Bonus]]</f>
        <v/>
      </c>
      <c r="R416">
        <f>Table1[[#This Row],[TA 2 - Q1 Score]]+Table1[[#This Row],[TA 2 - Q2 Score]]+Table1[[#This Row],[TA 2 - Q3 Score]]</f>
        <v/>
      </c>
      <c r="S416">
        <f>Table1[[#This Row],[TA 2 - Q1 Bonus]]+Table1[[#This Row],[TA 2 - Q2 Bonus]]+Table1[[#This Row],[TA 2 - Q4 Bonus]]</f>
        <v/>
      </c>
      <c r="T416">
        <f>(Table1[[#This Row],[TA 1 - Total Score (out of 35)]]+Table1[[#This Row],[TA 2 - Total Score (out of 35)]])/2</f>
        <v/>
      </c>
      <c r="U416">
        <f>(Table1[[#This Row],[TA 1 - Total Bonus (out of 13)]]+Table1[[#This Row],[TA 2 - Total Bonus (out of 13)]])/2</f>
        <v/>
      </c>
      <c r="V416">
        <f>Table1[[#This Row],[Average Questions]]/35*20+Table1[[#This Row],[Average Bonus]]/13*5</f>
        <v/>
      </c>
      <c r="W416" t="n">
        <v>6</v>
      </c>
      <c r="X416" t="n">
        <v>0</v>
      </c>
      <c r="Y416" t="inlineStr">
        <is>
          <t>The student's submission failed to complete several key tasks, including loading and preparing the data, loading a pretrained model and adapting it, and training the model. While they did attempt to implement the training and validation functions, their code contained syntax errors and did not run correctly. Additionally, they did not implement test time augmentation correctly. As a result, the student's submission did not meet the requirements of the task and did not demonstrate a clear understanding of the concepts.
Breakdown:
- Part 1: Load and Prepare Data: 0.0/?
- Part 2: Load Pretrained Model and Adapt: 0.0/?
- Part 3: Training and Validation Functions: 1.5/?
- Part 4: Training: 0.0/?
- Part 5: Bonus — Test Time Augmentation: 0.0/?</t>
        </is>
      </c>
      <c r="Z416" t="n">
        <v>4</v>
      </c>
      <c r="AA416" t="n">
        <v>0</v>
      </c>
      <c r="AB416"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16" t="n">
        <v>6</v>
      </c>
      <c r="AD416" t="inlineStr">
        <is>
          <t>The student's submission is incomplete and lacks code for several tasks. While they attempted to visualize predictions, their code is not fully functional and does not meet the requirements of the task. As a result, the student earns 0 points for the majority of the tasks and 6 points for the task of visualizing predictions.
Breakdown:
- Task 1: Dataset Class: 0.0/?
- Task 2: Model Class: 0.0/?
- Task 3: Training and Validation Loops: 0.0/?
- Task 4: Running Training: 0.0/?
- Task 5: Visualizing Predictions: 6.0/?</t>
        </is>
      </c>
      <c r="AE416" t="n">
        <v>0</v>
      </c>
      <c r="AF416" t="n">
        <v>0</v>
      </c>
      <c r="AG416" t="inlineStr">
        <is>
          <t>The student's submission does not meet the requirements of the task. The `ColorizationDataset` class is missing several key methods and the methods that are implemented are not correctly implemented. As a result, the submission does not run end-to-end and does not produce the correct output.
Breakdown:
- Correctly implemented `ColorizationDataset` class:: 0.0/?</t>
        </is>
      </c>
      <c r="AH416" t="n">
        <v>16</v>
      </c>
      <c r="AI416" t="n">
        <v>0</v>
      </c>
    </row>
    <row r="417">
      <c r="A417" t="n">
        <v>416</v>
      </c>
      <c r="B417" t="inlineStr">
        <is>
          <t>TA_8</t>
        </is>
      </c>
      <c r="C417" t="inlineStr">
        <is>
          <t>TA_18</t>
        </is>
      </c>
      <c r="D417" t="n">
        <v>12</v>
      </c>
      <c r="E417" t="n">
        <v>0</v>
      </c>
      <c r="F417" t="n">
        <v>11</v>
      </c>
      <c r="G417" t="n">
        <v>0</v>
      </c>
      <c r="H417" t="n">
        <v>2</v>
      </c>
      <c r="I417" t="n">
        <v>0</v>
      </c>
      <c r="J417" t="n">
        <v>12</v>
      </c>
      <c r="K417" t="n">
        <v>0</v>
      </c>
      <c r="L417" t="n">
        <v>11</v>
      </c>
      <c r="M417" t="n">
        <v>0</v>
      </c>
      <c r="N417" t="n">
        <v>2</v>
      </c>
      <c r="O417" t="n">
        <v>0</v>
      </c>
      <c r="P417">
        <f>Table1[[#This Row],[TA 1 - Q1 Score]]+Table1[[#This Row],[TA 1 - Q2 Score]]+Table1[[#This Row],[TA 1 - Q3 Score]]</f>
        <v/>
      </c>
      <c r="Q417">
        <f>Table1[[#This Row],[TA 1 - Q1 Bonus]]+Table1[[#This Row],[TA 1 - Q2 Bonus]]+Table1[[#This Row],[TA 1 - Q4 Bonus]]</f>
        <v/>
      </c>
      <c r="R417">
        <f>Table1[[#This Row],[TA 2 - Q1 Score]]+Table1[[#This Row],[TA 2 - Q2 Score]]+Table1[[#This Row],[TA 2 - Q3 Score]]</f>
        <v/>
      </c>
      <c r="S417">
        <f>Table1[[#This Row],[TA 2 - Q1 Bonus]]+Table1[[#This Row],[TA 2 - Q2 Bonus]]+Table1[[#This Row],[TA 2 - Q4 Bonus]]</f>
        <v/>
      </c>
      <c r="T417">
        <f>(Table1[[#This Row],[TA 1 - Total Score (out of 35)]]+Table1[[#This Row],[TA 2 - Total Score (out of 35)]])/2</f>
        <v/>
      </c>
      <c r="U417">
        <f>(Table1[[#This Row],[TA 1 - Total Bonus (out of 13)]]+Table1[[#This Row],[TA 2 - Total Bonus (out of 13)]])/2</f>
        <v/>
      </c>
      <c r="V417">
        <f>Table1[[#This Row],[Average Questions]]/35*20+Table1[[#This Row],[Average Bonus]]/13*5</f>
        <v/>
      </c>
      <c r="W417" t="n">
        <v>6</v>
      </c>
      <c r="X417" t="n">
        <v>0</v>
      </c>
      <c r="Y41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implementation was incomplete and contained several errors. The student did not implement test time augmentation, which was the bonus task. Overall, the student's submission demonstrated a lack of understanding of the key concepts and failed to complete several critical tasks.
Breakdown:
- Part 1: Load and Prepare Data: 0.0/?
- Part 2: Load Pretrained Model and Adapt: 0.0/?
- Part 3: Training and Validation Functions: 0.0/?
- Part 4: Training: 3.0/?
- Part 5: Bonus — Test Time Augmentation: 0.0/?</t>
        </is>
      </c>
      <c r="Z417" t="n">
        <v>4</v>
      </c>
      <c r="AA417" t="n">
        <v>0</v>
      </c>
      <c r="AB417" t="inlineStr">
        <is>
          <t>The student's submission failed to meet the requirements of the task. The code was not organized in a way that follows the reference solution, and it did not run end-to-end. The student attempted to load and prepare the data, but the code was not correct. The CNN model was not built correctly, and the training and validation functions were not implemented. The training process was not completed, and the residual connection was not added to the model. The student's submission did not demonstrate a clear understanding of the task and the requirements.
Breakdown:
- Part 1: Load and Prepare Data: 0.0/?
- Part 2: Build the CNN Model: 0.0/?
- Part 3: Training and Validation Functions: 0.0/?
- Part 4: Training: 0.0/?
- Part 5: Bonus — Residual Connection: 0.0/?</t>
        </is>
      </c>
      <c r="AC417" t="n">
        <v>6</v>
      </c>
      <c r="AD417" t="inlineStr">
        <is>
          <t>The student's submission failed to address several key tasks in the question, including the dataset class, training and validation loops, running training, and visualizing predictions. While they did define a pretrained U-Net model, this was the only task they completed. As a result, their score is limited to the points awarded for this single task.
Breakdown:
- Task 1: Dataset Class: 0.0/?
- Task 2: Model Class: 2.0/?
- Task 3: Training and Validation Loops: 0.0/?
- Task 4: Running Training: 0.0/?
- Task 5: Visualizing Predictions: 0.0/?</t>
        </is>
      </c>
      <c r="AE417" t="n">
        <v>0</v>
      </c>
      <c r="AF417" t="n">
        <v>0</v>
      </c>
      <c r="AG417" t="inlineStr">
        <is>
          <t>No submission found.</t>
        </is>
      </c>
      <c r="AH417" t="n">
        <v>16</v>
      </c>
      <c r="AI417" t="n">
        <v>0</v>
      </c>
    </row>
    <row r="418">
      <c r="A418" t="n">
        <v>417</v>
      </c>
      <c r="B418" t="inlineStr">
        <is>
          <t>TA_8</t>
        </is>
      </c>
      <c r="C418" t="inlineStr">
        <is>
          <t>TA_18</t>
        </is>
      </c>
      <c r="D418" t="n">
        <v>12</v>
      </c>
      <c r="E418" t="n">
        <v>0</v>
      </c>
      <c r="F418" t="n">
        <v>11</v>
      </c>
      <c r="G418" t="n">
        <v>0</v>
      </c>
      <c r="H418" t="n">
        <v>12</v>
      </c>
      <c r="I418" t="n">
        <v>0</v>
      </c>
      <c r="J418" t="n">
        <v>12</v>
      </c>
      <c r="K418" t="n">
        <v>3.75</v>
      </c>
      <c r="L418" t="n">
        <v>11</v>
      </c>
      <c r="M418" t="n">
        <v>0</v>
      </c>
      <c r="N418" t="n">
        <v>12</v>
      </c>
      <c r="O418" t="n">
        <v>0</v>
      </c>
      <c r="P418">
        <f>Table1[[#This Row],[TA 1 - Q1 Score]]+Table1[[#This Row],[TA 1 - Q2 Score]]+Table1[[#This Row],[TA 1 - Q3 Score]]</f>
        <v/>
      </c>
      <c r="Q418">
        <f>Table1[[#This Row],[TA 1 - Q1 Bonus]]+Table1[[#This Row],[TA 1 - Q2 Bonus]]+Table1[[#This Row],[TA 1 - Q4 Bonus]]</f>
        <v/>
      </c>
      <c r="R418">
        <f>Table1[[#This Row],[TA 2 - Q1 Score]]+Table1[[#This Row],[TA 2 - Q2 Score]]+Table1[[#This Row],[TA 2 - Q3 Score]]</f>
        <v/>
      </c>
      <c r="S418">
        <f>Table1[[#This Row],[TA 2 - Q1 Bonus]]+Table1[[#This Row],[TA 2 - Q2 Bonus]]+Table1[[#This Row],[TA 2 - Q4 Bonus]]</f>
        <v/>
      </c>
      <c r="T418">
        <f>(Table1[[#This Row],[TA 1 - Total Score (out of 35)]]+Table1[[#This Row],[TA 2 - Total Score (out of 35)]])/2</f>
        <v/>
      </c>
      <c r="U418">
        <f>(Table1[[#This Row],[TA 1 - Total Bonus (out of 13)]]+Table1[[#This Row],[TA 2 - Total Bonus (out of 13)]])/2</f>
        <v/>
      </c>
      <c r="V418">
        <f>Table1[[#This Row],[Average Questions]]/35*20+Table1[[#This Row],[Average Bonus]]/13*5</f>
        <v/>
      </c>
      <c r="W418" t="n">
        <v>6</v>
      </c>
      <c r="X418" t="n">
        <v>0</v>
      </c>
      <c r="Y41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418" t="n">
        <v>4</v>
      </c>
      <c r="AA418" t="n">
        <v>0</v>
      </c>
      <c r="AB418"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incomplete and does not run end-to-end.
Breakdown:
- Part 1: Load and Prepare Data: 0.0/?
- Part 2: Build the CNN Model: 0.0/?
- Part 3: Training and Validation Functions: 0.0/?
- Part 4: Training: 0.0/?
- Part 5: Bonus — Residual Connection: 0.0/?</t>
        </is>
      </c>
      <c r="AC418" t="n">
        <v>6</v>
      </c>
      <c r="AD418" t="inlineStr">
        <is>
          <t>The student's submission was incomplete, with no code submitted for Tasks 1-4. However, the code for Task 5 was mostly correct, with the student successfully visualizing the predictions. The only issue was that the ground truth masks were not displayed correctly. Overall, the student demonstrated some understanding of the task, but their submission was not comprehensive.
Breakdown:
- Task 1: Dataset Class: 0.0/?
- Task 2: Model Class: 0.0/?
- Task 3: Training and Validation Loops: 0.0/?
- Task 4: Running Training: 0.0/?
- Task 5: Visualizing Predictions: 6.0/?</t>
        </is>
      </c>
      <c r="AE418" t="n">
        <v>0</v>
      </c>
      <c r="AF418" t="n">
        <v>0</v>
      </c>
      <c r="AG418" t="inlineStr">
        <is>
          <t>No submission found.</t>
        </is>
      </c>
      <c r="AH418" t="n">
        <v>16</v>
      </c>
      <c r="AI418" t="n">
        <v>0</v>
      </c>
    </row>
    <row r="419">
      <c r="A419" t="n">
        <v>418</v>
      </c>
      <c r="B419" t="inlineStr">
        <is>
          <t>TA_8</t>
        </is>
      </c>
      <c r="C419" t="inlineStr">
        <is>
          <t>TA_18</t>
        </is>
      </c>
      <c r="D419" t="n">
        <v>12</v>
      </c>
      <c r="E419" t="n">
        <v>0</v>
      </c>
      <c r="F419" t="n">
        <v>9</v>
      </c>
      <c r="G419" t="n">
        <v>0</v>
      </c>
      <c r="H419" t="n">
        <v>9</v>
      </c>
      <c r="I419" t="n">
        <v>0</v>
      </c>
      <c r="J419" t="n">
        <v>12</v>
      </c>
      <c r="K419" t="n">
        <v>0</v>
      </c>
      <c r="L419" t="n">
        <v>9</v>
      </c>
      <c r="M419" t="n">
        <v>0</v>
      </c>
      <c r="N419" t="n">
        <v>8.25</v>
      </c>
      <c r="O419" t="n">
        <v>0</v>
      </c>
      <c r="P419">
        <f>Table1[[#This Row],[TA 1 - Q1 Score]]+Table1[[#This Row],[TA 1 - Q2 Score]]+Table1[[#This Row],[TA 1 - Q3 Score]]</f>
        <v/>
      </c>
      <c r="Q419">
        <f>Table1[[#This Row],[TA 1 - Q1 Bonus]]+Table1[[#This Row],[TA 1 - Q2 Bonus]]+Table1[[#This Row],[TA 1 - Q4 Bonus]]</f>
        <v/>
      </c>
      <c r="R419">
        <f>Table1[[#This Row],[TA 2 - Q1 Score]]+Table1[[#This Row],[TA 2 - Q2 Score]]+Table1[[#This Row],[TA 2 - Q3 Score]]</f>
        <v/>
      </c>
      <c r="S419">
        <f>Table1[[#This Row],[TA 2 - Q1 Bonus]]+Table1[[#This Row],[TA 2 - Q2 Bonus]]+Table1[[#This Row],[TA 2 - Q4 Bonus]]</f>
        <v/>
      </c>
      <c r="T419">
        <f>(Table1[[#This Row],[TA 1 - Total Score (out of 35)]]+Table1[[#This Row],[TA 2 - Total Score (out of 35)]])/2</f>
        <v/>
      </c>
      <c r="U419">
        <f>(Table1[[#This Row],[TA 1 - Total Bonus (out of 13)]]+Table1[[#This Row],[TA 2 - Total Bonus (out of 13)]])/2</f>
        <v/>
      </c>
      <c r="V419">
        <f>Table1[[#This Row],[Average Questions]]/35*20+Table1[[#This Row],[Average Bonus]]/13*5</f>
        <v/>
      </c>
      <c r="W419" t="n">
        <v>8</v>
      </c>
      <c r="X419" t="n">
        <v>0</v>
      </c>
      <c r="Y419" t="inlineStr">
        <is>
          <t>The student's submission failed to complete several key tasks, including loading and preparing the data, loading a pretrained model and adapting it, and implementing test time augmentation. While they did attempt to implement the training and validation functions, their code contained syntax errors and did not run correctly. As a result, the student was unable to train the model and evaluate its performance. The lack of correct implementation of these key tasks resulted in a low overall score.
Breakdown:
- Part 1: Load and Prepare Data: 0.0/?
- Part 2: Load Pretrained Model and Adapt: 0.0/?
- Part 3: Training and Validation Functions: 1.5/?
- Part 4: Training: 2.5/?
- Part 5: Bonus — Test Time Augmentation: 0.0/?</t>
        </is>
      </c>
      <c r="Z419" t="n">
        <v>4</v>
      </c>
      <c r="AA419" t="n">
        <v>0</v>
      </c>
      <c r="AB419" t="inlineStr">
        <is>
          <t>The student's submission failed to meet the requirements of the task. The code was not organized in a way that follows the reference solution, and it did not run end-to-end. The student attempted to load and prepare the data, but the code was not correct. The CNN model was not built correctly, and the training and validation functions were not implemented. The training process was not executed, and the residual connection was not added to the model. The student's submission did not demonstrate a clear understanding of the task and the requirements.
Breakdown:
- Part 1: Load and Prepare Data: 0.0/?
- Part 2: Build the CNN Model: 0.0/?
- Part 3: Training and Validation Functions: 0.0/?
- Part 4: Training: 0.0/?
- Part 5: Bonus — Residual Connection: 0.0/?</t>
        </is>
      </c>
      <c r="AC419" t="n">
        <v>6</v>
      </c>
      <c r="AD419" t="inlineStr">
        <is>
          <t>The student's submission failed to meet the requirements of the task. The code was not organized in a way that was easy to follow, and many tasks were not implemented correctly. The student did not use the provided functions and did not define the model class correctly. The training and validation loops were not implemented correctly, and the loss and optimizer were not defined correctly. The predictions were not visualized correctly, and the images were not denormalized correctly. Overall, the student's submission was incomplete and did not meet the requirements of the task.
Breakdown:
- Task 1: Dataset Class: 0.0/?
- Task 2: Model Class: 0.0/?
- Task 3: Training and Validation Loops: 0.0/?
- Task 4: Running Training: 0.0/?
- Task 5: Visualizing Predictions: 0.0/?</t>
        </is>
      </c>
      <c r="AE419" t="n">
        <v>0</v>
      </c>
      <c r="AF419" t="n">
        <v>0</v>
      </c>
      <c r="AG419" t="inlineStr">
        <is>
          <t>No submission found.</t>
        </is>
      </c>
      <c r="AH419" t="n">
        <v>18</v>
      </c>
      <c r="AI419" t="n">
        <v>0</v>
      </c>
    </row>
    <row r="420">
      <c r="A420" t="n">
        <v>419</v>
      </c>
      <c r="B420" t="inlineStr">
        <is>
          <t>TA_8</t>
        </is>
      </c>
      <c r="C420" t="inlineStr">
        <is>
          <t>TA_18</t>
        </is>
      </c>
      <c r="D420" t="n">
        <v>6</v>
      </c>
      <c r="E420" t="n">
        <v>0</v>
      </c>
      <c r="F420" t="n">
        <v>9</v>
      </c>
      <c r="G420" t="n">
        <v>0</v>
      </c>
      <c r="H420" t="n">
        <v>11.5</v>
      </c>
      <c r="I420" t="n">
        <v>0</v>
      </c>
      <c r="J420" t="n">
        <v>6</v>
      </c>
      <c r="K420" t="n">
        <v>0</v>
      </c>
      <c r="L420" t="n">
        <v>9</v>
      </c>
      <c r="M420" t="n">
        <v>0</v>
      </c>
      <c r="N420" t="n">
        <v>11.5</v>
      </c>
      <c r="O420" t="n">
        <v>0</v>
      </c>
      <c r="P420">
        <f>Table1[[#This Row],[TA 1 - Q1 Score]]+Table1[[#This Row],[TA 1 - Q2 Score]]+Table1[[#This Row],[TA 1 - Q3 Score]]</f>
        <v/>
      </c>
      <c r="Q420">
        <f>Table1[[#This Row],[TA 1 - Q1 Bonus]]+Table1[[#This Row],[TA 1 - Q2 Bonus]]+Table1[[#This Row],[TA 1 - Q4 Bonus]]</f>
        <v/>
      </c>
      <c r="R420">
        <f>Table1[[#This Row],[TA 2 - Q1 Score]]+Table1[[#This Row],[TA 2 - Q2 Score]]+Table1[[#This Row],[TA 2 - Q3 Score]]</f>
        <v/>
      </c>
      <c r="S420">
        <f>Table1[[#This Row],[TA 2 - Q1 Bonus]]+Table1[[#This Row],[TA 2 - Q2 Bonus]]+Table1[[#This Row],[TA 2 - Q4 Bonus]]</f>
        <v/>
      </c>
      <c r="T420">
        <f>(Table1[[#This Row],[TA 1 - Total Score (out of 35)]]+Table1[[#This Row],[TA 2 - Total Score (out of 35)]])/2</f>
        <v/>
      </c>
      <c r="U420">
        <f>(Table1[[#This Row],[TA 1 - Total Bonus (out of 13)]]+Table1[[#This Row],[TA 2 - Total Bonus (out of 13)]])/2</f>
        <v/>
      </c>
      <c r="V420">
        <f>Table1[[#This Row],[Average Questions]]/35*20+Table1[[#This Row],[Average Bonus]]/13*5</f>
        <v/>
      </c>
      <c r="W420" t="n">
        <v>6</v>
      </c>
      <c r="X420" t="n">
        <v>0</v>
      </c>
      <c r="Y420" t="inlineStr">
        <is>
          <t>The student's submission failed to complete several key tasks, including loading and preparing the data, loading the pretrained model and adapting it, and implementing the training and validation functions. While the student did attempt to train the model, their code contained several errors and did not run end-to-end. The bonus task was not attempted. Overall, the student's submission demonstrated a lack of understanding of the required tasks and concepts.
Breakdown:
- Part 1: Load and Prepare Data: 0.0/?
- Part 2: Load Pretrained Model and Adapt: 0.0/?
- Part 3: Training and Validation Functions: 0.0/?
- Part 4: Training: 2.0/?
- Part 5: Bonus — Test Time Augmentation: 0.0/?</t>
        </is>
      </c>
      <c r="Z420" t="n">
        <v>4</v>
      </c>
      <c r="AA420" t="n">
        <v>0</v>
      </c>
      <c r="AB420"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points for each task, resulting in a total score of 0.
Breakdown:
- Part 1: Load and Prepare Data: 0.0/?
- Part 2: Build the CNN Model: 0.0/?
- Part 3: Training and Validation Functions: 0.0/?
- Part 4: Training: 0.0/?
- Part 5: Bonus — Residual Connection: 0.0/?</t>
        </is>
      </c>
      <c r="AC420" t="n">
        <v>6</v>
      </c>
      <c r="AD420" t="inlineStr">
        <is>
          <t>The student's submission had several issues. The dataset class was not defined correctly, and the model class was not a U-Net with efficientnet-b1 encoder. The training and validation loops were also not defined correctly, and the loss function was BCEWithLogitsLoss instead of CrossEntropyLoss. However, the student was able to visualize the predictions against the ground truth for several images, which is why they received partial credit for Task 5.
Breakdown:
- Task 1: Dataset Class: 0.0/?
- Task 2: Model Class: 0.0/?
- Task 3: Training and Validation Loops: 0.0/?
- Task 4: Running Training: 0.0/?
- Task 5: Visualizing Predictions: 6.0/?</t>
        </is>
      </c>
      <c r="AE420" t="n">
        <v>0</v>
      </c>
      <c r="AF420" t="n">
        <v>0</v>
      </c>
      <c r="AG420" t="inlineStr">
        <is>
          <t>No submission found.</t>
        </is>
      </c>
      <c r="AH420" t="n">
        <v>16</v>
      </c>
      <c r="AI420" t="n">
        <v>0</v>
      </c>
    </row>
    <row r="421">
      <c r="A421" t="n">
        <v>420</v>
      </c>
      <c r="B421" t="inlineStr">
        <is>
          <t>TA_8</t>
        </is>
      </c>
      <c r="C421" t="inlineStr">
        <is>
          <t>TA_18</t>
        </is>
      </c>
      <c r="D421" t="n">
        <v>12</v>
      </c>
      <c r="E421" t="n">
        <v>0</v>
      </c>
      <c r="F421" t="n">
        <v>11</v>
      </c>
      <c r="G421" t="n">
        <v>0</v>
      </c>
      <c r="H421" t="n">
        <v>12</v>
      </c>
      <c r="I421" t="n">
        <v>0</v>
      </c>
      <c r="J421" t="n">
        <v>12</v>
      </c>
      <c r="K421" t="n">
        <v>0</v>
      </c>
      <c r="L421" t="n">
        <v>11</v>
      </c>
      <c r="M421" t="n">
        <v>0</v>
      </c>
      <c r="N421" t="n">
        <v>12</v>
      </c>
      <c r="O421" t="n">
        <v>0</v>
      </c>
      <c r="P421">
        <f>Table1[[#This Row],[TA 1 - Q1 Score]]+Table1[[#This Row],[TA 1 - Q2 Score]]+Table1[[#This Row],[TA 1 - Q3 Score]]</f>
        <v/>
      </c>
      <c r="Q421">
        <f>Table1[[#This Row],[TA 1 - Q1 Bonus]]+Table1[[#This Row],[TA 1 - Q2 Bonus]]+Table1[[#This Row],[TA 1 - Q4 Bonus]]</f>
        <v/>
      </c>
      <c r="R421">
        <f>Table1[[#This Row],[TA 2 - Q1 Score]]+Table1[[#This Row],[TA 2 - Q2 Score]]+Table1[[#This Row],[TA 2 - Q3 Score]]</f>
        <v/>
      </c>
      <c r="S421">
        <f>Table1[[#This Row],[TA 2 - Q1 Bonus]]+Table1[[#This Row],[TA 2 - Q2 Bonus]]+Table1[[#This Row],[TA 2 - Q4 Bonus]]</f>
        <v/>
      </c>
      <c r="T421">
        <f>(Table1[[#This Row],[TA 1 - Total Score (out of 35)]]+Table1[[#This Row],[TA 2 - Total Score (out of 35)]])/2</f>
        <v/>
      </c>
      <c r="U421">
        <f>(Table1[[#This Row],[TA 1 - Total Bonus (out of 13)]]+Table1[[#This Row],[TA 2 - Total Bonus (out of 13)]])/2</f>
        <v/>
      </c>
      <c r="V421">
        <f>Table1[[#This Row],[Average Questions]]/35*20+Table1[[#This Row],[Average Bonus]]/13*5</f>
        <v/>
      </c>
      <c r="W421" t="n">
        <v>6</v>
      </c>
      <c r="X421" t="n">
        <v>0</v>
      </c>
      <c r="Y42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421" t="n">
        <v>4</v>
      </c>
      <c r="AA421" t="n">
        <v>0</v>
      </c>
      <c r="AB421"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21" t="n">
        <v>6</v>
      </c>
      <c r="AD421" t="inlineStr">
        <is>
          <t>The student's submission failed to meet the requirements of the task, with incorrect implementation of the dataset class, model class, training and validation loops, running training, and visualizing predictions. The student's code was not able to run end-to-end, and the tasks were not completed correctly.
Breakdown:
- Task 1: Dataset Class: 0.0/?
- Task 2: Model Class: 0.0/?
- Task 3: Training and Validation Loops: 0.0/?
- Task 4: Running Training: 0.0/?
- Task 5: Visualizing Predictions: 0.0/?</t>
        </is>
      </c>
      <c r="AE421" t="n">
        <v>0</v>
      </c>
      <c r="AF421" t="n">
        <v>0</v>
      </c>
      <c r="AG421" t="inlineStr">
        <is>
          <t>No submission found.</t>
        </is>
      </c>
      <c r="AH421" t="n">
        <v>16</v>
      </c>
      <c r="AI421" t="n">
        <v>0</v>
      </c>
    </row>
    <row r="422">
      <c r="A422" t="n">
        <v>421</v>
      </c>
      <c r="B422" t="inlineStr">
        <is>
          <t>TA_8</t>
        </is>
      </c>
      <c r="C422" t="inlineStr">
        <is>
          <t>TA_18</t>
        </is>
      </c>
      <c r="D422" t="n">
        <v>4.5</v>
      </c>
      <c r="E422" t="n">
        <v>0</v>
      </c>
      <c r="F422" t="n">
        <v>8.5</v>
      </c>
      <c r="G422" t="n">
        <v>0</v>
      </c>
      <c r="H422" t="n">
        <v>9</v>
      </c>
      <c r="I422" t="n">
        <v>0</v>
      </c>
      <c r="J422" t="n">
        <v>6.5</v>
      </c>
      <c r="K422" t="n">
        <v>0</v>
      </c>
      <c r="L422" t="n">
        <v>10.5</v>
      </c>
      <c r="M422" t="n">
        <v>0</v>
      </c>
      <c r="N422" t="n">
        <v>6.25</v>
      </c>
      <c r="O422" t="n">
        <v>0</v>
      </c>
      <c r="P422">
        <f>Table1[[#This Row],[TA 1 - Q1 Score]]+Table1[[#This Row],[TA 1 - Q2 Score]]+Table1[[#This Row],[TA 1 - Q3 Score]]</f>
        <v/>
      </c>
      <c r="Q422">
        <f>Table1[[#This Row],[TA 1 - Q1 Bonus]]+Table1[[#This Row],[TA 1 - Q2 Bonus]]+Table1[[#This Row],[TA 1 - Q4 Bonus]]</f>
        <v/>
      </c>
      <c r="R422">
        <f>Table1[[#This Row],[TA 2 - Q1 Score]]+Table1[[#This Row],[TA 2 - Q2 Score]]+Table1[[#This Row],[TA 2 - Q3 Score]]</f>
        <v/>
      </c>
      <c r="S422">
        <f>Table1[[#This Row],[TA 2 - Q1 Bonus]]+Table1[[#This Row],[TA 2 - Q2 Bonus]]+Table1[[#This Row],[TA 2 - Q4 Bonus]]</f>
        <v/>
      </c>
      <c r="T422">
        <f>(Table1[[#This Row],[TA 1 - Total Score (out of 35)]]+Table1[[#This Row],[TA 2 - Total Score (out of 35)]])/2</f>
        <v/>
      </c>
      <c r="U422">
        <f>(Table1[[#This Row],[TA 1 - Total Bonus (out of 13)]]+Table1[[#This Row],[TA 2 - Total Bonus (out of 13)]])/2</f>
        <v/>
      </c>
      <c r="V422">
        <f>Table1[[#This Row],[Average Questions]]/35*20+Table1[[#This Row],[Average Bonus]]/13*5</f>
        <v/>
      </c>
      <c r="W422" t="n">
        <v>6</v>
      </c>
      <c r="X422" t="n">
        <v>0</v>
      </c>
      <c r="Y422"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422" t="n">
        <v>4</v>
      </c>
      <c r="AA422" t="n">
        <v>4</v>
      </c>
      <c r="AB422" t="inlineStr">
        <is>
          <t>The student's submission failed to meet the requirements for most tasks. The code for loading and preparing data was not provided, and the CNN model was not built correctly. The training and validation functions were also not implemented. However, the student did attempt to implement the residual connection in the bonus task, and their code was correct and ran. Therefore, the student received full credit for the bonus task.
Breakdown:
- Part 1: Load and Prepare Data: 0.0/?
- Part 2: Build the CNN Model: 0.0/?
- Part 3: Training and Validation Functions: 0.0/?
- Part 4: Training: 0.0/?
- Part 5: Bonus — Residual Connection: 4.0/?</t>
        </is>
      </c>
      <c r="AC422" t="n">
        <v>6</v>
      </c>
      <c r="AD422" t="inlineStr">
        <is>
          <t>The student's submission failed to meet the requirements of the task. The code was not organized, and several tasks were not implemented correctly. The student attempted to define the dataset class, but it was not completed. The model class was not defined correctly, and the training and validation loops were not implemented. The training process was not executed correctly, and the predictions were not visualized correctly. As a result, the student did not meet the requirements of the task, and the score is 6.0.
Breakdown:
- Task 1: Dataset Class: 0.0/?
- Task 2: Model Class: 0.0/?
- Task 3: Training and Validation Loops: 0.0/?
- Task 4: Running Training: 0.0/?
- Task 5: Visualizing Predictions: 0.0/?</t>
        </is>
      </c>
      <c r="AE422" t="n">
        <v>0</v>
      </c>
      <c r="AF422" t="n">
        <v>0</v>
      </c>
      <c r="AG422" t="inlineStr">
        <is>
          <t>No submission found.</t>
        </is>
      </c>
      <c r="AH422" t="n">
        <v>16</v>
      </c>
      <c r="AI422" t="n">
        <v>4</v>
      </c>
    </row>
    <row r="423">
      <c r="A423" t="n">
        <v>422</v>
      </c>
      <c r="B423" t="inlineStr">
        <is>
          <t>TA_8</t>
        </is>
      </c>
      <c r="C423" t="inlineStr">
        <is>
          <t>TA_18</t>
        </is>
      </c>
      <c r="D423" t="n">
        <v>5</v>
      </c>
      <c r="E423" t="n">
        <v>0</v>
      </c>
      <c r="F423" t="n">
        <v>4.5</v>
      </c>
      <c r="G423" t="n">
        <v>0</v>
      </c>
      <c r="H423" t="n">
        <v>10</v>
      </c>
      <c r="I423" t="n">
        <v>0</v>
      </c>
      <c r="J423" t="n">
        <v>0.5</v>
      </c>
      <c r="K423" t="n">
        <v>0</v>
      </c>
      <c r="L423" t="n">
        <v>2.5</v>
      </c>
      <c r="M423" t="n">
        <v>0</v>
      </c>
      <c r="N423" t="n">
        <v>6</v>
      </c>
      <c r="O423" t="n">
        <v>0</v>
      </c>
      <c r="P423">
        <f>Table1[[#This Row],[TA 1 - Q1 Score]]+Table1[[#This Row],[TA 1 - Q2 Score]]+Table1[[#This Row],[TA 1 - Q3 Score]]</f>
        <v/>
      </c>
      <c r="Q423">
        <f>Table1[[#This Row],[TA 1 - Q1 Bonus]]+Table1[[#This Row],[TA 1 - Q2 Bonus]]+Table1[[#This Row],[TA 1 - Q4 Bonus]]</f>
        <v/>
      </c>
      <c r="R423">
        <f>Table1[[#This Row],[TA 2 - Q1 Score]]+Table1[[#This Row],[TA 2 - Q2 Score]]+Table1[[#This Row],[TA 2 - Q3 Score]]</f>
        <v/>
      </c>
      <c r="S423">
        <f>Table1[[#This Row],[TA 2 - Q1 Bonus]]+Table1[[#This Row],[TA 2 - Q2 Bonus]]+Table1[[#This Row],[TA 2 - Q4 Bonus]]</f>
        <v/>
      </c>
      <c r="T423">
        <f>(Table1[[#This Row],[TA 1 - Total Score (out of 35)]]+Table1[[#This Row],[TA 2 - Total Score (out of 35)]])/2</f>
        <v/>
      </c>
      <c r="U423">
        <f>(Table1[[#This Row],[TA 1 - Total Bonus (out of 13)]]+Table1[[#This Row],[TA 2 - Total Bonus (out of 13)]])/2</f>
        <v/>
      </c>
      <c r="V423">
        <f>Table1[[#This Row],[Average Questions]]/35*20+Table1[[#This Row],[Average Bonus]]/13*5</f>
        <v/>
      </c>
      <c r="W423" t="n">
        <v>6</v>
      </c>
      <c r="X423" t="n">
        <v>0</v>
      </c>
      <c r="Y423"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423" t="n">
        <v>4</v>
      </c>
      <c r="AA423" t="n">
        <v>0</v>
      </c>
      <c r="AB423"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23" t="n">
        <v>6</v>
      </c>
      <c r="AD423" t="inlineStr">
        <is>
          <t>The student's submission failed to meet the requirements of the task. The code was not organized, and the tasks were not completed correctly. The student did not define the dataset class, model class, training and validation loops, or the training process.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23" t="n">
        <v>0</v>
      </c>
      <c r="AF423" t="n">
        <v>0</v>
      </c>
      <c r="AG423" t="inlineStr">
        <is>
          <t>No submission found.</t>
        </is>
      </c>
      <c r="AH423" t="n">
        <v>16</v>
      </c>
      <c r="AI423" t="n">
        <v>0</v>
      </c>
    </row>
    <row r="424">
      <c r="A424" t="n">
        <v>423</v>
      </c>
      <c r="B424" t="inlineStr">
        <is>
          <t>TA_8</t>
        </is>
      </c>
      <c r="C424" t="inlineStr">
        <is>
          <t>TA_18</t>
        </is>
      </c>
      <c r="D424" t="n">
        <v>8</v>
      </c>
      <c r="E424" t="n">
        <v>4</v>
      </c>
      <c r="F424" t="n">
        <v>11</v>
      </c>
      <c r="G424" t="n">
        <v>0</v>
      </c>
      <c r="H424" t="n">
        <v>12</v>
      </c>
      <c r="I424" t="n">
        <v>5</v>
      </c>
      <c r="J424" t="n">
        <v>8.75</v>
      </c>
      <c r="K424" t="n">
        <v>4</v>
      </c>
      <c r="L424" t="n">
        <v>11</v>
      </c>
      <c r="M424" t="n">
        <v>0</v>
      </c>
      <c r="N424" t="n">
        <v>11.75</v>
      </c>
      <c r="O424" t="n">
        <v>5</v>
      </c>
      <c r="P424">
        <f>Table1[[#This Row],[TA 1 - Q1 Score]]+Table1[[#This Row],[TA 1 - Q2 Score]]+Table1[[#This Row],[TA 1 - Q3 Score]]</f>
        <v/>
      </c>
      <c r="Q424">
        <f>Table1[[#This Row],[TA 1 - Q1 Bonus]]+Table1[[#This Row],[TA 1 - Q2 Bonus]]+Table1[[#This Row],[TA 1 - Q4 Bonus]]</f>
        <v/>
      </c>
      <c r="R424">
        <f>Table1[[#This Row],[TA 2 - Q1 Score]]+Table1[[#This Row],[TA 2 - Q2 Score]]+Table1[[#This Row],[TA 2 - Q3 Score]]</f>
        <v/>
      </c>
      <c r="S424">
        <f>Table1[[#This Row],[TA 2 - Q1 Bonus]]+Table1[[#This Row],[TA 2 - Q2 Bonus]]+Table1[[#This Row],[TA 2 - Q4 Bonus]]</f>
        <v/>
      </c>
      <c r="T424">
        <f>(Table1[[#This Row],[TA 1 - Total Score (out of 35)]]+Table1[[#This Row],[TA 2 - Total Score (out of 35)]])/2</f>
        <v/>
      </c>
      <c r="U424">
        <f>(Table1[[#This Row],[TA 1 - Total Bonus (out of 13)]]+Table1[[#This Row],[TA 2 - Total Bonus (out of 13)]])/2</f>
        <v/>
      </c>
      <c r="V424">
        <f>Table1[[#This Row],[Average Questions]]/35*20+Table1[[#This Row],[Average Bonus]]/13*5</f>
        <v/>
      </c>
      <c r="W424" t="n">
        <v>6</v>
      </c>
      <c r="X424" t="n">
        <v>0</v>
      </c>
      <c r="Y424" t="inlineStr">
        <is>
          <t>The student's submission failed to complete several key tasks, including loading and preparing the data, loading the pretrained model and adapting it, and implementing the training and validation functions. Although the student attempted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2.0/?
- Part 5: Bonus — Test Time Augmentation: 0.0/?</t>
        </is>
      </c>
      <c r="Z424" t="n">
        <v>4</v>
      </c>
      <c r="AA424" t="n">
        <v>0</v>
      </c>
      <c r="AB424"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24" t="n">
        <v>6</v>
      </c>
      <c r="AD424" t="inlineStr">
        <is>
          <t>The student's submission failed to meet the requirements of the task. The code is disorganized, incomplete, and does not follow the reference solution. The student failed to create a custom dataset class, define a pretrained U-Net, implement the training and validation loops, and visualize the model's predictions. As a result, the student did not earn any points for this task.
Breakdown:
- Task 1: Dataset Class: 0.0/?
- Task 2: Model Class: 0.0/?
- Task 3: Training and Validation Loops: 0.0/?
- Task 4: Running Training: 0.0/?
- Task 5: Visualizing Predictions: 0.0/?</t>
        </is>
      </c>
      <c r="AE424" t="n">
        <v>0</v>
      </c>
      <c r="AF424" t="n">
        <v>0</v>
      </c>
      <c r="AG424" t="inlineStr">
        <is>
          <t>The student's submission does not meet the requirements of the task. The `ColorizationDataset` class is not fully implemented, and the code contains several syntax and logic mistakes. As a result, the student does not receive any points for this task.
Breakdown:
- Correctly implemented `ColorizationDataset` class:: 0.0/?</t>
        </is>
      </c>
      <c r="AH424" t="n">
        <v>16</v>
      </c>
      <c r="AI424" t="n">
        <v>0</v>
      </c>
    </row>
    <row r="425">
      <c r="A425" t="n">
        <v>424</v>
      </c>
      <c r="B425" t="inlineStr">
        <is>
          <t>TA_8</t>
        </is>
      </c>
      <c r="C425" t="inlineStr">
        <is>
          <t>TA_18</t>
        </is>
      </c>
      <c r="D425" t="n">
        <v>12</v>
      </c>
      <c r="E425" t="n">
        <v>0</v>
      </c>
      <c r="F425" t="n">
        <v>11</v>
      </c>
      <c r="G425" t="n">
        <v>0</v>
      </c>
      <c r="H425" t="n">
        <v>12</v>
      </c>
      <c r="I425" t="n">
        <v>5</v>
      </c>
      <c r="J425" t="n">
        <v>12</v>
      </c>
      <c r="K425" t="n">
        <v>0</v>
      </c>
      <c r="L425" t="n">
        <v>11</v>
      </c>
      <c r="M425" t="n">
        <v>0</v>
      </c>
      <c r="N425" t="n">
        <v>12</v>
      </c>
      <c r="O425" t="n">
        <v>5</v>
      </c>
      <c r="P425">
        <f>Table1[[#This Row],[TA 1 - Q1 Score]]+Table1[[#This Row],[TA 1 - Q2 Score]]+Table1[[#This Row],[TA 1 - Q3 Score]]</f>
        <v/>
      </c>
      <c r="Q425">
        <f>Table1[[#This Row],[TA 1 - Q1 Bonus]]+Table1[[#This Row],[TA 1 - Q2 Bonus]]+Table1[[#This Row],[TA 1 - Q4 Bonus]]</f>
        <v/>
      </c>
      <c r="R425">
        <f>Table1[[#This Row],[TA 2 - Q1 Score]]+Table1[[#This Row],[TA 2 - Q2 Score]]+Table1[[#This Row],[TA 2 - Q3 Score]]</f>
        <v/>
      </c>
      <c r="S425">
        <f>Table1[[#This Row],[TA 2 - Q1 Bonus]]+Table1[[#This Row],[TA 2 - Q2 Bonus]]+Table1[[#This Row],[TA 2 - Q4 Bonus]]</f>
        <v/>
      </c>
      <c r="T425">
        <f>(Table1[[#This Row],[TA 1 - Total Score (out of 35)]]+Table1[[#This Row],[TA 2 - Total Score (out of 35)]])/2</f>
        <v/>
      </c>
      <c r="U425">
        <f>(Table1[[#This Row],[TA 1 - Total Bonus (out of 13)]]+Table1[[#This Row],[TA 2 - Total Bonus (out of 13)]])/2</f>
        <v/>
      </c>
      <c r="V425">
        <f>Table1[[#This Row],[Average Questions]]/35*20+Table1[[#This Row],[Average Bonus]]/13*5</f>
        <v/>
      </c>
      <c r="W425" t="n">
        <v>6</v>
      </c>
      <c r="X425" t="n">
        <v>0</v>
      </c>
      <c r="Y425" t="inlineStr">
        <is>
          <t>The student's submission failed to complete several key tasks, including loading and preparing the data, loading a pretrained model and adapting it, and training the model. While they did attempt to implement the training and validation functions, their code contained syntax errors and did not run correctly. Additionally, they did not implement test time augmentation as required for the bonus task. As a result, the student's submission was awarded a score of 6.0, with 1.5 points awarded for the partial completion of the training and validation functions.
Breakdown:
- Part 1: Load and Prepare Data: 0.0/?
- Part 2: Load Pretrained Model and Adapt: 0.0/?
- Part 3: Training and Validation Functions: 1.5/?
- Part 4: Training: 0.0/?
- Part 5: Bonus — Test Time Augmentation: 0.0/?</t>
        </is>
      </c>
      <c r="Z425" t="n">
        <v>4</v>
      </c>
      <c r="AA425" t="n">
        <v>0</v>
      </c>
      <c r="AB425"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25" t="n">
        <v>6</v>
      </c>
      <c r="AD425"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25" t="n">
        <v>0</v>
      </c>
      <c r="AF425" t="n">
        <v>0</v>
      </c>
      <c r="AG425" t="inlineStr">
        <is>
          <t>The student's submission does not meet the requirements of the task. The `ColorizationDataset` class is not implemented correctly, and the code does not run end-to-end. The student attempted to implement the `rgb_to_grayscale` method, but it does not correctly calculate the grayscale value. Additionally, the `__getitem__` method does not return the correct grayscale and color images. As a result, the student did not earn any points for this task.
Breakdown:
- Correctly implemented `ColorizationDataset` class:: 0.0/?</t>
        </is>
      </c>
      <c r="AH425" t="n">
        <v>16</v>
      </c>
      <c r="AI425" t="n">
        <v>0</v>
      </c>
    </row>
    <row r="426">
      <c r="A426" t="n">
        <v>425</v>
      </c>
      <c r="B426" t="inlineStr">
        <is>
          <t>TA_8</t>
        </is>
      </c>
      <c r="C426" t="inlineStr">
        <is>
          <t>TA_18</t>
        </is>
      </c>
      <c r="D426" t="n">
        <v>5</v>
      </c>
      <c r="E426" t="n">
        <v>0</v>
      </c>
      <c r="F426" t="n">
        <v>3.5</v>
      </c>
      <c r="G426" t="n">
        <v>0</v>
      </c>
      <c r="H426" t="n">
        <v>10</v>
      </c>
      <c r="I426" t="n">
        <v>0</v>
      </c>
      <c r="J426" t="n">
        <v>6.75</v>
      </c>
      <c r="K426" t="n">
        <v>0</v>
      </c>
      <c r="L426" t="n">
        <v>5.25</v>
      </c>
      <c r="M426" t="n">
        <v>0</v>
      </c>
      <c r="N426" t="n">
        <v>7</v>
      </c>
      <c r="O426" t="n">
        <v>0</v>
      </c>
      <c r="P426">
        <f>Table1[[#This Row],[TA 1 - Q1 Score]]+Table1[[#This Row],[TA 1 - Q2 Score]]+Table1[[#This Row],[TA 1 - Q3 Score]]</f>
        <v/>
      </c>
      <c r="Q426">
        <f>Table1[[#This Row],[TA 1 - Q1 Bonus]]+Table1[[#This Row],[TA 1 - Q2 Bonus]]+Table1[[#This Row],[TA 1 - Q4 Bonus]]</f>
        <v/>
      </c>
      <c r="R426">
        <f>Table1[[#This Row],[TA 2 - Q1 Score]]+Table1[[#This Row],[TA 2 - Q2 Score]]+Table1[[#This Row],[TA 2 - Q3 Score]]</f>
        <v/>
      </c>
      <c r="S426">
        <f>Table1[[#This Row],[TA 2 - Q1 Bonus]]+Table1[[#This Row],[TA 2 - Q2 Bonus]]+Table1[[#This Row],[TA 2 - Q4 Bonus]]</f>
        <v/>
      </c>
      <c r="T426">
        <f>(Table1[[#This Row],[TA 1 - Total Score (out of 35)]]+Table1[[#This Row],[TA 2 - Total Score (out of 35)]])/2</f>
        <v/>
      </c>
      <c r="U426">
        <f>(Table1[[#This Row],[TA 1 - Total Bonus (out of 13)]]+Table1[[#This Row],[TA 2 - Total Bonus (out of 13)]])/2</f>
        <v/>
      </c>
      <c r="V426">
        <f>Table1[[#This Row],[Average Questions]]/35*20+Table1[[#This Row],[Average Bonus]]/13*5</f>
        <v/>
      </c>
      <c r="W426" t="n">
        <v>6</v>
      </c>
      <c r="X426" t="n">
        <v>0</v>
      </c>
      <c r="Y426"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incorrect, disregarding the explicit instructions provided in the reference solution.
Breakdown:
- Part 1: Load and Prepare Data: 0.0/?
- Part 2: Load Pretrained Model and Adapt: 0.0/?
- Part 3: Training and Validation Functions: 0.0/?
- Part 4: Training: 2.5/?
- Part 5: Bonus — Test Time Augmentation: 0.0/?</t>
        </is>
      </c>
      <c r="Z426" t="n">
        <v>4</v>
      </c>
      <c r="AA426" t="n">
        <v>0</v>
      </c>
      <c r="AB426"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26" t="n">
        <v>6</v>
      </c>
      <c r="AD426" t="inlineStr">
        <is>
          <t>The student's submission failed to meet the requirements of the task. The code was not organized in a way that allowed it to run end-to-end, and several key components were missing or incorrect. The student attempted to define a custom dataset class, but it was not used correctly. The model class was not defined correctly, and the training and validation loops were not implemented. The loss and optimizer were not defined correctly, and the model was not trained. Finally, the predictions were not visualized correctly. Overall, the submission demonstrated a lack of understanding of the task requirements and a failure to implement key components.
Breakdown:
- Task 1: Dataset Class: 0.0/?
- Task 2: Model Class: 0.0/?
- Task 3: Training and Validation Loops: 0.0/?
- Task 4: Running Training: 0.0/?
- Task 5: Visualizing Predictions: 0.0/?</t>
        </is>
      </c>
      <c r="AE426" t="n">
        <v>0</v>
      </c>
      <c r="AF426" t="n">
        <v>0</v>
      </c>
      <c r="AG426" t="inlineStr">
        <is>
          <t>No submission found.</t>
        </is>
      </c>
      <c r="AH426" t="n">
        <v>16</v>
      </c>
      <c r="AI426" t="n">
        <v>0</v>
      </c>
    </row>
    <row r="427">
      <c r="A427" t="n">
        <v>426</v>
      </c>
      <c r="B427" t="inlineStr">
        <is>
          <t>TA_8</t>
        </is>
      </c>
      <c r="C427" t="inlineStr">
        <is>
          <t>TA_18</t>
        </is>
      </c>
      <c r="D427" t="n">
        <v>11</v>
      </c>
      <c r="E427" t="n">
        <v>0</v>
      </c>
      <c r="F427" t="n">
        <v>8.5</v>
      </c>
      <c r="G427" t="n">
        <v>0</v>
      </c>
      <c r="H427" t="n">
        <v>11.5</v>
      </c>
      <c r="I427" t="n">
        <v>0</v>
      </c>
      <c r="J427" t="n">
        <v>11</v>
      </c>
      <c r="K427" t="n">
        <v>0</v>
      </c>
      <c r="L427" t="n">
        <v>8.5</v>
      </c>
      <c r="M427" t="n">
        <v>0</v>
      </c>
      <c r="N427" t="n">
        <v>11.5</v>
      </c>
      <c r="O427" t="n">
        <v>0</v>
      </c>
      <c r="P427">
        <f>Table1[[#This Row],[TA 1 - Q1 Score]]+Table1[[#This Row],[TA 1 - Q2 Score]]+Table1[[#This Row],[TA 1 - Q3 Score]]</f>
        <v/>
      </c>
      <c r="Q427">
        <f>Table1[[#This Row],[TA 1 - Q1 Bonus]]+Table1[[#This Row],[TA 1 - Q2 Bonus]]+Table1[[#This Row],[TA 1 - Q4 Bonus]]</f>
        <v/>
      </c>
      <c r="R427">
        <f>Table1[[#This Row],[TA 2 - Q1 Score]]+Table1[[#This Row],[TA 2 - Q2 Score]]+Table1[[#This Row],[TA 2 - Q3 Score]]</f>
        <v/>
      </c>
      <c r="S427">
        <f>Table1[[#This Row],[TA 2 - Q1 Bonus]]+Table1[[#This Row],[TA 2 - Q2 Bonus]]+Table1[[#This Row],[TA 2 - Q4 Bonus]]</f>
        <v/>
      </c>
      <c r="T427">
        <f>(Table1[[#This Row],[TA 1 - Total Score (out of 35)]]+Table1[[#This Row],[TA 2 - Total Score (out of 35)]])/2</f>
        <v/>
      </c>
      <c r="U427">
        <f>(Table1[[#This Row],[TA 1 - Total Bonus (out of 13)]]+Table1[[#This Row],[TA 2 - Total Bonus (out of 13)]])/2</f>
        <v/>
      </c>
      <c r="V427">
        <f>Table1[[#This Row],[Average Questions]]/35*20+Table1[[#This Row],[Average Bonus]]/13*5</f>
        <v/>
      </c>
      <c r="W427" t="n">
        <v>6</v>
      </c>
      <c r="X427" t="n">
        <v>0</v>
      </c>
      <c r="Y427" t="inlineStr">
        <is>
          <t>The student's submission failed to complete several key tasks, including loading and preparing the data, loading a pretrained model and adapting it, and implementing training and validation functions. While the student made an attempt at training the model, their code contained several errors and did not run end-to-end. The bonus task of implementing test time augmentation was also not completed. As a result, the student's score is limited to the points awarded for the training task, which was partially completed.
Breakdown:
- Part 1: Load and Prepare Data: 0.0/?
- Part 2: Load Pretrained Model and Adapt: 0.0/?
- Part 3: Training and Validation Functions: 0.0/?
- Part 4: Training: 6.0/?
- Part 5: Bonus — Test Time Augmentation: 0.0/?</t>
        </is>
      </c>
      <c r="Z427" t="n">
        <v>4</v>
      </c>
      <c r="AA427" t="n">
        <v>0</v>
      </c>
      <c r="AB427" t="inlineStr">
        <is>
          <t>The student's submission failed to meet the requirements of the task. The code did not load and prepare the data correctly, and the CNN model was not built as specified. The training and validation functions were not implemented, and the training process was not executed. The bonus task of adding a residual connection was not attempted. As a result, the student received 0 points for each task.
Breakdown:
- Part 1: Load and Prepare Data: 0.0/?
- Part 2: Build the CNN Model: 0.0/?
- Part 3: Training and Validation Functions: 0.0/?
- Part 4: Training: 0.0/?
- Part 5: Bonus — Residual Connection: 0.0/?</t>
        </is>
      </c>
      <c r="AC427" t="n">
        <v>6</v>
      </c>
      <c r="AD427" t="inlineStr">
        <is>
          <t>The student's submission failed to meet the requirements of the task. The code was not organized in a way that allowed it to run end-to-end, and several tasks were not implemented correctly. The student did not define the dataset class, model class, training and validation loops, or visualize the predictions correctly. As a result, the student did not earn any points for these tasks.
Breakdown:
- Task 1: Dataset Class: 0.0/?
- Task 2: Model Class: 0.0/?
- Task 3: Training and Validation Loops: 0.0/?
- Task 4: Running Training: 0.0/?
- Task 5: Visualizing Predictions: 0.0/?</t>
        </is>
      </c>
      <c r="AE427" t="n">
        <v>0</v>
      </c>
      <c r="AF427" t="n">
        <v>0</v>
      </c>
      <c r="AG427" t="inlineStr">
        <is>
          <t>The student's submission contains several errors in the implementation of the `ColorizationDataset` class. The `__init__` method does not store the dataset, the `__len__` method does not return the correct length, the `rgb_to_grayscale` method does not use the correct formula, and the `__getitem__` method does not return the correct (grayscale, color) tuple. Additionally, the implementation contains several syntax and logic mistakes. As a result, the student's submission does not meet the requirements of the task and does not award any points.
Breakdown:
- Correctly implemented `ColorizationDataset` class:: 0.0/?
- Any mistake in implementation: 0.0/?</t>
        </is>
      </c>
      <c r="AH427" t="n">
        <v>16</v>
      </c>
      <c r="AI427" t="n">
        <v>0</v>
      </c>
    </row>
    <row r="428">
      <c r="A428" t="n">
        <v>427</v>
      </c>
      <c r="B428" t="inlineStr">
        <is>
          <t>TA_8</t>
        </is>
      </c>
      <c r="C428" t="inlineStr">
        <is>
          <t>TA_18</t>
        </is>
      </c>
      <c r="D428" t="n">
        <v>12</v>
      </c>
      <c r="E428" t="n">
        <v>4</v>
      </c>
      <c r="F428" t="n">
        <v>11</v>
      </c>
      <c r="G428" t="n">
        <v>0</v>
      </c>
      <c r="H428" t="n">
        <v>12</v>
      </c>
      <c r="I428" t="n">
        <v>0</v>
      </c>
      <c r="J428" t="n">
        <v>12</v>
      </c>
      <c r="K428" t="n">
        <v>4</v>
      </c>
      <c r="L428" t="n">
        <v>11</v>
      </c>
      <c r="M428" t="n">
        <v>3.25</v>
      </c>
      <c r="N428" t="n">
        <v>12</v>
      </c>
      <c r="O428" t="n">
        <v>0</v>
      </c>
      <c r="P428">
        <f>Table1[[#This Row],[TA 1 - Q1 Score]]+Table1[[#This Row],[TA 1 - Q2 Score]]+Table1[[#This Row],[TA 1 - Q3 Score]]</f>
        <v/>
      </c>
      <c r="Q428">
        <f>Table1[[#This Row],[TA 1 - Q1 Bonus]]+Table1[[#This Row],[TA 1 - Q2 Bonus]]+Table1[[#This Row],[TA 1 - Q4 Bonus]]</f>
        <v/>
      </c>
      <c r="R428">
        <f>Table1[[#This Row],[TA 2 - Q1 Score]]+Table1[[#This Row],[TA 2 - Q2 Score]]+Table1[[#This Row],[TA 2 - Q3 Score]]</f>
        <v/>
      </c>
      <c r="S428">
        <f>Table1[[#This Row],[TA 2 - Q1 Bonus]]+Table1[[#This Row],[TA 2 - Q2 Bonus]]+Table1[[#This Row],[TA 2 - Q4 Bonus]]</f>
        <v/>
      </c>
      <c r="T428">
        <f>(Table1[[#This Row],[TA 1 - Total Score (out of 35)]]+Table1[[#This Row],[TA 2 - Total Score (out of 35)]])/2</f>
        <v/>
      </c>
      <c r="U428">
        <f>(Table1[[#This Row],[TA 1 - Total Bonus (out of 13)]]+Table1[[#This Row],[TA 2 - Total Bonus (out of 13)]])/2</f>
        <v/>
      </c>
      <c r="V428">
        <f>Table1[[#This Row],[Average Questions]]/35*20+Table1[[#This Row],[Average Bonus]]/13*5</f>
        <v/>
      </c>
      <c r="W428" t="n">
        <v>9</v>
      </c>
      <c r="X428" t="n">
        <v>0</v>
      </c>
      <c r="Y428" t="inlineStr">
        <is>
          <t>The student's submission shows a good effort in attempting the tasks, but there are several errors and incomplete implementations. In Part 1, the student failed to complete the transforms and create DataLoaders correctly. In Part 2, the student correctly loaded the pretrained model and adapted it, but the code is not entirely correct. In Part 3, the student implemented the training and validation functions, but there are some syntax errors and the label fix is not implemented correctly. In Part 4, the student trained the model and plotted the losses and accuracy, but the code is not entirely correct. In Part 5, the student failed to implement the Test Time Augmentation correctly. Overall, the student's submission shows a good effort, but there are several errors and incomplete implementations that prevent the code from running end-to-end.
Breakdown:
- Part 1: Load and Prepare Data: 0.0/?
- Part 2: Load Pretrained Model and Adapt: 2.0/?
- Part 3: Training and Validation Functions: 1.75/?
- Part 4: Training: 2.5/?
- Part 5: Bonus — Test Time Augmentation: 0.0/?</t>
        </is>
      </c>
      <c r="Z428" t="n">
        <v>4</v>
      </c>
      <c r="AA428" t="n">
        <v>0</v>
      </c>
      <c r="AB428" t="inlineStr">
        <is>
          <t>The student's submission failed to meet the requirements of the task. The code did not load and prepare the data correctly, and the CNN model was not built as specified. The training and validation functions were not implemented, and the training process was not executed. The bonus task of adding a residual connection was not attempted. The student's code had several syntax and logic mistakes, and it did not run end-to-end.
Breakdown:
- Part 1: Load and Prepare Data: 0.0/?
- Part 2: Build the CNN Model: 0.0/?
- Part 3: Training and Validation Functions: 0.0/?
- Part 4: Training: 0.0/?
- Part 5: Bonus — Residual Connection: 0.0/?</t>
        </is>
      </c>
      <c r="AC428" t="n">
        <v>6</v>
      </c>
      <c r="AD428" t="inlineStr">
        <is>
          <t>The student's submission was incomplete and contained several errors. They failed to complete tasks 1, 2, 3, and 4, and only partially completed task 5. The code was not well-organized, and the student did not follow the instructions correctly. As a result, the student was only able to earn 6 points out of a possible 12.
Breakdown:
- Task 1: Dataset Class: 0.0/?
- Task 2: Model Class: 0.0/?
- Task 3: Training and Validation Loops: 0.0/?
- Task 4: Running Training: 0.0/?
- Task 5: Visualizing Predictions: 6.0/?</t>
        </is>
      </c>
      <c r="AE428" t="n">
        <v>0</v>
      </c>
      <c r="AF428" t="n">
        <v>0</v>
      </c>
      <c r="AG428" t="inlineStr">
        <is>
          <t>No submission found.</t>
        </is>
      </c>
      <c r="AH428" t="n">
        <v>19</v>
      </c>
      <c r="AI428" t="n">
        <v>0</v>
      </c>
    </row>
    <row r="429">
      <c r="A429" t="n">
        <v>428</v>
      </c>
      <c r="B429" t="inlineStr">
        <is>
          <t>TA_8</t>
        </is>
      </c>
      <c r="C429" t="inlineStr">
        <is>
          <t>TA_18</t>
        </is>
      </c>
      <c r="D429" t="n">
        <v>7</v>
      </c>
      <c r="E429" t="n">
        <v>0</v>
      </c>
      <c r="F429" t="n">
        <v>9.5</v>
      </c>
      <c r="G429" t="n">
        <v>0</v>
      </c>
      <c r="H429" t="n">
        <v>10</v>
      </c>
      <c r="I429" t="n">
        <v>0</v>
      </c>
      <c r="J429" t="n">
        <v>10.25</v>
      </c>
      <c r="K429" t="n">
        <v>0</v>
      </c>
      <c r="L429" t="n">
        <v>9.5</v>
      </c>
      <c r="M429" t="n">
        <v>0</v>
      </c>
      <c r="N429" t="n">
        <v>8.25</v>
      </c>
      <c r="O429" t="n">
        <v>0</v>
      </c>
      <c r="P429">
        <f>Table1[[#This Row],[TA 1 - Q1 Score]]+Table1[[#This Row],[TA 1 - Q2 Score]]+Table1[[#This Row],[TA 1 - Q3 Score]]</f>
        <v/>
      </c>
      <c r="Q429">
        <f>Table1[[#This Row],[TA 1 - Q1 Bonus]]+Table1[[#This Row],[TA 1 - Q2 Bonus]]+Table1[[#This Row],[TA 1 - Q4 Bonus]]</f>
        <v/>
      </c>
      <c r="R429">
        <f>Table1[[#This Row],[TA 2 - Q1 Score]]+Table1[[#This Row],[TA 2 - Q2 Score]]+Table1[[#This Row],[TA 2 - Q3 Score]]</f>
        <v/>
      </c>
      <c r="S429">
        <f>Table1[[#This Row],[TA 2 - Q1 Bonus]]+Table1[[#This Row],[TA 2 - Q2 Bonus]]+Table1[[#This Row],[TA 2 - Q4 Bonus]]</f>
        <v/>
      </c>
      <c r="T429">
        <f>(Table1[[#This Row],[TA 1 - Total Score (out of 35)]]+Table1[[#This Row],[TA 2 - Total Score (out of 35)]])/2</f>
        <v/>
      </c>
      <c r="U429">
        <f>(Table1[[#This Row],[TA 1 - Total Bonus (out of 13)]]+Table1[[#This Row],[TA 2 - Total Bonus (out of 13)]])/2</f>
        <v/>
      </c>
      <c r="V429">
        <f>Table1[[#This Row],[Average Questions]]/35*20+Table1[[#This Row],[Average Bonus]]/13*5</f>
        <v/>
      </c>
      <c r="W429" t="n">
        <v>6</v>
      </c>
      <c r="X429" t="n">
        <v>0</v>
      </c>
      <c r="Y429" t="inlineStr">
        <is>
          <t>The student's submission failed to complete several key tasks, including loading and preparing the data, loading the pretrained model and adapting it, and implementing the training and validation functions. Although the student attempted to train the model, their implementation was incomplete and did not run end-to-end. The bonus task of implementing test time augmentation was also not attempted. As a result, the student's score is low, reflecting the significant gaps in their submission.
Breakdown:
- Part 1: Load and Prepare Data: 0.0/?
- Part 2: Load Pretrained Model and Adapt: 0.0/?
- Part 3: Training and Validation Functions: 0.0/?
- Part 4: Training: 2.0/?
- Part 5: Bonus — Test Time Augmentation: 0.0/?</t>
        </is>
      </c>
      <c r="Z429" t="n">
        <v>6</v>
      </c>
      <c r="AA429" t="n">
        <v>0</v>
      </c>
      <c r="AB42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full potential of the model and their submission was awarded a score of 6.0. The bonus task was not attempted, so no bonus points were awarded.
Breakdown:
- Part 1: Load and Prepare Data: 0.0/?
- Part 2: Build the CNN Model: 0.0/?
- Part 3: Training and Validation Functions: 0.0/?
- Part 4: Training: 2.0/?
- Part 5: Bonus — Residual Connection: 0.0/?</t>
        </is>
      </c>
      <c r="AC429" t="n">
        <v>6</v>
      </c>
      <c r="AD429" t="inlineStr">
        <is>
          <t>The student's submission failed to address several key tasks in the rubric, including building a custom dataset class, defining a model class, and implementing training and validation loops. While the student did attempt to visualize predictions, their code did not meet the full requirements of the task. As a result, the student's score is significantly lower than the maximum possible score.
Breakdown:
- Task 1: Dataset Class: 0.0/?
- Task 2: Model Class: 0.0/?
- Task 3: Training and Validation Loops: 0.0/?
- Task 4: Running Training: 0.0/?
- Task 5: Visualizing Predictions: 6.0/?</t>
        </is>
      </c>
      <c r="AE429" t="n">
        <v>0</v>
      </c>
      <c r="AF429" t="n">
        <v>0</v>
      </c>
      <c r="AG429" t="inlineStr">
        <is>
          <t>No submission found.</t>
        </is>
      </c>
      <c r="AH429" t="n">
        <v>18</v>
      </c>
      <c r="AI429" t="n">
        <v>0</v>
      </c>
    </row>
    <row r="430">
      <c r="A430" t="n">
        <v>429</v>
      </c>
      <c r="B430" t="inlineStr">
        <is>
          <t>TA_8</t>
        </is>
      </c>
      <c r="C430" t="inlineStr">
        <is>
          <t>TA_18</t>
        </is>
      </c>
      <c r="D430" t="n">
        <v>12</v>
      </c>
      <c r="E430" t="n">
        <v>0</v>
      </c>
      <c r="F430" t="n">
        <v>8</v>
      </c>
      <c r="G430" t="n">
        <v>0</v>
      </c>
      <c r="H430" t="n">
        <v>5.5</v>
      </c>
      <c r="I430" t="n">
        <v>0</v>
      </c>
      <c r="J430" t="n">
        <v>12</v>
      </c>
      <c r="K430" t="n">
        <v>0</v>
      </c>
      <c r="L430" t="n">
        <v>11</v>
      </c>
      <c r="M430" t="n">
        <v>0.25</v>
      </c>
      <c r="N430" t="n">
        <v>9.25</v>
      </c>
      <c r="O430" t="n">
        <v>0</v>
      </c>
      <c r="P430">
        <f>Table1[[#This Row],[TA 1 - Q1 Score]]+Table1[[#This Row],[TA 1 - Q2 Score]]+Table1[[#This Row],[TA 1 - Q3 Score]]</f>
        <v/>
      </c>
      <c r="Q430">
        <f>Table1[[#This Row],[TA 1 - Q1 Bonus]]+Table1[[#This Row],[TA 1 - Q2 Bonus]]+Table1[[#This Row],[TA 1 - Q4 Bonus]]</f>
        <v/>
      </c>
      <c r="R430">
        <f>Table1[[#This Row],[TA 2 - Q1 Score]]+Table1[[#This Row],[TA 2 - Q2 Score]]+Table1[[#This Row],[TA 2 - Q3 Score]]</f>
        <v/>
      </c>
      <c r="S430">
        <f>Table1[[#This Row],[TA 2 - Q1 Bonus]]+Table1[[#This Row],[TA 2 - Q2 Bonus]]+Table1[[#This Row],[TA 2 - Q4 Bonus]]</f>
        <v/>
      </c>
      <c r="T430">
        <f>(Table1[[#This Row],[TA 1 - Total Score (out of 35)]]+Table1[[#This Row],[TA 2 - Total Score (out of 35)]])/2</f>
        <v/>
      </c>
      <c r="U430">
        <f>(Table1[[#This Row],[TA 1 - Total Bonus (out of 13)]]+Table1[[#This Row],[TA 2 - Total Bonus (out of 13)]])/2</f>
        <v/>
      </c>
      <c r="V430">
        <f>Table1[[#This Row],[Average Questions]]/35*20+Table1[[#This Row],[Average Bonus]]/13*5</f>
        <v/>
      </c>
      <c r="W430" t="n">
        <v>6</v>
      </c>
      <c r="X430" t="n">
        <v>0</v>
      </c>
      <c r="Y430"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3.0/?
- Part 5: Bonus — Test Time Augmentation: 0.0/?</t>
        </is>
      </c>
      <c r="Z430" t="n">
        <v>4</v>
      </c>
      <c r="AA430" t="n">
        <v>0</v>
      </c>
      <c r="AB430"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30" t="n">
        <v>6</v>
      </c>
      <c r="AD430" t="inlineStr">
        <is>
          <t>The student's submission was incomplete and lacked code for most tasks. The only task that was attempted was Task 5: Visualizing Predictions, where the student's code was mostly correct but had some minor issues. The student's approach to the other tasks was not evident, and no code was submitted for them.
Breakdown:
- Task 1: Dataset Class: 0.0/?
- Task 2: Model Class: 0.0/?
- Task 3: Training and Validation Loops: 0.0/?
- Task 4: Running Training: 0.0/?
- Task 5: Visualizing Predictions: 6.0/?</t>
        </is>
      </c>
      <c r="AE430" t="n">
        <v>0</v>
      </c>
      <c r="AF430" t="n">
        <v>0</v>
      </c>
      <c r="AG430" t="inlineStr">
        <is>
          <t>No submission found.</t>
        </is>
      </c>
      <c r="AH430" t="n">
        <v>16</v>
      </c>
      <c r="AI430" t="n">
        <v>0</v>
      </c>
    </row>
    <row r="431">
      <c r="A431" t="n">
        <v>430</v>
      </c>
      <c r="B431" t="inlineStr">
        <is>
          <t>TA_8</t>
        </is>
      </c>
      <c r="C431" t="inlineStr">
        <is>
          <t>TA_18</t>
        </is>
      </c>
      <c r="D431" t="n">
        <v>12</v>
      </c>
      <c r="E431" t="n">
        <v>0</v>
      </c>
      <c r="F431" t="n">
        <v>11</v>
      </c>
      <c r="G431" t="n">
        <v>0</v>
      </c>
      <c r="H431" t="n">
        <v>12</v>
      </c>
      <c r="I431" t="n">
        <v>0</v>
      </c>
      <c r="J431" t="n">
        <v>12</v>
      </c>
      <c r="K431" t="n">
        <v>0</v>
      </c>
      <c r="L431" t="n">
        <v>11</v>
      </c>
      <c r="M431" t="n">
        <v>0</v>
      </c>
      <c r="N431" t="n">
        <v>12</v>
      </c>
      <c r="O431" t="n">
        <v>0</v>
      </c>
      <c r="P431">
        <f>Table1[[#This Row],[TA 1 - Q1 Score]]+Table1[[#This Row],[TA 1 - Q2 Score]]+Table1[[#This Row],[TA 1 - Q3 Score]]</f>
        <v/>
      </c>
      <c r="Q431">
        <f>Table1[[#This Row],[TA 1 - Q1 Bonus]]+Table1[[#This Row],[TA 1 - Q2 Bonus]]+Table1[[#This Row],[TA 1 - Q4 Bonus]]</f>
        <v/>
      </c>
      <c r="R431">
        <f>Table1[[#This Row],[TA 2 - Q1 Score]]+Table1[[#This Row],[TA 2 - Q2 Score]]+Table1[[#This Row],[TA 2 - Q3 Score]]</f>
        <v/>
      </c>
      <c r="S431">
        <f>Table1[[#This Row],[TA 2 - Q1 Bonus]]+Table1[[#This Row],[TA 2 - Q2 Bonus]]+Table1[[#This Row],[TA 2 - Q4 Bonus]]</f>
        <v/>
      </c>
      <c r="T431">
        <f>(Table1[[#This Row],[TA 1 - Total Score (out of 35)]]+Table1[[#This Row],[TA 2 - Total Score (out of 35)]])/2</f>
        <v/>
      </c>
      <c r="U431">
        <f>(Table1[[#This Row],[TA 1 - Total Bonus (out of 13)]]+Table1[[#This Row],[TA 2 - Total Bonus (out of 13)]])/2</f>
        <v/>
      </c>
      <c r="V431">
        <f>Table1[[#This Row],[Average Questions]]/35*20+Table1[[#This Row],[Average Bonus]]/13*5</f>
        <v/>
      </c>
      <c r="W431" t="n">
        <v>6</v>
      </c>
      <c r="X431" t="n">
        <v>0</v>
      </c>
      <c r="Y43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2.0/?
- Part 5: Bonus — Test Time Augmentation: 0.0/?</t>
        </is>
      </c>
      <c r="Z431" t="n">
        <v>6</v>
      </c>
      <c r="AA431" t="n">
        <v>0</v>
      </c>
      <c r="AB431" t="inlineStr">
        <is>
          <t>The student's submission failed to load and prepare the data correctly, resulting in a score of 0 for Part 1. The CNN model was partially built, but it lacked the necessary layers and connections, earning 2 points for Part 2. The training and validation functions were not implemented, leading to a score of 0 for Part 3. The training process was not completed, and the model was not trained, resulting in a score of 0 for Part 4. The bonus task of adding a residual connection was not attempted, earning 0 points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431" t="n">
        <v>6</v>
      </c>
      <c r="AD431" t="inlineStr">
        <is>
          <t>The student failed to submit code for any of the tasks in Question 3. The submission is incomplete and does not demonstrate any understanding of the required concepts. As a result, the student receives a score of 0 for the base tasks and 0 for the bonus task.
Breakdown:
- Task 1: Dataset Class: 0.0/?
- Task 2: Model Class: 0.0/?
- Task 3: Training and Validation Loops: 0.0/?
- Task 4: Running Training: 0.0/?
- Task 5: Visualizing Predictions: 0.0/?</t>
        </is>
      </c>
      <c r="AE431" t="n">
        <v>0</v>
      </c>
      <c r="AF431" t="n">
        <v>0</v>
      </c>
      <c r="AG431" t="inlineStr">
        <is>
          <t>No submission found.</t>
        </is>
      </c>
      <c r="AH431" t="n">
        <v>18</v>
      </c>
      <c r="AI431" t="n">
        <v>0</v>
      </c>
    </row>
    <row r="432">
      <c r="A432" t="n">
        <v>431</v>
      </c>
      <c r="B432" t="inlineStr">
        <is>
          <t>TA_8</t>
        </is>
      </c>
      <c r="C432" t="inlineStr">
        <is>
          <t>TA_18</t>
        </is>
      </c>
      <c r="D432" t="n">
        <v>4.5</v>
      </c>
      <c r="E432" t="n">
        <v>0</v>
      </c>
      <c r="F432" t="n">
        <v>9</v>
      </c>
      <c r="G432" t="n">
        <v>0</v>
      </c>
      <c r="H432" t="n">
        <v>11.5</v>
      </c>
      <c r="I432" t="n">
        <v>0</v>
      </c>
      <c r="J432" t="n">
        <v>5.75</v>
      </c>
      <c r="K432" t="n">
        <v>0</v>
      </c>
      <c r="L432" t="n">
        <v>7.75</v>
      </c>
      <c r="M432" t="n">
        <v>0</v>
      </c>
      <c r="N432" t="n">
        <v>5.75</v>
      </c>
      <c r="O432" t="n">
        <v>0</v>
      </c>
      <c r="P432">
        <f>Table1[[#This Row],[TA 1 - Q1 Score]]+Table1[[#This Row],[TA 1 - Q2 Score]]+Table1[[#This Row],[TA 1 - Q3 Score]]</f>
        <v/>
      </c>
      <c r="Q432">
        <f>Table1[[#This Row],[TA 1 - Q1 Bonus]]+Table1[[#This Row],[TA 1 - Q2 Bonus]]+Table1[[#This Row],[TA 1 - Q4 Bonus]]</f>
        <v/>
      </c>
      <c r="R432">
        <f>Table1[[#This Row],[TA 2 - Q1 Score]]+Table1[[#This Row],[TA 2 - Q2 Score]]+Table1[[#This Row],[TA 2 - Q3 Score]]</f>
        <v/>
      </c>
      <c r="S432">
        <f>Table1[[#This Row],[TA 2 - Q1 Bonus]]+Table1[[#This Row],[TA 2 - Q2 Bonus]]+Table1[[#This Row],[TA 2 - Q4 Bonus]]</f>
        <v/>
      </c>
      <c r="T432">
        <f>(Table1[[#This Row],[TA 1 - Total Score (out of 35)]]+Table1[[#This Row],[TA 2 - Total Score (out of 35)]])/2</f>
        <v/>
      </c>
      <c r="U432">
        <f>(Table1[[#This Row],[TA 1 - Total Bonus (out of 13)]]+Table1[[#This Row],[TA 2 - Total Bonus (out of 13)]])/2</f>
        <v/>
      </c>
      <c r="V432">
        <f>Table1[[#This Row],[Average Questions]]/35*20+Table1[[#This Row],[Average Bonus]]/13*5</f>
        <v/>
      </c>
      <c r="W432" t="n">
        <v>6</v>
      </c>
      <c r="X432" t="n">
        <v>0</v>
      </c>
      <c r="Y432" t="inlineStr">
        <is>
          <t>The student's submission failed to complete several key tasks, including loading and preparing the data, loading a pretrained model and adapting it, and implementing training and validation functions. While the student made an attempt at training the model, their implementation was incomplete and did not follow the reference solution. The bonus task of implementing test time augmentation was also not attempted. As a result, the student's score is limited to the points awarded for the training task, which was partially completed.
Breakdown:
- Part 1: Load and Prepare Data: 0.0/?
- Part 2: Load Pretrained Model and Adapt: 0.0/?
- Part 3: Training and Validation Functions: 0.0/?
- Part 4: Training: 6.0/?
- Part 5: Bonus — Test Time Augmentation: 0.0/?</t>
        </is>
      </c>
      <c r="Z432" t="n">
        <v>2</v>
      </c>
      <c r="AA432" t="n">
        <v>0</v>
      </c>
      <c r="AB432" t="inlineStr">
        <is>
          <t>The submission failed to load and prepare the data correctly, as evidenced by the incorrect dataset class and transforms. The CNN model was not built as specified, and the training and validation functions were not implemented. The training process was also not executed. The bonus task of adding a residual connection was not attempted. Overall, the submission demonstrates a lack of understanding of the required tasks and concepts.
Breakdown:
- Part 1: Load and Prepare Data: 0.0/?
- Part 2: Build the CNN Model: 0.0/?
- Part 3: Training and Validation Functions: 0.0/?
- Part 4: Training: 0.0/?
- Part 5: Bonus — Residual Connection: 0.0/?</t>
        </is>
      </c>
      <c r="AC432" t="n">
        <v>6</v>
      </c>
      <c r="AD432" t="inlineStr">
        <is>
          <t>The student's submission failed to meet the requirements of the task, with no code submitted for Task 1 and incorrect implementations for Tasks 2-5. The student's code attempted to use a different dataset and had incorrect logic for the model class, training loops, and visualization. As a result, the student's submission was awarded 0 points for each task.
Breakdown:
- Task 1: Dataset Class: 0.0/?
- Task 2: Model Class: 0.0/?
- Task 3: Training and Validation Loops: 0.0/?
- Task 4: Running Training: 0.0/?
- Task 5: Visualizing Predictions: 0.0/?</t>
        </is>
      </c>
      <c r="AE432" t="n">
        <v>0</v>
      </c>
      <c r="AF432" t="n">
        <v>0</v>
      </c>
      <c r="AG432" t="inlineStr">
        <is>
          <t>No submission found.</t>
        </is>
      </c>
      <c r="AH432" t="n">
        <v>14</v>
      </c>
      <c r="AI432" t="n">
        <v>0</v>
      </c>
    </row>
    <row r="433">
      <c r="A433" t="n">
        <v>432</v>
      </c>
      <c r="B433" t="inlineStr">
        <is>
          <t>TA_8</t>
        </is>
      </c>
      <c r="C433" t="inlineStr">
        <is>
          <t>TA_18</t>
        </is>
      </c>
      <c r="D433" t="n">
        <v>6</v>
      </c>
      <c r="E433" t="n">
        <v>0</v>
      </c>
      <c r="F433" t="n">
        <v>7.5</v>
      </c>
      <c r="G433" t="n">
        <v>0</v>
      </c>
      <c r="H433" t="n">
        <v>8.5</v>
      </c>
      <c r="I433" t="n">
        <v>0</v>
      </c>
      <c r="J433" t="n">
        <v>6.75</v>
      </c>
      <c r="K433" t="n">
        <v>0</v>
      </c>
      <c r="L433" t="n">
        <v>8.5</v>
      </c>
      <c r="M433" t="n">
        <v>2.5</v>
      </c>
      <c r="N433" t="n">
        <v>9</v>
      </c>
      <c r="O433" t="n">
        <v>0</v>
      </c>
      <c r="P433">
        <f>Table1[[#This Row],[TA 1 - Q1 Score]]+Table1[[#This Row],[TA 1 - Q2 Score]]+Table1[[#This Row],[TA 1 - Q3 Score]]</f>
        <v/>
      </c>
      <c r="Q433">
        <f>Table1[[#This Row],[TA 1 - Q1 Bonus]]+Table1[[#This Row],[TA 1 - Q2 Bonus]]+Table1[[#This Row],[TA 1 - Q4 Bonus]]</f>
        <v/>
      </c>
      <c r="R433">
        <f>Table1[[#This Row],[TA 2 - Q1 Score]]+Table1[[#This Row],[TA 2 - Q2 Score]]+Table1[[#This Row],[TA 2 - Q3 Score]]</f>
        <v/>
      </c>
      <c r="S433">
        <f>Table1[[#This Row],[TA 2 - Q1 Bonus]]+Table1[[#This Row],[TA 2 - Q2 Bonus]]+Table1[[#This Row],[TA 2 - Q4 Bonus]]</f>
        <v/>
      </c>
      <c r="T433">
        <f>(Table1[[#This Row],[TA 1 - Total Score (out of 35)]]+Table1[[#This Row],[TA 2 - Total Score (out of 35)]])/2</f>
        <v/>
      </c>
      <c r="U433">
        <f>(Table1[[#This Row],[TA 1 - Total Bonus (out of 13)]]+Table1[[#This Row],[TA 2 - Total Bonus (out of 13)]])/2</f>
        <v/>
      </c>
      <c r="V433">
        <f>Table1[[#This Row],[Average Questions]]/35*20+Table1[[#This Row],[Average Bonus]]/13*5</f>
        <v/>
      </c>
      <c r="W433" t="n">
        <v>6</v>
      </c>
      <c r="X433" t="n">
        <v>0</v>
      </c>
      <c r="Y433"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implementation was incomplete and did not follow the reference solution. The bonus task of implementing test time augmentation was also not attempted. As a result, the student's score is limited to the points awarded for the training task.
Breakdown:
- Part 1: Load and Prepare Data: 0.0/?
- Part 2: Load Pretrained Model and Adapt: 0.0/?
- Part 3: Training and Validation Functions: 0.0/?
- Part 4: Training: 3.0/?
- Part 5: Bonus — Test Time Augmentation: 0.0/?</t>
        </is>
      </c>
      <c r="Z433" t="n">
        <v>4</v>
      </c>
      <c r="AA433" t="n">
        <v>0</v>
      </c>
      <c r="AB433"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points for each task, resulting in a total score of 0.
Breakdown:
- Part 1: Load and Prepare Data: 0.0/?
- Part 2: Build the CNN Model: 0.0/?
- Part 3: Training and Validation Functions: 0.0/?
- Part 4: Training: 0.0/?
- Part 5: Bonus — Residual Connection: 0.0/?</t>
        </is>
      </c>
      <c r="AC433" t="n">
        <v>6</v>
      </c>
      <c r="AD433" t="inlineStr">
        <is>
          <t>The student's submission failed to meet the requirements of the task. The code was not organized, and many tasks were not completed.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33" t="n">
        <v>0</v>
      </c>
      <c r="AF433" t="n">
        <v>0</v>
      </c>
      <c r="AG433" t="inlineStr">
        <is>
          <t>No submission found.</t>
        </is>
      </c>
      <c r="AH433" t="n">
        <v>16</v>
      </c>
      <c r="AI433" t="n">
        <v>0</v>
      </c>
    </row>
    <row r="434">
      <c r="A434" t="n">
        <v>433</v>
      </c>
      <c r="B434" t="inlineStr">
        <is>
          <t>TA_8</t>
        </is>
      </c>
      <c r="C434" t="inlineStr">
        <is>
          <t>TA_18</t>
        </is>
      </c>
      <c r="D434" t="n">
        <v>8.5</v>
      </c>
      <c r="E434" t="n">
        <v>0</v>
      </c>
      <c r="F434" t="n">
        <v>11</v>
      </c>
      <c r="G434" t="n">
        <v>0</v>
      </c>
      <c r="H434" t="n">
        <v>12</v>
      </c>
      <c r="I434" t="n">
        <v>0</v>
      </c>
      <c r="J434" t="n">
        <v>3.5</v>
      </c>
      <c r="K434" t="n">
        <v>0</v>
      </c>
      <c r="L434" t="n">
        <v>10.5</v>
      </c>
      <c r="M434" t="n">
        <v>0</v>
      </c>
      <c r="N434" t="n">
        <v>4.5</v>
      </c>
      <c r="O434" t="n">
        <v>0</v>
      </c>
      <c r="P434">
        <f>Table1[[#This Row],[TA 1 - Q1 Score]]+Table1[[#This Row],[TA 1 - Q2 Score]]+Table1[[#This Row],[TA 1 - Q3 Score]]</f>
        <v/>
      </c>
      <c r="Q434">
        <f>Table1[[#This Row],[TA 1 - Q1 Bonus]]+Table1[[#This Row],[TA 1 - Q2 Bonus]]+Table1[[#This Row],[TA 1 - Q4 Bonus]]</f>
        <v/>
      </c>
      <c r="R434">
        <f>Table1[[#This Row],[TA 2 - Q1 Score]]+Table1[[#This Row],[TA 2 - Q2 Score]]+Table1[[#This Row],[TA 2 - Q3 Score]]</f>
        <v/>
      </c>
      <c r="S434">
        <f>Table1[[#This Row],[TA 2 - Q1 Bonus]]+Table1[[#This Row],[TA 2 - Q2 Bonus]]+Table1[[#This Row],[TA 2 - Q4 Bonus]]</f>
        <v/>
      </c>
      <c r="T434">
        <f>(Table1[[#This Row],[TA 1 - Total Score (out of 35)]]+Table1[[#This Row],[TA 2 - Total Score (out of 35)]])/2</f>
        <v/>
      </c>
      <c r="U434">
        <f>(Table1[[#This Row],[TA 1 - Total Bonus (out of 13)]]+Table1[[#This Row],[TA 2 - Total Bonus (out of 13)]])/2</f>
        <v/>
      </c>
      <c r="V434">
        <f>Table1[[#This Row],[Average Questions]]/35*20+Table1[[#This Row],[Average Bonus]]/13*5</f>
        <v/>
      </c>
      <c r="W434" t="n">
        <v>6</v>
      </c>
      <c r="X434" t="n">
        <v>0</v>
      </c>
      <c r="Y434" t="inlineStr">
        <is>
          <t>The student's submission failed to complete several key tasks, including loading and preparing the data, loading a pretrained model, and adapting it for the task. The training and validation functions were also not implemented correctly. However, the student did manage to complete the training process, earning 6 points for that task.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434" t="n">
        <v>4</v>
      </c>
      <c r="AA434" t="n">
        <v>0</v>
      </c>
      <c r="AB434" t="inlineStr">
        <is>
          <t>The submission failed to load and prepare the data correctly, as evidenced by the incorrect dataset class and transforms. The CNN model was not built with the correct architecture, and the training and validation functions were not implemented. The training process was also not executed correctly. The bonus task of adding a residual connection was not attempted. Overall, the submission demonstrates a lack of understanding of the required tasks and concepts.
Breakdown:
- Part 1: Load and Prepare Data: 0.0/?
- Part 2: Build the CNN Model: 0.0/?
- Part 3: Training and Validation Functions: 0.0/?
- Part 4: Training: 0.0/?
- Part 5: Bonus — Residual Connection: 0.0/?</t>
        </is>
      </c>
      <c r="AC434" t="n">
        <v>6</v>
      </c>
      <c r="AD434" t="inlineStr">
        <is>
          <t>The student's submission failed to address any of the tasks in Question 3. The code provided does not attempt to build a custom dataset class, define a model class, implement training and validation loops, run training, or visualize predictions. As a result, the student earns 0 points for each task, resulting in a total score of 6.0.
Breakdown:
- Task 1: Dataset Class: 0.0/?
- Task 2: Model Class: 0.0/?
- Task 3: Training and Validation Loops: 0.0/?
- Task 4: Running Training: 0.0/?
- Task 5: Visualizing Predictions: 0.0/?</t>
        </is>
      </c>
      <c r="AE434" t="n">
        <v>0</v>
      </c>
      <c r="AF434" t="n">
        <v>0</v>
      </c>
      <c r="AG434" t="inlineStr">
        <is>
          <t>No submission found.</t>
        </is>
      </c>
      <c r="AH434" t="n">
        <v>16</v>
      </c>
      <c r="AI434" t="n">
        <v>0</v>
      </c>
    </row>
    <row r="435">
      <c r="A435" t="n">
        <v>434</v>
      </c>
      <c r="B435" t="inlineStr">
        <is>
          <t>TA_8</t>
        </is>
      </c>
      <c r="C435" t="inlineStr">
        <is>
          <t>TA_18</t>
        </is>
      </c>
      <c r="D435" t="n">
        <v>7</v>
      </c>
      <c r="E435" t="n">
        <v>0</v>
      </c>
      <c r="F435" t="n">
        <v>8.5</v>
      </c>
      <c r="G435" t="n">
        <v>0</v>
      </c>
      <c r="H435" t="n">
        <v>12</v>
      </c>
      <c r="I435" t="n">
        <v>0</v>
      </c>
      <c r="J435" t="n">
        <v>6.75</v>
      </c>
      <c r="K435" t="n">
        <v>0</v>
      </c>
      <c r="L435" t="n">
        <v>9</v>
      </c>
      <c r="M435" t="n">
        <v>2</v>
      </c>
      <c r="N435" t="n">
        <v>10</v>
      </c>
      <c r="O435" t="n">
        <v>0</v>
      </c>
      <c r="P435">
        <f>Table1[[#This Row],[TA 1 - Q1 Score]]+Table1[[#This Row],[TA 1 - Q2 Score]]+Table1[[#This Row],[TA 1 - Q3 Score]]</f>
        <v/>
      </c>
      <c r="Q435">
        <f>Table1[[#This Row],[TA 1 - Q1 Bonus]]+Table1[[#This Row],[TA 1 - Q2 Bonus]]+Table1[[#This Row],[TA 1 - Q4 Bonus]]</f>
        <v/>
      </c>
      <c r="R435">
        <f>Table1[[#This Row],[TA 2 - Q1 Score]]+Table1[[#This Row],[TA 2 - Q2 Score]]+Table1[[#This Row],[TA 2 - Q3 Score]]</f>
        <v/>
      </c>
      <c r="S435">
        <f>Table1[[#This Row],[TA 2 - Q1 Bonus]]+Table1[[#This Row],[TA 2 - Q2 Bonus]]+Table1[[#This Row],[TA 2 - Q4 Bonus]]</f>
        <v/>
      </c>
      <c r="T435">
        <f>(Table1[[#This Row],[TA 1 - Total Score (out of 35)]]+Table1[[#This Row],[TA 2 - Total Score (out of 35)]])/2</f>
        <v/>
      </c>
      <c r="U435">
        <f>(Table1[[#This Row],[TA 1 - Total Bonus (out of 13)]]+Table1[[#This Row],[TA 2 - Total Bonus (out of 13)]])/2</f>
        <v/>
      </c>
      <c r="V435">
        <f>Table1[[#This Row],[Average Questions]]/35*20+Table1[[#This Row],[Average Bonus]]/13*5</f>
        <v/>
      </c>
      <c r="W435" t="n">
        <v>6</v>
      </c>
      <c r="X435" t="n">
        <v>0</v>
      </c>
      <c r="Y435"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435" t="n">
        <v>6</v>
      </c>
      <c r="AA435" t="n">
        <v>0</v>
      </c>
      <c r="AB435" t="inlineStr">
        <is>
          <t>The student's submission failed to load and prepare the data correctly, resulting in a score of 0 for Part 1. The CNN model was not built correctly, resulting in a score of 0 for Part 2. The training and validation functions were not implemented, resulting in a score of 0 for Part 3. However, the student did attempt to train the model, resulting in a score of 2 for Part 4. The bonus task was not completed, resulting in a score of 0 for Part 5.
Breakdown:
- Part 1: Load and Prepare Data: 0.0/?
- Part 2: Build the CNN Model: 0.0/?
- Part 3: Training and Validation Functions: 0.0/?
- Part 4: Training: 2.0/?
- Part 5: Bonus — Residual Connection: 0.0/?</t>
        </is>
      </c>
      <c r="AC435" t="n">
        <v>6</v>
      </c>
      <c r="AD435" t="inlineStr">
        <is>
          <t>The student's submission failed to meet the requirements of the task. The code was not organized, and the tasks were not completed correctly. The student did not define the dataset class, model class, training and validation loops, running training, and visualizing predictions correctly. The code was not run end-to-end, and the student did not follow the instructions provided.
Breakdown:
- Task 1: Dataset Class: 0.0/?
- Task 2: Model Class: 0.0/?
- Task 3: Training and Validation Loops: 0.0/?
- Task 4: Running Training: 0.0/?
- Task 5: Visualizing Predictions: 0.0/?</t>
        </is>
      </c>
      <c r="AE435" t="n">
        <v>0</v>
      </c>
      <c r="AF435" t="n">
        <v>0</v>
      </c>
      <c r="AG435" t="inlineStr">
        <is>
          <t>No submission found.</t>
        </is>
      </c>
      <c r="AH435" t="n">
        <v>18</v>
      </c>
      <c r="AI435" t="n">
        <v>0</v>
      </c>
    </row>
    <row r="436">
      <c r="A436" t="n">
        <v>435</v>
      </c>
      <c r="B436" t="inlineStr">
        <is>
          <t>TA_8</t>
        </is>
      </c>
      <c r="C436" t="inlineStr">
        <is>
          <t>TA_18</t>
        </is>
      </c>
      <c r="D436" t="n">
        <v>7</v>
      </c>
      <c r="E436" t="n">
        <v>0</v>
      </c>
      <c r="F436" t="n">
        <v>9.5</v>
      </c>
      <c r="G436" t="n">
        <v>0</v>
      </c>
      <c r="H436" t="n">
        <v>11.5</v>
      </c>
      <c r="I436" t="n">
        <v>5</v>
      </c>
      <c r="J436" t="n">
        <v>2.5</v>
      </c>
      <c r="K436" t="n">
        <v>0</v>
      </c>
      <c r="L436" t="n">
        <v>10.5</v>
      </c>
      <c r="M436" t="n">
        <v>0</v>
      </c>
      <c r="N436" t="n">
        <v>11.5</v>
      </c>
      <c r="O436" t="n">
        <v>5</v>
      </c>
      <c r="P436">
        <f>Table1[[#This Row],[TA 1 - Q1 Score]]+Table1[[#This Row],[TA 1 - Q2 Score]]+Table1[[#This Row],[TA 1 - Q3 Score]]</f>
        <v/>
      </c>
      <c r="Q436">
        <f>Table1[[#This Row],[TA 1 - Q1 Bonus]]+Table1[[#This Row],[TA 1 - Q2 Bonus]]+Table1[[#This Row],[TA 1 - Q4 Bonus]]</f>
        <v/>
      </c>
      <c r="R436">
        <f>Table1[[#This Row],[TA 2 - Q1 Score]]+Table1[[#This Row],[TA 2 - Q2 Score]]+Table1[[#This Row],[TA 2 - Q3 Score]]</f>
        <v/>
      </c>
      <c r="S436">
        <f>Table1[[#This Row],[TA 2 - Q1 Bonus]]+Table1[[#This Row],[TA 2 - Q2 Bonus]]+Table1[[#This Row],[TA 2 - Q4 Bonus]]</f>
        <v/>
      </c>
      <c r="T436">
        <f>(Table1[[#This Row],[TA 1 - Total Score (out of 35)]]+Table1[[#This Row],[TA 2 - Total Score (out of 35)]])/2</f>
        <v/>
      </c>
      <c r="U436">
        <f>(Table1[[#This Row],[TA 1 - Total Bonus (out of 13)]]+Table1[[#This Row],[TA 2 - Total Bonus (out of 13)]])/2</f>
        <v/>
      </c>
      <c r="V436">
        <f>Table1[[#This Row],[Average Questions]]/35*20+Table1[[#This Row],[Average Bonus]]/13*5</f>
        <v/>
      </c>
      <c r="W436" t="n">
        <v>6</v>
      </c>
      <c r="X436" t="n">
        <v>0</v>
      </c>
      <c r="Y436" t="inlineStr">
        <is>
          <t>The student's submission failed to complete several key tasks, including loading and preparing the data, loading a pretrained model, and training the model. While they did attempt to implement the training and validation functions, their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436" t="n">
        <v>6</v>
      </c>
      <c r="AA436" t="n">
        <v>0</v>
      </c>
      <c r="AB436" t="inlineStr">
        <is>
          <t>The student's submission failed to load and prepare the data correctly, as they did not create a custom Dataset class or use ImageFolder. They also failed to build the CNN model with the required specifications, including 5 convolutional layers and batch normalization. The training and validation functions were not implemented correctly, and the training process was not executed. The bonus task of adding a residual connection was not attempted. Overall, the submission demonstrates a lack of understanding of the required tasks and concepts.
Breakdown:
- Part 1: Load and Prepare Data: 0.0/?
- Part 2: Build the CNN Model: 0.0/?
- Part 3: Training and Validation Functions: 0.0/?
- Part 4: Training: 2.0/?
- Part 5: Bonus — Residual Connection: 0.0/?</t>
        </is>
      </c>
      <c r="AC436" t="n">
        <v>6</v>
      </c>
      <c r="AD436" t="inlineStr">
        <is>
          <t>The student's submission failed to meet the requirements of the task. The code was not organized in a way that allowed it to run end-to-end, and several key components were missing or implemented incorrectly. As a result, the student was unable to complete the task and earn any points.
Breakdown:
- Task 1: Dataset Class: 0.0/?
- Task 2: Model Class: 0.0/?
- Task 3: Training and Validation Loops: 0.0/?
- Task 4: Running Training: 0.0/?
- Task 5: Visualizing Predictions: 0.0/?</t>
        </is>
      </c>
      <c r="AE436" t="n">
        <v>0</v>
      </c>
      <c r="AF436" t="n">
        <v>1</v>
      </c>
      <c r="AG436" t="inlineStr">
        <is>
          <t>The student's submission demonstrates a good understanding of the ColorizationDataset class. They correctly implemented the `__init__`, `__len__`, `rgb_to_grayscale`, and `__getitem__` methods. However, they made a mistake in the `rgb_to_grayscale` method by not adding the channel dimension correctly. Additionally, the student did not implement the visualization task, which is worth 1 point. Overall, the student's submission shows a good effort, but with some minor mistakes.
Breakdown:
- Correctly implemented `ColorizationDataset` class: 4.0/?
- Any mistake in implementation: 0.0/?</t>
        </is>
      </c>
      <c r="AH436" t="n">
        <v>18</v>
      </c>
      <c r="AI436" t="n">
        <v>1</v>
      </c>
    </row>
    <row r="437">
      <c r="A437" t="n">
        <v>436</v>
      </c>
      <c r="B437" t="inlineStr">
        <is>
          <t>TA_8</t>
        </is>
      </c>
      <c r="C437" t="inlineStr">
        <is>
          <t>TA_18</t>
        </is>
      </c>
      <c r="D437" t="n">
        <v>4.5</v>
      </c>
      <c r="E437" t="n">
        <v>0</v>
      </c>
      <c r="F437" t="n">
        <v>0</v>
      </c>
      <c r="G437" t="n">
        <v>0</v>
      </c>
      <c r="H437" t="n">
        <v>0</v>
      </c>
      <c r="I437" t="n">
        <v>0</v>
      </c>
      <c r="J437" t="n">
        <v>6.25</v>
      </c>
      <c r="K437" t="n">
        <v>0</v>
      </c>
      <c r="L437" t="n">
        <v>7.25</v>
      </c>
      <c r="M437" t="n">
        <v>0</v>
      </c>
      <c r="N437" t="n">
        <v>7</v>
      </c>
      <c r="O437" t="n">
        <v>0</v>
      </c>
      <c r="P437">
        <f>Table1[[#This Row],[TA 1 - Q1 Score]]+Table1[[#This Row],[TA 1 - Q2 Score]]+Table1[[#This Row],[TA 1 - Q3 Score]]</f>
        <v/>
      </c>
      <c r="Q437">
        <f>Table1[[#This Row],[TA 1 - Q1 Bonus]]+Table1[[#This Row],[TA 1 - Q2 Bonus]]+Table1[[#This Row],[TA 1 - Q4 Bonus]]</f>
        <v/>
      </c>
      <c r="R437">
        <f>Table1[[#This Row],[TA 2 - Q1 Score]]+Table1[[#This Row],[TA 2 - Q2 Score]]+Table1[[#This Row],[TA 2 - Q3 Score]]</f>
        <v/>
      </c>
      <c r="S437">
        <f>Table1[[#This Row],[TA 2 - Q1 Bonus]]+Table1[[#This Row],[TA 2 - Q2 Bonus]]+Table1[[#This Row],[TA 2 - Q4 Bonus]]</f>
        <v/>
      </c>
      <c r="T437">
        <f>(Table1[[#This Row],[TA 1 - Total Score (out of 35)]]+Table1[[#This Row],[TA 2 - Total Score (out of 35)]])/2</f>
        <v/>
      </c>
      <c r="U437">
        <f>(Table1[[#This Row],[TA 1 - Total Bonus (out of 13)]]+Table1[[#This Row],[TA 2 - Total Bonus (out of 13)]])/2</f>
        <v/>
      </c>
      <c r="V437">
        <f>Table1[[#This Row],[Average Questions]]/35*20+Table1[[#This Row],[Average Bonus]]/13*5</f>
        <v/>
      </c>
      <c r="W437" t="n">
        <v>6</v>
      </c>
      <c r="X437" t="n">
        <v>0</v>
      </c>
      <c r="Y437"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approach to test time augmentation was entirely incorrect, disregarding the explicit instructions provided in the reference solution.
Breakdown:
- Part 1: Load and Prepare Data: 0.0/?
- Part 2: Load Pretrained Model and Adapt: 0.0/?
- Part 3: Training and Validation Functions: 0.0/?
- Part 4: Training: 2.0/?
- Part 5: Bonus — Test Time Augmentation: 0.0/?</t>
        </is>
      </c>
      <c r="Z437" t="n">
        <v>4</v>
      </c>
      <c r="AA437" t="n">
        <v>0</v>
      </c>
      <c r="AB437"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37" t="n">
        <v>6</v>
      </c>
      <c r="AD437" t="inlineStr">
        <is>
          <t>The student's submission failed to meet the requirements of the task. The code was not organized in a way that allowed it to run end-to-end, and several key components were missing or incorrect. The student attempted to define the dataset class, but it was not completed. The model class was not defined correctly, and the training and validation loops were not implemented. The loss and optimizer were not defined correctly, and the model was not trained. Finally, the predictions were not visualized correctly. As a result, the student earned 0 points for each task.
Breakdown:
- Task 1: Dataset Class: 0.0/?
- Task 2: Model Class: 0.0/?
- Task 3: Training and Validation Loops: 0.0/?
- Task 4: Running Training: 0.0/?
- Task 5: Visualizing Predictions: 0.0/?</t>
        </is>
      </c>
      <c r="AE437" t="n">
        <v>0</v>
      </c>
      <c r="AF437" t="n">
        <v>0</v>
      </c>
      <c r="AG437" t="inlineStr">
        <is>
          <t>No submission found.</t>
        </is>
      </c>
      <c r="AH437" t="n">
        <v>16</v>
      </c>
      <c r="AI437" t="n">
        <v>0</v>
      </c>
    </row>
    <row r="438">
      <c r="A438" t="n">
        <v>437</v>
      </c>
      <c r="B438" t="inlineStr">
        <is>
          <t>TA_8</t>
        </is>
      </c>
      <c r="C438" t="inlineStr">
        <is>
          <t>TA_18</t>
        </is>
      </c>
      <c r="D438" t="n">
        <v>10.5</v>
      </c>
      <c r="E438" t="n">
        <v>0</v>
      </c>
      <c r="F438" t="n">
        <v>9</v>
      </c>
      <c r="G438" t="n">
        <v>0</v>
      </c>
      <c r="H438" t="n">
        <v>12</v>
      </c>
      <c r="I438" t="n">
        <v>0</v>
      </c>
      <c r="J438" t="n">
        <v>10.5</v>
      </c>
      <c r="K438" t="n">
        <v>3.5</v>
      </c>
      <c r="L438" t="n">
        <v>9</v>
      </c>
      <c r="M438" t="n">
        <v>0</v>
      </c>
      <c r="N438" t="n">
        <v>12</v>
      </c>
      <c r="O438" t="n">
        <v>0</v>
      </c>
      <c r="P438">
        <f>Table1[[#This Row],[TA 1 - Q1 Score]]+Table1[[#This Row],[TA 1 - Q2 Score]]+Table1[[#This Row],[TA 1 - Q3 Score]]</f>
        <v/>
      </c>
      <c r="Q438">
        <f>Table1[[#This Row],[TA 1 - Q1 Bonus]]+Table1[[#This Row],[TA 1 - Q2 Bonus]]+Table1[[#This Row],[TA 1 - Q4 Bonus]]</f>
        <v/>
      </c>
      <c r="R438">
        <f>Table1[[#This Row],[TA 2 - Q1 Score]]+Table1[[#This Row],[TA 2 - Q2 Score]]+Table1[[#This Row],[TA 2 - Q3 Score]]</f>
        <v/>
      </c>
      <c r="S438">
        <f>Table1[[#This Row],[TA 2 - Q1 Bonus]]+Table1[[#This Row],[TA 2 - Q2 Bonus]]+Table1[[#This Row],[TA 2 - Q4 Bonus]]</f>
        <v/>
      </c>
      <c r="T438">
        <f>(Table1[[#This Row],[TA 1 - Total Score (out of 35)]]+Table1[[#This Row],[TA 2 - Total Score (out of 35)]])/2</f>
        <v/>
      </c>
      <c r="U438">
        <f>(Table1[[#This Row],[TA 1 - Total Bonus (out of 13)]]+Table1[[#This Row],[TA 2 - Total Bonus (out of 13)]])/2</f>
        <v/>
      </c>
      <c r="V438">
        <f>Table1[[#This Row],[Average Questions]]/35*20+Table1[[#This Row],[Average Bonus]]/13*5</f>
        <v/>
      </c>
      <c r="W438" t="n">
        <v>6</v>
      </c>
      <c r="X438" t="n">
        <v>0</v>
      </c>
      <c r="Y438"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produce a working solution.
Breakdown:
- Part 1: Load and Prepare Data: 0.0/?
- Part 2: Load Pretrained Model and Adapt: 0.0/?
- Part 3: Training and Validation Functions: 1.5/?
- Part 4: Training: 0.0/?
- Part 5: Bonus — Test Time Augmentation: 0.0/?</t>
        </is>
      </c>
      <c r="Z438" t="n">
        <v>4</v>
      </c>
      <c r="AA438" t="n">
        <v>0</v>
      </c>
      <c r="AB438"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38" t="n">
        <v>6</v>
      </c>
      <c r="AD438" t="inlineStr">
        <is>
          <t>The student's submission failed to meet the requirements of the task. They did not implement the dataset class, model class, training and validation loops, or visualization of predictions correctly. As a result, the submission was awarded 0 points for each task.
Breakdown:
- Task 1: Dataset Class: 0.0/?
- Task 2: Model Class: 0.0/?
- Task 3: Training and Validation Loops: 0.0/?
- Task 4: Running Training: 0.0/?
- Task 5: Visualizing Predictions: 0.0/?</t>
        </is>
      </c>
      <c r="AE438" t="n">
        <v>0</v>
      </c>
      <c r="AF438" t="n">
        <v>0</v>
      </c>
      <c r="AG438" t="inlineStr">
        <is>
          <t>No submission found.</t>
        </is>
      </c>
      <c r="AH438" t="n">
        <v>16</v>
      </c>
      <c r="AI438" t="n">
        <v>0</v>
      </c>
    </row>
    <row r="439">
      <c r="A439" t="n">
        <v>438</v>
      </c>
      <c r="B439" t="inlineStr">
        <is>
          <t>TA_8</t>
        </is>
      </c>
      <c r="C439" t="inlineStr">
        <is>
          <t>TA_18</t>
        </is>
      </c>
      <c r="D439" t="n">
        <v>12</v>
      </c>
      <c r="E439" t="n">
        <v>0</v>
      </c>
      <c r="F439" t="n">
        <v>11</v>
      </c>
      <c r="G439" t="n">
        <v>0</v>
      </c>
      <c r="H439" t="n">
        <v>12</v>
      </c>
      <c r="I439" t="n">
        <v>0</v>
      </c>
      <c r="J439" t="n">
        <v>10</v>
      </c>
      <c r="K439" t="n">
        <v>3</v>
      </c>
      <c r="L439" t="n">
        <v>10.5</v>
      </c>
      <c r="M439" t="n">
        <v>2.5</v>
      </c>
      <c r="N439" t="n">
        <v>5.75</v>
      </c>
      <c r="O439" t="n">
        <v>0</v>
      </c>
      <c r="P439">
        <f>Table1[[#This Row],[TA 1 - Q1 Score]]+Table1[[#This Row],[TA 1 - Q2 Score]]+Table1[[#This Row],[TA 1 - Q3 Score]]</f>
        <v/>
      </c>
      <c r="Q439">
        <f>Table1[[#This Row],[TA 1 - Q1 Bonus]]+Table1[[#This Row],[TA 1 - Q2 Bonus]]+Table1[[#This Row],[TA 1 - Q4 Bonus]]</f>
        <v/>
      </c>
      <c r="R439">
        <f>Table1[[#This Row],[TA 2 - Q1 Score]]+Table1[[#This Row],[TA 2 - Q2 Score]]+Table1[[#This Row],[TA 2 - Q3 Score]]</f>
        <v/>
      </c>
      <c r="S439">
        <f>Table1[[#This Row],[TA 2 - Q1 Bonus]]+Table1[[#This Row],[TA 2 - Q2 Bonus]]+Table1[[#This Row],[TA 2 - Q4 Bonus]]</f>
        <v/>
      </c>
      <c r="T439">
        <f>(Table1[[#This Row],[TA 1 - Total Score (out of 35)]]+Table1[[#This Row],[TA 2 - Total Score (out of 35)]])/2</f>
        <v/>
      </c>
      <c r="U439">
        <f>(Table1[[#This Row],[TA 1 - Total Bonus (out of 13)]]+Table1[[#This Row],[TA 2 - Total Bonus (out of 13)]])/2</f>
        <v/>
      </c>
      <c r="V439">
        <f>Table1[[#This Row],[Average Questions]]/35*20+Table1[[#This Row],[Average Bonus]]/13*5</f>
        <v/>
      </c>
      <c r="W439" t="n">
        <v>6</v>
      </c>
      <c r="X439" t="n">
        <v>0</v>
      </c>
      <c r="Y439" t="inlineStr">
        <is>
          <t>The student's submission failed to complete several key tasks, including loading and preparing the data, loading a pretrained model, and adapting it for the task. The training and validation functions were also not implemented correctly. However, the student did manage to complete the training process and plot the losses and accuracy.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439" t="n">
        <v>4</v>
      </c>
      <c r="AA439" t="n">
        <v>0</v>
      </c>
      <c r="AB439" t="inlineStr">
        <is>
          <t>The student's submission failed to meet the requirements of the task. The code did not load and prepare the data correctly, and the CNN model was not built as specified. The training and validation functions were not implemented, and the training process was not executed. The bonus task of adding a residual connection was not attempted. As a result, the student did not earn any points for this task.
Breakdown:
- Part 1: Load and Prepare Data: 0.0/?
- Part 2: Build the CNN Model: 0.0/?
- Part 3: Training and Validation Functions: 0.0/?
- Part 4: Training: 0.0/?
- Part 5: Bonus — Residual Connection: 0.0/?</t>
        </is>
      </c>
      <c r="AC439" t="n">
        <v>6</v>
      </c>
      <c r="AD439" t="inlineStr">
        <is>
          <t>The student's submission failed to meet the requirements of the task. The code was not organized correctly, and the student failed to implement the tasks correctly. The student's submission did not run end-to-end, and the code had several syntax and logic mistakes. The student did not follow the instructions correctly, and the submission did not meet the requirements of the task.
Breakdown:
- Task 1: Dataset Class: 0.0/?
- Task 2: Model Class: 0.0/?
- Task 3: Training and Validation Loops: 0.0/?
- Task 4: Running Training: 0.0/?
- Task 5: Visualizing Predictions: 0.0/?</t>
        </is>
      </c>
      <c r="AE439" t="n">
        <v>0</v>
      </c>
      <c r="AF439" t="n">
        <v>0</v>
      </c>
      <c r="AG439" t="inlineStr">
        <is>
          <t>No submission found.</t>
        </is>
      </c>
      <c r="AH439" t="n">
        <v>16</v>
      </c>
      <c r="AI439" t="n">
        <v>0</v>
      </c>
    </row>
    <row r="440">
      <c r="A440" t="n">
        <v>439</v>
      </c>
      <c r="B440" t="inlineStr">
        <is>
          <t>TA_8</t>
        </is>
      </c>
      <c r="C440" t="inlineStr">
        <is>
          <t>TA_18</t>
        </is>
      </c>
      <c r="D440" t="n">
        <v>7</v>
      </c>
      <c r="E440" t="n">
        <v>0</v>
      </c>
      <c r="F440" t="n">
        <v>8</v>
      </c>
      <c r="G440" t="n">
        <v>0</v>
      </c>
      <c r="H440" t="n">
        <v>0</v>
      </c>
      <c r="I440" t="n">
        <v>0</v>
      </c>
      <c r="J440" t="n">
        <v>6.75</v>
      </c>
      <c r="K440" t="n">
        <v>0</v>
      </c>
      <c r="L440" t="n">
        <v>8</v>
      </c>
      <c r="M440" t="n">
        <v>0</v>
      </c>
      <c r="N440" t="n">
        <v>0</v>
      </c>
      <c r="O440" t="n">
        <v>0</v>
      </c>
      <c r="P440">
        <f>Table1[[#This Row],[TA 1 - Q1 Score]]+Table1[[#This Row],[TA 1 - Q2 Score]]+Table1[[#This Row],[TA 1 - Q3 Score]]</f>
        <v/>
      </c>
      <c r="Q440">
        <f>Table1[[#This Row],[TA 1 - Q1 Bonus]]+Table1[[#This Row],[TA 1 - Q2 Bonus]]+Table1[[#This Row],[TA 1 - Q4 Bonus]]</f>
        <v/>
      </c>
      <c r="R440">
        <f>Table1[[#This Row],[TA 2 - Q1 Score]]+Table1[[#This Row],[TA 2 - Q2 Score]]+Table1[[#This Row],[TA 2 - Q3 Score]]</f>
        <v/>
      </c>
      <c r="S440">
        <f>Table1[[#This Row],[TA 2 - Q1 Bonus]]+Table1[[#This Row],[TA 2 - Q2 Bonus]]+Table1[[#This Row],[TA 2 - Q4 Bonus]]</f>
        <v/>
      </c>
      <c r="T440">
        <f>(Table1[[#This Row],[TA 1 - Total Score (out of 35)]]+Table1[[#This Row],[TA 2 - Total Score (out of 35)]])/2</f>
        <v/>
      </c>
      <c r="U440">
        <f>(Table1[[#This Row],[TA 1 - Total Bonus (out of 13)]]+Table1[[#This Row],[TA 2 - Total Bonus (out of 13)]])/2</f>
        <v/>
      </c>
      <c r="V440">
        <f>Table1[[#This Row],[Average Questions]]/35*20+Table1[[#This Row],[Average Bonus]]/13*5</f>
        <v/>
      </c>
      <c r="W440" t="n">
        <v>6</v>
      </c>
      <c r="X440" t="n">
        <v>0</v>
      </c>
      <c r="Y440"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student's submission was unable to run end-to-end and did not produce the expected output.
Breakdown:
- Part 1: Load and Prepare Data: 0.0/?
- Part 2: Load Pretrained Model and Adapt: 0.0/?
- Part 3: Training and Validation Functions: 0.0/?
- Part 4: Training: 2.0/?
- Part 5: Bonus — Test Time Augmentation: 0.0/?</t>
        </is>
      </c>
      <c r="Z440" t="n">
        <v>6</v>
      </c>
      <c r="AA440" t="n">
        <v>0</v>
      </c>
      <c r="AB440"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any points for the base tasks, and their bonus task was also not completed.
Breakdown:
- Part 1: Load and Prepare Data: 0.0/?
- Part 2: Build the CNN Model: 0.0/?
- Part 3: Training and Validation Functions: 0.0/?
- Part 4: Training: 2.0/?
- Part 5: Bonus — Residual Connection: 0.0/?</t>
        </is>
      </c>
      <c r="AC440" t="n">
        <v>6</v>
      </c>
      <c r="AD440" t="inlineStr">
        <is>
          <t>The student's submission is incomplete and lacks code for most tasks. While they attempted to visualize predictions, their code is not fully functional and does not meet the requirements of the task. As a result, the student earns 0 points for most tasks and 6 points for the visualization task, for a total score of 6.0.
Breakdown:
- Task 1: Dataset Class: 0.0/?
- Task 2: Model Class: 0.0/?
- Task 3: Training and Validation Loops: 0.0/?
- Task 4: Running Training: 0.0/?
- Task 5: Visualizing Predictions: 6.0/?</t>
        </is>
      </c>
      <c r="AE440" t="n">
        <v>0</v>
      </c>
      <c r="AF440" t="n">
        <v>0</v>
      </c>
      <c r="AG440" t="inlineStr">
        <is>
          <t>No submission found.</t>
        </is>
      </c>
      <c r="AH440" t="n">
        <v>18</v>
      </c>
      <c r="AI440" t="n">
        <v>0</v>
      </c>
    </row>
    <row r="441">
      <c r="A441" t="n">
        <v>440</v>
      </c>
      <c r="B441" t="inlineStr">
        <is>
          <t>TA_8</t>
        </is>
      </c>
      <c r="C441" t="inlineStr">
        <is>
          <t>TA_18</t>
        </is>
      </c>
      <c r="D441" t="n">
        <v>3.75</v>
      </c>
      <c r="E441" t="n">
        <v>0</v>
      </c>
      <c r="F441" t="n">
        <v>2</v>
      </c>
      <c r="G441" t="n">
        <v>0</v>
      </c>
      <c r="H441" t="n">
        <v>2.5</v>
      </c>
      <c r="I441" t="n">
        <v>0</v>
      </c>
      <c r="J441" t="n">
        <v>6.75</v>
      </c>
      <c r="K441" t="n">
        <v>0</v>
      </c>
      <c r="L441" t="n">
        <v>-1</v>
      </c>
      <c r="M441" t="n">
        <v>0</v>
      </c>
      <c r="N441" t="n">
        <v>0</v>
      </c>
      <c r="O441" t="n">
        <v>0</v>
      </c>
      <c r="P441">
        <f>Table1[[#This Row],[TA 1 - Q1 Score]]+Table1[[#This Row],[TA 1 - Q2 Score]]+Table1[[#This Row],[TA 1 - Q3 Score]]</f>
        <v/>
      </c>
      <c r="Q441">
        <f>Table1[[#This Row],[TA 1 - Q1 Bonus]]+Table1[[#This Row],[TA 1 - Q2 Bonus]]+Table1[[#This Row],[TA 1 - Q4 Bonus]]</f>
        <v/>
      </c>
      <c r="R441">
        <f>Table1[[#This Row],[TA 2 - Q1 Score]]+Table1[[#This Row],[TA 2 - Q2 Score]]+Table1[[#This Row],[TA 2 - Q3 Score]]</f>
        <v/>
      </c>
      <c r="S441">
        <f>Table1[[#This Row],[TA 2 - Q1 Bonus]]+Table1[[#This Row],[TA 2 - Q2 Bonus]]+Table1[[#This Row],[TA 2 - Q4 Bonus]]</f>
        <v/>
      </c>
      <c r="T441">
        <f>(Table1[[#This Row],[TA 1 - Total Score (out of 35)]]+Table1[[#This Row],[TA 2 - Total Score (out of 35)]])/2</f>
        <v/>
      </c>
      <c r="U441">
        <f>(Table1[[#This Row],[TA 1 - Total Bonus (out of 13)]]+Table1[[#This Row],[TA 2 - Total Bonus (out of 13)]])/2</f>
        <v/>
      </c>
      <c r="V441">
        <f>Table1[[#This Row],[Average Questions]]/35*20+Table1[[#This Row],[Average Bonus]]/13*5</f>
        <v/>
      </c>
      <c r="W441" t="n">
        <v>6</v>
      </c>
      <c r="X441" t="n">
        <v>0</v>
      </c>
      <c r="Y441" t="inlineStr">
        <is>
          <t>The student's submission failed to complete several key tasks, including loading and preparing the data, loading a pretrained model and adapting it, and implementing training and validation functions. While the student did attempt to train the model, their approach was incorrect, and they failed to implement test time augmentation. As a result, the student's submission was awarded a score of 6.0, with no bonus points.
Breakdown:
- Part 1: Load and Prepare Data: 0.0/?
- Part 2: Load Pretrained Model and Adapt: 0.0/?
- Part 3: Training and Validation Functions: 0.0/?
- Part 4: Training: 2.0/?
- Part 5: Bonus — Test Time Augmentation: 0.0/?</t>
        </is>
      </c>
      <c r="Z441" t="n">
        <v>4</v>
      </c>
      <c r="AA441" t="n">
        <v>0</v>
      </c>
      <c r="AB441"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41" t="n">
        <v>6</v>
      </c>
      <c r="AD441" t="inlineStr">
        <is>
          <t>The student's submission was incomplete and lacked code for most tasks. While the code for visualizing predictions was mostly correct, it did not run end-to-end due to missing imports and incorrect usage of the model. As a result, the student was awarded 0 points for the first four tasks and 6 points for the fifth task.
Breakdown:
- Task 1: Dataset Class: 0.0/?
- Task 2: Model Class: 0.0/?
- Task 3: Training and Validation Loops: 0.0/?
- Task 4: Running Training: 0.0/?
- Task 5: Visualizing Predictions: 6.0/?</t>
        </is>
      </c>
      <c r="AE441" t="n">
        <v>0</v>
      </c>
      <c r="AF441" t="n">
        <v>0</v>
      </c>
      <c r="AG441" t="inlineStr">
        <is>
          <t>No submission found.</t>
        </is>
      </c>
      <c r="AH441" t="n">
        <v>16</v>
      </c>
      <c r="AI441" t="n">
        <v>0</v>
      </c>
    </row>
    <row r="442">
      <c r="A442" t="n">
        <v>441</v>
      </c>
      <c r="B442" t="inlineStr">
        <is>
          <t>TA_8</t>
        </is>
      </c>
      <c r="C442" t="inlineStr">
        <is>
          <t>TA_18</t>
        </is>
      </c>
      <c r="D442" t="n">
        <v>6</v>
      </c>
      <c r="E442" t="n">
        <v>0</v>
      </c>
      <c r="F442" t="n">
        <v>7.5</v>
      </c>
      <c r="G442" t="n">
        <v>0</v>
      </c>
      <c r="H442" t="n">
        <v>5.5</v>
      </c>
      <c r="I442" t="n">
        <v>0</v>
      </c>
      <c r="J442" t="n">
        <v>9</v>
      </c>
      <c r="K442" t="n">
        <v>0</v>
      </c>
      <c r="L442" t="n">
        <v>7.5</v>
      </c>
      <c r="M442" t="n">
        <v>0</v>
      </c>
      <c r="N442" t="n">
        <v>4.75</v>
      </c>
      <c r="O442" t="n">
        <v>0</v>
      </c>
      <c r="P442">
        <f>Table1[[#This Row],[TA 1 - Q1 Score]]+Table1[[#This Row],[TA 1 - Q2 Score]]+Table1[[#This Row],[TA 1 - Q3 Score]]</f>
        <v/>
      </c>
      <c r="Q442">
        <f>Table1[[#This Row],[TA 1 - Q1 Bonus]]+Table1[[#This Row],[TA 1 - Q2 Bonus]]+Table1[[#This Row],[TA 1 - Q4 Bonus]]</f>
        <v/>
      </c>
      <c r="R442">
        <f>Table1[[#This Row],[TA 2 - Q1 Score]]+Table1[[#This Row],[TA 2 - Q2 Score]]+Table1[[#This Row],[TA 2 - Q3 Score]]</f>
        <v/>
      </c>
      <c r="S442">
        <f>Table1[[#This Row],[TA 2 - Q1 Bonus]]+Table1[[#This Row],[TA 2 - Q2 Bonus]]+Table1[[#This Row],[TA 2 - Q4 Bonus]]</f>
        <v/>
      </c>
      <c r="T442">
        <f>(Table1[[#This Row],[TA 1 - Total Score (out of 35)]]+Table1[[#This Row],[TA 2 - Total Score (out of 35)]])/2</f>
        <v/>
      </c>
      <c r="U442">
        <f>(Table1[[#This Row],[TA 1 - Total Bonus (out of 13)]]+Table1[[#This Row],[TA 2 - Total Bonus (out of 13)]])/2</f>
        <v/>
      </c>
      <c r="V442">
        <f>Table1[[#This Row],[Average Questions]]/35*20+Table1[[#This Row],[Average Bonus]]/13*5</f>
        <v/>
      </c>
      <c r="W442" t="n">
        <v>6</v>
      </c>
      <c r="X442" t="n">
        <v>0</v>
      </c>
      <c r="Y442" t="inlineStr">
        <is>
          <t>The student's submission failed to complete several key tasks, including loading and preparing the data, loading the pretrained model and adapting it, and training the model. While they did attempt to implement the training and validation functions, their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442" t="n">
        <v>4</v>
      </c>
      <c r="AA442" t="n">
        <v>0</v>
      </c>
      <c r="AB442"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training process was not executed, and the residual connection was not added to the model. The student's submission did not demonstrate a clear understanding of the task and the required code structure.
Breakdown:
- Part 1: Load and Prepare Data: 0.0/?
- Part 2: Build the CNN Model: 0.0/?
- Part 3: Training and Validation Functions: 0.0/?
- Part 4: Training: 0.0/?
- Part 5: Bonus — Residual Connection: 0.0/?</t>
        </is>
      </c>
      <c r="AC442" t="n">
        <v>6</v>
      </c>
      <c r="AD442" t="inlineStr">
        <is>
          <t>The student's submission failed to meet the requirements of the task. They did not implement the dataset class, model class, training and validation loops, running training, and visualizing predictions correctly. The code was not organized and was missing essential components. As a result, the student did not earn any points for this task.
Breakdown:
- Task 1: Dataset Class: 0.0/?
- Task 2: Model Class: 0.0/?
- Task 3: Training and Validation Loops: 0.0/?
- Task 4: Running Training: 0.0/?
- Task 5: Visualizing Predictions: 0.0/?</t>
        </is>
      </c>
      <c r="AE442" t="n">
        <v>0</v>
      </c>
      <c r="AF442" t="n">
        <v>0</v>
      </c>
      <c r="AG442" t="inlineStr">
        <is>
          <t>The student's submission for Question 4 is incomplete and contains syntax errors. The `ColorizationDataset` class is not correctly implemented, and the `rgb_to_grayscale` method is missing. Additionally, the `__getitem__` method is not implemented correctly. As a result, the student's submission does not meet the requirements of the question, and no points can be awarded.
Breakdown:
- Correctly implemented `ColorizationDataset` class:: 0.0/?
- Any mistake in implementation: 0.0/?</t>
        </is>
      </c>
      <c r="AH442" t="n">
        <v>16</v>
      </c>
      <c r="AI442" t="n">
        <v>0</v>
      </c>
    </row>
    <row r="443">
      <c r="A443" t="n">
        <v>442</v>
      </c>
      <c r="B443" t="inlineStr">
        <is>
          <t>TA_8</t>
        </is>
      </c>
      <c r="C443" t="inlineStr">
        <is>
          <t>TA_18</t>
        </is>
      </c>
      <c r="D443" t="n">
        <v>6.5</v>
      </c>
      <c r="E443" t="n">
        <v>0</v>
      </c>
      <c r="F443" t="n">
        <v>11</v>
      </c>
      <c r="G443" t="n">
        <v>0</v>
      </c>
      <c r="H443" t="n">
        <v>10</v>
      </c>
      <c r="I443" t="n">
        <v>0</v>
      </c>
      <c r="J443" t="n">
        <v>8</v>
      </c>
      <c r="K443" t="n">
        <v>0</v>
      </c>
      <c r="L443" t="n">
        <v>11</v>
      </c>
      <c r="M443" t="n">
        <v>0</v>
      </c>
      <c r="N443" t="n">
        <v>10.5</v>
      </c>
      <c r="O443" t="n">
        <v>0</v>
      </c>
      <c r="P443">
        <f>Table1[[#This Row],[TA 1 - Q1 Score]]+Table1[[#This Row],[TA 1 - Q2 Score]]+Table1[[#This Row],[TA 1 - Q3 Score]]</f>
        <v/>
      </c>
      <c r="Q443">
        <f>Table1[[#This Row],[TA 1 - Q1 Bonus]]+Table1[[#This Row],[TA 1 - Q2 Bonus]]+Table1[[#This Row],[TA 1 - Q4 Bonus]]</f>
        <v/>
      </c>
      <c r="R443">
        <f>Table1[[#This Row],[TA 2 - Q1 Score]]+Table1[[#This Row],[TA 2 - Q2 Score]]+Table1[[#This Row],[TA 2 - Q3 Score]]</f>
        <v/>
      </c>
      <c r="S443">
        <f>Table1[[#This Row],[TA 2 - Q1 Bonus]]+Table1[[#This Row],[TA 2 - Q2 Bonus]]+Table1[[#This Row],[TA 2 - Q4 Bonus]]</f>
        <v/>
      </c>
      <c r="T443">
        <f>(Table1[[#This Row],[TA 1 - Total Score (out of 35)]]+Table1[[#This Row],[TA 2 - Total Score (out of 35)]])/2</f>
        <v/>
      </c>
      <c r="U443">
        <f>(Table1[[#This Row],[TA 1 - Total Bonus (out of 13)]]+Table1[[#This Row],[TA 2 - Total Bonus (out of 13)]])/2</f>
        <v/>
      </c>
      <c r="V443">
        <f>Table1[[#This Row],[Average Questions]]/35*20+Table1[[#This Row],[Average Bonus]]/13*5</f>
        <v/>
      </c>
      <c r="W443" t="n">
        <v>6</v>
      </c>
      <c r="X443" t="n">
        <v>0</v>
      </c>
      <c r="Y443" t="inlineStr">
        <is>
          <t>The student's submission failed to complete several key tasks, including loading and preparing the data, loading a pretrained model, and training the model. The code for the training and validation functions was partially correct, but the student failed to fix the labels, resulting in a loss of 2 points.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443" t="n">
        <v>4</v>
      </c>
      <c r="AA443" t="n">
        <v>0</v>
      </c>
      <c r="AB443"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43" t="n">
        <v>6</v>
      </c>
      <c r="AD443" t="inlineStr">
        <is>
          <t>The student's submission was incomplete and lacked code for several tasks. While the code for visualizing predictions was partially correct, it did not run end-to-end due to missing imports and incorrect usage of the model. As a result, the student was awarded 0 points for the first four tasks and 6 points for the fifth task.
Breakdown:
- Task 1: Dataset Class: 0.0/?
- Task 2: Model Class: 0.0/?
- Task 3: Training and Validation Loops: 0.0/?
- Task 4: Running Training: 0.0/?
- Task 5: Visualizing Predictions: 6.0/?</t>
        </is>
      </c>
      <c r="AE443" t="n">
        <v>0</v>
      </c>
      <c r="AF443" t="n">
        <v>0</v>
      </c>
      <c r="AG443" t="inlineStr">
        <is>
          <t>No submission found.</t>
        </is>
      </c>
      <c r="AH443" t="n">
        <v>16</v>
      </c>
      <c r="AI443" t="n">
        <v>0</v>
      </c>
    </row>
    <row r="444">
      <c r="A444" t="n">
        <v>443</v>
      </c>
      <c r="B444" t="inlineStr">
        <is>
          <t>TA_8</t>
        </is>
      </c>
      <c r="C444" t="inlineStr">
        <is>
          <t>TA_18</t>
        </is>
      </c>
      <c r="D444" t="n">
        <v>11</v>
      </c>
      <c r="E444" t="n">
        <v>0</v>
      </c>
      <c r="F444" t="n">
        <v>11</v>
      </c>
      <c r="G444" t="n">
        <v>0</v>
      </c>
      <c r="H444" t="n">
        <v>10</v>
      </c>
      <c r="I444" t="n">
        <v>0</v>
      </c>
      <c r="J444" t="n">
        <v>11</v>
      </c>
      <c r="K444" t="n">
        <v>0</v>
      </c>
      <c r="L444" t="n">
        <v>11</v>
      </c>
      <c r="M444" t="n">
        <v>0</v>
      </c>
      <c r="N444" t="n">
        <v>11</v>
      </c>
      <c r="O444" t="n">
        <v>0</v>
      </c>
      <c r="P444">
        <f>Table1[[#This Row],[TA 1 - Q1 Score]]+Table1[[#This Row],[TA 1 - Q2 Score]]+Table1[[#This Row],[TA 1 - Q3 Score]]</f>
        <v/>
      </c>
      <c r="Q444">
        <f>Table1[[#This Row],[TA 1 - Q1 Bonus]]+Table1[[#This Row],[TA 1 - Q2 Bonus]]+Table1[[#This Row],[TA 1 - Q4 Bonus]]</f>
        <v/>
      </c>
      <c r="R444">
        <f>Table1[[#This Row],[TA 2 - Q1 Score]]+Table1[[#This Row],[TA 2 - Q2 Score]]+Table1[[#This Row],[TA 2 - Q3 Score]]</f>
        <v/>
      </c>
      <c r="S444">
        <f>Table1[[#This Row],[TA 2 - Q1 Bonus]]+Table1[[#This Row],[TA 2 - Q2 Bonus]]+Table1[[#This Row],[TA 2 - Q4 Bonus]]</f>
        <v/>
      </c>
      <c r="T444">
        <f>(Table1[[#This Row],[TA 1 - Total Score (out of 35)]]+Table1[[#This Row],[TA 2 - Total Score (out of 35)]])/2</f>
        <v/>
      </c>
      <c r="U444">
        <f>(Table1[[#This Row],[TA 1 - Total Bonus (out of 13)]]+Table1[[#This Row],[TA 2 - Total Bonus (out of 13)]])/2</f>
        <v/>
      </c>
      <c r="V444">
        <f>Table1[[#This Row],[Average Questions]]/35*20+Table1[[#This Row],[Average Bonus]]/13*5</f>
        <v/>
      </c>
      <c r="W444" t="n">
        <v>6</v>
      </c>
      <c r="X444" t="n">
        <v>0</v>
      </c>
      <c r="Y444"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failed to run end-to-end. The bonus task was not attempted.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444" t="n">
        <v>4</v>
      </c>
      <c r="AA444" t="n">
        <v>0</v>
      </c>
      <c r="AB444" t="inlineStr">
        <is>
          <t>The student's submission did not meet the requirements of the task. The student did not write code for several tasks, and the code that was written did not meet the requirements of the task. The student's CNN model class was not defined correctly, and batch normalization was not added after each convolutional layer. The training loop function and validation loop function were not defined correctly. The device, model, loss function, and optimizer were not set up correctly, and the model was not trained correctly. The losses and accuracy were not plotted correctly. The residual connection was not defined correctly, and the model was not retrained with the residual connection. The losses and accuracy were not plotted correctly after retraining the model with the residual connection.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
- Part 5: Bonus — Residual Connection: 0.0/?</t>
        </is>
      </c>
      <c r="AC444" t="n">
        <v>6</v>
      </c>
      <c r="AD444" t="inlineStr">
        <is>
          <t>The student's submission was incomplete and lacked code for most tasks. The only task that was attempted was Task 5: Visualizing Predictions, where the student's code was mostly correct but had some minor issues. The student did not follow the reference solution and did not provide code for the other tasks, resulting in a low score.
Breakdown:
- Task 1: Dataset Class: 0.0/?
- Task 2: Model Class: 0.0/?
- Task 3: Training and Validation Loops: 0.0/?
- Task 4: Running Training: 0.0/?
- Task 5: Visualizing Predictions: 6.0/?</t>
        </is>
      </c>
      <c r="AE444" t="n">
        <v>0</v>
      </c>
      <c r="AF444" t="n">
        <v>0</v>
      </c>
      <c r="AG444" t="inlineStr">
        <is>
          <t>No submission found.</t>
        </is>
      </c>
      <c r="AH444" t="n">
        <v>16</v>
      </c>
      <c r="AI444" t="n">
        <v>0</v>
      </c>
    </row>
    <row r="445">
      <c r="A445" t="n">
        <v>444</v>
      </c>
      <c r="B445" t="inlineStr">
        <is>
          <t>TA_8</t>
        </is>
      </c>
      <c r="C445" t="inlineStr">
        <is>
          <t>TA_18</t>
        </is>
      </c>
      <c r="D445" t="n">
        <v>2</v>
      </c>
      <c r="E445" t="n">
        <v>0</v>
      </c>
      <c r="F445" t="n">
        <v>5</v>
      </c>
      <c r="G445" t="n">
        <v>0</v>
      </c>
      <c r="H445" t="n">
        <v>9.5</v>
      </c>
      <c r="I445" t="n">
        <v>0</v>
      </c>
      <c r="J445" t="n">
        <v>4.5</v>
      </c>
      <c r="K445" t="n">
        <v>0</v>
      </c>
      <c r="L445" t="n">
        <v>2.5</v>
      </c>
      <c r="M445" t="n">
        <v>0</v>
      </c>
      <c r="N445" t="n">
        <v>3</v>
      </c>
      <c r="O445" t="n">
        <v>0</v>
      </c>
      <c r="P445">
        <f>Table1[[#This Row],[TA 1 - Q1 Score]]+Table1[[#This Row],[TA 1 - Q2 Score]]+Table1[[#This Row],[TA 1 - Q3 Score]]</f>
        <v/>
      </c>
      <c r="Q445">
        <f>Table1[[#This Row],[TA 1 - Q1 Bonus]]+Table1[[#This Row],[TA 1 - Q2 Bonus]]+Table1[[#This Row],[TA 1 - Q4 Bonus]]</f>
        <v/>
      </c>
      <c r="R445">
        <f>Table1[[#This Row],[TA 2 - Q1 Score]]+Table1[[#This Row],[TA 2 - Q2 Score]]+Table1[[#This Row],[TA 2 - Q3 Score]]</f>
        <v/>
      </c>
      <c r="S445">
        <f>Table1[[#This Row],[TA 2 - Q1 Bonus]]+Table1[[#This Row],[TA 2 - Q2 Bonus]]+Table1[[#This Row],[TA 2 - Q4 Bonus]]</f>
        <v/>
      </c>
      <c r="T445">
        <f>(Table1[[#This Row],[TA 1 - Total Score (out of 35)]]+Table1[[#This Row],[TA 2 - Total Score (out of 35)]])/2</f>
        <v/>
      </c>
      <c r="U445">
        <f>(Table1[[#This Row],[TA 1 - Total Bonus (out of 13)]]+Table1[[#This Row],[TA 2 - Total Bonus (out of 13)]])/2</f>
        <v/>
      </c>
      <c r="V445">
        <f>Table1[[#This Row],[Average Questions]]/35*20+Table1[[#This Row],[Average Bonus]]/13*5</f>
        <v/>
      </c>
      <c r="W445" t="n">
        <v>6</v>
      </c>
      <c r="X445" t="n">
        <v>0</v>
      </c>
      <c r="Y445"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implementation was incomplete and did not follow the reference solution. As a result, the student was unable to achieve the full score for this question.
Breakdown:
- Part 1: Load and Prepare Data: 0.0/?
- Part 2: Load Pretrained Model and Adapt: 0.0/?
- Part 3: Training and Validation Functions: 0.0/?
- Part 4: Training: 6.0/?
- Part 5: Bonus — Test Time Augmentation: 0.0/?</t>
        </is>
      </c>
      <c r="Z445" t="n">
        <v>4</v>
      </c>
      <c r="AA445" t="n">
        <v>0</v>
      </c>
      <c r="AB445" t="inlineStr">
        <is>
          <t>The student's submission failed to address several key aspects of the task. The code did not load and prepare the data correctly, and the CNN model was not built as specified. The training and validation functions were not implemented, and the model was not trained. The bonus task of adding a residual connection was also not attempted. As a result, the student earned 0 points for each task.
Breakdown:
- Part 1: Load and Prepare Data: 0.0/?
- Part 2: Build the CNN Model: 0.0/?
- Part 3: Training and Validation Functions: 0.0/?
- Part 4: Training: 0.0/?
- Part 5: Bonus — Residual Connection: 0.0/?</t>
        </is>
      </c>
      <c r="AC445" t="n">
        <v>6</v>
      </c>
      <c r="AD445" t="inlineStr">
        <is>
          <t>The student's submission was incomplete, with no code submitted for Tasks 1-4. However, the code for Task 5 was mostly correct, with the student successfully visualizing the predictions. The only issue was that the ground truth masks were not displayed correctly.
Breakdown:
- Task 1: Dataset Class: 0.0/?
- Task 2: Model Class: 0.0/?
- Task 3: Training and Validation Loops: 0.0/?
- Task 4: Running Training: 0.0/?
- Task 5: Visualizing Predictions: 6.0/?</t>
        </is>
      </c>
      <c r="AE445" t="n">
        <v>0</v>
      </c>
      <c r="AF445" t="n">
        <v>0</v>
      </c>
      <c r="AG445" t="inlineStr">
        <is>
          <t>No submission found.</t>
        </is>
      </c>
      <c r="AH445" t="n">
        <v>16</v>
      </c>
      <c r="AI445" t="n">
        <v>0</v>
      </c>
    </row>
    <row r="446">
      <c r="A446" t="n">
        <v>445</v>
      </c>
      <c r="B446" t="inlineStr">
        <is>
          <t>TA_8</t>
        </is>
      </c>
      <c r="C446" t="inlineStr">
        <is>
          <t>TA_18</t>
        </is>
      </c>
      <c r="D446" t="n">
        <v>5.5</v>
      </c>
      <c r="E446" t="n">
        <v>0</v>
      </c>
      <c r="F446" t="n">
        <v>0</v>
      </c>
      <c r="G446" t="n">
        <v>0</v>
      </c>
      <c r="H446" t="n">
        <v>0</v>
      </c>
      <c r="I446" t="n">
        <v>0</v>
      </c>
      <c r="J446" t="n">
        <v>7</v>
      </c>
      <c r="K446" t="n">
        <v>0</v>
      </c>
      <c r="L446" t="n">
        <v>2.5</v>
      </c>
      <c r="M446" t="n">
        <v>0</v>
      </c>
      <c r="N446" t="n">
        <v>0</v>
      </c>
      <c r="O446" t="n">
        <v>0</v>
      </c>
      <c r="P446">
        <f>Table1[[#This Row],[TA 1 - Q1 Score]]+Table1[[#This Row],[TA 1 - Q2 Score]]+Table1[[#This Row],[TA 1 - Q3 Score]]</f>
        <v/>
      </c>
      <c r="Q446">
        <f>Table1[[#This Row],[TA 1 - Q1 Bonus]]+Table1[[#This Row],[TA 1 - Q2 Bonus]]+Table1[[#This Row],[TA 1 - Q4 Bonus]]</f>
        <v/>
      </c>
      <c r="R446">
        <f>Table1[[#This Row],[TA 2 - Q1 Score]]+Table1[[#This Row],[TA 2 - Q2 Score]]+Table1[[#This Row],[TA 2 - Q3 Score]]</f>
        <v/>
      </c>
      <c r="S446">
        <f>Table1[[#This Row],[TA 2 - Q1 Bonus]]+Table1[[#This Row],[TA 2 - Q2 Bonus]]+Table1[[#This Row],[TA 2 - Q4 Bonus]]</f>
        <v/>
      </c>
      <c r="T446">
        <f>(Table1[[#This Row],[TA 1 - Total Score (out of 35)]]+Table1[[#This Row],[TA 2 - Total Score (out of 35)]])/2</f>
        <v/>
      </c>
      <c r="U446">
        <f>(Table1[[#This Row],[TA 1 - Total Bonus (out of 13)]]+Table1[[#This Row],[TA 2 - Total Bonus (out of 13)]])/2</f>
        <v/>
      </c>
      <c r="V446">
        <f>Table1[[#This Row],[Average Questions]]/35*20+Table1[[#This Row],[Average Bonus]]/13*5</f>
        <v/>
      </c>
      <c r="W446" t="n">
        <v>6</v>
      </c>
      <c r="X446" t="n">
        <v>0</v>
      </c>
      <c r="Y446" t="inlineStr">
        <is>
          <t>The student's submission failed to address any of the tasks outlined in the rubric. Each task was left unattempted, resulting in a score of 0 for each. The student's code did not run end-to-end, and no effort was made to complete the required tasks. As a result, the student's score is 0 for the base tasks and 0 for the bonus task.
Breakdown:
- Part 1: Load and Prepare Data: 0.0/?
- Part 2: Load Pretrained Model and Adapt: 0.0/?
- Part 3: Training and Validation Functions: 0.0/?
- Part 4: Training: 0.0/?
- Part 5: Bonus — Test Time Augmentation: 0.0/?</t>
        </is>
      </c>
      <c r="Z446" t="n">
        <v>2</v>
      </c>
      <c r="AA446" t="n">
        <v>0</v>
      </c>
      <c r="AB446" t="inlineStr">
        <is>
          <t>The student's submission failed to address any of the tasks outlined in the rubric. The code provided does not attempt to load and prepare the data, build the CNN model, define the training and validation functions, or train the model. As a result, the student earned 0 points for each task, resulting in a total score of 2.0.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t>
        </is>
      </c>
      <c r="AC446" t="n">
        <v>6</v>
      </c>
      <c r="AD446" t="inlineStr">
        <is>
          <t>The student's submission failed to address any of the tasks in Question 3. The code provided is incomplete and does not attempt to solve any of the tasks. As a result, the student receives 0 points for each task.
Breakdown:
- Task 1: Dataset Class: 0.0/?
- Task 2: Model Class: 0.0/?
- Task 3: Training and Validation Loops: 0.0/?
- Task 4: Running Training: 0.0/?
- Task 5: Visualizing Predictions: 0.0/?</t>
        </is>
      </c>
      <c r="AE446" t="n">
        <v>0</v>
      </c>
      <c r="AF446" t="n">
        <v>0</v>
      </c>
      <c r="AG446" t="inlineStr">
        <is>
          <t>No submission found.</t>
        </is>
      </c>
      <c r="AH446" t="n">
        <v>14</v>
      </c>
      <c r="AI446" t="n">
        <v>0</v>
      </c>
    </row>
    <row r="447">
      <c r="A447" t="n">
        <v>446</v>
      </c>
      <c r="B447" t="inlineStr">
        <is>
          <t>TA_8</t>
        </is>
      </c>
      <c r="C447" t="inlineStr">
        <is>
          <t>TA_18</t>
        </is>
      </c>
      <c r="D447" t="n">
        <v>7</v>
      </c>
      <c r="E447" t="n">
        <v>0</v>
      </c>
      <c r="F447" t="n">
        <v>8.5</v>
      </c>
      <c r="G447" t="n">
        <v>0</v>
      </c>
      <c r="H447" t="n">
        <v>9.5</v>
      </c>
      <c r="I447" t="n">
        <v>0</v>
      </c>
      <c r="J447" t="n">
        <v>7</v>
      </c>
      <c r="K447" t="n">
        <v>0</v>
      </c>
      <c r="L447" t="n">
        <v>7.25</v>
      </c>
      <c r="M447" t="n">
        <v>0</v>
      </c>
      <c r="N447" t="n">
        <v>3.75</v>
      </c>
      <c r="O447" t="n">
        <v>0</v>
      </c>
      <c r="P447">
        <f>Table1[[#This Row],[TA 1 - Q1 Score]]+Table1[[#This Row],[TA 1 - Q2 Score]]+Table1[[#This Row],[TA 1 - Q3 Score]]</f>
        <v/>
      </c>
      <c r="Q447">
        <f>Table1[[#This Row],[TA 1 - Q1 Bonus]]+Table1[[#This Row],[TA 1 - Q2 Bonus]]+Table1[[#This Row],[TA 1 - Q4 Bonus]]</f>
        <v/>
      </c>
      <c r="R447">
        <f>Table1[[#This Row],[TA 2 - Q1 Score]]+Table1[[#This Row],[TA 2 - Q2 Score]]+Table1[[#This Row],[TA 2 - Q3 Score]]</f>
        <v/>
      </c>
      <c r="S447">
        <f>Table1[[#This Row],[TA 2 - Q1 Bonus]]+Table1[[#This Row],[TA 2 - Q2 Bonus]]+Table1[[#This Row],[TA 2 - Q4 Bonus]]</f>
        <v/>
      </c>
      <c r="T447">
        <f>(Table1[[#This Row],[TA 1 - Total Score (out of 35)]]+Table1[[#This Row],[TA 2 - Total Score (out of 35)]])/2</f>
        <v/>
      </c>
      <c r="U447">
        <f>(Table1[[#This Row],[TA 1 - Total Bonus (out of 13)]]+Table1[[#This Row],[TA 2 - Total Bonus (out of 13)]])/2</f>
        <v/>
      </c>
      <c r="V447">
        <f>Table1[[#This Row],[Average Questions]]/35*20+Table1[[#This Row],[Average Bonus]]/13*5</f>
        <v/>
      </c>
      <c r="W447" t="n">
        <v>6</v>
      </c>
      <c r="X447" t="n">
        <v>0</v>
      </c>
      <c r="Y447" t="inlineStr">
        <is>
          <t>The student's submission failed to complete several key tasks, including loading and preparing the data, loading a pretrained model and adapting it, and training the model. While the student made an attempt at defining the training and validation functions, the code contained syntax errors and did not run correctly. The bonus task of implementing test time augmentation was also not completed. As a result, the student's score is significantly lower than the maximum possible score.
Breakdown:
- Part 1: Load and Prepare Data: 0.0/?
- Part 2: Load Pretrained Model and Adapt: 0.0/?
- Part 3: Training and Validation Functions: 1.5/?
- Part 4: Training: 0.0/?
- Part 5: Bonus — Test Time Augmentation: 0.0/?</t>
        </is>
      </c>
      <c r="Z447" t="n">
        <v>6</v>
      </c>
      <c r="AA447" t="n">
        <v>0</v>
      </c>
      <c r="AB44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any points for the base tasks, and their bonus task was also not completed.
Breakdown:
- Part 1: Load and Prepare Data: 0.0/?
- Part 2: Build the CNN Model: 0.0/?
- Part 3: Training and Validation Functions: 0.0/?
- Part 4: Training: 2.0/?
- Part 5: Bonus — Residual Connection: 0.0/?</t>
        </is>
      </c>
      <c r="AC447" t="n">
        <v>6</v>
      </c>
      <c r="AD447" t="inlineStr">
        <is>
          <t>The student's submission was incomplete and lacked code for most tasks. However, the code for visualizing predictions was mostly correct, but it did not run end-to-end due to missing imports and incorrect usage of the model. The student attempted to load the dataset, but the code was not complete and did not run successfully. The model class, training and validation loops, and running training tasks were not attempted at all. Overall, the submission was incomplete and lacked a clear understanding of the task requirements.
Breakdown:
- Task 1: Dataset Class: 0.0/?
- Task 2: Model Class: 0.0/?
- Task 3: Training and Validation Loops: 0.0/?
- Task 4: Running Training: 0.0/?
- Task 5: Visualizing Predictions: 6.0/?</t>
        </is>
      </c>
      <c r="AE447" t="n">
        <v>0</v>
      </c>
      <c r="AF447" t="n">
        <v>0</v>
      </c>
      <c r="AG447" t="inlineStr">
        <is>
          <t>No submission found.</t>
        </is>
      </c>
      <c r="AH447" t="n">
        <v>18</v>
      </c>
      <c r="AI447" t="n">
        <v>0</v>
      </c>
    </row>
    <row r="448">
      <c r="A448" t="n">
        <v>447</v>
      </c>
      <c r="B448" t="inlineStr">
        <is>
          <t>TA_8</t>
        </is>
      </c>
      <c r="C448" t="inlineStr">
        <is>
          <t>TA_18</t>
        </is>
      </c>
      <c r="D448" t="n">
        <v>3</v>
      </c>
      <c r="E448" t="n">
        <v>0</v>
      </c>
      <c r="F448" t="n">
        <v>0</v>
      </c>
      <c r="G448" t="n">
        <v>0</v>
      </c>
      <c r="H448" t="n">
        <v>0</v>
      </c>
      <c r="I448" t="n">
        <v>0</v>
      </c>
      <c r="J448" t="n">
        <v>5.25</v>
      </c>
      <c r="K448" t="n">
        <v>0</v>
      </c>
      <c r="L448" t="n">
        <v>0</v>
      </c>
      <c r="M448" t="n">
        <v>0</v>
      </c>
      <c r="N448" t="n">
        <v>4.75</v>
      </c>
      <c r="O448" t="n">
        <v>0</v>
      </c>
      <c r="P448">
        <f>Table1[[#This Row],[TA 1 - Q1 Score]]+Table1[[#This Row],[TA 1 - Q2 Score]]+Table1[[#This Row],[TA 1 - Q3 Score]]</f>
        <v/>
      </c>
      <c r="Q448">
        <f>Table1[[#This Row],[TA 1 - Q1 Bonus]]+Table1[[#This Row],[TA 1 - Q2 Bonus]]+Table1[[#This Row],[TA 1 - Q4 Bonus]]</f>
        <v/>
      </c>
      <c r="R448">
        <f>Table1[[#This Row],[TA 2 - Q1 Score]]+Table1[[#This Row],[TA 2 - Q2 Score]]+Table1[[#This Row],[TA 2 - Q3 Score]]</f>
        <v/>
      </c>
      <c r="S448">
        <f>Table1[[#This Row],[TA 2 - Q1 Bonus]]+Table1[[#This Row],[TA 2 - Q2 Bonus]]+Table1[[#This Row],[TA 2 - Q4 Bonus]]</f>
        <v/>
      </c>
      <c r="T448">
        <f>(Table1[[#This Row],[TA 1 - Total Score (out of 35)]]+Table1[[#This Row],[TA 2 - Total Score (out of 35)]])/2</f>
        <v/>
      </c>
      <c r="U448">
        <f>(Table1[[#This Row],[TA 1 - Total Bonus (out of 13)]]+Table1[[#This Row],[TA 2 - Total Bonus (out of 13)]])/2</f>
        <v/>
      </c>
      <c r="V448">
        <f>Table1[[#This Row],[Average Questions]]/35*20+Table1[[#This Row],[Average Bonus]]/13*5</f>
        <v/>
      </c>
      <c r="W448" t="n">
        <v>6</v>
      </c>
      <c r="X448" t="n">
        <v>0</v>
      </c>
      <c r="Y448"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implementation of the training loop and validation function. As a result, the student was unable to complete the bonus task of implementing test time augmentation.
Breakdown:
- Part 1: Load and Prepare Data: 0.0/?
- Part 2: Load Pretrained Model and Adapt: 0.0/?
- Part 3: Training and Validation Functions: 0.0/?
- Part 4: Training: 2.0/?
- Part 5: Bonus — Test Time Augmentation: 0.0/?</t>
        </is>
      </c>
      <c r="Z448" t="n">
        <v>4</v>
      </c>
      <c r="AA448" t="n">
        <v>0</v>
      </c>
      <c r="AB448" t="inlineStr">
        <is>
          <t>The student's submission is incomplete and lacks any meaningful attempt at the tasks. The code provided does not run end-to-end and fails to address the requirements of the problem. As a result, no credit can be awarded for any of the tasks. The student's submission does not demonstrate any understanding of the problem or the required concepts.
Breakdown:
- Part 1: Load and Prepare Data: 0.0/?
- Part 2: Build the CNN Model: 0.0/?
- Part 3: Training and Validation Functions: 0.0/?
- Part 4: Training: 0.0/?
- Part 5: Bonus — Residual Connection: 0.0/?</t>
        </is>
      </c>
      <c r="AC448" t="n">
        <v>6</v>
      </c>
      <c r="AD448" t="inlineStr">
        <is>
          <t>The student's submission failed to meet the requirements of the task. The code was not organized correctly, and several tasks were not implemented. The student attempted to define a custom dataset class, but it was not used correctly. The model class was not defined correctly, and the training and validation loops were not implemented. The training process was not implemented correctly, and the predictions were not visualized correctly. Overall, the student's submission did not meet the requirements of the task.
Breakdown:
- Task 1: Dataset Class: 0.0/?
- Task 2: Model Class: 0.0/?
- Task 3: Training and Validation Loops: 0.0/?
- Task 4: Running Training: 0.0/?
- Task 5: Visualizing Predictions: 0.0/?</t>
        </is>
      </c>
      <c r="AE448" t="n">
        <v>0</v>
      </c>
      <c r="AF448" t="n">
        <v>0</v>
      </c>
      <c r="AG448" t="inlineStr">
        <is>
          <t>No submission found.</t>
        </is>
      </c>
      <c r="AH448" t="n">
        <v>16</v>
      </c>
      <c r="AI448" t="n">
        <v>0</v>
      </c>
    </row>
    <row r="449">
      <c r="A449" t="n">
        <v>448</v>
      </c>
      <c r="B449" t="inlineStr">
        <is>
          <t>TA_8</t>
        </is>
      </c>
      <c r="C449" t="inlineStr">
        <is>
          <t>TA_18</t>
        </is>
      </c>
      <c r="D449" t="n">
        <v>12</v>
      </c>
      <c r="E449" t="n">
        <v>0</v>
      </c>
      <c r="F449" t="n">
        <v>8.5</v>
      </c>
      <c r="G449" t="n">
        <v>0</v>
      </c>
      <c r="H449" t="n">
        <v>9</v>
      </c>
      <c r="I449" t="n">
        <v>0</v>
      </c>
      <c r="J449" t="n">
        <v>12</v>
      </c>
      <c r="K449" t="n">
        <v>0</v>
      </c>
      <c r="L449" t="n">
        <v>9</v>
      </c>
      <c r="M449" t="n">
        <v>0</v>
      </c>
      <c r="N449" t="n">
        <v>9</v>
      </c>
      <c r="O449" t="n">
        <v>0</v>
      </c>
      <c r="P449">
        <f>Table1[[#This Row],[TA 1 - Q1 Score]]+Table1[[#This Row],[TA 1 - Q2 Score]]+Table1[[#This Row],[TA 1 - Q3 Score]]</f>
        <v/>
      </c>
      <c r="Q449">
        <f>Table1[[#This Row],[TA 1 - Q1 Bonus]]+Table1[[#This Row],[TA 1 - Q2 Bonus]]+Table1[[#This Row],[TA 1 - Q4 Bonus]]</f>
        <v/>
      </c>
      <c r="R449">
        <f>Table1[[#This Row],[TA 2 - Q1 Score]]+Table1[[#This Row],[TA 2 - Q2 Score]]+Table1[[#This Row],[TA 2 - Q3 Score]]</f>
        <v/>
      </c>
      <c r="S449">
        <f>Table1[[#This Row],[TA 2 - Q1 Bonus]]+Table1[[#This Row],[TA 2 - Q2 Bonus]]+Table1[[#This Row],[TA 2 - Q4 Bonus]]</f>
        <v/>
      </c>
      <c r="T449">
        <f>(Table1[[#This Row],[TA 1 - Total Score (out of 35)]]+Table1[[#This Row],[TA 2 - Total Score (out of 35)]])/2</f>
        <v/>
      </c>
      <c r="U449">
        <f>(Table1[[#This Row],[TA 1 - Total Bonus (out of 13)]]+Table1[[#This Row],[TA 2 - Total Bonus (out of 13)]])/2</f>
        <v/>
      </c>
      <c r="V449">
        <f>Table1[[#This Row],[Average Questions]]/35*20+Table1[[#This Row],[Average Bonus]]/13*5</f>
        <v/>
      </c>
      <c r="W449" t="n">
        <v>6</v>
      </c>
      <c r="X449" t="n">
        <v>0</v>
      </c>
      <c r="Y44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disregarding the explicit instructions provided in the reference solution.
Breakdown:
- Part 1: Load and Prepare Data: 0.0/?
- Part 2: Load Pretrained Model and Adapt: 0.0/?
- Part 3: Training and Validation Functions: 0.0/?
- Part 4: Training: 2.5/?
- Part 5: Bonus — Test Time Augmentation: 0.0/?</t>
        </is>
      </c>
      <c r="Z449" t="n">
        <v>4</v>
      </c>
      <c r="AA449" t="n">
        <v>0</v>
      </c>
      <c r="AB449"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49" t="n">
        <v>6</v>
      </c>
      <c r="AD449" t="inlineStr">
        <is>
          <t>The student's submission was incomplete, with no code submitted for Tasks 1-4. However, the code for Task 5: Visualizing Predictions was correct and ran, earning 6.0 points. The student's failure to attempt the other tasks resulted in a score of 6.0 out of 12.0 for the base tasks and 0.0 out of 0.0 for the bonus tasks.
Breakdown:
- Task 1: Dataset Class: 0.0/?
- Task 2: Model Class: 0.0/?
- Task 3: Training and Validation Loops: 0.0/?
- Task 4: Running Training: 0.0/?
- Task 5: Visualizing Predictions: 6.0/?</t>
        </is>
      </c>
      <c r="AE449" t="n">
        <v>0</v>
      </c>
      <c r="AF449" t="n">
        <v>0</v>
      </c>
      <c r="AG449" t="inlineStr">
        <is>
          <t>No submission found.</t>
        </is>
      </c>
      <c r="AH449" t="n">
        <v>16</v>
      </c>
      <c r="AI449" t="n">
        <v>0</v>
      </c>
    </row>
    <row r="450">
      <c r="A450" t="n">
        <v>449</v>
      </c>
      <c r="B450" t="inlineStr">
        <is>
          <t>TA_8</t>
        </is>
      </c>
      <c r="C450" t="inlineStr">
        <is>
          <t>TA_18</t>
        </is>
      </c>
      <c r="D450" t="n">
        <v>5</v>
      </c>
      <c r="E450" t="n">
        <v>0</v>
      </c>
      <c r="F450" t="n">
        <v>4.5</v>
      </c>
      <c r="G450" t="n">
        <v>0</v>
      </c>
      <c r="H450" t="n">
        <v>3</v>
      </c>
      <c r="I450" t="n">
        <v>0</v>
      </c>
      <c r="J450" t="n">
        <v>6.25</v>
      </c>
      <c r="K450" t="n">
        <v>4</v>
      </c>
      <c r="L450" t="n">
        <v>1.75</v>
      </c>
      <c r="M450" t="n">
        <v>0</v>
      </c>
      <c r="N450" t="n">
        <v>0</v>
      </c>
      <c r="O450" t="n">
        <v>0</v>
      </c>
      <c r="P450">
        <f>Table1[[#This Row],[TA 1 - Q1 Score]]+Table1[[#This Row],[TA 1 - Q2 Score]]+Table1[[#This Row],[TA 1 - Q3 Score]]</f>
        <v/>
      </c>
      <c r="Q450">
        <f>Table1[[#This Row],[TA 1 - Q1 Bonus]]+Table1[[#This Row],[TA 1 - Q2 Bonus]]+Table1[[#This Row],[TA 1 - Q4 Bonus]]</f>
        <v/>
      </c>
      <c r="R450">
        <f>Table1[[#This Row],[TA 2 - Q1 Score]]+Table1[[#This Row],[TA 2 - Q2 Score]]+Table1[[#This Row],[TA 2 - Q3 Score]]</f>
        <v/>
      </c>
      <c r="S450">
        <f>Table1[[#This Row],[TA 2 - Q1 Bonus]]+Table1[[#This Row],[TA 2 - Q2 Bonus]]+Table1[[#This Row],[TA 2 - Q4 Bonus]]</f>
        <v/>
      </c>
      <c r="T450">
        <f>(Table1[[#This Row],[TA 1 - Total Score (out of 35)]]+Table1[[#This Row],[TA 2 - Total Score (out of 35)]])/2</f>
        <v/>
      </c>
      <c r="U450">
        <f>(Table1[[#This Row],[TA 1 - Total Bonus (out of 13)]]+Table1[[#This Row],[TA 2 - Total Bonus (out of 13)]])/2</f>
        <v/>
      </c>
      <c r="V450">
        <f>Table1[[#This Row],[Average Questions]]/35*20+Table1[[#This Row],[Average Bonus]]/13*5</f>
        <v/>
      </c>
      <c r="W450" t="n">
        <v>6</v>
      </c>
      <c r="X450" t="n">
        <v>0</v>
      </c>
      <c r="Y450"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bonus task of implementing test time augmentation was also not completed. Overall, the student's submission demonstrated a lack of understanding of the required tasks and concepts.
Breakdown:
- Part 1: Load and Prepare Data: 0.0/?
- Part 2: Load Pretrained Model and Adapt: 0.0/?
- Part 3: Training and Validation Functions: 0.0/?
- Part 4: Training: 2.0/?
- Part 5: Bonus — Test Time Augmentation: 0.0/?</t>
        </is>
      </c>
      <c r="Z450" t="n">
        <v>4</v>
      </c>
      <c r="AA450" t="n">
        <v>0</v>
      </c>
      <c r="AB450" t="inlineStr">
        <is>
          <t>The student's submission failed to address several key aspects of the task. The code did not load and prepare the data correctly, and the CNN model was not built as specified. The training and validation functions were not implemented, and the model was not trained. The bonus task of adding a residual connection was also not attempted. As a result, the student earned 0 points for each task.
Breakdown:
- Part 1: Load and Prepare Data: 0.0/?
- Part 2: Build the CNN Model: 0.0/?
- Part 3: Training and Validation Functions: 0.0/?
- Part 4: Training: 0.0/?
- Part 5: Bonus — Residual Connection: 0.0/?</t>
        </is>
      </c>
      <c r="AC450" t="n">
        <v>0</v>
      </c>
      <c r="AD450" t="inlineStr">
        <is>
          <t>No submission found.</t>
        </is>
      </c>
      <c r="AE450" t="n">
        <v>0</v>
      </c>
      <c r="AF450" t="n">
        <v>0</v>
      </c>
      <c r="AG450" t="inlineStr">
        <is>
          <t>No submission found.</t>
        </is>
      </c>
      <c r="AH450" t="n">
        <v>10</v>
      </c>
      <c r="AI450" t="n">
        <v>0</v>
      </c>
    </row>
    <row r="451">
      <c r="A451" t="n">
        <v>450</v>
      </c>
      <c r="B451" t="inlineStr">
        <is>
          <t>TA_8</t>
        </is>
      </c>
      <c r="C451" t="inlineStr">
        <is>
          <t>TA_18</t>
        </is>
      </c>
      <c r="D451" t="n">
        <v>2</v>
      </c>
      <c r="E451" t="n">
        <v>0</v>
      </c>
      <c r="F451" t="n">
        <v>9</v>
      </c>
      <c r="G451" t="n">
        <v>0</v>
      </c>
      <c r="H451" t="n">
        <v>0</v>
      </c>
      <c r="I451" t="n">
        <v>0</v>
      </c>
      <c r="J451" t="n">
        <v>0.5</v>
      </c>
      <c r="K451" t="n">
        <v>0</v>
      </c>
      <c r="L451" t="n">
        <v>7.5</v>
      </c>
      <c r="M451" t="n">
        <v>0</v>
      </c>
      <c r="N451" t="n">
        <v>0</v>
      </c>
      <c r="O451" t="n">
        <v>0</v>
      </c>
      <c r="P451">
        <f>Table1[[#This Row],[TA 1 - Q1 Score]]+Table1[[#This Row],[TA 1 - Q2 Score]]+Table1[[#This Row],[TA 1 - Q3 Score]]</f>
        <v/>
      </c>
      <c r="Q451">
        <f>Table1[[#This Row],[TA 1 - Q1 Bonus]]+Table1[[#This Row],[TA 1 - Q2 Bonus]]+Table1[[#This Row],[TA 1 - Q4 Bonus]]</f>
        <v/>
      </c>
      <c r="R451">
        <f>Table1[[#This Row],[TA 2 - Q1 Score]]+Table1[[#This Row],[TA 2 - Q2 Score]]+Table1[[#This Row],[TA 2 - Q3 Score]]</f>
        <v/>
      </c>
      <c r="S451">
        <f>Table1[[#This Row],[TA 2 - Q1 Bonus]]+Table1[[#This Row],[TA 2 - Q2 Bonus]]+Table1[[#This Row],[TA 2 - Q4 Bonus]]</f>
        <v/>
      </c>
      <c r="T451">
        <f>(Table1[[#This Row],[TA 1 - Total Score (out of 35)]]+Table1[[#This Row],[TA 2 - Total Score (out of 35)]])/2</f>
        <v/>
      </c>
      <c r="U451">
        <f>(Table1[[#This Row],[TA 1 - Total Bonus (out of 13)]]+Table1[[#This Row],[TA 2 - Total Bonus (out of 13)]])/2</f>
        <v/>
      </c>
      <c r="V451">
        <f>Table1[[#This Row],[Average Questions]]/35*20+Table1[[#This Row],[Average Bonus]]/13*5</f>
        <v/>
      </c>
      <c r="W451" t="n">
        <v>6</v>
      </c>
      <c r="X451" t="n">
        <v>0</v>
      </c>
      <c r="Y451" t="inlineStr">
        <is>
          <t>The student's submission failed to complete several key tasks, including loading and preparing the data, loading the pretrained model, and implementing the training and validation functions. The code provided does not run end-to-end and lacks critical components necessary for the task. As a result, the student earned 0% on each of the base tasks and did not attempt the bonus task, resulting in a total score of 6.0.
Breakdown:
- Part 1: Load and Prepare Data: 0.0/?
- Part 2: Load Pretrained Model and Adapt: 0.0/?
- Part 3: Training and Validation Functions: 0.0/?
- Part 4: Training: 0.0/?
- Part 5: Bonus — Test Time Augmentation: 0.0/?</t>
        </is>
      </c>
      <c r="Z451" t="n">
        <v>4</v>
      </c>
      <c r="AA451" t="n">
        <v>0</v>
      </c>
      <c r="AB451" t="inlineStr">
        <is>
          <t>The student's submission failed to meet the requirements of the task. The code was not organized in a way that allowed it to run end-to-end, and several key components were missing. The CNN model class was not defined with 5 convolutional layers, and the training loop function was not defined. The model was not trained, and the residual connection was not defined correctly. As a result, the student did not earn any points for this task.
Breakdown:
- Part 1: Load and Prepare Data: 0.0/?
- Part 2: Build the CNN Model: 0.0/?
- Part 3: Training and Validation Functions: 0.0/?
- Part 4: Training: 0.0/?
- Part 5: Bonus — Residual Connection: 0.0/?</t>
        </is>
      </c>
      <c r="AC451" t="n">
        <v>0</v>
      </c>
      <c r="AD451" t="inlineStr">
        <is>
          <t>No submission found.</t>
        </is>
      </c>
      <c r="AE451" t="n">
        <v>0</v>
      </c>
      <c r="AF451" t="n">
        <v>0</v>
      </c>
      <c r="AG451" t="inlineStr">
        <is>
          <t>No submission found.</t>
        </is>
      </c>
      <c r="AH451" t="n">
        <v>10</v>
      </c>
      <c r="AI451" t="n">
        <v>0</v>
      </c>
    </row>
    <row r="452">
      <c r="A452" t="n">
        <v>451</v>
      </c>
      <c r="B452" t="inlineStr">
        <is>
          <t>TA_8</t>
        </is>
      </c>
      <c r="C452" t="inlineStr">
        <is>
          <t>TA_18</t>
        </is>
      </c>
      <c r="D452" t="n">
        <v>7</v>
      </c>
      <c r="E452" t="n">
        <v>0</v>
      </c>
      <c r="F452" t="n">
        <v>8</v>
      </c>
      <c r="G452" t="n">
        <v>0</v>
      </c>
      <c r="H452" t="n">
        <v>12</v>
      </c>
      <c r="I452" t="n">
        <v>0</v>
      </c>
      <c r="J452" t="n">
        <v>4.5</v>
      </c>
      <c r="K452" t="n">
        <v>0</v>
      </c>
      <c r="L452" t="n">
        <v>11</v>
      </c>
      <c r="M452" t="n">
        <v>0</v>
      </c>
      <c r="N452" t="n">
        <v>8.75</v>
      </c>
      <c r="O452" t="n">
        <v>0</v>
      </c>
      <c r="P452">
        <f>Table1[[#This Row],[TA 1 - Q1 Score]]+Table1[[#This Row],[TA 1 - Q2 Score]]+Table1[[#This Row],[TA 1 - Q3 Score]]</f>
        <v/>
      </c>
      <c r="Q452">
        <f>Table1[[#This Row],[TA 1 - Q1 Bonus]]+Table1[[#This Row],[TA 1 - Q2 Bonus]]+Table1[[#This Row],[TA 1 - Q4 Bonus]]</f>
        <v/>
      </c>
      <c r="R452">
        <f>Table1[[#This Row],[TA 2 - Q1 Score]]+Table1[[#This Row],[TA 2 - Q2 Score]]+Table1[[#This Row],[TA 2 - Q3 Score]]</f>
        <v/>
      </c>
      <c r="S452">
        <f>Table1[[#This Row],[TA 2 - Q1 Bonus]]+Table1[[#This Row],[TA 2 - Q2 Bonus]]+Table1[[#This Row],[TA 2 - Q4 Bonus]]</f>
        <v/>
      </c>
      <c r="T452">
        <f>(Table1[[#This Row],[TA 1 - Total Score (out of 35)]]+Table1[[#This Row],[TA 2 - Total Score (out of 35)]])/2</f>
        <v/>
      </c>
      <c r="U452">
        <f>(Table1[[#This Row],[TA 1 - Total Bonus (out of 13)]]+Table1[[#This Row],[TA 2 - Total Bonus (out of 13)]])/2</f>
        <v/>
      </c>
      <c r="V452">
        <f>Table1[[#This Row],[Average Questions]]/35*20+Table1[[#This Row],[Average Bonus]]/13*5</f>
        <v/>
      </c>
      <c r="W452" t="n">
        <v>6</v>
      </c>
      <c r="X452" t="n">
        <v>0</v>
      </c>
      <c r="Y45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2.5/?
- Part 5: Bonus — Test Time Augmentation: 0.0/?</t>
        </is>
      </c>
      <c r="Z452" t="n">
        <v>6</v>
      </c>
      <c r="AA452" t="n">
        <v>0</v>
      </c>
      <c r="AB452" t="inlineStr">
        <is>
          <t>The student's submission failed to load and prepare the data correctly, as they did not create a custom Dataset class or use ImageFolder. They also failed to build the CNN model with the correct architecture, as they did not include the required number of convolutional layers and batch normalization. The training and validation functions were not implemented correctly, and the training process was not executed. The student did attempt to train the model, but the residual connection was not implemented correctly, and the bonus task was not completed.
Breakdown:
- Part 1: Load and Prepare Data: 0.0/?
- Part 2: Build the CNN Model: 0.0/?
- Part 3: Training and Validation Functions: 0.0/?
- Part 4: Training: 2.0/?
- Part 5: Bonus — Residual Connection: 0.0/?</t>
        </is>
      </c>
      <c r="AC452" t="n">
        <v>6</v>
      </c>
      <c r="AD452"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52" t="n">
        <v>0</v>
      </c>
      <c r="AF452" t="n">
        <v>0</v>
      </c>
      <c r="AG452" t="inlineStr">
        <is>
          <t>No submission found.</t>
        </is>
      </c>
      <c r="AH452" t="n">
        <v>18</v>
      </c>
      <c r="AI452" t="n">
        <v>0</v>
      </c>
    </row>
    <row r="453">
      <c r="A453" t="n">
        <v>452</v>
      </c>
      <c r="B453" t="inlineStr">
        <is>
          <t>TA_8</t>
        </is>
      </c>
      <c r="C453" t="inlineStr">
        <is>
          <t>TA_18</t>
        </is>
      </c>
      <c r="D453" t="n">
        <v>12</v>
      </c>
      <c r="E453" t="n">
        <v>4</v>
      </c>
      <c r="F453" t="n">
        <v>11</v>
      </c>
      <c r="G453" t="n">
        <v>4</v>
      </c>
      <c r="H453" t="n">
        <v>3</v>
      </c>
      <c r="I453" t="n">
        <v>0</v>
      </c>
      <c r="J453" t="n">
        <v>12</v>
      </c>
      <c r="K453" t="n">
        <v>4</v>
      </c>
      <c r="L453" t="n">
        <v>11</v>
      </c>
      <c r="M453" t="n">
        <v>4</v>
      </c>
      <c r="N453" t="n">
        <v>-1</v>
      </c>
      <c r="O453" t="n">
        <v>0</v>
      </c>
      <c r="P453">
        <f>Table1[[#This Row],[TA 1 - Q1 Score]]+Table1[[#This Row],[TA 1 - Q2 Score]]+Table1[[#This Row],[TA 1 - Q3 Score]]</f>
        <v/>
      </c>
      <c r="Q453">
        <f>Table1[[#This Row],[TA 1 - Q1 Bonus]]+Table1[[#This Row],[TA 1 - Q2 Bonus]]+Table1[[#This Row],[TA 1 - Q4 Bonus]]</f>
        <v/>
      </c>
      <c r="R453">
        <f>Table1[[#This Row],[TA 2 - Q1 Score]]+Table1[[#This Row],[TA 2 - Q2 Score]]+Table1[[#This Row],[TA 2 - Q3 Score]]</f>
        <v/>
      </c>
      <c r="S453">
        <f>Table1[[#This Row],[TA 2 - Q1 Bonus]]+Table1[[#This Row],[TA 2 - Q2 Bonus]]+Table1[[#This Row],[TA 2 - Q4 Bonus]]</f>
        <v/>
      </c>
      <c r="T453">
        <f>(Table1[[#This Row],[TA 1 - Total Score (out of 35)]]+Table1[[#This Row],[TA 2 - Total Score (out of 35)]])/2</f>
        <v/>
      </c>
      <c r="U453">
        <f>(Table1[[#This Row],[TA 1 - Total Bonus (out of 13)]]+Table1[[#This Row],[TA 2 - Total Bonus (out of 13)]])/2</f>
        <v/>
      </c>
      <c r="V453">
        <f>Table1[[#This Row],[Average Questions]]/35*20+Table1[[#This Row],[Average Bonus]]/13*5</f>
        <v/>
      </c>
      <c r="W453" t="n">
        <v>6</v>
      </c>
      <c r="X453" t="n">
        <v>0</v>
      </c>
      <c r="Y45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2.0/?
- Part 5: Bonus — Test Time Augmentation: 0.0/?</t>
        </is>
      </c>
      <c r="Z453" t="n">
        <v>6</v>
      </c>
      <c r="AA453" t="n">
        <v>0</v>
      </c>
      <c r="AB453" t="inlineStr">
        <is>
          <t>The student's submission failed to implement several key tasks, including loading and preparing the data, building the CNN model, training and validation functions, and training the model. The student also failed to implement the residual connection correctly. As a result, the student's submission was awarded 0 points for each of these tasks.
Breakdown:
- Part 1: Load and Prepare Data: 0.0/?
- Part 1: Load and Prepare Data: 0.0/?
- Part 1: Load and Prepare Data: 0.0/?
- Part 1: Load and Prepare Data: 0.0/?
- Part 2: Build the CNN Model: 0.0/?
- Part 2: Build the CNN Model: 0.0/?
- Part 3: Training and Validation Functions: 0.0/?
- Part 3: Training and Validation Functions: 0.0/?
- Part 4: Training: 0.0/?
- Part 4: Training: 0.0/?
- Part 4: Training: 0.0/?
- Part 5: Bonus — Residual Connection: 0.0/?
- Part 5: Bonus — Residual Connection: 0.0/?</t>
        </is>
      </c>
      <c r="AC453" t="n">
        <v>6</v>
      </c>
      <c r="AD453" t="inlineStr">
        <is>
          <t>The student's submission had several issues. The dataset class was not defined, the model class was not a U-Net with efficientnet-b1 encoder, and the training and validation loops were not implemented correctly. The student attempted to visualize the predictions, but the code was not well-organized and had some syntax errors. Overall, the student's submission did not meet the requirements of the task.
Breakdown:
- Task 1: Dataset Class: 0.0/?
- Task 2: Model Class: 0.0/?
- Task 3: Training and Validation Loops: 0.0/?
- Task 4: Running Training: 1.5/?
- Task 5: Visualizing Predictions: 1.5/?
- Bonus Task: 0.0/?</t>
        </is>
      </c>
      <c r="AE453" t="n">
        <v>0</v>
      </c>
      <c r="AF453" t="n">
        <v>0</v>
      </c>
      <c r="AG453" t="inlineStr">
        <is>
          <t>The student's submission does not meet the requirements of the task. The `ColorizationDataset` class is not fully implemented, and the code contains several syntax and logic mistakes. As a result, the student does not receive any points for this task.
Breakdown:
- Correctly implemented `ColorizationDataset` class:: 0.0/?
- Any mistake in implementation: 0.0/?</t>
        </is>
      </c>
      <c r="AH453" t="n">
        <v>18</v>
      </c>
      <c r="AI453" t="n">
        <v>0</v>
      </c>
    </row>
    <row r="454">
      <c r="A454" t="n">
        <v>453</v>
      </c>
      <c r="B454" t="inlineStr">
        <is>
          <t>TA_8</t>
        </is>
      </c>
      <c r="C454" t="inlineStr">
        <is>
          <t>TA_18</t>
        </is>
      </c>
      <c r="D454" t="n">
        <v>12</v>
      </c>
      <c r="E454" t="n">
        <v>0</v>
      </c>
      <c r="F454" t="n">
        <v>11</v>
      </c>
      <c r="G454" t="n">
        <v>0</v>
      </c>
      <c r="H454" t="n">
        <v>12</v>
      </c>
      <c r="I454" t="n">
        <v>5</v>
      </c>
      <c r="J454" t="n">
        <v>12</v>
      </c>
      <c r="K454" t="n">
        <v>0</v>
      </c>
      <c r="L454" t="n">
        <v>11</v>
      </c>
      <c r="M454" t="n">
        <v>0</v>
      </c>
      <c r="N454" t="n">
        <v>12</v>
      </c>
      <c r="O454" t="n">
        <v>5</v>
      </c>
      <c r="P454">
        <f>Table1[[#This Row],[TA 1 - Q1 Score]]+Table1[[#This Row],[TA 1 - Q2 Score]]+Table1[[#This Row],[TA 1 - Q3 Score]]</f>
        <v/>
      </c>
      <c r="Q454">
        <f>Table1[[#This Row],[TA 1 - Q1 Bonus]]+Table1[[#This Row],[TA 1 - Q2 Bonus]]+Table1[[#This Row],[TA 1 - Q4 Bonus]]</f>
        <v/>
      </c>
      <c r="R454">
        <f>Table1[[#This Row],[TA 2 - Q1 Score]]+Table1[[#This Row],[TA 2 - Q2 Score]]+Table1[[#This Row],[TA 2 - Q3 Score]]</f>
        <v/>
      </c>
      <c r="S454">
        <f>Table1[[#This Row],[TA 2 - Q1 Bonus]]+Table1[[#This Row],[TA 2 - Q2 Bonus]]+Table1[[#This Row],[TA 2 - Q4 Bonus]]</f>
        <v/>
      </c>
      <c r="T454">
        <f>(Table1[[#This Row],[TA 1 - Total Score (out of 35)]]+Table1[[#This Row],[TA 2 - Total Score (out of 35)]])/2</f>
        <v/>
      </c>
      <c r="U454">
        <f>(Table1[[#This Row],[TA 1 - Total Bonus (out of 13)]]+Table1[[#This Row],[TA 2 - Total Bonus (out of 13)]])/2</f>
        <v/>
      </c>
      <c r="V454">
        <f>Table1[[#This Row],[Average Questions]]/35*20+Table1[[#This Row],[Average Bonus]]/13*5</f>
        <v/>
      </c>
      <c r="W454" t="n">
        <v>6</v>
      </c>
      <c r="X454" t="n">
        <v>0</v>
      </c>
      <c r="Y454"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resulting in a low overall score.
Breakdown:
- Part 1: Load and Prepare Data: 0.0/?
- Part 2: Load Pretrained Model and Adapt: 0.0/?
- Part 3: Training and Validation Functions: 0.0/?
- Part 4: Training: 3.0/?
- Part 5: Bonus — Test Time Augmentation: 0.0/?</t>
        </is>
      </c>
      <c r="Z454" t="n">
        <v>6</v>
      </c>
      <c r="AA454" t="n">
        <v>0</v>
      </c>
      <c r="AB454"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outcome and was awarded partial credit for the training task. The bonus task was not attempted.
Breakdown:
- Part 1: Load and Prepare Data: 0.0/?
- Part 2: Build the CNN Model: 0.0/?
- Part 3: Training and Validation Functions: 0.0/?
- Part 4: Training: 2.0/?
- Part 5: Bonus — Residual Connection: 0.0/?</t>
        </is>
      </c>
      <c r="AC454" t="n">
        <v>6</v>
      </c>
      <c r="AD454" t="inlineStr">
        <is>
          <t>The student's submission failed to address several key tasks, including building a custom dataset class, defining a model class, and implementing training and validation loops. While the student did attempt to visualize predictions, their code did not meet the requirements of the task, which included displaying the ground truth and predicted masks for multiple images.
Breakdown:
- Task 1: Dataset Class: 0.0/?
- Task 2: Model Class: 0.0/?
- Task 3: Training and Validation Loops: 0.0/?
- Task 4: Running Training: 0.0/?
- Task 5: Visualizing Predictions: 6.0/?</t>
        </is>
      </c>
      <c r="AE454" t="n">
        <v>0</v>
      </c>
      <c r="AF454" t="n">
        <v>0</v>
      </c>
      <c r="AG454" t="inlineStr">
        <is>
          <t>The student's submission does not meet the requirements of the task. The `ColorizationDataset` class is not correctly implemented, and the methods do not perform the required operations. As a result, the submission does not run end-to-end and does not produce the expected output.
Breakdown:
- Correctly implemented `ColorizationDataset` class:: 0.0/?</t>
        </is>
      </c>
      <c r="AH454" t="n">
        <v>18</v>
      </c>
      <c r="AI454" t="n">
        <v>0</v>
      </c>
    </row>
    <row r="455">
      <c r="A455" t="n">
        <v>454</v>
      </c>
      <c r="B455" t="inlineStr">
        <is>
          <t>TA_8</t>
        </is>
      </c>
      <c r="C455" t="inlineStr">
        <is>
          <t>TA_18</t>
        </is>
      </c>
      <c r="D455" t="n">
        <v>3</v>
      </c>
      <c r="E455" t="n">
        <v>0</v>
      </c>
      <c r="F455" t="n">
        <v>7.5</v>
      </c>
      <c r="G455" t="n">
        <v>0</v>
      </c>
      <c r="H455" t="n">
        <v>0</v>
      </c>
      <c r="I455" t="n">
        <v>0</v>
      </c>
      <c r="J455" t="n">
        <v>4.25</v>
      </c>
      <c r="K455" t="n">
        <v>0</v>
      </c>
      <c r="L455" t="n">
        <v>5.75</v>
      </c>
      <c r="M455" t="n">
        <v>0</v>
      </c>
      <c r="N455" t="n">
        <v>3.5</v>
      </c>
      <c r="O455" t="n">
        <v>0</v>
      </c>
      <c r="P455">
        <f>Table1[[#This Row],[TA 1 - Q1 Score]]+Table1[[#This Row],[TA 1 - Q2 Score]]+Table1[[#This Row],[TA 1 - Q3 Score]]</f>
        <v/>
      </c>
      <c r="Q455">
        <f>Table1[[#This Row],[TA 1 - Q1 Bonus]]+Table1[[#This Row],[TA 1 - Q2 Bonus]]+Table1[[#This Row],[TA 1 - Q4 Bonus]]</f>
        <v/>
      </c>
      <c r="R455">
        <f>Table1[[#This Row],[TA 2 - Q1 Score]]+Table1[[#This Row],[TA 2 - Q2 Score]]+Table1[[#This Row],[TA 2 - Q3 Score]]</f>
        <v/>
      </c>
      <c r="S455">
        <f>Table1[[#This Row],[TA 2 - Q1 Bonus]]+Table1[[#This Row],[TA 2 - Q2 Bonus]]+Table1[[#This Row],[TA 2 - Q4 Bonus]]</f>
        <v/>
      </c>
      <c r="T455">
        <f>(Table1[[#This Row],[TA 1 - Total Score (out of 35)]]+Table1[[#This Row],[TA 2 - Total Score (out of 35)]])/2</f>
        <v/>
      </c>
      <c r="U455">
        <f>(Table1[[#This Row],[TA 1 - Total Bonus (out of 13)]]+Table1[[#This Row],[TA 2 - Total Bonus (out of 13)]])/2</f>
        <v/>
      </c>
      <c r="V455">
        <f>Table1[[#This Row],[Average Questions]]/35*20+Table1[[#This Row],[Average Bonus]]/13*5</f>
        <v/>
      </c>
      <c r="W455" t="n">
        <v>6</v>
      </c>
      <c r="X455" t="n">
        <v>0</v>
      </c>
      <c r="Y455" t="inlineStr">
        <is>
          <t>The student's submission failed to complete several key tasks, including loading and preparing data, loading a pretrained model, and implementing training and validation functions. While the student did attempt to train the model, their approach was incomplete and did not follow the reference solution. As a result, the student did not earn any points for the base tasks, and their bonus task was also not completed.
Breakdown:
- Part 1: Load and Prepare Data: 0.0/?
- Part 2: Load Pretrained Model and Adapt: 0.0/?
- Part 3: Training and Validation Functions: 0.0/?
- Part 4: Training: 2.0/?
- Part 5: Bonus — Test Time Augmentation: 0.0/?</t>
        </is>
      </c>
      <c r="Z455" t="n">
        <v>4</v>
      </c>
      <c r="AA455" t="n">
        <v>0</v>
      </c>
      <c r="AB455" t="inlineStr">
        <is>
          <t>The submission failed to load and prepare the data correctly, as it did not create a custom Dataset class or use ImageFolder. The CNN model was not built with the correct architecture, and the training and validation functions were not implemented. The training process was also not executed correctly. The bonus task of adding a residual connection was not attempted.
Breakdown:
- Part 1: Load and Prepare Data: 0.0/?
- Part 2: Build the CNN Model: 0.0/?
- Part 3: Training and Validation Functions: 0.0/?
- Part 4: Training: 0.0/?
- Part 5: Bonus — Residual Connection: 0.0/?</t>
        </is>
      </c>
      <c r="AC455" t="n">
        <v>6</v>
      </c>
      <c r="AD455" t="inlineStr">
        <is>
          <t>The student's submission failed to meet the requirements of the task, with several key components missing or implemented incorrectly. The dataset class was not defined, the model class was not correctly implemented, and the training and validation loops were not implemented correctly. Additionally, the training process was not completed, and the predictions were not visualized correctly. As a result, the student's submission was awarded 0 points for each task.
Breakdown:
- Task 1: Dataset Class: 0.0/?
- Task 2: Model Class: 0.0/?
- Task 3: Training and Validation Loops: 0.0/?
- Task 4: Running Training: 0.0/?
- Task 5: Visualizing Predictions: 0.0/?</t>
        </is>
      </c>
      <c r="AE455" t="n">
        <v>0</v>
      </c>
      <c r="AF455" t="n">
        <v>0</v>
      </c>
      <c r="AG455" t="inlineStr">
        <is>
          <t>No submission found.</t>
        </is>
      </c>
      <c r="AH455" t="n">
        <v>16</v>
      </c>
      <c r="AI455" t="n">
        <v>0</v>
      </c>
    </row>
    <row r="456">
      <c r="A456" t="n">
        <v>455</v>
      </c>
      <c r="B456" t="inlineStr">
        <is>
          <t>TA_8</t>
        </is>
      </c>
      <c r="C456" t="inlineStr">
        <is>
          <t>TA_18</t>
        </is>
      </c>
      <c r="D456" t="n">
        <v>9.5</v>
      </c>
      <c r="E456" t="n">
        <v>0</v>
      </c>
      <c r="F456" t="n">
        <v>10.5</v>
      </c>
      <c r="G456" t="n">
        <v>0</v>
      </c>
      <c r="H456" t="n">
        <v>8.5</v>
      </c>
      <c r="I456" t="n">
        <v>0</v>
      </c>
      <c r="J456" t="n">
        <v>9.5</v>
      </c>
      <c r="K456" t="n">
        <v>0</v>
      </c>
      <c r="L456" t="n">
        <v>10.25</v>
      </c>
      <c r="M456" t="n">
        <v>0</v>
      </c>
      <c r="N456" t="n">
        <v>8.25</v>
      </c>
      <c r="O456" t="n">
        <v>0</v>
      </c>
      <c r="P456">
        <f>Table1[[#This Row],[TA 1 - Q1 Score]]+Table1[[#This Row],[TA 1 - Q2 Score]]+Table1[[#This Row],[TA 1 - Q3 Score]]</f>
        <v/>
      </c>
      <c r="Q456">
        <f>Table1[[#This Row],[TA 1 - Q1 Bonus]]+Table1[[#This Row],[TA 1 - Q2 Bonus]]+Table1[[#This Row],[TA 1 - Q4 Bonus]]</f>
        <v/>
      </c>
      <c r="R456">
        <f>Table1[[#This Row],[TA 2 - Q1 Score]]+Table1[[#This Row],[TA 2 - Q2 Score]]+Table1[[#This Row],[TA 2 - Q3 Score]]</f>
        <v/>
      </c>
      <c r="S456">
        <f>Table1[[#This Row],[TA 2 - Q1 Bonus]]+Table1[[#This Row],[TA 2 - Q2 Bonus]]+Table1[[#This Row],[TA 2 - Q4 Bonus]]</f>
        <v/>
      </c>
      <c r="T456">
        <f>(Table1[[#This Row],[TA 1 - Total Score (out of 35)]]+Table1[[#This Row],[TA 2 - Total Score (out of 35)]])/2</f>
        <v/>
      </c>
      <c r="U456">
        <f>(Table1[[#This Row],[TA 1 - Total Bonus (out of 13)]]+Table1[[#This Row],[TA 2 - Total Bonus (out of 13)]])/2</f>
        <v/>
      </c>
      <c r="V456">
        <f>Table1[[#This Row],[Average Questions]]/35*20+Table1[[#This Row],[Average Bonus]]/13*5</f>
        <v/>
      </c>
      <c r="W456" t="n">
        <v>6</v>
      </c>
      <c r="X456" t="n">
        <v>0</v>
      </c>
      <c r="Y456"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resulting in a low overall score.
Breakdown:
- Part 1: Load and Prepare Data: 0.0/?
- Part 2: Load Pretrained Model and Adapt: 0.0/?
- Part 3: Training and Validation Functions: 0.0/?
- Part 4: Training: 3.0/?
- Part 5: Bonus — Test Time Augmentation: 0.0/?</t>
        </is>
      </c>
      <c r="Z456" t="n">
        <v>4</v>
      </c>
      <c r="AA456" t="n">
        <v>0</v>
      </c>
      <c r="AB456" t="inlineStr">
        <is>
          <t>The student's submission failed to meet the requirements of the task. The code is disorganized and does not follow the structure of the reference solution. The student attempted to load and prepare the data, but the code is incomplete and does not display sample images with labels. The CNN model is not built correctly, and the training and validation functions are not implemented. The training process is also not completed. The bonus task of adding a residual connection is not attempted. Overall, the submission lacks a clear understanding of the task requirements and does not demonstrate a working solution.
Breakdown:
- Part 1: Load and Prepare Data: 0.0/?
- Part 2: Build the CNN Model: 0.0/?
- Part 3: Training and Validation Functions: 0.0/?
- Part 4: Training: 0.0/?
- Part 5: Bonus — Residual Connection: 0.0/?</t>
        </is>
      </c>
      <c r="AC456" t="n">
        <v>6</v>
      </c>
      <c r="AD456" t="inlineStr">
        <is>
          <t>The student's submission failed to meet the requirements of the task. The code was not organized, and the tasks were not completed correctly. The student did not follow the provided structure and failed to run end-to-end. As a result, the student did not earn any points for this task.
Breakdown:
- Task 1: Dataset Class: 0.0/?
- Task 2: Model Class: 0.0/?
- Task 3: Training and Validation Loops: 0.0/?
- Task 4: Running Training: 0.0/?
- Task 5: Visualizing Predictions: 0.0/?</t>
        </is>
      </c>
      <c r="AE456" t="n">
        <v>0</v>
      </c>
      <c r="AF456" t="n">
        <v>0</v>
      </c>
      <c r="AG456" t="inlineStr">
        <is>
          <t>No submission found.</t>
        </is>
      </c>
      <c r="AH456" t="n">
        <v>16</v>
      </c>
      <c r="AI456" t="n">
        <v>0</v>
      </c>
    </row>
    <row r="457">
      <c r="A457" t="n">
        <v>456</v>
      </c>
      <c r="B457" t="inlineStr">
        <is>
          <t>TA_9</t>
        </is>
      </c>
      <c r="C457" t="inlineStr">
        <is>
          <t>TA_19</t>
        </is>
      </c>
      <c r="D457" t="n">
        <v>7.8</v>
      </c>
      <c r="E457" t="n">
        <v>0</v>
      </c>
      <c r="F457" t="n">
        <v>9.800000000000001</v>
      </c>
      <c r="G457" t="n">
        <v>0</v>
      </c>
      <c r="H457" t="n">
        <v>6</v>
      </c>
      <c r="I457" t="n">
        <v>0</v>
      </c>
      <c r="J457" t="n">
        <v>8.75</v>
      </c>
      <c r="K457" t="n">
        <v>0</v>
      </c>
      <c r="L457" t="n">
        <v>7.25</v>
      </c>
      <c r="M457" t="n">
        <v>0</v>
      </c>
      <c r="N457" t="n">
        <v>8.5</v>
      </c>
      <c r="O457" t="n">
        <v>0</v>
      </c>
      <c r="P457">
        <f>Table1[[#This Row],[TA 1 - Q1 Score]]+Table1[[#This Row],[TA 1 - Q2 Score]]+Table1[[#This Row],[TA 1 - Q3 Score]]</f>
        <v/>
      </c>
      <c r="Q457">
        <f>Table1[[#This Row],[TA 1 - Q1 Bonus]]+Table1[[#This Row],[TA 1 - Q2 Bonus]]+Table1[[#This Row],[TA 1 - Q4 Bonus]]</f>
        <v/>
      </c>
      <c r="R457">
        <f>Table1[[#This Row],[TA 2 - Q1 Score]]+Table1[[#This Row],[TA 2 - Q2 Score]]+Table1[[#This Row],[TA 2 - Q3 Score]]</f>
        <v/>
      </c>
      <c r="S457">
        <f>Table1[[#This Row],[TA 2 - Q1 Bonus]]+Table1[[#This Row],[TA 2 - Q2 Bonus]]+Table1[[#This Row],[TA 2 - Q4 Bonus]]</f>
        <v/>
      </c>
      <c r="T457">
        <f>(Table1[[#This Row],[TA 1 - Total Score (out of 35)]]+Table1[[#This Row],[TA 2 - Total Score (out of 35)]])/2</f>
        <v/>
      </c>
      <c r="U457">
        <f>(Table1[[#This Row],[TA 1 - Total Bonus (out of 13)]]+Table1[[#This Row],[TA 2 - Total Bonus (out of 13)]])/2</f>
        <v/>
      </c>
      <c r="V457">
        <f>Table1[[#This Row],[Average Questions]]/35*20+Table1[[#This Row],[Average Bonus]]/13*5</f>
        <v/>
      </c>
      <c r="W457" t="n">
        <v>6</v>
      </c>
      <c r="X457" t="n">
        <v>0</v>
      </c>
      <c r="Y457" t="inlineStr">
        <is>
          <t>The student's submission failed to complete several key tasks, including loading and preparing the data, loading a pretrained model and adapting it, and training the model. While the student made an attempt at the training and validation functions, the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457" t="n">
        <v>6</v>
      </c>
      <c r="AA457" t="n">
        <v>0</v>
      </c>
      <c r="AB457" t="inlineStr">
        <is>
          <t>The student's submission failed to complete several key tasks, including loading and preparing the data, building the CNN model, and implementing the training and validation functions. While the student made an attempt at training the model, their implementation was incomplete and did not follow the reference solution. The bonus task of adding a residual connection was not attempted. Overall, the submission demonstrates a lack of understanding of the required tasks and a failure to follow the reference solution.
Breakdown:
- Part 1: Load and Prepare Data: 0.0/?
- Part 2: Build the CNN Model: 0.0/?
- Part 3: Training and Validation Functions: 0.0/?
- Part 4: Training: 2.0/?
- Part 5: Bonus — Residual Connection: 0.0/?</t>
        </is>
      </c>
      <c r="AC457" t="n">
        <v>6</v>
      </c>
      <c r="AD457" t="inlineStr">
        <is>
          <t>The student's submission failed to meet the requirements of the task. The code was not organized correctly, and several tasks were not completed. The student attempted to define the dataset class, but the code was not correct. The model class was not defined correctly, and the training and validation loops were not specified. The training process was not executed correctly, and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457" t="n">
        <v>0</v>
      </c>
      <c r="AF457" t="n">
        <v>0</v>
      </c>
      <c r="AG457" t="inlineStr">
        <is>
          <t>No submission found.</t>
        </is>
      </c>
      <c r="AH457" t="n">
        <v>18</v>
      </c>
      <c r="AI457" t="n">
        <v>0</v>
      </c>
    </row>
    <row r="458">
      <c r="A458" t="n">
        <v>457</v>
      </c>
      <c r="B458" t="inlineStr">
        <is>
          <t>TA_9</t>
        </is>
      </c>
      <c r="C458" t="inlineStr">
        <is>
          <t>TA_19</t>
        </is>
      </c>
      <c r="D458" t="n">
        <v>11</v>
      </c>
      <c r="E458" t="n">
        <v>0</v>
      </c>
      <c r="F458" t="n">
        <v>9</v>
      </c>
      <c r="G458" t="n">
        <v>0</v>
      </c>
      <c r="H458" t="n">
        <v>12</v>
      </c>
      <c r="I458" t="n">
        <v>0</v>
      </c>
      <c r="J458" t="n">
        <v>9.5</v>
      </c>
      <c r="K458" t="n">
        <v>1</v>
      </c>
      <c r="L458" t="n">
        <v>8.5</v>
      </c>
      <c r="M458" t="n">
        <v>0</v>
      </c>
      <c r="N458" t="n">
        <v>12</v>
      </c>
      <c r="O458" t="n">
        <v>0</v>
      </c>
      <c r="P458">
        <f>Table1[[#This Row],[TA 1 - Q1 Score]]+Table1[[#This Row],[TA 1 - Q2 Score]]+Table1[[#This Row],[TA 1 - Q3 Score]]</f>
        <v/>
      </c>
      <c r="Q458">
        <f>Table1[[#This Row],[TA 1 - Q1 Bonus]]+Table1[[#This Row],[TA 1 - Q2 Bonus]]+Table1[[#This Row],[TA 1 - Q4 Bonus]]</f>
        <v/>
      </c>
      <c r="R458">
        <f>Table1[[#This Row],[TA 2 - Q1 Score]]+Table1[[#This Row],[TA 2 - Q2 Score]]+Table1[[#This Row],[TA 2 - Q3 Score]]</f>
        <v/>
      </c>
      <c r="S458">
        <f>Table1[[#This Row],[TA 2 - Q1 Bonus]]+Table1[[#This Row],[TA 2 - Q2 Bonus]]+Table1[[#This Row],[TA 2 - Q4 Bonus]]</f>
        <v/>
      </c>
      <c r="T458">
        <f>(Table1[[#This Row],[TA 1 - Total Score (out of 35)]]+Table1[[#This Row],[TA 2 - Total Score (out of 35)]])/2</f>
        <v/>
      </c>
      <c r="U458">
        <f>(Table1[[#This Row],[TA 1 - Total Bonus (out of 13)]]+Table1[[#This Row],[TA 2 - Total Bonus (out of 13)]])/2</f>
        <v/>
      </c>
      <c r="V458">
        <f>Table1[[#This Row],[Average Questions]]/35*20+Table1[[#This Row],[Average Bonus]]/13*5</f>
        <v/>
      </c>
      <c r="W458" t="n">
        <v>6</v>
      </c>
      <c r="X458" t="n">
        <v>0</v>
      </c>
      <c r="Y458" t="inlineStr">
        <is>
          <t>The student's submission failed to complete several key tasks, including loading and preparing the data, loading the pretrained model and adapting it, and implementing the training and validation functions. Although the student attempted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2.0/?
- Part 5: Bonus — Test Time Augmentation: 0.0/?</t>
        </is>
      </c>
      <c r="Z458" t="n">
        <v>4</v>
      </c>
      <c r="AA458" t="n">
        <v>0</v>
      </c>
      <c r="AB458" t="inlineStr">
        <is>
          <t>The student's submission failed to meet the requirements of the task. The code did not load and prepare the data correctly, and the CNN model was not built as specified. The training and validation functions were not implemented, and the training process was not executed. The bonus task of adding a residual connection was not attempted. The student's code was disorganized and failed to run end-to-end.
Breakdown:
- Part 1: Load and Prepare Data: 0.0/?
- Part 2: Build the CNN Model: 0.0/?
- Part 3: Training and Validation Functions: 0.0/?
- Part 4: Training: 0.0/?
- Part 5: Bonus — Residual Connection: 0.0/?</t>
        </is>
      </c>
      <c r="AC458" t="n">
        <v>6</v>
      </c>
      <c r="AD458"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58" t="n">
        <v>0</v>
      </c>
      <c r="AF458" t="n">
        <v>0</v>
      </c>
      <c r="AG458" t="inlineStr">
        <is>
          <t>No submission found.</t>
        </is>
      </c>
      <c r="AH458" t="n">
        <v>16</v>
      </c>
      <c r="AI458" t="n">
        <v>0</v>
      </c>
    </row>
    <row r="459">
      <c r="A459" t="n">
        <v>458</v>
      </c>
      <c r="B459" t="inlineStr">
        <is>
          <t>TA_9</t>
        </is>
      </c>
      <c r="C459" t="inlineStr">
        <is>
          <t>TA_19</t>
        </is>
      </c>
      <c r="D459" t="n">
        <v>12</v>
      </c>
      <c r="E459" t="n">
        <v>0</v>
      </c>
      <c r="F459" t="n">
        <v>11</v>
      </c>
      <c r="G459" t="n">
        <v>0</v>
      </c>
      <c r="H459" t="n">
        <v>11.5</v>
      </c>
      <c r="I459" t="n">
        <v>0</v>
      </c>
      <c r="J459" t="n">
        <v>12</v>
      </c>
      <c r="K459" t="n">
        <v>0</v>
      </c>
      <c r="L459" t="n">
        <v>10.75</v>
      </c>
      <c r="M459" t="n">
        <v>0</v>
      </c>
      <c r="N459" t="n">
        <v>11.5</v>
      </c>
      <c r="O459" t="n">
        <v>0</v>
      </c>
      <c r="P459">
        <f>Table1[[#This Row],[TA 1 - Q1 Score]]+Table1[[#This Row],[TA 1 - Q2 Score]]+Table1[[#This Row],[TA 1 - Q3 Score]]</f>
        <v/>
      </c>
      <c r="Q459">
        <f>Table1[[#This Row],[TA 1 - Q1 Bonus]]+Table1[[#This Row],[TA 1 - Q2 Bonus]]+Table1[[#This Row],[TA 1 - Q4 Bonus]]</f>
        <v/>
      </c>
      <c r="R459">
        <f>Table1[[#This Row],[TA 2 - Q1 Score]]+Table1[[#This Row],[TA 2 - Q2 Score]]+Table1[[#This Row],[TA 2 - Q3 Score]]</f>
        <v/>
      </c>
      <c r="S459">
        <f>Table1[[#This Row],[TA 2 - Q1 Bonus]]+Table1[[#This Row],[TA 2 - Q2 Bonus]]+Table1[[#This Row],[TA 2 - Q4 Bonus]]</f>
        <v/>
      </c>
      <c r="T459">
        <f>(Table1[[#This Row],[TA 1 - Total Score (out of 35)]]+Table1[[#This Row],[TA 2 - Total Score (out of 35)]])/2</f>
        <v/>
      </c>
      <c r="U459">
        <f>(Table1[[#This Row],[TA 1 - Total Bonus (out of 13)]]+Table1[[#This Row],[TA 2 - Total Bonus (out of 13)]])/2</f>
        <v/>
      </c>
      <c r="V459">
        <f>Table1[[#This Row],[Average Questions]]/35*20+Table1[[#This Row],[Average Bonus]]/13*5</f>
        <v/>
      </c>
      <c r="W459" t="n">
        <v>6</v>
      </c>
      <c r="X459" t="n">
        <v>0</v>
      </c>
      <c r="Y45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disregarding the explicit instructions provided in the reference solution.
Breakdown:
- Part 1: Load and Prepare Data: 0.0/?
- Part 2: Load Pretrained Model and Adapt: 0.0/?
- Part 3: Training and Validation Functions: 0.0/?
- Part 4: Training: 3.0/?
- Part 5: Bonus — Test Time Augmentation: 0.0/?</t>
        </is>
      </c>
      <c r="Z459" t="n">
        <v>4</v>
      </c>
      <c r="AA459" t="n">
        <v>0</v>
      </c>
      <c r="AB459"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459" t="n">
        <v>6</v>
      </c>
      <c r="AD459" t="inlineStr">
        <is>
          <t>The student's submission failed to address several key tasks, including building a custom dataset class, defining a model class, and implementing training and validation loops. While the student did attempt to visualize predictions, their code did not meet the requirements of the task, which included displaying the ground truth and predicted masks for multiple images.
Breakdown:
- Task 1: Dataset Class: 0.0/?
- Task 2: Model Class: 0.0/?
- Task 3: Training and Validation Loops: 0.0/?
- Task 4: Running Training: 0.0/?
- Task 5: Visualizing Predictions: 6.0/?</t>
        </is>
      </c>
      <c r="AE459" t="n">
        <v>0</v>
      </c>
      <c r="AF459" t="n">
        <v>0</v>
      </c>
      <c r="AG459" t="inlineStr">
        <is>
          <t>No submission found.</t>
        </is>
      </c>
      <c r="AH459" t="n">
        <v>16</v>
      </c>
      <c r="AI459" t="n">
        <v>0</v>
      </c>
    </row>
    <row r="460">
      <c r="A460" t="n">
        <v>459</v>
      </c>
      <c r="B460" t="inlineStr">
        <is>
          <t>TA_9</t>
        </is>
      </c>
      <c r="C460" t="inlineStr">
        <is>
          <t>TA_19</t>
        </is>
      </c>
      <c r="D460" t="n">
        <v>12</v>
      </c>
      <c r="E460" t="n">
        <v>4</v>
      </c>
      <c r="F460" t="n">
        <v>11</v>
      </c>
      <c r="G460" t="n">
        <v>4</v>
      </c>
      <c r="H460" t="n">
        <v>12</v>
      </c>
      <c r="I460" t="n">
        <v>5</v>
      </c>
      <c r="J460" t="n">
        <v>12</v>
      </c>
      <c r="K460" t="n">
        <v>4</v>
      </c>
      <c r="L460" t="n">
        <v>11</v>
      </c>
      <c r="M460" t="n">
        <v>4</v>
      </c>
      <c r="N460" t="n">
        <v>12</v>
      </c>
      <c r="O460" t="n">
        <v>5</v>
      </c>
      <c r="P460">
        <f>Table1[[#This Row],[TA 1 - Q1 Score]]+Table1[[#This Row],[TA 1 - Q2 Score]]+Table1[[#This Row],[TA 1 - Q3 Score]]</f>
        <v/>
      </c>
      <c r="Q460">
        <f>Table1[[#This Row],[TA 1 - Q1 Bonus]]+Table1[[#This Row],[TA 1 - Q2 Bonus]]+Table1[[#This Row],[TA 1 - Q4 Bonus]]</f>
        <v/>
      </c>
      <c r="R460">
        <f>Table1[[#This Row],[TA 2 - Q1 Score]]+Table1[[#This Row],[TA 2 - Q2 Score]]+Table1[[#This Row],[TA 2 - Q3 Score]]</f>
        <v/>
      </c>
      <c r="S460">
        <f>Table1[[#This Row],[TA 2 - Q1 Bonus]]+Table1[[#This Row],[TA 2 - Q2 Bonus]]+Table1[[#This Row],[TA 2 - Q4 Bonus]]</f>
        <v/>
      </c>
      <c r="T460">
        <f>(Table1[[#This Row],[TA 1 - Total Score (out of 35)]]+Table1[[#This Row],[TA 2 - Total Score (out of 35)]])/2</f>
        <v/>
      </c>
      <c r="U460">
        <f>(Table1[[#This Row],[TA 1 - Total Bonus (out of 13)]]+Table1[[#This Row],[TA 2 - Total Bonus (out of 13)]])/2</f>
        <v/>
      </c>
      <c r="V460">
        <f>Table1[[#This Row],[Average Questions]]/35*20+Table1[[#This Row],[Average Bonus]]/13*5</f>
        <v/>
      </c>
      <c r="W460" t="n">
        <v>6</v>
      </c>
      <c r="X460" t="n">
        <v>0</v>
      </c>
      <c r="Y460"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460" t="n">
        <v>4</v>
      </c>
      <c r="AA460" t="n">
        <v>0</v>
      </c>
      <c r="AB460"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each task, with a total score of 0.0 for the base tasks and 0.0 for the bonus task.
Breakdown:
- Part 1: Load and Prepare Data: 0.0/?
- Part 2: Build the CNN Model: 0.0/?
- Part 3: Training and Validation Functions: 0.0/?
- Part 4: Training: 0.0/?
- Part 5: Bonus — Residual Connection: 0.0/?</t>
        </is>
      </c>
      <c r="AC460" t="n">
        <v>6</v>
      </c>
      <c r="AD460"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60" t="n">
        <v>0</v>
      </c>
      <c r="AF460" t="n">
        <v>0</v>
      </c>
      <c r="AG460" t="inlineStr">
        <is>
          <t>The student's submission failed to implement the `ColorizationDataset` class correctly, resulting in a score of 0.0 for the base task. The `rgb_to_grayscale` method's formula was incorrect, and the `__getitem__` method was missing the required functionality. As a result, the student did not receive any points for this task.
Breakdown:
- Correctly implemented `ColorizationDataset` class:: 0.0/?</t>
        </is>
      </c>
      <c r="AH460" t="n">
        <v>16</v>
      </c>
      <c r="AI460" t="n">
        <v>0</v>
      </c>
    </row>
    <row r="461">
      <c r="A461" t="n">
        <v>460</v>
      </c>
      <c r="B461" t="inlineStr">
        <is>
          <t>TA_9</t>
        </is>
      </c>
      <c r="C461" t="inlineStr">
        <is>
          <t>TA_19</t>
        </is>
      </c>
      <c r="D461" t="n">
        <v>12</v>
      </c>
      <c r="E461" t="n">
        <v>3.8</v>
      </c>
      <c r="F461" t="n">
        <v>10.75</v>
      </c>
      <c r="G461" t="n">
        <v>4</v>
      </c>
      <c r="H461" t="n">
        <v>10.75</v>
      </c>
      <c r="I461" t="n">
        <v>5</v>
      </c>
      <c r="J461" t="n">
        <v>12</v>
      </c>
      <c r="K461" t="n">
        <v>2</v>
      </c>
      <c r="L461" t="n">
        <v>10.75</v>
      </c>
      <c r="M461" t="n">
        <v>4</v>
      </c>
      <c r="N461" t="n">
        <v>10</v>
      </c>
      <c r="O461" t="n">
        <v>5</v>
      </c>
      <c r="P461">
        <f>Table1[[#This Row],[TA 1 - Q1 Score]]+Table1[[#This Row],[TA 1 - Q2 Score]]+Table1[[#This Row],[TA 1 - Q3 Score]]</f>
        <v/>
      </c>
      <c r="Q461">
        <f>Table1[[#This Row],[TA 1 - Q1 Bonus]]+Table1[[#This Row],[TA 1 - Q2 Bonus]]+Table1[[#This Row],[TA 1 - Q4 Bonus]]</f>
        <v/>
      </c>
      <c r="R461">
        <f>Table1[[#This Row],[TA 2 - Q1 Score]]+Table1[[#This Row],[TA 2 - Q2 Score]]+Table1[[#This Row],[TA 2 - Q3 Score]]</f>
        <v/>
      </c>
      <c r="S461">
        <f>Table1[[#This Row],[TA 2 - Q1 Bonus]]+Table1[[#This Row],[TA 2 - Q2 Bonus]]+Table1[[#This Row],[TA 2 - Q4 Bonus]]</f>
        <v/>
      </c>
      <c r="T461">
        <f>(Table1[[#This Row],[TA 1 - Total Score (out of 35)]]+Table1[[#This Row],[TA 2 - Total Score (out of 35)]])/2</f>
        <v/>
      </c>
      <c r="U461">
        <f>(Table1[[#This Row],[TA 1 - Total Bonus (out of 13)]]+Table1[[#This Row],[TA 2 - Total Bonus (out of 13)]])/2</f>
        <v/>
      </c>
      <c r="V461">
        <f>Table1[[#This Row],[Average Questions]]/35*20+Table1[[#This Row],[Average Bonus]]/13*5</f>
        <v/>
      </c>
      <c r="W461" t="n">
        <v>6</v>
      </c>
      <c r="X461" t="n">
        <v>0</v>
      </c>
      <c r="Y461" t="inlineStr">
        <is>
          <t>The student's submission failed to complete several key tasks, including loading and preparing data, loading a pretrained model, and training the model. The code for training and validation functions was partially correct, but the student failed to fix the labels for 0-indexing. The bonus task of implementing test time augmentation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461" t="n">
        <v>6</v>
      </c>
      <c r="AA461" t="n">
        <v>0</v>
      </c>
      <c r="AB46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residual connection bonus task was also not implemented correctly. As a result, the student's submission was awarded a score of 2.0 for the training task and 0.0 for all other tasks.
Breakdown:
- Part 1: Load and Prepare Data: 0.0/?
- Part 2: Build the CNN Model: 0.0/?
- Part 3: Training and Validation Functions: 0.0/?
- Part 4: Training: 2.0/?
- Part 5: Bonus — Residual Connection: 0.0/?</t>
        </is>
      </c>
      <c r="AC461" t="n">
        <v>6</v>
      </c>
      <c r="AD461" t="inlineStr">
        <is>
          <t>The student's submission failed to address any of the tasks in Question 3. The code provided does not attempt to solve any of the tasks, and therefore, no partial credit can be awarded. The student's submission is incomplete and does not demonstrate any understanding of the concepts required to solve the tasks.
Breakdown:
- Task 1: Dataset Class: 0.0/?
- Task 2: Model Class: 0.0/?
- Task 3: Training and Validation Loops: 0.0/?
- Task 4: Running Training: 0.0/?
- Task 5: Visualizing Predictions: 0.0/?</t>
        </is>
      </c>
      <c r="AE461" t="n">
        <v>0</v>
      </c>
      <c r="AF461" t="n">
        <v>0</v>
      </c>
      <c r="AG461" t="inlineStr">
        <is>
          <t>The student's submission failed to implement the `ColorizationDataset` class correctly, resulting in a score of 0.0 for the base task. The `rgb_to_grayscale` method was not implemented correctly, and the `__getitem__` method did not return the grayscale and color images as required. As a result, the student did not earn any points for this task.
Breakdown:
- Correctly implemented `ColorizationDataset` class:: 0.0/?</t>
        </is>
      </c>
      <c r="AH461" t="n">
        <v>18</v>
      </c>
      <c r="AI461" t="n">
        <v>0</v>
      </c>
    </row>
    <row r="462">
      <c r="A462" t="n">
        <v>461</v>
      </c>
      <c r="B462" t="inlineStr">
        <is>
          <t>TA_9</t>
        </is>
      </c>
      <c r="C462" t="inlineStr">
        <is>
          <t>TA_19</t>
        </is>
      </c>
      <c r="D462" t="n">
        <v>11.75</v>
      </c>
      <c r="E462" t="n">
        <v>0</v>
      </c>
      <c r="F462" t="n">
        <v>10.25</v>
      </c>
      <c r="G462" t="n">
        <v>0</v>
      </c>
      <c r="H462" t="n">
        <v>12</v>
      </c>
      <c r="I462" t="n">
        <v>5</v>
      </c>
      <c r="J462" t="n">
        <v>12</v>
      </c>
      <c r="K462" t="n">
        <v>0</v>
      </c>
      <c r="L462" t="n">
        <v>8.25</v>
      </c>
      <c r="M462" t="n">
        <v>0</v>
      </c>
      <c r="N462" t="n">
        <v>11</v>
      </c>
      <c r="O462" t="n">
        <v>5</v>
      </c>
      <c r="P462">
        <f>Table1[[#This Row],[TA 1 - Q1 Score]]+Table1[[#This Row],[TA 1 - Q2 Score]]+Table1[[#This Row],[TA 1 - Q3 Score]]</f>
        <v/>
      </c>
      <c r="Q462">
        <f>Table1[[#This Row],[TA 1 - Q1 Bonus]]+Table1[[#This Row],[TA 1 - Q2 Bonus]]+Table1[[#This Row],[TA 1 - Q4 Bonus]]</f>
        <v/>
      </c>
      <c r="R462">
        <f>Table1[[#This Row],[TA 2 - Q1 Score]]+Table1[[#This Row],[TA 2 - Q2 Score]]+Table1[[#This Row],[TA 2 - Q3 Score]]</f>
        <v/>
      </c>
      <c r="S462">
        <f>Table1[[#This Row],[TA 2 - Q1 Bonus]]+Table1[[#This Row],[TA 2 - Q2 Bonus]]+Table1[[#This Row],[TA 2 - Q4 Bonus]]</f>
        <v/>
      </c>
      <c r="T462">
        <f>(Table1[[#This Row],[TA 1 - Total Score (out of 35)]]+Table1[[#This Row],[TA 2 - Total Score (out of 35)]])/2</f>
        <v/>
      </c>
      <c r="U462">
        <f>(Table1[[#This Row],[TA 1 - Total Bonus (out of 13)]]+Table1[[#This Row],[TA 2 - Total Bonus (out of 13)]])/2</f>
        <v/>
      </c>
      <c r="V462">
        <f>Table1[[#This Row],[Average Questions]]/35*20+Table1[[#This Row],[Average Bonus]]/13*5</f>
        <v/>
      </c>
      <c r="W462" t="n">
        <v>8</v>
      </c>
      <c r="X462" t="n">
        <v>0</v>
      </c>
      <c r="Y462" t="inlineStr">
        <is>
          <t>The student's submission failed to complete several key tasks, including loading and preparing data, loading a pretrained model and adapting it, and implementing test time augmentation. While they made an attempt at training and validation functions, their implementation was incomplete and did not run end-to-end. As a result, the student was unable to train the model and evaluate its performance. The submission also failed to display sample images, which is a critical component of the task. Overall, the student's submission demonstrated a lack of understanding of the task requirements and a failure to execute key components of the code.
Breakdown:
- Part 1: Load and Prepare Data: 0.0/?
- Part 2: Load Pretrained Model and Adapt: 0.0/?
- Part 3: Training and Validation Functions: 1.5/?
- Part 4: Training: 2.5/?
- Part 5: Bonus — Test Time Augmentation: 0.0/?</t>
        </is>
      </c>
      <c r="Z462" t="n">
        <v>4</v>
      </c>
      <c r="AA462" t="n">
        <v>0</v>
      </c>
      <c r="AB462"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462" t="n">
        <v>6</v>
      </c>
      <c r="AD462" t="inlineStr">
        <is>
          <t>The student's submission was incomplete and lacked code for most tasks. However, the code for visualizing predictions was mostly correct and attempted to run the task, but it had some issues due to missing imports and incorrect usage of the model. As a result, the student received partial credit for this task.
Breakdown:
- Task 1: Dataset Class: 0.0/?
- Task 2: Model Class: 0.0/?
- Task 3: Training and Validation Loops: 0.0/?
- Task 4: Running Training: 0.0/?
- Task 5: Visualizing Predictions: 6.0/?</t>
        </is>
      </c>
      <c r="AE462" t="n">
        <v>0</v>
      </c>
      <c r="AF462" t="n">
        <v>0</v>
      </c>
      <c r="AG462" t="inlineStr">
        <is>
          <t>The student's submission attempts to implement the `ColorizationDataset` class, but it is not fully correct. The `rgb_to_grayscale` method is missing the channel dimension addition, and the `__getitem__` method does not correctly return the grayscale and color images. As a result, the student does not receive any points for this task.
Breakdown:
- Correctly implemented `ColorizationDataset` class:: 0.0/?</t>
        </is>
      </c>
      <c r="AH462" t="n">
        <v>18</v>
      </c>
      <c r="AI462" t="n">
        <v>0</v>
      </c>
    </row>
    <row r="463">
      <c r="A463" t="n">
        <v>462</v>
      </c>
      <c r="B463" t="inlineStr">
        <is>
          <t>TA_9</t>
        </is>
      </c>
      <c r="C463" t="inlineStr">
        <is>
          <t>TA_19</t>
        </is>
      </c>
      <c r="D463" t="n">
        <v>2.75</v>
      </c>
      <c r="E463" t="n">
        <v>0</v>
      </c>
      <c r="F463" t="n">
        <v>9</v>
      </c>
      <c r="G463" t="n">
        <v>0</v>
      </c>
      <c r="H463" t="n">
        <v>7</v>
      </c>
      <c r="I463" t="n">
        <v>0</v>
      </c>
      <c r="J463" t="n">
        <v>5.5</v>
      </c>
      <c r="K463" t="n">
        <v>0</v>
      </c>
      <c r="L463" t="n">
        <v>9</v>
      </c>
      <c r="M463" t="n">
        <v>0</v>
      </c>
      <c r="N463" t="n">
        <v>7.75</v>
      </c>
      <c r="O463" t="n">
        <v>0</v>
      </c>
      <c r="P463">
        <f>Table1[[#This Row],[TA 1 - Q1 Score]]+Table1[[#This Row],[TA 1 - Q2 Score]]+Table1[[#This Row],[TA 1 - Q3 Score]]</f>
        <v/>
      </c>
      <c r="Q463">
        <f>Table1[[#This Row],[TA 1 - Q1 Bonus]]+Table1[[#This Row],[TA 1 - Q2 Bonus]]+Table1[[#This Row],[TA 1 - Q4 Bonus]]</f>
        <v/>
      </c>
      <c r="R463">
        <f>Table1[[#This Row],[TA 2 - Q1 Score]]+Table1[[#This Row],[TA 2 - Q2 Score]]+Table1[[#This Row],[TA 2 - Q3 Score]]</f>
        <v/>
      </c>
      <c r="S463">
        <f>Table1[[#This Row],[TA 2 - Q1 Bonus]]+Table1[[#This Row],[TA 2 - Q2 Bonus]]+Table1[[#This Row],[TA 2 - Q4 Bonus]]</f>
        <v/>
      </c>
      <c r="T463">
        <f>(Table1[[#This Row],[TA 1 - Total Score (out of 35)]]+Table1[[#This Row],[TA 2 - Total Score (out of 35)]])/2</f>
        <v/>
      </c>
      <c r="U463">
        <f>(Table1[[#This Row],[TA 1 - Total Bonus (out of 13)]]+Table1[[#This Row],[TA 2 - Total Bonus (out of 13)]])/2</f>
        <v/>
      </c>
      <c r="V463">
        <f>Table1[[#This Row],[Average Questions]]/35*20+Table1[[#This Row],[Average Bonus]]/13*5</f>
        <v/>
      </c>
      <c r="W463" t="n">
        <v>6</v>
      </c>
      <c r="X463" t="n">
        <v>0</v>
      </c>
      <c r="Y46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2.0/?
- Part 5: Bonus — Test Time Augmentation: 0.0/?</t>
        </is>
      </c>
      <c r="Z463" t="n">
        <v>4</v>
      </c>
      <c r="AA463" t="n">
        <v>0</v>
      </c>
      <c r="AB463"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463" t="n">
        <v>6</v>
      </c>
      <c r="AD463" t="inlineStr">
        <is>
          <t>The student's submission failed to meet the requirements of the task.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63" t="n">
        <v>0</v>
      </c>
      <c r="AF463" t="n">
        <v>0</v>
      </c>
      <c r="AG463" t="inlineStr">
        <is>
          <t>No submission found.</t>
        </is>
      </c>
      <c r="AH463" t="n">
        <v>16</v>
      </c>
      <c r="AI463" t="n">
        <v>0</v>
      </c>
    </row>
    <row r="464">
      <c r="A464" t="n">
        <v>463</v>
      </c>
      <c r="B464" t="inlineStr">
        <is>
          <t>TA_9</t>
        </is>
      </c>
      <c r="C464" t="inlineStr">
        <is>
          <t>TA_19</t>
        </is>
      </c>
      <c r="D464" t="n">
        <v>11.75</v>
      </c>
      <c r="E464" t="n">
        <v>4</v>
      </c>
      <c r="F464" t="n">
        <v>11</v>
      </c>
      <c r="G464" t="n">
        <v>3.5</v>
      </c>
      <c r="H464" t="n">
        <v>12</v>
      </c>
      <c r="I464" t="n">
        <v>5</v>
      </c>
      <c r="J464" t="n">
        <v>12</v>
      </c>
      <c r="K464" t="n">
        <v>4</v>
      </c>
      <c r="L464" t="n">
        <v>9</v>
      </c>
      <c r="M464" t="n">
        <v>3</v>
      </c>
      <c r="N464" t="n">
        <v>12</v>
      </c>
      <c r="O464" t="n">
        <v>5</v>
      </c>
      <c r="P464">
        <f>Table1[[#This Row],[TA 1 - Q1 Score]]+Table1[[#This Row],[TA 1 - Q2 Score]]+Table1[[#This Row],[TA 1 - Q3 Score]]</f>
        <v/>
      </c>
      <c r="Q464">
        <f>Table1[[#This Row],[TA 1 - Q1 Bonus]]+Table1[[#This Row],[TA 1 - Q2 Bonus]]+Table1[[#This Row],[TA 1 - Q4 Bonus]]</f>
        <v/>
      </c>
      <c r="R464">
        <f>Table1[[#This Row],[TA 2 - Q1 Score]]+Table1[[#This Row],[TA 2 - Q2 Score]]+Table1[[#This Row],[TA 2 - Q3 Score]]</f>
        <v/>
      </c>
      <c r="S464">
        <f>Table1[[#This Row],[TA 2 - Q1 Bonus]]+Table1[[#This Row],[TA 2 - Q2 Bonus]]+Table1[[#This Row],[TA 2 - Q4 Bonus]]</f>
        <v/>
      </c>
      <c r="T464">
        <f>(Table1[[#This Row],[TA 1 - Total Score (out of 35)]]+Table1[[#This Row],[TA 2 - Total Score (out of 35)]])/2</f>
        <v/>
      </c>
      <c r="U464">
        <f>(Table1[[#This Row],[TA 1 - Total Bonus (out of 13)]]+Table1[[#This Row],[TA 2 - Total Bonus (out of 13)]])/2</f>
        <v/>
      </c>
      <c r="V464">
        <f>Table1[[#This Row],[Average Questions]]/35*20+Table1[[#This Row],[Average Bonus]]/13*5</f>
        <v/>
      </c>
      <c r="W464" t="n">
        <v>6</v>
      </c>
      <c r="X464" t="n">
        <v>0</v>
      </c>
      <c r="Y46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implementation of test time augmentation was also incomplete. Overall, the student's submission demonstrated a lack of understanding of the key concepts and failed to execute the tasks correctly.
Breakdown:
- Part 1: Load and Prepare Data: 0.0/?
- Part 2: Load Pretrained Model and Adapt: 0.0/?
- Part 3: Training and Validation Functions: 0.0/?
- Part 4: Training: 2.0/?
- Part 5: Bonus — Test Time Augmentation: 0.0/?</t>
        </is>
      </c>
      <c r="Z464" t="n">
        <v>6</v>
      </c>
      <c r="AA464" t="n">
        <v>0</v>
      </c>
      <c r="AB464" t="inlineStr">
        <is>
          <t>The student's submission failed to load and prepare the data correctly, as they did not use the provided dataset class or ImageFolder. They also failed to build the CNN model with the required 5 convolutional layers and batch normalization. The training and validation functions were not implemented correctly. Although the student attempted to train the model, they did not plot the losses and accuracy. The bonus task of adding a residual connection was not implemented at all.
Breakdown:
- Part 1: Load and Prepare Data: 0.0/?
- Part 2: Build the CNN Model: 0.0/?
- Part 3: Training and Validation Functions: 0.0/?
- Part 4: Training: 1.0/?
- Part 5: Bonus — Residual Connection: 0.0/?</t>
        </is>
      </c>
      <c r="AC464" t="n">
        <v>6</v>
      </c>
      <c r="AD464"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464" t="n">
        <v>0</v>
      </c>
      <c r="AF464" t="n">
        <v>1</v>
      </c>
      <c r="AG464" t="inlineStr">
        <is>
          <t>The student's submission demonstrates a good understanding of the ColorizationDataset class. They have correctly implemented the `__init__`, `__len__`, `rgb_to_grayscale`, and `__getitem__` methods. However, they have made a mistake in the `rgb_to_grayscale` method by not adding a channel dimension to the grayscale image. This results in a score of 4.0 for the base task. The student has also attempted to visualize the grayscale and color images, but this is not a required task, so it does not affect the score. The bonus task is awarded 1.0 point for attempting to implement the ColorizationDataset class.
Breakdown:
- Correctly implemented `ColorizationDataset` class: 4.0/?
- Any mistake in implementation: 0.0/?</t>
        </is>
      </c>
      <c r="AH464" t="n">
        <v>18</v>
      </c>
      <c r="AI464" t="n">
        <v>1</v>
      </c>
    </row>
    <row r="465">
      <c r="A465" t="n">
        <v>464</v>
      </c>
      <c r="B465" t="inlineStr">
        <is>
          <t>TA_9</t>
        </is>
      </c>
      <c r="C465" t="inlineStr">
        <is>
          <t>TA_19</t>
        </is>
      </c>
      <c r="D465" t="n">
        <v>11.75</v>
      </c>
      <c r="E465" t="n">
        <v>0</v>
      </c>
      <c r="F465" t="n">
        <v>11</v>
      </c>
      <c r="G465" t="n">
        <v>0</v>
      </c>
      <c r="H465" t="n">
        <v>6</v>
      </c>
      <c r="I465" t="n">
        <v>0</v>
      </c>
      <c r="J465" t="n">
        <v>12</v>
      </c>
      <c r="K465" t="n">
        <v>0</v>
      </c>
      <c r="L465" t="n">
        <v>10.5</v>
      </c>
      <c r="M465" t="n">
        <v>0</v>
      </c>
      <c r="N465" t="n">
        <v>4.25</v>
      </c>
      <c r="O465" t="n">
        <v>0</v>
      </c>
      <c r="P465">
        <f>Table1[[#This Row],[TA 1 - Q1 Score]]+Table1[[#This Row],[TA 1 - Q2 Score]]+Table1[[#This Row],[TA 1 - Q3 Score]]</f>
        <v/>
      </c>
      <c r="Q465">
        <f>Table1[[#This Row],[TA 1 - Q1 Bonus]]+Table1[[#This Row],[TA 1 - Q2 Bonus]]+Table1[[#This Row],[TA 1 - Q4 Bonus]]</f>
        <v/>
      </c>
      <c r="R465">
        <f>Table1[[#This Row],[TA 2 - Q1 Score]]+Table1[[#This Row],[TA 2 - Q2 Score]]+Table1[[#This Row],[TA 2 - Q3 Score]]</f>
        <v/>
      </c>
      <c r="S465">
        <f>Table1[[#This Row],[TA 2 - Q1 Bonus]]+Table1[[#This Row],[TA 2 - Q2 Bonus]]+Table1[[#This Row],[TA 2 - Q4 Bonus]]</f>
        <v/>
      </c>
      <c r="T465">
        <f>(Table1[[#This Row],[TA 1 - Total Score (out of 35)]]+Table1[[#This Row],[TA 2 - Total Score (out of 35)]])/2</f>
        <v/>
      </c>
      <c r="U465">
        <f>(Table1[[#This Row],[TA 1 - Total Bonus (out of 13)]]+Table1[[#This Row],[TA 2 - Total Bonus (out of 13)]])/2</f>
        <v/>
      </c>
      <c r="V465">
        <f>Table1[[#This Row],[Average Questions]]/35*20+Table1[[#This Row],[Average Bonus]]/13*5</f>
        <v/>
      </c>
      <c r="W465" t="n">
        <v>6</v>
      </c>
      <c r="X465" t="n">
        <v>0</v>
      </c>
      <c r="Y465" t="inlineStr">
        <is>
          <t>The student's submission failed to address several key tasks, including loading and preparing data, loading a pretrained model and adapting it, and implementing training and validation functions. While the student did write some code for the training task, it was incomplete. As a result, the student was unable to demonstrate a fully functional solution to the problem.
Breakdown:
- Part 1: Load and Prepare Data: 0.0/?
- Part 2: Load Pretrained Model and Adapt: 0.0/?
- Part 3: Training and Validation Functions: 0.0/?
- Part 4: Training: 2.5/?
- Part 5: Bonus — Test Time Augmentation: 0.0/?</t>
        </is>
      </c>
      <c r="Z465" t="n">
        <v>4</v>
      </c>
      <c r="AA465" t="n">
        <v>0</v>
      </c>
      <c r="AB465" t="inlineStr">
        <is>
          <t>The student's submission failed to meet the requirements of the task. The code did not load and prepare the data correctly, and the CNN model was not built as specified. The training and validation functions were not implemented, and the training process was not executed. The bonus task of adding a residual connection was not attempted. As a result, the student received 0 points for each task.
Breakdown:
- Part 1: Load and Prepare Data: 0.0/?
- Part 2: Build the CNN Model: 0.0/?
- Part 3: Training and Validation Functions: 0.0/?
- Part 4: Training: 0.0/?
- Part 5: Bonus — Residual Connection: 0.0/?</t>
        </is>
      </c>
      <c r="AC465" t="n">
        <v>6</v>
      </c>
      <c r="AD465" t="inlineStr">
        <is>
          <t>The student's submission failed to meet the requirements of the task. The code was not organized in a way that allowed it to run end-to-end, and several tasks were not completed correctly. The student did not define the dataset class, model class, training and validation loops, or loss and optimizer correctly. As a result, the submission was awarded 0 points for each task.
Breakdown:
- Task 1: Dataset Class: 0.0/?
- Task 2: Model Class: 0.0/?
- Task 3: Training and Validation Loops: 0.0/?
- Task 4: Running Training: 0.0/?
- Task 5: Visualizing Predictions: 0.0/?</t>
        </is>
      </c>
      <c r="AE465" t="n">
        <v>0</v>
      </c>
      <c r="AF465" t="n">
        <v>0</v>
      </c>
      <c r="AG465" t="inlineStr">
        <is>
          <t>No submission found.</t>
        </is>
      </c>
      <c r="AH465" t="n">
        <v>16</v>
      </c>
      <c r="AI465" t="n">
        <v>0</v>
      </c>
    </row>
    <row r="466">
      <c r="A466" t="n">
        <v>465</v>
      </c>
      <c r="B466" t="inlineStr">
        <is>
          <t>TA_9</t>
        </is>
      </c>
      <c r="C466" t="inlineStr">
        <is>
          <t>TA_19</t>
        </is>
      </c>
      <c r="D466" t="n">
        <v>11</v>
      </c>
      <c r="E466" t="n">
        <v>0</v>
      </c>
      <c r="F466" t="n">
        <v>11</v>
      </c>
      <c r="G466" t="n">
        <v>0</v>
      </c>
      <c r="H466" t="n">
        <v>12</v>
      </c>
      <c r="I466" t="n">
        <v>0</v>
      </c>
      <c r="J466" t="n">
        <v>11</v>
      </c>
      <c r="K466" t="n">
        <v>0</v>
      </c>
      <c r="L466" t="n">
        <v>10.9</v>
      </c>
      <c r="M466" t="n">
        <v>0</v>
      </c>
      <c r="N466" t="n">
        <v>12</v>
      </c>
      <c r="O466" t="n">
        <v>0</v>
      </c>
      <c r="P466">
        <f>Table1[[#This Row],[TA 1 - Q1 Score]]+Table1[[#This Row],[TA 1 - Q2 Score]]+Table1[[#This Row],[TA 1 - Q3 Score]]</f>
        <v/>
      </c>
      <c r="Q466">
        <f>Table1[[#This Row],[TA 1 - Q1 Bonus]]+Table1[[#This Row],[TA 1 - Q2 Bonus]]+Table1[[#This Row],[TA 1 - Q4 Bonus]]</f>
        <v/>
      </c>
      <c r="R466">
        <f>Table1[[#This Row],[TA 2 - Q1 Score]]+Table1[[#This Row],[TA 2 - Q2 Score]]+Table1[[#This Row],[TA 2 - Q3 Score]]</f>
        <v/>
      </c>
      <c r="S466">
        <f>Table1[[#This Row],[TA 2 - Q1 Bonus]]+Table1[[#This Row],[TA 2 - Q2 Bonus]]+Table1[[#This Row],[TA 2 - Q4 Bonus]]</f>
        <v/>
      </c>
      <c r="T466">
        <f>(Table1[[#This Row],[TA 1 - Total Score (out of 35)]]+Table1[[#This Row],[TA 2 - Total Score (out of 35)]])/2</f>
        <v/>
      </c>
      <c r="U466">
        <f>(Table1[[#This Row],[TA 1 - Total Bonus (out of 13)]]+Table1[[#This Row],[TA 2 - Total Bonus (out of 13)]])/2</f>
        <v/>
      </c>
      <c r="V466">
        <f>Table1[[#This Row],[Average Questions]]/35*20+Table1[[#This Row],[Average Bonus]]/13*5</f>
        <v/>
      </c>
      <c r="W466" t="n">
        <v>6</v>
      </c>
      <c r="X466" t="n">
        <v>0</v>
      </c>
      <c r="Y466"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approach to the bonus task was entirely wrong, disregarding the explicit instructions provided in the reference solution.
Breakdown:
- Part 1: Load and Prepare Data: 0.0/?
- Part 2: Load Pretrained Model and Adapt: 0.0/?
- Part 3: Training and Validation Functions: 0.0/?
- Part 4: Training: 2.0/?
- Part 5: Bonus — Test Time Augmentation: 0.0/?</t>
        </is>
      </c>
      <c r="Z466" t="n">
        <v>6</v>
      </c>
      <c r="AA466" t="n">
        <v>0</v>
      </c>
      <c r="AB466" t="inlineStr">
        <is>
          <t>The student's submission failed to meet the requirements for several tasks. In Part 1, the student failed to create a custom Dataset class or use ImageFolder, and did not create the training and testing datasets and their DataLoaders. In Part 2, the student's CNN model class did not have 5 convolutional layers, and did not include Batch Normalization after each convolutional layer. In Part 3, the student did not define the training loop function and the validation loop function. In Part 4, the student set up the device, model, loss function, and optimizer, trained the model, and plotted the training and validation losses and training and validation accuracy. However, the student did not attempt the bonus task in Part 5, which involved adding a residual connection to the CNN model and retraining it.
Breakdown:
- Part 1: Load and Prepare Data: 0.0/?
- Part 2: Build the CNN Model: 0.0/?
- Part 3: Training and Validation Functions: 0.0/?
- Part 4: Training: 2.0/?
- Part 5: Bonus — Residual Connection: 0.0/?</t>
        </is>
      </c>
      <c r="AC466" t="n">
        <v>6</v>
      </c>
      <c r="AD466" t="inlineStr">
        <is>
          <t>The student's submission failed to address several key tasks, including building a custom dataset class, defining a model class, and implementing training and validation loops. While the student did attempt to visualize predictions, their code did not meet the full requirements of the task.
Breakdown:
- Task 1: Dataset Class: 0.0/?
- Task 2: Model Class: 0.0/?
- Task 3: Training and Validation Loops: 0.0/?
- Task 4: Running Training: 0.0/?
- Task 5: Visualizing Predictions: 6.0/?</t>
        </is>
      </c>
      <c r="AE466" t="n">
        <v>0</v>
      </c>
      <c r="AF466" t="n">
        <v>0</v>
      </c>
      <c r="AG466" t="inlineStr">
        <is>
          <t>No submission found.</t>
        </is>
      </c>
      <c r="AH466" t="n">
        <v>18</v>
      </c>
      <c r="AI466" t="n">
        <v>0</v>
      </c>
    </row>
    <row r="467">
      <c r="A467" t="n">
        <v>466</v>
      </c>
      <c r="B467" t="inlineStr">
        <is>
          <t>TA_9</t>
        </is>
      </c>
      <c r="C467" t="inlineStr">
        <is>
          <t>TA_19</t>
        </is>
      </c>
      <c r="D467" t="n">
        <v>3.75</v>
      </c>
      <c r="E467" t="n">
        <v>0</v>
      </c>
      <c r="F467" t="n">
        <v>8.5</v>
      </c>
      <c r="G467" t="n">
        <v>0</v>
      </c>
      <c r="H467" t="n">
        <v>8.25</v>
      </c>
      <c r="I467" t="n">
        <v>0</v>
      </c>
      <c r="J467" t="n">
        <v>3.75</v>
      </c>
      <c r="K467" t="n">
        <v>0</v>
      </c>
      <c r="L467" t="n">
        <v>7.75</v>
      </c>
      <c r="M467" t="n">
        <v>0</v>
      </c>
      <c r="N467" t="n">
        <v>6.75</v>
      </c>
      <c r="O467" t="n">
        <v>0</v>
      </c>
      <c r="P467">
        <f>Table1[[#This Row],[TA 1 - Q1 Score]]+Table1[[#This Row],[TA 1 - Q2 Score]]+Table1[[#This Row],[TA 1 - Q3 Score]]</f>
        <v/>
      </c>
      <c r="Q467">
        <f>Table1[[#This Row],[TA 1 - Q1 Bonus]]+Table1[[#This Row],[TA 1 - Q2 Bonus]]+Table1[[#This Row],[TA 1 - Q4 Bonus]]</f>
        <v/>
      </c>
      <c r="R467">
        <f>Table1[[#This Row],[TA 2 - Q1 Score]]+Table1[[#This Row],[TA 2 - Q2 Score]]+Table1[[#This Row],[TA 2 - Q3 Score]]</f>
        <v/>
      </c>
      <c r="S467">
        <f>Table1[[#This Row],[TA 2 - Q1 Bonus]]+Table1[[#This Row],[TA 2 - Q2 Bonus]]+Table1[[#This Row],[TA 2 - Q4 Bonus]]</f>
        <v/>
      </c>
      <c r="T467">
        <f>(Table1[[#This Row],[TA 1 - Total Score (out of 35)]]+Table1[[#This Row],[TA 2 - Total Score (out of 35)]])/2</f>
        <v/>
      </c>
      <c r="U467">
        <f>(Table1[[#This Row],[TA 1 - Total Bonus (out of 13)]]+Table1[[#This Row],[TA 2 - Total Bonus (out of 13)]])/2</f>
        <v/>
      </c>
      <c r="V467">
        <f>Table1[[#This Row],[Average Questions]]/35*20+Table1[[#This Row],[Average Bonus]]/13*5</f>
        <v/>
      </c>
      <c r="W467" t="n">
        <v>6</v>
      </c>
      <c r="X467" t="n">
        <v>0</v>
      </c>
      <c r="Y467"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resulting in a low overall score. The bonus task was not attempted.
Breakdown:
- Part 1: Load and Prepare Data: 0.0/?
- Part 2: Load Pretrained Model and Adapt: 0.0/?
- Part 3: Training and Validation Functions: 0.0/?
- Part 4: Training: 2.0/?
- Part 5: Bonus — Test Time Augmentation: 0.0/?</t>
        </is>
      </c>
      <c r="Z467" t="n">
        <v>4</v>
      </c>
      <c r="AA467" t="n">
        <v>0</v>
      </c>
      <c r="AB467"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67" t="n">
        <v>6</v>
      </c>
      <c r="AD467"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467" t="n">
        <v>0</v>
      </c>
      <c r="AF467" t="n">
        <v>0</v>
      </c>
      <c r="AG467" t="inlineStr">
        <is>
          <t>No submission found.</t>
        </is>
      </c>
      <c r="AH467" t="n">
        <v>16</v>
      </c>
      <c r="AI467" t="n">
        <v>0</v>
      </c>
    </row>
    <row r="468">
      <c r="A468" t="n">
        <v>467</v>
      </c>
      <c r="B468" t="inlineStr">
        <is>
          <t>TA_9</t>
        </is>
      </c>
      <c r="C468" t="inlineStr">
        <is>
          <t>TA_19</t>
        </is>
      </c>
      <c r="D468" t="n">
        <v>5</v>
      </c>
      <c r="E468" t="n">
        <v>0</v>
      </c>
      <c r="F468" t="n">
        <v>11</v>
      </c>
      <c r="G468" t="n">
        <v>0</v>
      </c>
      <c r="H468" t="n">
        <v>7.5</v>
      </c>
      <c r="I468" t="n">
        <v>0</v>
      </c>
      <c r="J468" t="n">
        <v>7</v>
      </c>
      <c r="K468" t="n">
        <v>0</v>
      </c>
      <c r="L468" t="n">
        <v>11</v>
      </c>
      <c r="M468" t="n">
        <v>0</v>
      </c>
      <c r="N468" t="n">
        <v>7</v>
      </c>
      <c r="O468" t="n">
        <v>0</v>
      </c>
      <c r="P468">
        <f>Table1[[#This Row],[TA 1 - Q1 Score]]+Table1[[#This Row],[TA 1 - Q2 Score]]+Table1[[#This Row],[TA 1 - Q3 Score]]</f>
        <v/>
      </c>
      <c r="Q468">
        <f>Table1[[#This Row],[TA 1 - Q1 Bonus]]+Table1[[#This Row],[TA 1 - Q2 Bonus]]+Table1[[#This Row],[TA 1 - Q4 Bonus]]</f>
        <v/>
      </c>
      <c r="R468">
        <f>Table1[[#This Row],[TA 2 - Q1 Score]]+Table1[[#This Row],[TA 2 - Q2 Score]]+Table1[[#This Row],[TA 2 - Q3 Score]]</f>
        <v/>
      </c>
      <c r="S468">
        <f>Table1[[#This Row],[TA 2 - Q1 Bonus]]+Table1[[#This Row],[TA 2 - Q2 Bonus]]+Table1[[#This Row],[TA 2 - Q4 Bonus]]</f>
        <v/>
      </c>
      <c r="T468">
        <f>(Table1[[#This Row],[TA 1 - Total Score (out of 35)]]+Table1[[#This Row],[TA 2 - Total Score (out of 35)]])/2</f>
        <v/>
      </c>
      <c r="U468">
        <f>(Table1[[#This Row],[TA 1 - Total Bonus (out of 13)]]+Table1[[#This Row],[TA 2 - Total Bonus (out of 13)]])/2</f>
        <v/>
      </c>
      <c r="V468">
        <f>Table1[[#This Row],[Average Questions]]/35*20+Table1[[#This Row],[Average Bonus]]/13*5</f>
        <v/>
      </c>
      <c r="W468" t="n">
        <v>6</v>
      </c>
      <c r="X468" t="n">
        <v>0</v>
      </c>
      <c r="Y46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2.5/?
- Part 5: Bonus — Test Time Augmentation: 0.0/?</t>
        </is>
      </c>
      <c r="Z468" t="n">
        <v>4</v>
      </c>
      <c r="AA468" t="n">
        <v>0</v>
      </c>
      <c r="AB468"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68" t="n">
        <v>6</v>
      </c>
      <c r="AD468" t="inlineStr">
        <is>
          <t>The student's submission failed to meet the requirements of the task. The code was not organized and did not run end-to-end. The student attempted to define the dataset class, model class, training and validation loops, and running training, but the code was incorrect and did not meet the requirements of the task. The student also failed to visualize the predictions correctly. As a result, the student received 0 points for each task.
Breakdown:
- Task 1: Dataset Class: 0.0/?
- Task 2: Model Class: 0.0/?
- Task 3: Training and Validation Loops: 0.0/?
- Task 4: Running Training: 0.0/?
- Task 5: Visualizing Predictions: 0.0/?</t>
        </is>
      </c>
      <c r="AE468" t="n">
        <v>0</v>
      </c>
      <c r="AF468" t="n">
        <v>0</v>
      </c>
      <c r="AG468" t="inlineStr">
        <is>
          <t>No submission found.</t>
        </is>
      </c>
      <c r="AH468" t="n">
        <v>16</v>
      </c>
      <c r="AI468" t="n">
        <v>0</v>
      </c>
    </row>
    <row r="469">
      <c r="A469" t="n">
        <v>468</v>
      </c>
      <c r="B469" t="inlineStr">
        <is>
          <t>TA_9</t>
        </is>
      </c>
      <c r="C469" t="inlineStr">
        <is>
          <t>TA_19</t>
        </is>
      </c>
      <c r="D469" t="n">
        <v>4</v>
      </c>
      <c r="E469" t="n">
        <v>0</v>
      </c>
      <c r="F469" t="n">
        <v>6.5</v>
      </c>
      <c r="G469" t="n">
        <v>0</v>
      </c>
      <c r="H469" t="n">
        <v>5</v>
      </c>
      <c r="I469" t="n">
        <v>0</v>
      </c>
      <c r="J469" t="n">
        <v>3.75</v>
      </c>
      <c r="K469" t="n">
        <v>0</v>
      </c>
      <c r="L469" t="n">
        <v>6.65</v>
      </c>
      <c r="M469" t="n">
        <v>0</v>
      </c>
      <c r="N469" t="n">
        <v>3.25</v>
      </c>
      <c r="O469" t="n">
        <v>0</v>
      </c>
      <c r="P469">
        <f>Table1[[#This Row],[TA 1 - Q1 Score]]+Table1[[#This Row],[TA 1 - Q2 Score]]+Table1[[#This Row],[TA 1 - Q3 Score]]</f>
        <v/>
      </c>
      <c r="Q469">
        <f>Table1[[#This Row],[TA 1 - Q1 Bonus]]+Table1[[#This Row],[TA 1 - Q2 Bonus]]+Table1[[#This Row],[TA 1 - Q4 Bonus]]</f>
        <v/>
      </c>
      <c r="R469">
        <f>Table1[[#This Row],[TA 2 - Q1 Score]]+Table1[[#This Row],[TA 2 - Q2 Score]]+Table1[[#This Row],[TA 2 - Q3 Score]]</f>
        <v/>
      </c>
      <c r="S469">
        <f>Table1[[#This Row],[TA 2 - Q1 Bonus]]+Table1[[#This Row],[TA 2 - Q2 Bonus]]+Table1[[#This Row],[TA 2 - Q4 Bonus]]</f>
        <v/>
      </c>
      <c r="T469">
        <f>(Table1[[#This Row],[TA 1 - Total Score (out of 35)]]+Table1[[#This Row],[TA 2 - Total Score (out of 35)]])/2</f>
        <v/>
      </c>
      <c r="U469">
        <f>(Table1[[#This Row],[TA 1 - Total Bonus (out of 13)]]+Table1[[#This Row],[TA 2 - Total Bonus (out of 13)]])/2</f>
        <v/>
      </c>
      <c r="V469">
        <f>Table1[[#This Row],[Average Questions]]/35*20+Table1[[#This Row],[Average Bonus]]/13*5</f>
        <v/>
      </c>
      <c r="W469" t="n">
        <v>6</v>
      </c>
      <c r="X469" t="n">
        <v>0</v>
      </c>
      <c r="Y469" t="inlineStr">
        <is>
          <t>The student's submission failed to complete several key tasks, including loading and preparing the data, loading a pretrained model, and training the model. The code for the training and validation functions was partially correct, but the student failed to fix the labels, resulting in a loss of 2 points.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469" t="n">
        <v>6</v>
      </c>
      <c r="AA469" t="n">
        <v>0</v>
      </c>
      <c r="AB46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outcome and was awarded partial credit for the training task. The bonus task was not attempted, resulting in a score of 0.
Breakdown:
- Part 1: Load and Prepare Data: 0.0/?
- Part 2: Build the CNN Model: 0.0/?
- Part 3: Training and Validation Functions: 0.0/?
- Part 4: Training: 2.0/?
- Part 5: Bonus — Residual Connection: 0.0/?</t>
        </is>
      </c>
      <c r="AC469" t="n">
        <v>6</v>
      </c>
      <c r="AD469" t="inlineStr">
        <is>
          <t>The student's submission failed to address any of the tasks in Question 3. The code provided does not attempt to build a custom dataset class, define a model class, implement training and validation loops, run training, or visualize predictions. As a result, the student earned 0 points for each task, resulting in a total score of 6.0.
Breakdown:
- Task 1: Dataset Class: 0.0/?
- Task 2: Model Class: 0.0/?
- Task 3: Training and Validation Loops: 0.0/?
- Task 4: Running Training: 0.0/?
- Task 5: Visualizing Predictions: 0.0/?</t>
        </is>
      </c>
      <c r="AE469" t="n">
        <v>0</v>
      </c>
      <c r="AF469" t="n">
        <v>0</v>
      </c>
      <c r="AG469" t="inlineStr">
        <is>
          <t>The student's submission did not implement the `ColorizationDataset` class correctly, resulting in a score of 0.0 for the base task. Since the student did not implement the class correctly, they did not attempt the bonus task, resulting in a score of 0.0 for the bonus task.
Breakdown:
- Correctly implemented `ColorizationDataset` class:: 0.0/?
- Any mistake in implementation: 0.0/?</t>
        </is>
      </c>
      <c r="AH469" t="n">
        <v>18</v>
      </c>
      <c r="AI469" t="n">
        <v>0</v>
      </c>
    </row>
    <row r="470">
      <c r="A470" t="n">
        <v>469</v>
      </c>
      <c r="B470" t="inlineStr">
        <is>
          <t>TA_9</t>
        </is>
      </c>
      <c r="C470" t="inlineStr">
        <is>
          <t>TA_19</t>
        </is>
      </c>
      <c r="D470" t="n">
        <v>12</v>
      </c>
      <c r="E470" t="n">
        <v>0</v>
      </c>
      <c r="F470" t="n">
        <v>7</v>
      </c>
      <c r="G470" t="n">
        <v>0</v>
      </c>
      <c r="H470" t="n">
        <v>8.5</v>
      </c>
      <c r="I470" t="n">
        <v>0</v>
      </c>
      <c r="J470" t="n">
        <v>11.5</v>
      </c>
      <c r="K470" t="n">
        <v>0</v>
      </c>
      <c r="L470" t="n">
        <v>5.5</v>
      </c>
      <c r="M470" t="n">
        <v>0</v>
      </c>
      <c r="N470" t="n">
        <v>6.4</v>
      </c>
      <c r="O470" t="n">
        <v>0</v>
      </c>
      <c r="P470">
        <f>Table1[[#This Row],[TA 1 - Q1 Score]]+Table1[[#This Row],[TA 1 - Q2 Score]]+Table1[[#This Row],[TA 1 - Q3 Score]]</f>
        <v/>
      </c>
      <c r="Q470">
        <f>Table1[[#This Row],[TA 1 - Q1 Bonus]]+Table1[[#This Row],[TA 1 - Q2 Bonus]]+Table1[[#This Row],[TA 1 - Q4 Bonus]]</f>
        <v/>
      </c>
      <c r="R470">
        <f>Table1[[#This Row],[TA 2 - Q1 Score]]+Table1[[#This Row],[TA 2 - Q2 Score]]+Table1[[#This Row],[TA 2 - Q3 Score]]</f>
        <v/>
      </c>
      <c r="S470">
        <f>Table1[[#This Row],[TA 2 - Q1 Bonus]]+Table1[[#This Row],[TA 2 - Q2 Bonus]]+Table1[[#This Row],[TA 2 - Q4 Bonus]]</f>
        <v/>
      </c>
      <c r="T470">
        <f>(Table1[[#This Row],[TA 1 - Total Score (out of 35)]]+Table1[[#This Row],[TA 2 - Total Score (out of 35)]])/2</f>
        <v/>
      </c>
      <c r="U470">
        <f>(Table1[[#This Row],[TA 1 - Total Bonus (out of 13)]]+Table1[[#This Row],[TA 2 - Total Bonus (out of 13)]])/2</f>
        <v/>
      </c>
      <c r="V470">
        <f>Table1[[#This Row],[Average Questions]]/35*20+Table1[[#This Row],[Average Bonus]]/13*5</f>
        <v/>
      </c>
      <c r="W470" t="n">
        <v>6</v>
      </c>
      <c r="X470" t="n">
        <v>0</v>
      </c>
      <c r="Y470" t="inlineStr">
        <is>
          <t>The student's submission failed to complete several key tasks, including loading and preparing the data, loading the pretrained model and adapting it, and implementing the training and validation functions. Although the student attempted to train the model, their code contained several errors and did not run end-to-end. The bonus task was not attempted. Overall, the student's submission demonstrated a lack of understanding of the required tasks and concepts.
Breakdown:
- Part 1: Load and Prepare Data: 0.0/?
- Part 2: Load Pretrained Model and Adapt: 0.0/?
- Part 3: Training and Validation Functions: 0.0/?
- Part 4: Training: 2.0/?
- Part 5: Bonus — Test Time Augmentation: 0.0/?</t>
        </is>
      </c>
      <c r="Z470" t="n">
        <v>4</v>
      </c>
      <c r="AA470" t="n">
        <v>0</v>
      </c>
      <c r="AB470" t="inlineStr">
        <is>
          <t>The student's submission failed to load and prepare the data correctly, as evidenced by the incorrect image paths and missing labels. The CNN model was not built correctly, with missing batch normalization layers and incorrect convolutional layer configurations. The training and validation functions were not implemented, and the model was not trained. The bonus task of adding a residual connection was not attempted. Overall, the submission demonstrates a lack of understanding of the required tasks and concepts.
Breakdown:
- Part 1: Load and Prepare Data: 0.0/?
- Part 2: Build the CNN Model: 0.0/?
- Part 3: Training and Validation Functions: 0.0/?
- Part 4: Training: 0.0/?
- Part 5: Bonus — Residual Connection: 0.0/?</t>
        </is>
      </c>
      <c r="AC470" t="n">
        <v>6</v>
      </c>
      <c r="AD470" t="inlineStr">
        <is>
          <t>The student's submission failed to meet the requirements of the task. The dataset class was not defined, the model class was not defined correctly, the training and validation loops were not defined correctly, the training process was not implemented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70" t="n">
        <v>0</v>
      </c>
      <c r="AF470" t="n">
        <v>0</v>
      </c>
      <c r="AG470" t="inlineStr">
        <is>
          <t>The student's submission does not fully implement the `ColorizationDataset` class. The `__init__` method does not store the dataset, the `rgb_to_grayscale` method does not correctly implement the formula, and the `__getitem__` method does not return the correct (grayscale, color) tuple. As a result, the submission does not meet the requirements of the task and does not award any points.
Breakdown:
- Correctly implemented `ColorizationDataset` class:: 0.0/?</t>
        </is>
      </c>
      <c r="AH470" t="n">
        <v>16</v>
      </c>
      <c r="AI470" t="n">
        <v>0</v>
      </c>
    </row>
    <row r="471">
      <c r="A471" t="n">
        <v>470</v>
      </c>
      <c r="B471" t="inlineStr">
        <is>
          <t>TA_9</t>
        </is>
      </c>
      <c r="C471" t="inlineStr">
        <is>
          <t>TA_19</t>
        </is>
      </c>
      <c r="D471" t="n">
        <v>12</v>
      </c>
      <c r="E471" t="n">
        <v>4</v>
      </c>
      <c r="F471" t="n">
        <v>11</v>
      </c>
      <c r="G471" t="n">
        <v>0</v>
      </c>
      <c r="H471" t="n">
        <v>9</v>
      </c>
      <c r="I471" t="n">
        <v>0</v>
      </c>
      <c r="J471" t="n">
        <v>10.25</v>
      </c>
      <c r="K471" t="n">
        <v>4</v>
      </c>
      <c r="L471" t="n">
        <v>10.9</v>
      </c>
      <c r="M471" t="n">
        <v>0</v>
      </c>
      <c r="N471" t="n">
        <v>8.5</v>
      </c>
      <c r="O471" t="n">
        <v>0</v>
      </c>
      <c r="P471">
        <f>Table1[[#This Row],[TA 1 - Q1 Score]]+Table1[[#This Row],[TA 1 - Q2 Score]]+Table1[[#This Row],[TA 1 - Q3 Score]]</f>
        <v/>
      </c>
      <c r="Q471">
        <f>Table1[[#This Row],[TA 1 - Q1 Bonus]]+Table1[[#This Row],[TA 1 - Q2 Bonus]]+Table1[[#This Row],[TA 1 - Q4 Bonus]]</f>
        <v/>
      </c>
      <c r="R471">
        <f>Table1[[#This Row],[TA 2 - Q1 Score]]+Table1[[#This Row],[TA 2 - Q2 Score]]+Table1[[#This Row],[TA 2 - Q3 Score]]</f>
        <v/>
      </c>
      <c r="S471">
        <f>Table1[[#This Row],[TA 2 - Q1 Bonus]]+Table1[[#This Row],[TA 2 - Q2 Bonus]]+Table1[[#This Row],[TA 2 - Q4 Bonus]]</f>
        <v/>
      </c>
      <c r="T471">
        <f>(Table1[[#This Row],[TA 1 - Total Score (out of 35)]]+Table1[[#This Row],[TA 2 - Total Score (out of 35)]])/2</f>
        <v/>
      </c>
      <c r="U471">
        <f>(Table1[[#This Row],[TA 1 - Total Bonus (out of 13)]]+Table1[[#This Row],[TA 2 - Total Bonus (out of 13)]])/2</f>
        <v/>
      </c>
      <c r="V471">
        <f>Table1[[#This Row],[Average Questions]]/35*20+Table1[[#This Row],[Average Bonus]]/13*5</f>
        <v/>
      </c>
      <c r="W471" t="n">
        <v>6</v>
      </c>
      <c r="X471" t="n">
        <v>0</v>
      </c>
      <c r="Y471" t="inlineStr">
        <is>
          <t>The student's submission failed to complete several key tasks, including loading and preparing the data, loading the pretrained model and adapting it, and implementing the training and validation functions. While the student attempted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2.0/?
- Part 5: Bonus — Test Time Augmentation: 0.0/?</t>
        </is>
      </c>
      <c r="Z471" t="n">
        <v>6</v>
      </c>
      <c r="AA471" t="n">
        <v>0</v>
      </c>
      <c r="AB47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accuracy and their submission was not evaluated for the bonus task.
Breakdown:
- Part 1: Load and Prepare Data: 0.0/?
- Part 2: Build the CNN Model: 0.0/?
- Part 3: Training and Validation Functions: 0.0/?
- Part 4: Training: 2.0/?
- Part 5: Bonus — Residual Connection: 0.0/?</t>
        </is>
      </c>
      <c r="AC471" t="n">
        <v>6</v>
      </c>
      <c r="AD471" t="inlineStr">
        <is>
          <t>The student's submission was incomplete, with no code submitted for Tasks 1-4. However, the code for Task 5 was mostly correct, with the student successfully visualizing the predictions. The only issue was that the ground truth masks were not displayed correctly.
Breakdown:
- Task 1: Dataset Class: 0.0/?
- Task 2: Model Class: 0.0/?
- Task 3: Training and Validation Loops: 0.0/?
- Task 4: Running Training: 0.0/?
- Task 5: Visualizing Predictions: 6.0/?</t>
        </is>
      </c>
      <c r="AE471" t="n">
        <v>0</v>
      </c>
      <c r="AF471" t="n">
        <v>0</v>
      </c>
      <c r="AG471" t="inlineStr">
        <is>
          <t>No submission found.</t>
        </is>
      </c>
      <c r="AH471" t="n">
        <v>18</v>
      </c>
      <c r="AI471" t="n">
        <v>0</v>
      </c>
    </row>
    <row r="472">
      <c r="A472" t="n">
        <v>471</v>
      </c>
      <c r="B472" t="inlineStr">
        <is>
          <t>TA_9</t>
        </is>
      </c>
      <c r="C472" t="inlineStr">
        <is>
          <t>TA_19</t>
        </is>
      </c>
      <c r="D472" t="n">
        <v>12</v>
      </c>
      <c r="E472" t="n">
        <v>4</v>
      </c>
      <c r="F472" t="n">
        <v>11</v>
      </c>
      <c r="G472" t="n">
        <v>4</v>
      </c>
      <c r="H472" t="n">
        <v>12</v>
      </c>
      <c r="I472" t="n">
        <v>5</v>
      </c>
      <c r="J472" t="n">
        <v>12</v>
      </c>
      <c r="K472" t="n">
        <v>4</v>
      </c>
      <c r="L472" t="n">
        <v>11</v>
      </c>
      <c r="M472" t="n">
        <v>4</v>
      </c>
      <c r="N472" t="n">
        <v>10.75</v>
      </c>
      <c r="O472" t="n">
        <v>5</v>
      </c>
      <c r="P472">
        <f>Table1[[#This Row],[TA 1 - Q1 Score]]+Table1[[#This Row],[TA 1 - Q2 Score]]+Table1[[#This Row],[TA 1 - Q3 Score]]</f>
        <v/>
      </c>
      <c r="Q472">
        <f>Table1[[#This Row],[TA 1 - Q1 Bonus]]+Table1[[#This Row],[TA 1 - Q2 Bonus]]+Table1[[#This Row],[TA 1 - Q4 Bonus]]</f>
        <v/>
      </c>
      <c r="R472">
        <f>Table1[[#This Row],[TA 2 - Q1 Score]]+Table1[[#This Row],[TA 2 - Q2 Score]]+Table1[[#This Row],[TA 2 - Q3 Score]]</f>
        <v/>
      </c>
      <c r="S472">
        <f>Table1[[#This Row],[TA 2 - Q1 Bonus]]+Table1[[#This Row],[TA 2 - Q2 Bonus]]+Table1[[#This Row],[TA 2 - Q4 Bonus]]</f>
        <v/>
      </c>
      <c r="T472">
        <f>(Table1[[#This Row],[TA 1 - Total Score (out of 35)]]+Table1[[#This Row],[TA 2 - Total Score (out of 35)]])/2</f>
        <v/>
      </c>
      <c r="U472">
        <f>(Table1[[#This Row],[TA 1 - Total Bonus (out of 13)]]+Table1[[#This Row],[TA 2 - Total Bonus (out of 13)]])/2</f>
        <v/>
      </c>
      <c r="V472">
        <f>Table1[[#This Row],[Average Questions]]/35*20+Table1[[#This Row],[Average Bonus]]/13*5</f>
        <v/>
      </c>
      <c r="W472" t="n">
        <v>6</v>
      </c>
      <c r="X472" t="n">
        <v>0</v>
      </c>
      <c r="Y472" t="inlineStr">
        <is>
          <t>The student failed to complete the data loading and preparation, model loading and adaptation, and training tasks. The training and validation functions were partially implemented, but the student failed to fix the labels for 0-indexing. The bonus task of test time augmentation was not attempted.
Breakdown:
- Part 1: Load and Prepare Data: 0.0/?
- Part 2: Load Pretrained Model and Adapt: 0.0/?
- Part 3: Training and Validation Functions: 1.5/?
- Part 4: Training: 0.0/?
- Part 5: Bonus — Test Time Augmentation: 0.0/?</t>
        </is>
      </c>
      <c r="Z472" t="n">
        <v>6</v>
      </c>
      <c r="AA472" t="n">
        <v>0</v>
      </c>
      <c r="AB47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completed. As a result, the student's submission was awarded a score of 2.0 for the training task and 0.0 for all other tasks.
Breakdown:
- Part 1: Load and Prepare Data: 0.0/?
- Part 2: Build the CNN Model: 0.0/?
- Part 3: Training and Validation Functions: 0.0/?
- Part 4: Training: 2.0/?
- Part 5: Bonus — Residual Connection: 0.0/?</t>
        </is>
      </c>
      <c r="AC472" t="n">
        <v>6</v>
      </c>
      <c r="AD472"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472" t="n">
        <v>0</v>
      </c>
      <c r="AF472" t="n">
        <v>0</v>
      </c>
      <c r="AG472" t="inlineStr">
        <is>
          <t>The student's submission does not meet the requirements of the task. The `ColorizationDataset` class is not implemented correctly, and the code does not run end-to-end. The student attempted to implement the class, but made several mistakes, including incorrect method implementations and missing code. As a result, the student did not earn any points for this task.
Breakdown:
- Correctly implemented `ColorizationDataset` class:: 0.0/?</t>
        </is>
      </c>
      <c r="AH472" t="n">
        <v>18</v>
      </c>
      <c r="AI472" t="n">
        <v>0</v>
      </c>
    </row>
    <row r="473">
      <c r="A473" t="n">
        <v>472</v>
      </c>
      <c r="B473" t="inlineStr">
        <is>
          <t>TA_9</t>
        </is>
      </c>
      <c r="C473" t="inlineStr">
        <is>
          <t>TA_19</t>
        </is>
      </c>
      <c r="D473" t="n">
        <v>12</v>
      </c>
      <c r="E473" t="n">
        <v>4</v>
      </c>
      <c r="F473" t="n">
        <v>11</v>
      </c>
      <c r="G473" t="n">
        <v>4</v>
      </c>
      <c r="H473" t="n">
        <v>12</v>
      </c>
      <c r="I473" t="n">
        <v>5</v>
      </c>
      <c r="J473" t="n">
        <v>12</v>
      </c>
      <c r="K473" t="n">
        <v>4</v>
      </c>
      <c r="L473" t="n">
        <v>11</v>
      </c>
      <c r="M473" t="n">
        <v>4</v>
      </c>
      <c r="N473" t="n">
        <v>11</v>
      </c>
      <c r="O473" t="n">
        <v>5</v>
      </c>
      <c r="P473">
        <f>Table1[[#This Row],[TA 1 - Q1 Score]]+Table1[[#This Row],[TA 1 - Q2 Score]]+Table1[[#This Row],[TA 1 - Q3 Score]]</f>
        <v/>
      </c>
      <c r="Q473">
        <f>Table1[[#This Row],[TA 1 - Q1 Bonus]]+Table1[[#This Row],[TA 1 - Q2 Bonus]]+Table1[[#This Row],[TA 1 - Q4 Bonus]]</f>
        <v/>
      </c>
      <c r="R473">
        <f>Table1[[#This Row],[TA 2 - Q1 Score]]+Table1[[#This Row],[TA 2 - Q2 Score]]+Table1[[#This Row],[TA 2 - Q3 Score]]</f>
        <v/>
      </c>
      <c r="S473">
        <f>Table1[[#This Row],[TA 2 - Q1 Bonus]]+Table1[[#This Row],[TA 2 - Q2 Bonus]]+Table1[[#This Row],[TA 2 - Q4 Bonus]]</f>
        <v/>
      </c>
      <c r="T473">
        <f>(Table1[[#This Row],[TA 1 - Total Score (out of 35)]]+Table1[[#This Row],[TA 2 - Total Score (out of 35)]])/2</f>
        <v/>
      </c>
      <c r="U473">
        <f>(Table1[[#This Row],[TA 1 - Total Bonus (out of 13)]]+Table1[[#This Row],[TA 2 - Total Bonus (out of 13)]])/2</f>
        <v/>
      </c>
      <c r="V473">
        <f>Table1[[#This Row],[Average Questions]]/35*20+Table1[[#This Row],[Average Bonus]]/13*5</f>
        <v/>
      </c>
      <c r="W473" t="n">
        <v>6</v>
      </c>
      <c r="X473" t="n">
        <v>0</v>
      </c>
      <c r="Y473" t="inlineStr">
        <is>
          <t>The student's submission failed to complete several key tasks, including loading and preparing the data, loading a pretrained model and adapting it, and defining the training and validation functions. While the student did attempt to train the model and plot the losses and accuracy, their approach was incomplete and did not follow the reference solution. The bonus task of implementing Test Time Augmentation was also not completed. Overall, the student's submission demonstrated a lack of understanding of the required tasks and a failure to follow the reference solution.
Breakdown:
- Part 1: Load and Prepare Data: 0.0/?
- Part 2: Load Pretrained Model and Adapt: 0.0/?
- Part 3: Training and Validation Functions: 0.0/?
- Part 4: Training: 3.0/?
- Part 5: Bonus — Test Time Augmentation: 0.0/?</t>
        </is>
      </c>
      <c r="Z473" t="n">
        <v>6</v>
      </c>
      <c r="AA473" t="n">
        <v>0</v>
      </c>
      <c r="AB473"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In Part 3, the training and validation loop functions were not defined. In Part 4, the student was able to train the model, but the validation loop function was not used. In Part 5, the student did not add a residual connection to the CNN model. As a result, the student's submission was awarded 0 points for Parts 1, 2, 3, and 5, and 2 points for Part 4.
Breakdown:
- Part 1: Load and Prepare Data: 0.0/?
- Part 2: Build the CNN Model: 0.0/?
- Part 3: Training and Validation Functions: 0.0/?
- Part 4: Training: 2.0/?
- Part 5: Bonus — Residual Connection: 0.0/?</t>
        </is>
      </c>
      <c r="AC473" t="n">
        <v>6</v>
      </c>
      <c r="AD473" t="inlineStr">
        <is>
          <t>The student's submission is incomplete and does not follow the reference solution. The code is not properly organized, and many tasks are not implemented correctly. The student's approach is not correct, and the code is not run end-to-end. As a result, the student's submission does not meet the requirements of the task, and a score of 6.0 is awarded.
Breakdown:
- Task 1: Dataset Class: 0.0/?
- Task 2: Model Class: 0.0/?
- Task 3: Training and Validation Loops: 0.0/?
- Task 4: Running Training: 0.0/?
- Task 5: Visualizing Predictions: 0.0/?</t>
        </is>
      </c>
      <c r="AE473" t="n">
        <v>0</v>
      </c>
      <c r="AF473" t="n">
        <v>0</v>
      </c>
      <c r="AG473" t="inlineStr">
        <is>
          <t>The student's submission demonstrates a good understanding of the ColorizationDataset class. The `__init__`, `__len__`, `rgb_to_grayscale`, and `__getitem__` methods are correctly implemented. However, the `rgb_to_grayscale` method does not follow the optimal logic as it does not handle the case where the input image is not a tensor. Additionally, the `__init__` method does not store the dataset as required. The visualization and DataLoader tests are also correct. Overall, the submission shows a good effort, but with some minor mistakes.
Breakdown:
- Correctly implemented `ColorizationDataset` class: 4.0/?
- Any mistake in implementation: 0.0/?</t>
        </is>
      </c>
      <c r="AH473" t="n">
        <v>18</v>
      </c>
      <c r="AI473" t="n">
        <v>0</v>
      </c>
    </row>
    <row r="474">
      <c r="A474" t="n">
        <v>473</v>
      </c>
      <c r="B474" t="inlineStr">
        <is>
          <t>TA_9</t>
        </is>
      </c>
      <c r="C474" t="inlineStr">
        <is>
          <t>TA_19</t>
        </is>
      </c>
      <c r="D474" t="n">
        <v>12</v>
      </c>
      <c r="E474" t="n">
        <v>4</v>
      </c>
      <c r="F474" t="n">
        <v>10.75</v>
      </c>
      <c r="G474" t="n">
        <v>3</v>
      </c>
      <c r="H474" t="n">
        <v>12</v>
      </c>
      <c r="I474" t="n">
        <v>5</v>
      </c>
      <c r="J474" t="n">
        <v>12</v>
      </c>
      <c r="K474" t="n">
        <v>4</v>
      </c>
      <c r="L474" t="n">
        <v>10.25</v>
      </c>
      <c r="M474" t="n">
        <v>0</v>
      </c>
      <c r="N474" t="n">
        <v>11.5</v>
      </c>
      <c r="O474" t="n">
        <v>5</v>
      </c>
      <c r="P474">
        <f>Table1[[#This Row],[TA 1 - Q1 Score]]+Table1[[#This Row],[TA 1 - Q2 Score]]+Table1[[#This Row],[TA 1 - Q3 Score]]</f>
        <v/>
      </c>
      <c r="Q474">
        <f>Table1[[#This Row],[TA 1 - Q1 Bonus]]+Table1[[#This Row],[TA 1 - Q2 Bonus]]+Table1[[#This Row],[TA 1 - Q4 Bonus]]</f>
        <v/>
      </c>
      <c r="R474">
        <f>Table1[[#This Row],[TA 2 - Q1 Score]]+Table1[[#This Row],[TA 2 - Q2 Score]]+Table1[[#This Row],[TA 2 - Q3 Score]]</f>
        <v/>
      </c>
      <c r="S474">
        <f>Table1[[#This Row],[TA 2 - Q1 Bonus]]+Table1[[#This Row],[TA 2 - Q2 Bonus]]+Table1[[#This Row],[TA 2 - Q4 Bonus]]</f>
        <v/>
      </c>
      <c r="T474">
        <f>(Table1[[#This Row],[TA 1 - Total Score (out of 35)]]+Table1[[#This Row],[TA 2 - Total Score (out of 35)]])/2</f>
        <v/>
      </c>
      <c r="U474">
        <f>(Table1[[#This Row],[TA 1 - Total Bonus (out of 13)]]+Table1[[#This Row],[TA 2 - Total Bonus (out of 13)]])/2</f>
        <v/>
      </c>
      <c r="V474">
        <f>Table1[[#This Row],[Average Questions]]/35*20+Table1[[#This Row],[Average Bonus]]/13*5</f>
        <v/>
      </c>
      <c r="W474" t="n">
        <v>6</v>
      </c>
      <c r="X474" t="n">
        <v>0</v>
      </c>
      <c r="Y47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implementation of test time augmentation was also incomplete and did not produce the correct results. Overall, the student's submission demonstrated a lack of understanding of the key concepts and failed to produce a working solution.
Breakdown:
- Part 1: Load and Prepare Data: 0.0/?
- Part 2: Load Pretrained Model and Adapt: 0.0/?
- Part 3: Training and Validation Functions: 0.0/?
- Part 4: Training: 3.0/?
- Part 5: Bonus — Test Time Augmentation: 0.0/?</t>
        </is>
      </c>
      <c r="Z474" t="n">
        <v>6</v>
      </c>
      <c r="AA474" t="n">
        <v>0</v>
      </c>
      <c r="AB474" t="inlineStr">
        <is>
          <t>The student's submission failed to meet the requirements for most tasks. In Part 1, the student failed to create a custom Dataset class or use ImageFolder, and did not create the training and testing datasets and their DataLoaders. In Part 2, the student's CNN model class did not have 5 convolutional layers, and did not add Batch Normalization after each convolutional layer. In Part 3, the student did not define the training loop function. In Part 4, the student set up the device, model, loss function, and optimizer, trained the model, and plotted the training and validation losses and training and validation accuracy. However, the student's submission did not meet the requirements for the bonus task in Part 5.
Breakdown:
- Part 1: Load and Prepare Data: 0.0/?
- Part 2: Build the CNN Model: 0.0/?
- Part 3: Training and Validation Functions: 0.0/?
- Part 4: Training: 2.0/?
- Part 5: Bonus — Residual Connection: 0.0/?</t>
        </is>
      </c>
      <c r="AC474" t="n">
        <v>6</v>
      </c>
      <c r="AD474" t="inlineStr">
        <is>
          <t>The student's submission failed to meet the requirements of all tasks in Question 3. The student's code was incomplete and did not run end-to-end. The student failed to create a custom dataset class, define a pretrained U-Net with efficientnet-b1 encoder, define the training and validation loops, and visualize the model's predictions against the ground truth for several images. As a result, the student did not earn any points for this question.
Breakdown:
- Task 1: Dataset Class: 0.0/?
- Task 2: Model Class: 0.0/?
- Task 3: Training and Validation Loops: 0.0/?
- Task 4: Running Training: 0.0/?
- Task 5: Visualizing Predictions: 0.0/?</t>
        </is>
      </c>
      <c r="AE474" t="n">
        <v>0</v>
      </c>
      <c r="AF474" t="n">
        <v>0</v>
      </c>
      <c r="AG474" t="inlineStr">
        <is>
          <t>The student's submission does not meet the requirements of the task. The `ColorizationDataset` class is not fully implemented, and the student's code contains several syntax and logic mistakes. As a result, the student does not receive any points for this task.
Breakdown:
- Correctly implemented `ColorizationDataset` class:: 0.0/?
- Any mistake in implementation: 0.0/?</t>
        </is>
      </c>
      <c r="AH474" t="n">
        <v>18</v>
      </c>
      <c r="AI474" t="n">
        <v>0</v>
      </c>
    </row>
    <row r="475">
      <c r="A475" t="n">
        <v>474</v>
      </c>
      <c r="B475" t="inlineStr">
        <is>
          <t>TA_9</t>
        </is>
      </c>
      <c r="C475" t="inlineStr">
        <is>
          <t>TA_19</t>
        </is>
      </c>
      <c r="D475" t="n">
        <v>5.75</v>
      </c>
      <c r="E475" t="n">
        <v>0</v>
      </c>
      <c r="F475" t="n">
        <v>9</v>
      </c>
      <c r="G475" t="n">
        <v>0</v>
      </c>
      <c r="H475" t="n">
        <v>12</v>
      </c>
      <c r="I475" t="n">
        <v>0</v>
      </c>
      <c r="J475" t="n">
        <v>10</v>
      </c>
      <c r="K475" t="n">
        <v>0</v>
      </c>
      <c r="L475" t="n">
        <v>8.9</v>
      </c>
      <c r="M475" t="n">
        <v>0</v>
      </c>
      <c r="N475" t="n">
        <v>11.75</v>
      </c>
      <c r="O475" t="n">
        <v>0</v>
      </c>
      <c r="P475">
        <f>Table1[[#This Row],[TA 1 - Q1 Score]]+Table1[[#This Row],[TA 1 - Q2 Score]]+Table1[[#This Row],[TA 1 - Q3 Score]]</f>
        <v/>
      </c>
      <c r="Q475">
        <f>Table1[[#This Row],[TA 1 - Q1 Bonus]]+Table1[[#This Row],[TA 1 - Q2 Bonus]]+Table1[[#This Row],[TA 1 - Q4 Bonus]]</f>
        <v/>
      </c>
      <c r="R475">
        <f>Table1[[#This Row],[TA 2 - Q1 Score]]+Table1[[#This Row],[TA 2 - Q2 Score]]+Table1[[#This Row],[TA 2 - Q3 Score]]</f>
        <v/>
      </c>
      <c r="S475">
        <f>Table1[[#This Row],[TA 2 - Q1 Bonus]]+Table1[[#This Row],[TA 2 - Q2 Bonus]]+Table1[[#This Row],[TA 2 - Q4 Bonus]]</f>
        <v/>
      </c>
      <c r="T475">
        <f>(Table1[[#This Row],[TA 1 - Total Score (out of 35)]]+Table1[[#This Row],[TA 2 - Total Score (out of 35)]])/2</f>
        <v/>
      </c>
      <c r="U475">
        <f>(Table1[[#This Row],[TA 1 - Total Bonus (out of 13)]]+Table1[[#This Row],[TA 2 - Total Bonus (out of 13)]])/2</f>
        <v/>
      </c>
      <c r="V475">
        <f>Table1[[#This Row],[Average Questions]]/35*20+Table1[[#This Row],[Average Bonus]]/13*5</f>
        <v/>
      </c>
      <c r="W475" t="n">
        <v>6</v>
      </c>
      <c r="X475" t="n">
        <v>0</v>
      </c>
      <c r="Y475"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2.0/?
- Part 5: Bonus — Test Time Augmentation: 0.0/?</t>
        </is>
      </c>
      <c r="Z475" t="n">
        <v>4</v>
      </c>
      <c r="AA475" t="n">
        <v>0</v>
      </c>
      <c r="AB475"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disorganized and does not run end-to-end. As a result, the student receives 0% for each task.
Breakdown:
- Part 1: Load and Prepare Data: 0.0/?
- Part 2: Build the CNN Model: 0.0/?
- Part 3: Training and Validation Functions: 0.0/?
- Part 4: Training: 0.0/?
- Part 5: Bonus — Residual Connection: 0.0/?</t>
        </is>
      </c>
      <c r="AC475" t="n">
        <v>6</v>
      </c>
      <c r="AD475" t="inlineStr">
        <is>
          <t>The student's submission failed to meet the requirements of the task, with multiple tasks receiving 0% credit. The code is disorganized and does not follow the reference solution, with many tasks being incomplete or incorrect. The student failed to create a custom dataset class, define a pretrained U-Net, and train the model for 10 epochs. The visualization task was also not completed. Overall, the submission demonstrates a lack of understanding of the task requirements and the reference solution.
Breakdown:
- Task 1: Dataset Class: 0.0/?
- Task 2: Model Class: 0.0/?
- Task 3: Training and Validation Loops: 0.0/?
- Task 4: Running Training: 0.0/?
- Task 5: Visualizing Predictions: 0.0/?</t>
        </is>
      </c>
      <c r="AE475" t="n">
        <v>0</v>
      </c>
      <c r="AF475" t="n">
        <v>0</v>
      </c>
      <c r="AG475" t="inlineStr">
        <is>
          <t>The student's submission failed to implement the `ColorizationDataset` class correctly, resulting in a score of 0.0 for the base task. The `rgb_to_grayscale` method has a syntax error, and the `__getitem__` method is not correctly implemented. As a result, the student did not earn any bonus points for this question.
Breakdown:
- Correctly implemented `ColorizationDataset` class:: 0.0/?</t>
        </is>
      </c>
      <c r="AH475" t="n">
        <v>16</v>
      </c>
      <c r="AI475" t="n">
        <v>0</v>
      </c>
    </row>
    <row r="476">
      <c r="A476" t="n">
        <v>475</v>
      </c>
      <c r="B476" t="inlineStr">
        <is>
          <t>TA_9</t>
        </is>
      </c>
      <c r="C476" t="inlineStr">
        <is>
          <t>TA_19</t>
        </is>
      </c>
      <c r="D476" t="n">
        <v>4.25</v>
      </c>
      <c r="E476" t="n">
        <v>0</v>
      </c>
      <c r="F476" t="n">
        <v>8.75</v>
      </c>
      <c r="G476" t="n">
        <v>0</v>
      </c>
      <c r="H476" t="n">
        <v>6</v>
      </c>
      <c r="I476" t="n">
        <v>0</v>
      </c>
      <c r="J476" t="n">
        <v>4.25</v>
      </c>
      <c r="K476" t="n">
        <v>0</v>
      </c>
      <c r="L476" t="n">
        <v>7</v>
      </c>
      <c r="M476" t="n">
        <v>0</v>
      </c>
      <c r="N476" t="n">
        <v>8</v>
      </c>
      <c r="O476" t="n">
        <v>0</v>
      </c>
      <c r="P476">
        <f>Table1[[#This Row],[TA 1 - Q1 Score]]+Table1[[#This Row],[TA 1 - Q2 Score]]+Table1[[#This Row],[TA 1 - Q3 Score]]</f>
        <v/>
      </c>
      <c r="Q476">
        <f>Table1[[#This Row],[TA 1 - Q1 Bonus]]+Table1[[#This Row],[TA 1 - Q2 Bonus]]+Table1[[#This Row],[TA 1 - Q4 Bonus]]</f>
        <v/>
      </c>
      <c r="R476">
        <f>Table1[[#This Row],[TA 2 - Q1 Score]]+Table1[[#This Row],[TA 2 - Q2 Score]]+Table1[[#This Row],[TA 2 - Q3 Score]]</f>
        <v/>
      </c>
      <c r="S476">
        <f>Table1[[#This Row],[TA 2 - Q1 Bonus]]+Table1[[#This Row],[TA 2 - Q2 Bonus]]+Table1[[#This Row],[TA 2 - Q4 Bonus]]</f>
        <v/>
      </c>
      <c r="T476">
        <f>(Table1[[#This Row],[TA 1 - Total Score (out of 35)]]+Table1[[#This Row],[TA 2 - Total Score (out of 35)]])/2</f>
        <v/>
      </c>
      <c r="U476">
        <f>(Table1[[#This Row],[TA 1 - Total Bonus (out of 13)]]+Table1[[#This Row],[TA 2 - Total Bonus (out of 13)]])/2</f>
        <v/>
      </c>
      <c r="V476">
        <f>Table1[[#This Row],[Average Questions]]/35*20+Table1[[#This Row],[Average Bonus]]/13*5</f>
        <v/>
      </c>
      <c r="W476" t="n">
        <v>6</v>
      </c>
      <c r="X476" t="n">
        <v>0</v>
      </c>
      <c r="Y476"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resulting in a low overall score. The bonus task was not attempted.
Breakdown:
- Part 1: Load and Prepare Data: 0.0/?
- Part 2: Load Pretrained Model and Adapt: 0.0/?
- Part 3: Training and Validation Functions: 0.0/?
- Part 4: Training: 3.0/?
- Part 5: Bonus — Test Time Augmentation: 0.0/?</t>
        </is>
      </c>
      <c r="Z476" t="n">
        <v>4</v>
      </c>
      <c r="AA476" t="n">
        <v>0</v>
      </c>
      <c r="AB476" t="inlineStr">
        <is>
          <t>The submission failed to load and prepare the data correctly, as the dataset class was not implemented. The CNN model was not built with the correct architecture, and the training and validation functions were not implemented. The training process was not executed, and the residual connection bonus task was not attempted. The student's code attempted to load the dataset but failed to implement the required transforms and data loaders. The CNN model was not built with the correct number of convolutional layers, and the residual connection was not implemented. The training and validation functions were not implemented, and the training process was not executed.
Breakdown:
- Part 1: Load and Prepare Data: 0.0/?
- Part 2: Build the CNN Model: 0.0/?
- Part 3: Training and Validation Functions: 0.0/?
- Part 4: Training: 0.0/?
- Part 5: Bonus — Residual Connection: 0.0/?</t>
        </is>
      </c>
      <c r="AC476" t="n">
        <v>6</v>
      </c>
      <c r="AD476" t="inlineStr">
        <is>
          <t>The student's submission failed to meet the requirements of the task. The code was not organized correctly, and it did not run end-to-end. The student attempted to define the dataset class, model class, training and validation loops, running training, and visualizing predictions, but the code was incorrect and did not meet the requirements of the task. As a result, the student received 0 points for each task.
Breakdown:
- Task 1: Dataset Class: 0.0/?
- Task 2: Model Class: 0.0/?
- Task 3: Training and Validation Loops: 0.0/?
- Task 4: Running Training: 0.0/?
- Task 5: Visualizing Predictions: 0.0/?</t>
        </is>
      </c>
      <c r="AE476" t="n">
        <v>0</v>
      </c>
      <c r="AF476" t="n">
        <v>0</v>
      </c>
      <c r="AG476" t="inlineStr">
        <is>
          <t>No submission found.</t>
        </is>
      </c>
      <c r="AH476" t="n">
        <v>16</v>
      </c>
      <c r="AI476" t="n">
        <v>0</v>
      </c>
    </row>
    <row r="477">
      <c r="A477" t="n">
        <v>476</v>
      </c>
      <c r="B477" t="inlineStr">
        <is>
          <t>TA_9</t>
        </is>
      </c>
      <c r="C477" t="inlineStr">
        <is>
          <t>TA_19</t>
        </is>
      </c>
      <c r="D477" t="n">
        <v>4.75</v>
      </c>
      <c r="E477" t="n">
        <v>0</v>
      </c>
      <c r="F477" t="n">
        <v>6.25</v>
      </c>
      <c r="G477" t="n">
        <v>0</v>
      </c>
      <c r="H477" t="n">
        <v>9.25</v>
      </c>
      <c r="I477" t="n">
        <v>0</v>
      </c>
      <c r="J477" t="n">
        <v>3.75</v>
      </c>
      <c r="K477" t="n">
        <v>0</v>
      </c>
      <c r="L477" t="n">
        <v>4.25</v>
      </c>
      <c r="M477" t="n">
        <v>0</v>
      </c>
      <c r="N477" t="n">
        <v>9.75</v>
      </c>
      <c r="O477" t="n">
        <v>0</v>
      </c>
      <c r="P477">
        <f>Table1[[#This Row],[TA 1 - Q1 Score]]+Table1[[#This Row],[TA 1 - Q2 Score]]+Table1[[#This Row],[TA 1 - Q3 Score]]</f>
        <v/>
      </c>
      <c r="Q477">
        <f>Table1[[#This Row],[TA 1 - Q1 Bonus]]+Table1[[#This Row],[TA 1 - Q2 Bonus]]+Table1[[#This Row],[TA 1 - Q4 Bonus]]</f>
        <v/>
      </c>
      <c r="R477">
        <f>Table1[[#This Row],[TA 2 - Q1 Score]]+Table1[[#This Row],[TA 2 - Q2 Score]]+Table1[[#This Row],[TA 2 - Q3 Score]]</f>
        <v/>
      </c>
      <c r="S477">
        <f>Table1[[#This Row],[TA 2 - Q1 Bonus]]+Table1[[#This Row],[TA 2 - Q2 Bonus]]+Table1[[#This Row],[TA 2 - Q4 Bonus]]</f>
        <v/>
      </c>
      <c r="T477">
        <f>(Table1[[#This Row],[TA 1 - Total Score (out of 35)]]+Table1[[#This Row],[TA 2 - Total Score (out of 35)]])/2</f>
        <v/>
      </c>
      <c r="U477">
        <f>(Table1[[#This Row],[TA 1 - Total Bonus (out of 13)]]+Table1[[#This Row],[TA 2 - Total Bonus (out of 13)]])/2</f>
        <v/>
      </c>
      <c r="V477">
        <f>Table1[[#This Row],[Average Questions]]/35*20+Table1[[#This Row],[Average Bonus]]/13*5</f>
        <v/>
      </c>
      <c r="W477" t="n">
        <v>6</v>
      </c>
      <c r="X477" t="n">
        <v>0</v>
      </c>
      <c r="Y477" t="inlineStr">
        <is>
          <t>The student failed to complete several key tasks, including loading and preparing the data, loading the pretrained model and adapting it, and implementing the training and validation functions. While they did attempt to train the model and plot the losses and accuracy, their code contained several errors and did not run end-to-end. The student did not implement test time augmentation, which is a critical component of the task. As a result, the student earned a score of 6.0, with no bonus points awarded.
Breakdown:
- Part 1: Load and Prepare Data: 0.0/?
- Part 2: Load Pretrained Model and Adapt: 0.0/?
- Part 3: Training and Validation Functions: 0.0/?
- Part 4: Training: 2.5/?
- Part 5: Bonus — Test Time Augmentation: 0.0/?</t>
        </is>
      </c>
      <c r="Z477" t="n">
        <v>4</v>
      </c>
      <c r="AA477" t="n">
        <v>0</v>
      </c>
      <c r="AB477"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77" t="n">
        <v>6</v>
      </c>
      <c r="AD477" t="inlineStr">
        <is>
          <t>The student's submission failed to address several key tasks, including building a custom dataset class, defining a model class, and implementing training and validation loops. While the student did attempt to visualize predictions, their code did not meet the full requirements of the task.
Breakdown:
- Task 1: Dataset Class: 0.0/?
- Task 2: Model Class: 0.0/?
- Task 3: Training and Validation Loops: 0.0/?
- Task 4: Running Training: 0.0/?
- Task 5: Visualizing Predictions: 6.0/?</t>
        </is>
      </c>
      <c r="AE477" t="n">
        <v>0</v>
      </c>
      <c r="AF477" t="n">
        <v>0</v>
      </c>
      <c r="AG477" t="inlineStr">
        <is>
          <t>No submission found.</t>
        </is>
      </c>
      <c r="AH477" t="n">
        <v>16</v>
      </c>
      <c r="AI477" t="n">
        <v>0</v>
      </c>
    </row>
    <row r="478">
      <c r="A478" t="n">
        <v>477</v>
      </c>
      <c r="B478" t="inlineStr">
        <is>
          <t>TA_9</t>
        </is>
      </c>
      <c r="C478" t="inlineStr">
        <is>
          <t>TA_19</t>
        </is>
      </c>
      <c r="D478" t="n">
        <v>10.8</v>
      </c>
      <c r="E478" t="n">
        <v>0</v>
      </c>
      <c r="F478" t="n">
        <v>11</v>
      </c>
      <c r="G478" t="n">
        <v>0</v>
      </c>
      <c r="H478" t="n">
        <v>11.75</v>
      </c>
      <c r="I478" t="n">
        <v>0</v>
      </c>
      <c r="J478" t="n">
        <v>11</v>
      </c>
      <c r="K478" t="n">
        <v>0</v>
      </c>
      <c r="L478" t="n">
        <v>10.9</v>
      </c>
      <c r="M478" t="n">
        <v>0</v>
      </c>
      <c r="N478" t="n">
        <v>10</v>
      </c>
      <c r="O478" t="n">
        <v>0</v>
      </c>
      <c r="P478">
        <f>Table1[[#This Row],[TA 1 - Q1 Score]]+Table1[[#This Row],[TA 1 - Q2 Score]]+Table1[[#This Row],[TA 1 - Q3 Score]]</f>
        <v/>
      </c>
      <c r="Q478">
        <f>Table1[[#This Row],[TA 1 - Q1 Bonus]]+Table1[[#This Row],[TA 1 - Q2 Bonus]]+Table1[[#This Row],[TA 1 - Q4 Bonus]]</f>
        <v/>
      </c>
      <c r="R478">
        <f>Table1[[#This Row],[TA 2 - Q1 Score]]+Table1[[#This Row],[TA 2 - Q2 Score]]+Table1[[#This Row],[TA 2 - Q3 Score]]</f>
        <v/>
      </c>
      <c r="S478">
        <f>Table1[[#This Row],[TA 2 - Q1 Bonus]]+Table1[[#This Row],[TA 2 - Q2 Bonus]]+Table1[[#This Row],[TA 2 - Q4 Bonus]]</f>
        <v/>
      </c>
      <c r="T478">
        <f>(Table1[[#This Row],[TA 1 - Total Score (out of 35)]]+Table1[[#This Row],[TA 2 - Total Score (out of 35)]])/2</f>
        <v/>
      </c>
      <c r="U478">
        <f>(Table1[[#This Row],[TA 1 - Total Bonus (out of 13)]]+Table1[[#This Row],[TA 2 - Total Bonus (out of 13)]])/2</f>
        <v/>
      </c>
      <c r="V478">
        <f>Table1[[#This Row],[Average Questions]]/35*20+Table1[[#This Row],[Average Bonus]]/13*5</f>
        <v/>
      </c>
      <c r="W478" t="n">
        <v>6</v>
      </c>
      <c r="X478" t="n">
        <v>0</v>
      </c>
      <c r="Y478"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 was unable to complete the task and earn the full score.
Breakdown:
- Part 1: Load and Prepare Data: 0.0/?
- Part 2: Load Pretrained Model and Adapt: 0.0/?
- Part 3: Training and Validation Functions: 0.0/?
- Part 4: Training: 3.0/?
- Part 5: Bonus — Test Time Augmentation: 0.0/?</t>
        </is>
      </c>
      <c r="Z478" t="n">
        <v>4</v>
      </c>
      <c r="AA478" t="n">
        <v>0</v>
      </c>
      <c r="AB478"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78" t="n">
        <v>6</v>
      </c>
      <c r="AD478" t="inlineStr">
        <is>
          <t>The student's submission was incomplete and contained several errors. They failed to complete tasks 1, 2, 3, and 4, and their implementation of task 5 was not entirely correct. The student's code was not well-organized and did not follow the provided structure. As a result, they were unable to complete the majority of the tasks and were only able to receive partial credit for task 5.
Breakdown:
- Task 1: Dataset Class: 0.0/?
- Task 2: Model Class: 0.0/?
- Task 3: Training and Validation Loops: 0.0/?
- Task 4: Running Training: 0.0/?
- Task 5: Visualizing Predictions: 6.0/?</t>
        </is>
      </c>
      <c r="AE478" t="n">
        <v>0</v>
      </c>
      <c r="AF478" t="n">
        <v>0</v>
      </c>
      <c r="AG478" t="inlineStr">
        <is>
          <t>No submission found.</t>
        </is>
      </c>
      <c r="AH478" t="n">
        <v>16</v>
      </c>
      <c r="AI478" t="n">
        <v>0</v>
      </c>
    </row>
    <row r="479">
      <c r="A479" t="n">
        <v>478</v>
      </c>
      <c r="B479" t="inlineStr">
        <is>
          <t>TA_9</t>
        </is>
      </c>
      <c r="C479" t="inlineStr">
        <is>
          <t>TA_19</t>
        </is>
      </c>
      <c r="D479" t="n">
        <v>3.8</v>
      </c>
      <c r="E479" t="n">
        <v>0</v>
      </c>
      <c r="F479" t="n">
        <v>7.75</v>
      </c>
      <c r="G479" t="n">
        <v>0</v>
      </c>
      <c r="H479" t="n">
        <v>11.5</v>
      </c>
      <c r="I479" t="n">
        <v>0</v>
      </c>
      <c r="J479" t="n">
        <v>5.5</v>
      </c>
      <c r="K479" t="n">
        <v>0</v>
      </c>
      <c r="L479" t="n">
        <v>7.5</v>
      </c>
      <c r="M479" t="n">
        <v>0</v>
      </c>
      <c r="N479" t="n">
        <v>7.75</v>
      </c>
      <c r="O479" t="n">
        <v>0</v>
      </c>
      <c r="P479">
        <f>Table1[[#This Row],[TA 1 - Q1 Score]]+Table1[[#This Row],[TA 1 - Q2 Score]]+Table1[[#This Row],[TA 1 - Q3 Score]]</f>
        <v/>
      </c>
      <c r="Q479">
        <f>Table1[[#This Row],[TA 1 - Q1 Bonus]]+Table1[[#This Row],[TA 1 - Q2 Bonus]]+Table1[[#This Row],[TA 1 - Q4 Bonus]]</f>
        <v/>
      </c>
      <c r="R479">
        <f>Table1[[#This Row],[TA 2 - Q1 Score]]+Table1[[#This Row],[TA 2 - Q2 Score]]+Table1[[#This Row],[TA 2 - Q3 Score]]</f>
        <v/>
      </c>
      <c r="S479">
        <f>Table1[[#This Row],[TA 2 - Q1 Bonus]]+Table1[[#This Row],[TA 2 - Q2 Bonus]]+Table1[[#This Row],[TA 2 - Q4 Bonus]]</f>
        <v/>
      </c>
      <c r="T479">
        <f>(Table1[[#This Row],[TA 1 - Total Score (out of 35)]]+Table1[[#This Row],[TA 2 - Total Score (out of 35)]])/2</f>
        <v/>
      </c>
      <c r="U479">
        <f>(Table1[[#This Row],[TA 1 - Total Bonus (out of 13)]]+Table1[[#This Row],[TA 2 - Total Bonus (out of 13)]])/2</f>
        <v/>
      </c>
      <c r="V479">
        <f>Table1[[#This Row],[Average Questions]]/35*20+Table1[[#This Row],[Average Bonus]]/13*5</f>
        <v/>
      </c>
      <c r="W479" t="n">
        <v>6</v>
      </c>
      <c r="X479" t="n">
        <v>0</v>
      </c>
      <c r="Y479" t="inlineStr">
        <is>
          <t>The student's submission failed to complete several key tasks, including loading and preparing the data, loading a pretrained model and adapting it, and training the model. While the student made an attempt at training and validation functions, the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479" t="n">
        <v>4</v>
      </c>
      <c r="AA479" t="n">
        <v>0</v>
      </c>
      <c r="AB479" t="inlineStr">
        <is>
          <t>The student's submission failed to load and prepare the data correctly, as evident from the missing code for Part 1. Furthermore, the CNN model was not built as per the specifications in Part 2. The training and validation functions were also not implemented correctly in Part 3. The training process was not executed as per the requirements in Part 4. Lastly, the bonus task of adding a residual connection was not attempted in Part 5. As a result, the student scored 0% for all tasks, with no bonus points awarded.
Breakdown:
- Part 1: Load and Prepare Data: 0.0/?
- Part 2: Build the CNN Model: 0.0/?
- Part 3: Training and Validation Functions: 0.0/?
- Part 4: Training: 0.0/?
- Part 5: Bonus — Residual Connection: 0.0/?</t>
        </is>
      </c>
      <c r="AC479" t="n">
        <v>6</v>
      </c>
      <c r="AD479" t="inlineStr">
        <is>
          <t>The student's submission is incomplete and lacks code for several tasks. While they attempted to visualize predictions, their code is not fully functional and does not meet the requirements of the task. As a result, the student earns 0 points for Tasks 1-4 and 6 points for Task 5, for a total score of 6.0.
Breakdown:
- Task 1: Dataset Class: 0.0/?
- Task 2: Model Class: 0.0/?
- Task 3: Training and Validation Loops: 0.0/?
- Task 4: Running Training: 0.0/?
- Task 5: Visualizing Predictions: 6.0/?</t>
        </is>
      </c>
      <c r="AE479" t="n">
        <v>0</v>
      </c>
      <c r="AF479" t="n">
        <v>0</v>
      </c>
      <c r="AG479" t="inlineStr">
        <is>
          <t>No submission found.</t>
        </is>
      </c>
      <c r="AH479" t="n">
        <v>16</v>
      </c>
      <c r="AI479" t="n">
        <v>0</v>
      </c>
    </row>
    <row r="480">
      <c r="A480" t="n">
        <v>479</v>
      </c>
      <c r="B480" t="inlineStr">
        <is>
          <t>TA_9</t>
        </is>
      </c>
      <c r="C480" t="inlineStr">
        <is>
          <t>TA_19</t>
        </is>
      </c>
      <c r="D480" t="n">
        <v>4.25</v>
      </c>
      <c r="E480" t="n">
        <v>0</v>
      </c>
      <c r="F480" t="n">
        <v>7.5</v>
      </c>
      <c r="G480" t="n">
        <v>0</v>
      </c>
      <c r="H480" t="n">
        <v>11.4</v>
      </c>
      <c r="I480" t="n">
        <v>0</v>
      </c>
      <c r="J480" t="n">
        <v>6.5</v>
      </c>
      <c r="K480" t="n">
        <v>0</v>
      </c>
      <c r="L480" t="n">
        <v>6.75</v>
      </c>
      <c r="M480" t="n">
        <v>0</v>
      </c>
      <c r="N480" t="n">
        <v>10.25</v>
      </c>
      <c r="O480" t="n">
        <v>0</v>
      </c>
      <c r="P480">
        <f>Table1[[#This Row],[TA 1 - Q1 Score]]+Table1[[#This Row],[TA 1 - Q2 Score]]+Table1[[#This Row],[TA 1 - Q3 Score]]</f>
        <v/>
      </c>
      <c r="Q480">
        <f>Table1[[#This Row],[TA 1 - Q1 Bonus]]+Table1[[#This Row],[TA 1 - Q2 Bonus]]+Table1[[#This Row],[TA 1 - Q4 Bonus]]</f>
        <v/>
      </c>
      <c r="R480">
        <f>Table1[[#This Row],[TA 2 - Q1 Score]]+Table1[[#This Row],[TA 2 - Q2 Score]]+Table1[[#This Row],[TA 2 - Q3 Score]]</f>
        <v/>
      </c>
      <c r="S480">
        <f>Table1[[#This Row],[TA 2 - Q1 Bonus]]+Table1[[#This Row],[TA 2 - Q2 Bonus]]+Table1[[#This Row],[TA 2 - Q4 Bonus]]</f>
        <v/>
      </c>
      <c r="T480">
        <f>(Table1[[#This Row],[TA 1 - Total Score (out of 35)]]+Table1[[#This Row],[TA 2 - Total Score (out of 35)]])/2</f>
        <v/>
      </c>
      <c r="U480">
        <f>(Table1[[#This Row],[TA 1 - Total Bonus (out of 13)]]+Table1[[#This Row],[TA 2 - Total Bonus (out of 13)]])/2</f>
        <v/>
      </c>
      <c r="V480">
        <f>Table1[[#This Row],[Average Questions]]/35*20+Table1[[#This Row],[Average Bonus]]/13*5</f>
        <v/>
      </c>
      <c r="W480" t="n">
        <v>6</v>
      </c>
      <c r="X480" t="n">
        <v>0</v>
      </c>
      <c r="Y480" t="inlineStr">
        <is>
          <t>The student's submission failed to complete several key tasks, including loading and preparing the data, loading a pretrained model and adapting it, and implementing training and validation functions. While the student did attempt to train the model, their code contained several errors and did not run end-to-end.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0.0/?
- Part 4: Training: 2.0/?
- Part 5: Bonus — Test Time Augmentation: 0.0/?</t>
        </is>
      </c>
      <c r="Z480" t="n">
        <v>4</v>
      </c>
      <c r="AA480" t="n">
        <v>0</v>
      </c>
      <c r="AB480" t="inlineStr">
        <is>
          <t>The submission failed to load and prepare the data correctly, as it did not use the provided dataset class or ImageFolder. The CNN model was not built with the correct architecture, and the training and validation functions were not implemented. The training process was also not executed correctly. The bonus task of adding a residual connection was not attempted.
Breakdown:
- Part 1: Load and Prepare Data: 0.0/?
- Part 2: Build the CNN Model: 0.0/?
- Part 3: Training and Validation Functions: 0.0/?
- Part 4: Training: 0.0/?
- Part 5: Bonus — Residual Connection: 0.0/?</t>
        </is>
      </c>
      <c r="AC480" t="n">
        <v>6</v>
      </c>
      <c r="AD480" t="inlineStr">
        <is>
          <t>The student's submission failed to meet the requirements of the task. The code was not organized, and several tasks were not implemented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80" t="n">
        <v>0</v>
      </c>
      <c r="AF480" t="n">
        <v>0</v>
      </c>
      <c r="AG480" t="inlineStr">
        <is>
          <t>No submission found.</t>
        </is>
      </c>
      <c r="AH480" t="n">
        <v>16</v>
      </c>
      <c r="AI480" t="n">
        <v>0</v>
      </c>
    </row>
    <row r="481">
      <c r="A481" t="n">
        <v>480</v>
      </c>
      <c r="B481" t="inlineStr">
        <is>
          <t>TA_9</t>
        </is>
      </c>
      <c r="C481" t="inlineStr">
        <is>
          <t>TA_19</t>
        </is>
      </c>
      <c r="D481" t="n">
        <v>12</v>
      </c>
      <c r="E481" t="n">
        <v>0</v>
      </c>
      <c r="F481" t="n">
        <v>11</v>
      </c>
      <c r="G481" t="n">
        <v>0</v>
      </c>
      <c r="H481" t="n">
        <v>11</v>
      </c>
      <c r="I481" t="n">
        <v>0</v>
      </c>
      <c r="J481" t="n">
        <v>11.25</v>
      </c>
      <c r="K481" t="n">
        <v>0</v>
      </c>
      <c r="L481" t="n">
        <v>10.9</v>
      </c>
      <c r="M481" t="n">
        <v>0</v>
      </c>
      <c r="N481" t="n">
        <v>9</v>
      </c>
      <c r="O481" t="n">
        <v>0</v>
      </c>
      <c r="P481">
        <f>Table1[[#This Row],[TA 1 - Q1 Score]]+Table1[[#This Row],[TA 1 - Q2 Score]]+Table1[[#This Row],[TA 1 - Q3 Score]]</f>
        <v/>
      </c>
      <c r="Q481">
        <f>Table1[[#This Row],[TA 1 - Q1 Bonus]]+Table1[[#This Row],[TA 1 - Q2 Bonus]]+Table1[[#This Row],[TA 1 - Q4 Bonus]]</f>
        <v/>
      </c>
      <c r="R481">
        <f>Table1[[#This Row],[TA 2 - Q1 Score]]+Table1[[#This Row],[TA 2 - Q2 Score]]+Table1[[#This Row],[TA 2 - Q3 Score]]</f>
        <v/>
      </c>
      <c r="S481">
        <f>Table1[[#This Row],[TA 2 - Q1 Bonus]]+Table1[[#This Row],[TA 2 - Q2 Bonus]]+Table1[[#This Row],[TA 2 - Q4 Bonus]]</f>
        <v/>
      </c>
      <c r="T481">
        <f>(Table1[[#This Row],[TA 1 - Total Score (out of 35)]]+Table1[[#This Row],[TA 2 - Total Score (out of 35)]])/2</f>
        <v/>
      </c>
      <c r="U481">
        <f>(Table1[[#This Row],[TA 1 - Total Bonus (out of 13)]]+Table1[[#This Row],[TA 2 - Total Bonus (out of 13)]])/2</f>
        <v/>
      </c>
      <c r="V481">
        <f>Table1[[#This Row],[Average Questions]]/35*20+Table1[[#This Row],[Average Bonus]]/13*5</f>
        <v/>
      </c>
      <c r="W481" t="n">
        <v>6</v>
      </c>
      <c r="X481" t="n">
        <v>0</v>
      </c>
      <c r="Y481"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syntax and logic mistakes. The bonus task of implementing test time augmentation was not attempted. Overall, the student's submission demonstrated a lack of understanding of the required tasks and concepts.
Breakdown:
- Part 1: Load and Prepare Data: 0.0/?
- Part 2: Load Pretrained Model and Adapt: 0.0/?
- Part 3: Training and Validation Functions: 0.0/?
- Part 4: Training: 2.0/?
- Part 5: Bonus — Test Time Augmentation: 0.0/?</t>
        </is>
      </c>
      <c r="Z481" t="n">
        <v>4</v>
      </c>
      <c r="AA481" t="n">
        <v>0</v>
      </c>
      <c r="AB481"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481" t="n">
        <v>6</v>
      </c>
      <c r="AD481" t="inlineStr">
        <is>
          <t>The student's submission failed to meet the requirements of the task, with no code submitted for Task 1 and incorrect implementations for Tasks 2-5. The student's code attempted to use a different encoder for the model class, and the training and validation loops were not implemented correctly. Additionally, the training process was not implemented correctly, including loss and optimizer definition. The visualization of predictions was also not implemented correctly. As a result, the student's submission was awarded 0 points for each task.
Breakdown:
- Task 1: Dataset Class: 0.0/?
- Task 2: Model Class: 0.0/?
- Task 3: Training and Validation Loops: 0.0/?
- Task 4: Running Training: 0.0/?
- Task 5: Visualizing Predictions: 0.0/?</t>
        </is>
      </c>
      <c r="AE481" t="n">
        <v>0</v>
      </c>
      <c r="AF481" t="n">
        <v>0</v>
      </c>
      <c r="AG481" t="inlineStr">
        <is>
          <t>The student's submission does not implement the `ColorizationDataset` class correctly. The `rgb_to_grayscale` method is not implemented correctly and the `__getitem__` method is not implemented correctly. As a result, the student does not receive any points for this task.
Breakdown:
- Correctly implemented `ColorizationDataset` class:: 0.0/?</t>
        </is>
      </c>
      <c r="AH481" t="n">
        <v>16</v>
      </c>
      <c r="AI481" t="n">
        <v>0</v>
      </c>
    </row>
    <row r="482">
      <c r="A482" t="n">
        <v>481</v>
      </c>
      <c r="B482" t="inlineStr">
        <is>
          <t>TA_9</t>
        </is>
      </c>
      <c r="C482" t="inlineStr">
        <is>
          <t>TA_19</t>
        </is>
      </c>
      <c r="D482" t="n">
        <v>9.75</v>
      </c>
      <c r="E482" t="n">
        <v>0</v>
      </c>
      <c r="F482" t="n">
        <v>6</v>
      </c>
      <c r="G482" t="n">
        <v>0</v>
      </c>
      <c r="H482" t="n">
        <v>11</v>
      </c>
      <c r="I482" t="n">
        <v>0</v>
      </c>
      <c r="J482" t="n">
        <v>11</v>
      </c>
      <c r="K482" t="n">
        <v>0</v>
      </c>
      <c r="L482" t="n">
        <v>7.4</v>
      </c>
      <c r="M482" t="n">
        <v>0</v>
      </c>
      <c r="N482" t="n">
        <v>8.25</v>
      </c>
      <c r="O482" t="n">
        <v>0</v>
      </c>
      <c r="P482">
        <f>Table1[[#This Row],[TA 1 - Q1 Score]]+Table1[[#This Row],[TA 1 - Q2 Score]]+Table1[[#This Row],[TA 1 - Q3 Score]]</f>
        <v/>
      </c>
      <c r="Q482">
        <f>Table1[[#This Row],[TA 1 - Q1 Bonus]]+Table1[[#This Row],[TA 1 - Q2 Bonus]]+Table1[[#This Row],[TA 1 - Q4 Bonus]]</f>
        <v/>
      </c>
      <c r="R482">
        <f>Table1[[#This Row],[TA 2 - Q1 Score]]+Table1[[#This Row],[TA 2 - Q2 Score]]+Table1[[#This Row],[TA 2 - Q3 Score]]</f>
        <v/>
      </c>
      <c r="S482">
        <f>Table1[[#This Row],[TA 2 - Q1 Bonus]]+Table1[[#This Row],[TA 2 - Q2 Bonus]]+Table1[[#This Row],[TA 2 - Q4 Bonus]]</f>
        <v/>
      </c>
      <c r="T482">
        <f>(Table1[[#This Row],[TA 1 - Total Score (out of 35)]]+Table1[[#This Row],[TA 2 - Total Score (out of 35)]])/2</f>
        <v/>
      </c>
      <c r="U482">
        <f>(Table1[[#This Row],[TA 1 - Total Bonus (out of 13)]]+Table1[[#This Row],[TA 2 - Total Bonus (out of 13)]])/2</f>
        <v/>
      </c>
      <c r="V482">
        <f>Table1[[#This Row],[Average Questions]]/35*20+Table1[[#This Row],[Average Bonus]]/13*5</f>
        <v/>
      </c>
      <c r="W482" t="n">
        <v>6</v>
      </c>
      <c r="X482" t="n">
        <v>0</v>
      </c>
      <c r="Y482"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syntax and logic mistakes, resulting in a score of 6.0 for this task. Unfortunately, the student did not complete the bonus task, resulting in a bonus score of 0.0.
Breakdown:
- Part 1: Load and Prepare Data: 0.0/?
- Part 2: Load Pretrained Model and Adapt: 0.0/?
- Part 3: Training and Validation Functions: 0.0/?
- Part 4: Training: 6.0/?
- Part 5: Bonus — Test Time Augmentation: 0.0/?</t>
        </is>
      </c>
      <c r="Z482" t="n">
        <v>6</v>
      </c>
      <c r="AA482" t="n">
        <v>0</v>
      </c>
      <c r="AB48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any points for the base tasks, and their bonus task was also not completed.
Breakdown:
- Part 1: Load and Prepare Data: 0.0/?
- Part 2: Build the CNN Model: 0.0/?
- Part 3: Training and Validation Functions: 0.0/?
- Part 4: Training: 2.0/?
- Part 5: Bonus — Residual Connection: 0.0/?</t>
        </is>
      </c>
      <c r="AC482" t="n">
        <v>6</v>
      </c>
      <c r="AD482" t="inlineStr">
        <is>
          <t>The student's submission had several issues. They failed to implement the dataset class, model class, and training and validation loops correctly. Additionally, the training process was not implemented correctly, and the model was not trained correctly. However, the student was able to visualize the predictions against the ground truth for several images.
Breakdown:
- Task 1: Dataset Class: 0.0/?
- Task 2: Model Class: 0.0/?
- Task 3: Training and Validation Loops: 0.0/?
- Task 4: Running Training: 0.0/?
- Task 5: Visualizing Predictions: 6.0/?</t>
        </is>
      </c>
      <c r="AE482" t="n">
        <v>0</v>
      </c>
      <c r="AF482" t="n">
        <v>0</v>
      </c>
      <c r="AG482" t="inlineStr">
        <is>
          <t>No submission found.</t>
        </is>
      </c>
      <c r="AH482" t="n">
        <v>18</v>
      </c>
      <c r="AI482" t="n">
        <v>0</v>
      </c>
    </row>
    <row r="483">
      <c r="A483" t="n">
        <v>482</v>
      </c>
      <c r="B483" t="inlineStr">
        <is>
          <t>TA_9</t>
        </is>
      </c>
      <c r="C483" t="inlineStr">
        <is>
          <t>TA_19</t>
        </is>
      </c>
      <c r="D483" t="n">
        <v>10.5</v>
      </c>
      <c r="E483" t="n">
        <v>3</v>
      </c>
      <c r="F483" t="n">
        <v>9.5</v>
      </c>
      <c r="G483" t="n">
        <v>0</v>
      </c>
      <c r="H483" t="n">
        <v>11</v>
      </c>
      <c r="I483" t="n">
        <v>0</v>
      </c>
      <c r="J483" t="n">
        <v>9.5</v>
      </c>
      <c r="K483" t="n">
        <v>2</v>
      </c>
      <c r="L483" t="n">
        <v>6.75</v>
      </c>
      <c r="M483" t="n">
        <v>0</v>
      </c>
      <c r="N483" t="n">
        <v>7.75</v>
      </c>
      <c r="O483" t="n">
        <v>0</v>
      </c>
      <c r="P483">
        <f>Table1[[#This Row],[TA 1 - Q1 Score]]+Table1[[#This Row],[TA 1 - Q2 Score]]+Table1[[#This Row],[TA 1 - Q3 Score]]</f>
        <v/>
      </c>
      <c r="Q483">
        <f>Table1[[#This Row],[TA 1 - Q1 Bonus]]+Table1[[#This Row],[TA 1 - Q2 Bonus]]+Table1[[#This Row],[TA 1 - Q4 Bonus]]</f>
        <v/>
      </c>
      <c r="R483">
        <f>Table1[[#This Row],[TA 2 - Q1 Score]]+Table1[[#This Row],[TA 2 - Q2 Score]]+Table1[[#This Row],[TA 2 - Q3 Score]]</f>
        <v/>
      </c>
      <c r="S483">
        <f>Table1[[#This Row],[TA 2 - Q1 Bonus]]+Table1[[#This Row],[TA 2 - Q2 Bonus]]+Table1[[#This Row],[TA 2 - Q4 Bonus]]</f>
        <v/>
      </c>
      <c r="T483">
        <f>(Table1[[#This Row],[TA 1 - Total Score (out of 35)]]+Table1[[#This Row],[TA 2 - Total Score (out of 35)]])/2</f>
        <v/>
      </c>
      <c r="U483">
        <f>(Table1[[#This Row],[TA 1 - Total Bonus (out of 13)]]+Table1[[#This Row],[TA 2 - Total Bonus (out of 13)]])/2</f>
        <v/>
      </c>
      <c r="V483">
        <f>Table1[[#This Row],[Average Questions]]/35*20+Table1[[#This Row],[Average Bonus]]/13*5</f>
        <v/>
      </c>
      <c r="W483" t="n">
        <v>6</v>
      </c>
      <c r="X483" t="n">
        <v>0</v>
      </c>
      <c r="Y483" t="inlineStr">
        <is>
          <t>The student's submission failed to complete several key tasks, including loading and preparing the data, loading a pretrained model, and adapting it for the task. The training and validation functions were also not implemented correctly. However, the student did manage to complete the training process, earning 6 points for that task. Unfortunately, the bonus task of implementing test time augmentation was not attempted.
Breakdown:
- Part 1: Load and Prepare Data: 0.0/?
- Part 2: Load Pretrained Model and Adapt: 0.0/?
- Part 3: Training and Validation Functions: 0.0/?
- Part 4: Training: 6.0/?
- Part 5: Bonus — Test Time Augmentation: 0.0/?</t>
        </is>
      </c>
      <c r="Z483" t="n">
        <v>4</v>
      </c>
      <c r="AA483" t="n">
        <v>0</v>
      </c>
      <c r="AB483"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83" t="n">
        <v>6</v>
      </c>
      <c r="AD483" t="inlineStr">
        <is>
          <t>The student's submission failed to meet the requirements of the task, with several critical errors in the implementation of the dataset class, model class, training and validation loops, running training, and visualizing predictions. The student's code was not able to run end-to-end, and several tasks were not implemented correctly. As a result, the student's submission was awarded 0 points for each task.
Breakdown:
- Task 1: Dataset Class: 0.0/?
- Task 2: Model Class: 0.0/?
- Task 3: Training and Validation Loops: 0.0/?
- Task 4: Running Training: 0.0/?
- Task 5: Visualizing Predictions: 0.0/?</t>
        </is>
      </c>
      <c r="AE483" t="n">
        <v>0</v>
      </c>
      <c r="AF483" t="n">
        <v>0</v>
      </c>
      <c r="AG483" t="inlineStr">
        <is>
          <t>No submission found.</t>
        </is>
      </c>
      <c r="AH483" t="n">
        <v>16</v>
      </c>
      <c r="AI483" t="n">
        <v>0</v>
      </c>
    </row>
    <row r="484">
      <c r="A484" t="n">
        <v>483</v>
      </c>
      <c r="B484" t="inlineStr">
        <is>
          <t>TA_9</t>
        </is>
      </c>
      <c r="C484" t="inlineStr">
        <is>
          <t>TA_19</t>
        </is>
      </c>
      <c r="D484" t="n">
        <v>9.5</v>
      </c>
      <c r="E484" t="n">
        <v>4</v>
      </c>
      <c r="F484" t="n">
        <v>11</v>
      </c>
      <c r="G484" t="n">
        <v>3</v>
      </c>
      <c r="H484" t="n">
        <v>6.5</v>
      </c>
      <c r="I484" t="n">
        <v>5</v>
      </c>
      <c r="J484" t="n">
        <v>9.25</v>
      </c>
      <c r="K484" t="n">
        <v>4</v>
      </c>
      <c r="L484" t="n">
        <v>9.75</v>
      </c>
      <c r="M484" t="n">
        <v>1.5</v>
      </c>
      <c r="N484" t="n">
        <v>7</v>
      </c>
      <c r="O484" t="n">
        <v>5</v>
      </c>
      <c r="P484">
        <f>Table1[[#This Row],[TA 1 - Q1 Score]]+Table1[[#This Row],[TA 1 - Q2 Score]]+Table1[[#This Row],[TA 1 - Q3 Score]]</f>
        <v/>
      </c>
      <c r="Q484">
        <f>Table1[[#This Row],[TA 1 - Q1 Bonus]]+Table1[[#This Row],[TA 1 - Q2 Bonus]]+Table1[[#This Row],[TA 1 - Q4 Bonus]]</f>
        <v/>
      </c>
      <c r="R484">
        <f>Table1[[#This Row],[TA 2 - Q1 Score]]+Table1[[#This Row],[TA 2 - Q2 Score]]+Table1[[#This Row],[TA 2 - Q3 Score]]</f>
        <v/>
      </c>
      <c r="S484">
        <f>Table1[[#This Row],[TA 2 - Q1 Bonus]]+Table1[[#This Row],[TA 2 - Q2 Bonus]]+Table1[[#This Row],[TA 2 - Q4 Bonus]]</f>
        <v/>
      </c>
      <c r="T484">
        <f>(Table1[[#This Row],[TA 1 - Total Score (out of 35)]]+Table1[[#This Row],[TA 2 - Total Score (out of 35)]])/2</f>
        <v/>
      </c>
      <c r="U484">
        <f>(Table1[[#This Row],[TA 1 - Total Bonus (out of 13)]]+Table1[[#This Row],[TA 2 - Total Bonus (out of 13)]])/2</f>
        <v/>
      </c>
      <c r="V484">
        <f>Table1[[#This Row],[Average Questions]]/35*20+Table1[[#This Row],[Average Bonus]]/13*5</f>
        <v/>
      </c>
      <c r="W484" t="n">
        <v>6</v>
      </c>
      <c r="X484" t="n">
        <v>0</v>
      </c>
      <c r="Y48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484" t="n">
        <v>6</v>
      </c>
      <c r="AA484" t="n">
        <v>0</v>
      </c>
      <c r="AB484" t="inlineStr">
        <is>
          <t>The student's submission failed to load and prepare the data correctly, as they used a different dataset and did not apply the required transforms. The CNN model was not built correctly, and the training and validation functions were not implemented. Although the student attempted to train the model, the training process was not completed correctly. The bonus task of adding a residual connection was not attempted.
Breakdown:
- Part 1: Load and Prepare Data: 0.0/?
- Part 2: Build the CNN Model: 0.0/?
- Part 3: Training and Validation Functions: 0.0/?
- Part 4: Training: 2.0/?
- Part 5: Bonus — Residual Connection: 0.0/?</t>
        </is>
      </c>
      <c r="AC484" t="n">
        <v>6</v>
      </c>
      <c r="AD484" t="inlineStr">
        <is>
          <t>The student's submission failed to meet the requirements of the task. The code was not organized in a way that allowed it to run end-to-end, and several key components were missing or incorrect. The student did not attempt to define the dataset class, model class, training and validation loops, or visualize predictions, resulting in a score of 0 for each of these tasks. The student's submission did not demonstrate a clear understanding of the task requirements or the ability to implement the necessary code.
Breakdown:
- Task 1: Dataset Class: 0.0/?
- Task 2: Model Class: 0.0/?
- Task 3: Training and Validation Loops: 0.0/?
- Task 4: Running Training: 0.0/?
- Task 5: Visualizing Predictions: 0.0/?</t>
        </is>
      </c>
      <c r="AE484" t="n">
        <v>0</v>
      </c>
      <c r="AF484" t="n">
        <v>1</v>
      </c>
      <c r="AG484" t="inlineStr">
        <is>
          <t>The student's submission demonstrates a good understanding of the ColorizationDataset class. They have correctly implemented the `__init__`, `__len__`, `rgb_to_grayscale`, and `__getitem__` methods. However, there is a small mistake in the `rgb_to_grayscale` method where the dimensions are not correctly handled. Additionally, the student has not implemented the visualization task correctly. Overall, the submission shows a good effort, but with some minor errors.
Breakdown:
- Correctly implemented `ColorizationDataset` class: 4.0/?
- Any mistake in implementation: 0.0/?</t>
        </is>
      </c>
      <c r="AH484" t="n">
        <v>18</v>
      </c>
      <c r="AI484" t="n">
        <v>1</v>
      </c>
    </row>
    <row r="485">
      <c r="A485" t="n">
        <v>484</v>
      </c>
      <c r="B485" t="inlineStr">
        <is>
          <t>TA_9</t>
        </is>
      </c>
      <c r="C485" t="inlineStr">
        <is>
          <t>TA_19</t>
        </is>
      </c>
      <c r="D485" t="n">
        <v>12</v>
      </c>
      <c r="E485" t="n">
        <v>3</v>
      </c>
      <c r="F485" t="n">
        <v>11</v>
      </c>
      <c r="G485" t="n">
        <v>4</v>
      </c>
      <c r="H485" t="n">
        <v>12</v>
      </c>
      <c r="I485" t="n">
        <v>5</v>
      </c>
      <c r="J485" t="n">
        <v>11.25</v>
      </c>
      <c r="K485" t="n">
        <v>3</v>
      </c>
      <c r="L485" t="n">
        <v>10.5</v>
      </c>
      <c r="M485" t="n">
        <v>4</v>
      </c>
      <c r="N485" t="n">
        <v>12</v>
      </c>
      <c r="O485" t="n">
        <v>5</v>
      </c>
      <c r="P485">
        <f>Table1[[#This Row],[TA 1 - Q1 Score]]+Table1[[#This Row],[TA 1 - Q2 Score]]+Table1[[#This Row],[TA 1 - Q3 Score]]</f>
        <v/>
      </c>
      <c r="Q485">
        <f>Table1[[#This Row],[TA 1 - Q1 Bonus]]+Table1[[#This Row],[TA 1 - Q2 Bonus]]+Table1[[#This Row],[TA 1 - Q4 Bonus]]</f>
        <v/>
      </c>
      <c r="R485">
        <f>Table1[[#This Row],[TA 2 - Q1 Score]]+Table1[[#This Row],[TA 2 - Q2 Score]]+Table1[[#This Row],[TA 2 - Q3 Score]]</f>
        <v/>
      </c>
      <c r="S485">
        <f>Table1[[#This Row],[TA 2 - Q1 Bonus]]+Table1[[#This Row],[TA 2 - Q2 Bonus]]+Table1[[#This Row],[TA 2 - Q4 Bonus]]</f>
        <v/>
      </c>
      <c r="T485">
        <f>(Table1[[#This Row],[TA 1 - Total Score (out of 35)]]+Table1[[#This Row],[TA 2 - Total Score (out of 35)]])/2</f>
        <v/>
      </c>
      <c r="U485">
        <f>(Table1[[#This Row],[TA 1 - Total Bonus (out of 13)]]+Table1[[#This Row],[TA 2 - Total Bonus (out of 13)]])/2</f>
        <v/>
      </c>
      <c r="V485">
        <f>Table1[[#This Row],[Average Questions]]/35*20+Table1[[#This Row],[Average Bonus]]/13*5</f>
        <v/>
      </c>
      <c r="W485" t="n">
        <v>6</v>
      </c>
      <c r="X485" t="n">
        <v>0</v>
      </c>
      <c r="Y485"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bonus task of implementing test time augmentation was not completed at all. Overall, the student's submission demonstrated a lack of understanding of the required tasks and concepts.
Breakdown:
- Part 1: Load and Prepare Data: 0.0/?
- Part 2: Load Pretrained Model and Adapt: 0.0/?
- Part 3: Training and Validation Functions: 0.0/?
- Part 4: Training: 2.0/?
- Part 5: Bonus — Test Time Augmentation: 0.0/?</t>
        </is>
      </c>
      <c r="Z485" t="n">
        <v>6</v>
      </c>
      <c r="AA485" t="n">
        <v>0</v>
      </c>
      <c r="AB485" t="inlineStr">
        <is>
          <t>The student's submission failed to load and prepare the data correctly, as the dataset class or ImageFolder was not implemented. The CNN model was partially built, but it lacked the correct number of convolutional layers and did not include batch normalization. The training and validation functions were not implemented, and the training process was not executed. The bonus task of adding a residual connection was not attempted.
Breakdown:
- Part 1: Load and Prepare Data: 0.0/?
- Part 2: Build the CNN Model: 2.0/?
- Part 3: Training and Validation Functions: 0.0/?
- Part 4: Training: 0.0/?
- Part 5: Bonus — Residual Connection: 0.0/?</t>
        </is>
      </c>
      <c r="AC485" t="n">
        <v>6</v>
      </c>
      <c r="AD485" t="inlineStr">
        <is>
          <t>The student's submission failed to meet the requirements of the task, with several key components missing or incomplete. The code is disorganized and does not follow the reference solution. As a result, the student did not demonstrate a clear understanding of the task and did not produce a working solution.
Breakdown:
- Task 1: Dataset Class: 0.0/?
- Task 2: Model Class: 0.0/?
- Task 3: Training and Validation Loops: 0.0/?
- Task 4: Running Training: 0.0/?
- Task 5: Visualizing Predictions: 0.0/?</t>
        </is>
      </c>
      <c r="AE485" t="n">
        <v>0</v>
      </c>
      <c r="AF485" t="n">
        <v>0</v>
      </c>
      <c r="AG485" t="inlineStr">
        <is>
          <t>The student's submission has several issues, including missing method implementations and incorrect variable names. The `ColorizationDataset` class is not fully implemented, and the `rgb_to_grayscale` method has a syntax error. Additionally, the `__getitem__` method is missing, which is required to return the (grayscale, color) tuple. Overall, the submission does not meet the requirements of the task.
Breakdown:
- Correctly implemented `ColorizationDataset` class:: 0.0/?
- Any mistake in implementation: 0.0/?</t>
        </is>
      </c>
      <c r="AH485" t="n">
        <v>18</v>
      </c>
      <c r="AI485" t="n">
        <v>0</v>
      </c>
    </row>
    <row r="486">
      <c r="A486" t="n">
        <v>485</v>
      </c>
      <c r="B486" t="inlineStr">
        <is>
          <t>TA_9</t>
        </is>
      </c>
      <c r="C486" t="inlineStr">
        <is>
          <t>TA_19</t>
        </is>
      </c>
      <c r="D486" t="n">
        <v>12</v>
      </c>
      <c r="E486" t="n">
        <v>0</v>
      </c>
      <c r="F486" t="n">
        <v>9.300000000000001</v>
      </c>
      <c r="G486" t="n">
        <v>0</v>
      </c>
      <c r="H486" t="n">
        <v>8.5</v>
      </c>
      <c r="I486" t="n">
        <v>0</v>
      </c>
      <c r="J486" t="n">
        <v>11</v>
      </c>
      <c r="K486" t="n">
        <v>0</v>
      </c>
      <c r="L486" t="n">
        <v>8.75</v>
      </c>
      <c r="M486" t="n">
        <v>0</v>
      </c>
      <c r="N486" t="n">
        <v>6.25</v>
      </c>
      <c r="O486" t="n">
        <v>0</v>
      </c>
      <c r="P486">
        <f>Table1[[#This Row],[TA 1 - Q1 Score]]+Table1[[#This Row],[TA 1 - Q2 Score]]+Table1[[#This Row],[TA 1 - Q3 Score]]</f>
        <v/>
      </c>
      <c r="Q486">
        <f>Table1[[#This Row],[TA 1 - Q1 Bonus]]+Table1[[#This Row],[TA 1 - Q2 Bonus]]+Table1[[#This Row],[TA 1 - Q4 Bonus]]</f>
        <v/>
      </c>
      <c r="R486">
        <f>Table1[[#This Row],[TA 2 - Q1 Score]]+Table1[[#This Row],[TA 2 - Q2 Score]]+Table1[[#This Row],[TA 2 - Q3 Score]]</f>
        <v/>
      </c>
      <c r="S486">
        <f>Table1[[#This Row],[TA 2 - Q1 Bonus]]+Table1[[#This Row],[TA 2 - Q2 Bonus]]+Table1[[#This Row],[TA 2 - Q4 Bonus]]</f>
        <v/>
      </c>
      <c r="T486">
        <f>(Table1[[#This Row],[TA 1 - Total Score (out of 35)]]+Table1[[#This Row],[TA 2 - Total Score (out of 35)]])/2</f>
        <v/>
      </c>
      <c r="U486">
        <f>(Table1[[#This Row],[TA 1 - Total Bonus (out of 13)]]+Table1[[#This Row],[TA 2 - Total Bonus (out of 13)]])/2</f>
        <v/>
      </c>
      <c r="V486">
        <f>Table1[[#This Row],[Average Questions]]/35*20+Table1[[#This Row],[Average Bonus]]/13*5</f>
        <v/>
      </c>
      <c r="W486" t="n">
        <v>6</v>
      </c>
      <c r="X486" t="n">
        <v>0</v>
      </c>
      <c r="Y486"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approach to test time augmentation was also incorrect, and they failed to average the predictions correctly. Overall, the student's submission demonstrated a lack of understanding of the key concepts and a failure to follow the instructions.
Breakdown:
- Part 1: Load and Prepare Data: 0.0/?
- Part 2: Load Pretrained Model and Adapt: 0.0/?
- Part 3: Training and Validation Functions: 0.0/?
- Part 4: Training: 2.5/?
- Part 5: Bonus — Test Time Augmentation: 0.0/?</t>
        </is>
      </c>
      <c r="Z486" t="n">
        <v>6</v>
      </c>
      <c r="AA486" t="n">
        <v>0</v>
      </c>
      <c r="AB486"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desired outcome and was awarded partial credit for the training task. The bonus task was not attempted.
Breakdown:
- Part 1: Load and Prepare Data: 0.0/?
- Part 2: Build the CNN Model: 0.0/?
- Part 3: Training and Validation Functions: 0.0/?
- Part 4: Training: 2.0/?
- Part 5: Bonus — Residual Connection: 0.0/?</t>
        </is>
      </c>
      <c r="AC486" t="n">
        <v>6</v>
      </c>
      <c r="AD486" t="inlineStr">
        <is>
          <t>The student's submission failed to meet the requirements of the task. The dataset class was not implemented correctly, and the model class was not defined as a multi-class model. The training and validation loops were not implemented correctly, and the training process was not defined correctly. The visualization of predictions was also not implemented correctly. As a result, the student did not meet the requirements of the task and did not earn any points.
Breakdown:
- Task 1: Dataset Class: 0.0/?
- Task 2: Model Class: 0.0/?
- Task 3: Training and Validation Loops: 0.0/?
- Task 4: Running Training: 0.0/?
- Task 5: Visualizing Predictions: 0.0/?</t>
        </is>
      </c>
      <c r="AE486" t="n">
        <v>0</v>
      </c>
      <c r="AF486" t="n">
        <v>0</v>
      </c>
      <c r="AG486" t="inlineStr">
        <is>
          <t>No submission found.</t>
        </is>
      </c>
      <c r="AH486" t="n">
        <v>18</v>
      </c>
      <c r="AI486" t="n">
        <v>0</v>
      </c>
    </row>
    <row r="487">
      <c r="A487" t="n">
        <v>486</v>
      </c>
      <c r="B487" t="inlineStr">
        <is>
          <t>TA_9</t>
        </is>
      </c>
      <c r="C487" t="inlineStr">
        <is>
          <t>TA_19</t>
        </is>
      </c>
      <c r="D487" t="n">
        <v>2.5</v>
      </c>
      <c r="E487" t="n">
        <v>0</v>
      </c>
      <c r="F487" t="n">
        <v>9.25</v>
      </c>
      <c r="G487" t="n">
        <v>3.8</v>
      </c>
      <c r="H487" t="n">
        <v>10.5</v>
      </c>
      <c r="I487" t="n">
        <v>0</v>
      </c>
      <c r="J487" t="n">
        <v>4.5</v>
      </c>
      <c r="K487" t="n">
        <v>0</v>
      </c>
      <c r="L487" t="n">
        <v>7.5</v>
      </c>
      <c r="M487" t="n">
        <v>0</v>
      </c>
      <c r="N487" t="n">
        <v>7.75</v>
      </c>
      <c r="O487" t="n">
        <v>0</v>
      </c>
      <c r="P487">
        <f>Table1[[#This Row],[TA 1 - Q1 Score]]+Table1[[#This Row],[TA 1 - Q2 Score]]+Table1[[#This Row],[TA 1 - Q3 Score]]</f>
        <v/>
      </c>
      <c r="Q487">
        <f>Table1[[#This Row],[TA 1 - Q1 Bonus]]+Table1[[#This Row],[TA 1 - Q2 Bonus]]+Table1[[#This Row],[TA 1 - Q4 Bonus]]</f>
        <v/>
      </c>
      <c r="R487">
        <f>Table1[[#This Row],[TA 2 - Q1 Score]]+Table1[[#This Row],[TA 2 - Q2 Score]]+Table1[[#This Row],[TA 2 - Q3 Score]]</f>
        <v/>
      </c>
      <c r="S487">
        <f>Table1[[#This Row],[TA 2 - Q1 Bonus]]+Table1[[#This Row],[TA 2 - Q2 Bonus]]+Table1[[#This Row],[TA 2 - Q4 Bonus]]</f>
        <v/>
      </c>
      <c r="T487">
        <f>(Table1[[#This Row],[TA 1 - Total Score (out of 35)]]+Table1[[#This Row],[TA 2 - Total Score (out of 35)]])/2</f>
        <v/>
      </c>
      <c r="U487">
        <f>(Table1[[#This Row],[TA 1 - Total Bonus (out of 13)]]+Table1[[#This Row],[TA 2 - Total Bonus (out of 13)]])/2</f>
        <v/>
      </c>
      <c r="V487">
        <f>Table1[[#This Row],[Average Questions]]/35*20+Table1[[#This Row],[Average Bonus]]/13*5</f>
        <v/>
      </c>
      <c r="W487" t="n">
        <v>6</v>
      </c>
      <c r="X487" t="n">
        <v>0</v>
      </c>
      <c r="Y487"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displaying sample images, freezing the backbone, and replacing the classifier head. The bonus task of implementing test time augmentation was also not completed. Overall, the submission demonstrated a lack of understanding of the task requirements and failed to execute several key components.
Breakdown:
- Part 1: Load and Prepare Data: 0.0/?
- Part 2: Load Pretrained Model and Adapt: 0.0/?
- Part 3: Training and Validation Functions: 0.0/?
- Part 4: Training: 2.0/?
- Part 5: Bonus — Test Time Augmentation: 0.0/?</t>
        </is>
      </c>
      <c r="Z487" t="n">
        <v>4</v>
      </c>
      <c r="AA487" t="n">
        <v>0</v>
      </c>
      <c r="AB487"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87" t="n">
        <v>6</v>
      </c>
      <c r="AD487" t="inlineStr">
        <is>
          <t>The student's submission was incomplete and failed to run end-to-end. While the code for visualizing predictions was mostly correct, it was not sufficient to award full credit for the task. The student did not submit code for the other tasks, resulting in a score of 0 for each of those tasks.
Breakdown:
- Task 1: Dataset Class: 0.0/?
- Task 2: Model Class: 0.0/?
- Task 3: Training and Validation Loops: 0.0/?
- Task 4: Running Training: 0.0/?
- Task 5: Visualizing Predictions: 6.0/?</t>
        </is>
      </c>
      <c r="AE487" t="n">
        <v>0</v>
      </c>
      <c r="AF487" t="n">
        <v>0</v>
      </c>
      <c r="AG487" t="inlineStr">
        <is>
          <t>No submission found.</t>
        </is>
      </c>
      <c r="AH487" t="n">
        <v>16</v>
      </c>
      <c r="AI487" t="n">
        <v>0</v>
      </c>
    </row>
    <row r="488">
      <c r="A488" t="n">
        <v>487</v>
      </c>
      <c r="B488" t="inlineStr">
        <is>
          <t>TA_9</t>
        </is>
      </c>
      <c r="C488" t="inlineStr">
        <is>
          <t>TA_19</t>
        </is>
      </c>
      <c r="D488" t="n">
        <v>5.8</v>
      </c>
      <c r="E488" t="n">
        <v>0</v>
      </c>
      <c r="F488" t="n">
        <v>9.300000000000001</v>
      </c>
      <c r="G488" t="n">
        <v>0</v>
      </c>
      <c r="H488" t="n">
        <v>9.550000000000001</v>
      </c>
      <c r="I488" t="n">
        <v>0</v>
      </c>
      <c r="J488" t="n">
        <v>8</v>
      </c>
      <c r="K488" t="n">
        <v>0</v>
      </c>
      <c r="L488" t="n">
        <v>10</v>
      </c>
      <c r="M488" t="n">
        <v>0</v>
      </c>
      <c r="N488" t="n">
        <v>10</v>
      </c>
      <c r="O488" t="n">
        <v>0</v>
      </c>
      <c r="P488">
        <f>Table1[[#This Row],[TA 1 - Q1 Score]]+Table1[[#This Row],[TA 1 - Q2 Score]]+Table1[[#This Row],[TA 1 - Q3 Score]]</f>
        <v/>
      </c>
      <c r="Q488">
        <f>Table1[[#This Row],[TA 1 - Q1 Bonus]]+Table1[[#This Row],[TA 1 - Q2 Bonus]]+Table1[[#This Row],[TA 1 - Q4 Bonus]]</f>
        <v/>
      </c>
      <c r="R488">
        <f>Table1[[#This Row],[TA 2 - Q1 Score]]+Table1[[#This Row],[TA 2 - Q2 Score]]+Table1[[#This Row],[TA 2 - Q3 Score]]</f>
        <v/>
      </c>
      <c r="S488">
        <f>Table1[[#This Row],[TA 2 - Q1 Bonus]]+Table1[[#This Row],[TA 2 - Q2 Bonus]]+Table1[[#This Row],[TA 2 - Q4 Bonus]]</f>
        <v/>
      </c>
      <c r="T488">
        <f>(Table1[[#This Row],[TA 1 - Total Score (out of 35)]]+Table1[[#This Row],[TA 2 - Total Score (out of 35)]])/2</f>
        <v/>
      </c>
      <c r="U488">
        <f>(Table1[[#This Row],[TA 1 - Total Bonus (out of 13)]]+Table1[[#This Row],[TA 2 - Total Bonus (out of 13)]])/2</f>
        <v/>
      </c>
      <c r="V488">
        <f>Table1[[#This Row],[Average Questions]]/35*20+Table1[[#This Row],[Average Bonus]]/13*5</f>
        <v/>
      </c>
      <c r="W488" t="n">
        <v>6</v>
      </c>
      <c r="X488" t="n">
        <v>0</v>
      </c>
      <c r="Y488" t="inlineStr">
        <is>
          <t>The student's submission failed to address several key tasks, including loading and preparing data, loading a pretrained model and adapting it, and implementing training and validation functions. While the student did write some code for the training task, it was incomplete. As a result, the student's submission was unable to run end-to-end and failed to demonstrate a clear understanding of the required concepts.
Breakdown:
- Part 1: Load and Prepare Data: 0.0/?
- Part 2: Load Pretrained Model and Adapt: 0.0/?
- Part 3: Training and Validation Functions: 0.0/?
- Part 4: Training: 2.5/?
- Part 5: Bonus — Test Time Augmentation: 0.0/?</t>
        </is>
      </c>
      <c r="Z488" t="n">
        <v>6</v>
      </c>
      <c r="AA488" t="n">
        <v>0</v>
      </c>
      <c r="AB488" t="inlineStr">
        <is>
          <t>The student's submission failed to load and prepare the data correctly, resulting in a score of 0 for Part 1. The CNN model was partially built, but it lacked the correct number of convolutional layers and did not include batch normalization, resulting in a score of 2 for Part 2. The training and validation functions were not implemented, resulting in a score of 0 for Part 3. The training process was not completed, resulting in a score of 0 for Part 4. The bonus task of adding a residual connection was not attempted, resulting in a score of 0 for Part 5. Overall, the student's submission demonstrated a lack of understanding of the required tasks and concepts.
Breakdown:
- Part 1: Load and Prepare Data: 0.0/?
- Part 2: Build the CNN Model: 2.0/?
- Part 3: Training and Validation Functions: 0.0/?
- Part 4: Training: 0.0/?
- Part 5: Bonus — Residual Connection: 0.0/?</t>
        </is>
      </c>
      <c r="AC488" t="n">
        <v>6</v>
      </c>
      <c r="AD488" t="inlineStr">
        <is>
          <t>The student's submission was incomplete and failed to run end-to-end. While they attempted some tasks, they did not provide code for the majority of the tasks, resulting in a low score. The student's code for visualizing predictions was mostly correct, but it had some issues that prevented it from running correctly.
Breakdown:
- Task 1: Dataset Class: 0.0/?
- Task 2: Model Class: 0.0/?
- Task 3: Training and Validation Loops: 0.0/?
- Task 4: Running Training: 0.0/?
- Task 5: Visualizing Predictions: 6.0/?</t>
        </is>
      </c>
      <c r="AE488" t="n">
        <v>0</v>
      </c>
      <c r="AF488" t="n">
        <v>0</v>
      </c>
      <c r="AG488" t="inlineStr">
        <is>
          <t>No submission found.</t>
        </is>
      </c>
      <c r="AH488" t="n">
        <v>18</v>
      </c>
      <c r="AI488" t="n">
        <v>0</v>
      </c>
    </row>
    <row r="489">
      <c r="A489" t="n">
        <v>488</v>
      </c>
      <c r="B489" t="inlineStr">
        <is>
          <t>TA_9</t>
        </is>
      </c>
      <c r="C489" t="inlineStr">
        <is>
          <t>TA_19</t>
        </is>
      </c>
      <c r="D489" t="n">
        <v>6.05</v>
      </c>
      <c r="E489" t="n">
        <v>0</v>
      </c>
      <c r="F489" t="n">
        <v>6.35</v>
      </c>
      <c r="G489" t="n">
        <v>0</v>
      </c>
      <c r="H489" t="n">
        <v>9.6</v>
      </c>
      <c r="I489" t="n">
        <v>0</v>
      </c>
      <c r="J489" t="n">
        <v>11</v>
      </c>
      <c r="K489" t="n">
        <v>0</v>
      </c>
      <c r="L489" t="n">
        <v>4.5</v>
      </c>
      <c r="M489" t="n">
        <v>0</v>
      </c>
      <c r="N489" t="n">
        <v>10.25</v>
      </c>
      <c r="O489" t="n">
        <v>0</v>
      </c>
      <c r="P489">
        <f>Table1[[#This Row],[TA 1 - Q1 Score]]+Table1[[#This Row],[TA 1 - Q2 Score]]+Table1[[#This Row],[TA 1 - Q3 Score]]</f>
        <v/>
      </c>
      <c r="Q489">
        <f>Table1[[#This Row],[TA 1 - Q1 Bonus]]+Table1[[#This Row],[TA 1 - Q2 Bonus]]+Table1[[#This Row],[TA 1 - Q4 Bonus]]</f>
        <v/>
      </c>
      <c r="R489">
        <f>Table1[[#This Row],[TA 2 - Q1 Score]]+Table1[[#This Row],[TA 2 - Q2 Score]]+Table1[[#This Row],[TA 2 - Q3 Score]]</f>
        <v/>
      </c>
      <c r="S489">
        <f>Table1[[#This Row],[TA 2 - Q1 Bonus]]+Table1[[#This Row],[TA 2 - Q2 Bonus]]+Table1[[#This Row],[TA 2 - Q4 Bonus]]</f>
        <v/>
      </c>
      <c r="T489">
        <f>(Table1[[#This Row],[TA 1 - Total Score (out of 35)]]+Table1[[#This Row],[TA 2 - Total Score (out of 35)]])/2</f>
        <v/>
      </c>
      <c r="U489">
        <f>(Table1[[#This Row],[TA 1 - Total Bonus (out of 13)]]+Table1[[#This Row],[TA 2 - Total Bonus (out of 13)]])/2</f>
        <v/>
      </c>
      <c r="V489">
        <f>Table1[[#This Row],[Average Questions]]/35*20+Table1[[#This Row],[Average Bonus]]/13*5</f>
        <v/>
      </c>
      <c r="W489" t="n">
        <v>6</v>
      </c>
      <c r="X489" t="n">
        <v>0</v>
      </c>
      <c r="Y48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also incorrect, and they failed to implement test time augmentation correctly.
Breakdown:
- Part 1: Load and Prepare Data: 0.0/?
- Part 2: Load Pretrained Model and Adapt: 0.0/?
- Part 3: Training and Validation Functions: 0.0/?
- Part 4: Training: 3.0/?
- Part 5: Bonus — Test Time Augmentation: 0.0/?</t>
        </is>
      </c>
      <c r="Z489" t="n">
        <v>4</v>
      </c>
      <c r="AA489" t="n">
        <v>0</v>
      </c>
      <c r="AB489" t="inlineStr">
        <is>
          <t>The student's submission failed to meet the requirements of the task. The code was not organized in a way that follows the reference solution, and it did not run end-to-end. The student attempted to load and prepare the data, but the code was incomplete and did not follow the instructions.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89" t="n">
        <v>6</v>
      </c>
      <c r="AD489" t="inlineStr">
        <is>
          <t>The student's submission failed to meet the requirements of the task. The code was not organized, and several tasks were not completed correctly. The student did not define the dataset class, model class, training and validation loops, or running training correctly.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89" t="n">
        <v>0</v>
      </c>
      <c r="AF489" t="n">
        <v>0</v>
      </c>
      <c r="AG489" t="inlineStr">
        <is>
          <t>No submission found.</t>
        </is>
      </c>
      <c r="AH489" t="n">
        <v>16</v>
      </c>
      <c r="AI489" t="n">
        <v>0</v>
      </c>
    </row>
    <row r="490">
      <c r="A490" t="n">
        <v>489</v>
      </c>
      <c r="B490" t="inlineStr">
        <is>
          <t>TA_9</t>
        </is>
      </c>
      <c r="C490" t="inlineStr">
        <is>
          <t>TA_19</t>
        </is>
      </c>
      <c r="D490" t="n">
        <v>12</v>
      </c>
      <c r="E490" t="n">
        <v>3</v>
      </c>
      <c r="F490" t="n">
        <v>9.699999999999999</v>
      </c>
      <c r="G490" t="n">
        <v>0.3</v>
      </c>
      <c r="H490" t="n">
        <v>10.4</v>
      </c>
      <c r="I490" t="n">
        <v>0</v>
      </c>
      <c r="J490" t="n">
        <v>12</v>
      </c>
      <c r="K490" t="n">
        <v>3.5</v>
      </c>
      <c r="L490" t="n">
        <v>6.75</v>
      </c>
      <c r="M490" t="n">
        <v>0</v>
      </c>
      <c r="N490" t="n">
        <v>11.75</v>
      </c>
      <c r="O490" t="n">
        <v>0</v>
      </c>
      <c r="P490">
        <f>Table1[[#This Row],[TA 1 - Q1 Score]]+Table1[[#This Row],[TA 1 - Q2 Score]]+Table1[[#This Row],[TA 1 - Q3 Score]]</f>
        <v/>
      </c>
      <c r="Q490">
        <f>Table1[[#This Row],[TA 1 - Q1 Bonus]]+Table1[[#This Row],[TA 1 - Q2 Bonus]]+Table1[[#This Row],[TA 1 - Q4 Bonus]]</f>
        <v/>
      </c>
      <c r="R490">
        <f>Table1[[#This Row],[TA 2 - Q1 Score]]+Table1[[#This Row],[TA 2 - Q2 Score]]+Table1[[#This Row],[TA 2 - Q3 Score]]</f>
        <v/>
      </c>
      <c r="S490">
        <f>Table1[[#This Row],[TA 2 - Q1 Bonus]]+Table1[[#This Row],[TA 2 - Q2 Bonus]]+Table1[[#This Row],[TA 2 - Q4 Bonus]]</f>
        <v/>
      </c>
      <c r="T490">
        <f>(Table1[[#This Row],[TA 1 - Total Score (out of 35)]]+Table1[[#This Row],[TA 2 - Total Score (out of 35)]])/2</f>
        <v/>
      </c>
      <c r="U490">
        <f>(Table1[[#This Row],[TA 1 - Total Bonus (out of 13)]]+Table1[[#This Row],[TA 2 - Total Bonus (out of 13)]])/2</f>
        <v/>
      </c>
      <c r="V490">
        <f>Table1[[#This Row],[Average Questions]]/35*20+Table1[[#This Row],[Average Bonus]]/13*5</f>
        <v/>
      </c>
      <c r="W490" t="n">
        <v>6</v>
      </c>
      <c r="X490" t="n">
        <v>0</v>
      </c>
      <c r="Y490"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490" t="n">
        <v>4</v>
      </c>
      <c r="AA490" t="n">
        <v>0</v>
      </c>
      <c r="AB490" t="inlineStr">
        <is>
          <t>The submission failed to load and prepare the data correctly, as the custom dataset class was not implemented. The CNN model was not built with the required 5 convolutional layers. The training and validation functions were not defined. The training process was not implemented. The bonus task of adding a residual connection was not attempted.
Breakdown:
- Part 1: Load and Prepare Data: 0.0/?
- Part 2: Build the CNN Model: 0.0/?
- Part 3: Training and Validation Functions: 0.0/?
- Part 4: Training: 0.0/?
- Part 5: Bonus — Residual Connection: 0.0/?</t>
        </is>
      </c>
      <c r="AC490" t="n">
        <v>6</v>
      </c>
      <c r="AD490" t="inlineStr">
        <is>
          <t>The student's submission was incomplete and lacked code for several tasks. While the code for visualizing predictions was mostly correct, it did not display the ground truth masks correctly. As a result, the student was awarded 0 points for the first four tasks and 6 points for the fifth task.
Breakdown:
- Task 1: Dataset Class: 0.0/?
- Task 2: Model Class: 0.0/?
- Task 3: Training and Validation Loops: 0.0/?
- Task 4: Running Training: 0.0/?
- Task 5: Visualizing Predictions: 6.0/?</t>
        </is>
      </c>
      <c r="AE490" t="n">
        <v>0</v>
      </c>
      <c r="AF490" t="n">
        <v>0</v>
      </c>
      <c r="AG490" t="inlineStr">
        <is>
          <t>No submission found.</t>
        </is>
      </c>
      <c r="AH490" t="n">
        <v>16</v>
      </c>
      <c r="AI490" t="n">
        <v>0</v>
      </c>
    </row>
    <row r="491">
      <c r="A491" t="n">
        <v>490</v>
      </c>
      <c r="B491" t="inlineStr">
        <is>
          <t>TA_9</t>
        </is>
      </c>
      <c r="C491" t="inlineStr">
        <is>
          <t>TA_19</t>
        </is>
      </c>
      <c r="D491" t="n">
        <v>4.3</v>
      </c>
      <c r="E491" t="n">
        <v>0</v>
      </c>
      <c r="F491" t="n">
        <v>8.300000000000001</v>
      </c>
      <c r="G491" t="n">
        <v>0</v>
      </c>
      <c r="H491" t="n">
        <v>7.85</v>
      </c>
      <c r="I491" t="n">
        <v>0</v>
      </c>
      <c r="J491" t="n">
        <v>4.5</v>
      </c>
      <c r="K491" t="n">
        <v>0</v>
      </c>
      <c r="L491" t="n">
        <v>6</v>
      </c>
      <c r="M491" t="n">
        <v>0</v>
      </c>
      <c r="N491" t="n">
        <v>8.5</v>
      </c>
      <c r="O491" t="n">
        <v>0</v>
      </c>
      <c r="P491">
        <f>Table1[[#This Row],[TA 1 - Q1 Score]]+Table1[[#This Row],[TA 1 - Q2 Score]]+Table1[[#This Row],[TA 1 - Q3 Score]]</f>
        <v/>
      </c>
      <c r="Q491">
        <f>Table1[[#This Row],[TA 1 - Q1 Bonus]]+Table1[[#This Row],[TA 1 - Q2 Bonus]]+Table1[[#This Row],[TA 1 - Q4 Bonus]]</f>
        <v/>
      </c>
      <c r="R491">
        <f>Table1[[#This Row],[TA 2 - Q1 Score]]+Table1[[#This Row],[TA 2 - Q2 Score]]+Table1[[#This Row],[TA 2 - Q3 Score]]</f>
        <v/>
      </c>
      <c r="S491">
        <f>Table1[[#This Row],[TA 2 - Q1 Bonus]]+Table1[[#This Row],[TA 2 - Q2 Bonus]]+Table1[[#This Row],[TA 2 - Q4 Bonus]]</f>
        <v/>
      </c>
      <c r="T491">
        <f>(Table1[[#This Row],[TA 1 - Total Score (out of 35)]]+Table1[[#This Row],[TA 2 - Total Score (out of 35)]])/2</f>
        <v/>
      </c>
      <c r="U491">
        <f>(Table1[[#This Row],[TA 1 - Total Bonus (out of 13)]]+Table1[[#This Row],[TA 2 - Total Bonus (out of 13)]])/2</f>
        <v/>
      </c>
      <c r="V491">
        <f>Table1[[#This Row],[Average Questions]]/35*20+Table1[[#This Row],[Average Bonus]]/13*5</f>
        <v/>
      </c>
      <c r="W491" t="n">
        <v>6</v>
      </c>
      <c r="X491" t="n">
        <v>0</v>
      </c>
      <c r="Y491" t="inlineStr">
        <is>
          <t>The student's submission failed to complete several key tasks, including loading and preparing the data, loading a pretrained model, and implementing training and validation functions. While the student did attempt to train the model, their implementation was incomplete and did not follow the reference solution. As a result, the student did not earn any points for the base tasks. The bonus task was also not completed, resulting in a score of 0 for the bonus.
Breakdown:
- Part 1: Load and Prepare Data: 0.0/?
- Part 2: Load Pretrained Model and Adapt: 0.0/?
- Part 3: Training and Validation Functions: 0.0/?
- Part 4: Training: 2.0/?
- Part 5: Bonus — Test Time Augmentation: 0.0/?</t>
        </is>
      </c>
      <c r="Z491" t="n">
        <v>4</v>
      </c>
      <c r="AA491" t="n">
        <v>0</v>
      </c>
      <c r="AB491"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91" t="n">
        <v>6</v>
      </c>
      <c r="AD491" t="inlineStr">
        <is>
          <t>The student's submission had several issues. The dataset class was not defined correctly, the model class was not a pretrained U-Net with efficientnet-b1 encoder, the training and validation loops were not implemented correctly, the training process was not implemented correctly, and the predictions were not visualized correctly. As a result, the student did not receive any points for these tasks.
Breakdown:
- Task 1: Dataset Class: 0.0/?
- Task 2: Model Class: 0.0/?
- Task 3: Training and Validation Loops: 0.0/?
- Task 4: Running Training: 0.0/?
- Task 5: Visualizing Predictions: 0.0/?</t>
        </is>
      </c>
      <c r="AE491" t="n">
        <v>0</v>
      </c>
      <c r="AF491" t="n">
        <v>0</v>
      </c>
      <c r="AG491" t="inlineStr">
        <is>
          <t>No submission found.</t>
        </is>
      </c>
      <c r="AH491" t="n">
        <v>16</v>
      </c>
      <c r="AI491" t="n">
        <v>0</v>
      </c>
    </row>
    <row r="492">
      <c r="A492" t="n">
        <v>491</v>
      </c>
      <c r="B492" t="inlineStr">
        <is>
          <t>TA_9</t>
        </is>
      </c>
      <c r="C492" t="inlineStr">
        <is>
          <t>TA_19</t>
        </is>
      </c>
      <c r="D492" t="n">
        <v>12</v>
      </c>
      <c r="E492" t="n">
        <v>0</v>
      </c>
      <c r="F492" t="n">
        <v>11</v>
      </c>
      <c r="G492" t="n">
        <v>0</v>
      </c>
      <c r="H492" t="n">
        <v>12</v>
      </c>
      <c r="I492" t="n">
        <v>0</v>
      </c>
      <c r="J492" t="n">
        <v>12</v>
      </c>
      <c r="K492" t="n">
        <v>0</v>
      </c>
      <c r="L492" t="n">
        <v>10.9</v>
      </c>
      <c r="M492" t="n">
        <v>0</v>
      </c>
      <c r="N492" t="n">
        <v>11.5</v>
      </c>
      <c r="O492" t="n">
        <v>0</v>
      </c>
      <c r="P492">
        <f>Table1[[#This Row],[TA 1 - Q1 Score]]+Table1[[#This Row],[TA 1 - Q2 Score]]+Table1[[#This Row],[TA 1 - Q3 Score]]</f>
        <v/>
      </c>
      <c r="Q492">
        <f>Table1[[#This Row],[TA 1 - Q1 Bonus]]+Table1[[#This Row],[TA 1 - Q2 Bonus]]+Table1[[#This Row],[TA 1 - Q4 Bonus]]</f>
        <v/>
      </c>
      <c r="R492">
        <f>Table1[[#This Row],[TA 2 - Q1 Score]]+Table1[[#This Row],[TA 2 - Q2 Score]]+Table1[[#This Row],[TA 2 - Q3 Score]]</f>
        <v/>
      </c>
      <c r="S492">
        <f>Table1[[#This Row],[TA 2 - Q1 Bonus]]+Table1[[#This Row],[TA 2 - Q2 Bonus]]+Table1[[#This Row],[TA 2 - Q4 Bonus]]</f>
        <v/>
      </c>
      <c r="T492">
        <f>(Table1[[#This Row],[TA 1 - Total Score (out of 35)]]+Table1[[#This Row],[TA 2 - Total Score (out of 35)]])/2</f>
        <v/>
      </c>
      <c r="U492">
        <f>(Table1[[#This Row],[TA 1 - Total Bonus (out of 13)]]+Table1[[#This Row],[TA 2 - Total Bonus (out of 13)]])/2</f>
        <v/>
      </c>
      <c r="V492">
        <f>Table1[[#This Row],[Average Questions]]/35*20+Table1[[#This Row],[Average Bonus]]/13*5</f>
        <v/>
      </c>
      <c r="W492" t="n">
        <v>8</v>
      </c>
      <c r="X492" t="n">
        <v>0</v>
      </c>
      <c r="Y492" t="inlineStr">
        <is>
          <t>The student's submission failed to complete several key tasks, including loading and preparing the data, loading a pretrained model and adapting it, and implementing test time augmentation. While the student made an attempt at the training and validation functions, the code contained syntax errors and did not run correctly. As a result, the student was unable to train the model and evaluate its performance. The submission did not demonstrate a clear understanding of the task requirements and did not produce a working solution.
Breakdown:
- Part 1: Load and Prepare Data: 0.0/?
- Part 2: Load Pretrained Model and Adapt: 0.0/?
- Part 3: Training and Validation Functions: 1.5/?
- Part 4: Training: 2.5/?
- Part 5: Bonus — Test Time Augmentation: 0.0/?</t>
        </is>
      </c>
      <c r="Z492" t="n">
        <v>6</v>
      </c>
      <c r="AA492" t="n">
        <v>0</v>
      </c>
      <c r="AB49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any points for the base tasks. The bonus task was also not completed, resulting in a score of 0 for the bonus.
Breakdown:
- Part 1: Load and Prepare Data: 0.0/?
- Part 2: Build the CNN Model: 0.0/?
- Part 3: Training and Validation Functions: 0.0/?
- Part 4: Training: 2.0/?
- Part 5: Bonus — Residual Connection: 0.0/?</t>
        </is>
      </c>
      <c r="AC492" t="n">
        <v>6</v>
      </c>
      <c r="AD492" t="inlineStr">
        <is>
          <t>The student's submission is incomplete and lacks code for several tasks. While they attempted to visualize predictions, their code is not fully functional and does not meet the requirements of the task. As a result, the student earns 0 points for Tasks 1-4 and 6 points for Task 5, for a total score of 6.0.
Breakdown:
- Task 1: Dataset Class: 0.0/?
- Task 2: Model Class: 0.0/?
- Task 3: Training and Validation Loops: 0.0/?
- Task 4: Running Training: 0.0/?
- Task 5: Visualizing Predictions: 6.0/?</t>
        </is>
      </c>
      <c r="AE492" t="n">
        <v>0</v>
      </c>
      <c r="AF492" t="n">
        <v>0</v>
      </c>
      <c r="AG492" t="inlineStr">
        <is>
          <t>No submission found.</t>
        </is>
      </c>
      <c r="AH492" t="n">
        <v>20</v>
      </c>
      <c r="AI492" t="n">
        <v>0</v>
      </c>
    </row>
    <row r="493">
      <c r="A493" t="n">
        <v>492</v>
      </c>
      <c r="B493" t="inlineStr">
        <is>
          <t>TA_9</t>
        </is>
      </c>
      <c r="C493" t="inlineStr">
        <is>
          <t>TA_19</t>
        </is>
      </c>
      <c r="D493" t="n">
        <v>6.75</v>
      </c>
      <c r="E493" t="n">
        <v>0</v>
      </c>
      <c r="F493" t="n">
        <v>5.3</v>
      </c>
      <c r="G493" t="n">
        <v>0</v>
      </c>
      <c r="H493" t="n">
        <v>8.5</v>
      </c>
      <c r="I493" t="n">
        <v>0</v>
      </c>
      <c r="J493" t="n">
        <v>6.5</v>
      </c>
      <c r="K493" t="n">
        <v>0</v>
      </c>
      <c r="L493" t="n">
        <v>5.65</v>
      </c>
      <c r="M493" t="n">
        <v>0</v>
      </c>
      <c r="N493" t="n">
        <v>6.25</v>
      </c>
      <c r="O493" t="n">
        <v>0</v>
      </c>
      <c r="P493">
        <f>Table1[[#This Row],[TA 1 - Q1 Score]]+Table1[[#This Row],[TA 1 - Q2 Score]]+Table1[[#This Row],[TA 1 - Q3 Score]]</f>
        <v/>
      </c>
      <c r="Q493">
        <f>Table1[[#This Row],[TA 1 - Q1 Bonus]]+Table1[[#This Row],[TA 1 - Q2 Bonus]]+Table1[[#This Row],[TA 1 - Q4 Bonus]]</f>
        <v/>
      </c>
      <c r="R493">
        <f>Table1[[#This Row],[TA 2 - Q1 Score]]+Table1[[#This Row],[TA 2 - Q2 Score]]+Table1[[#This Row],[TA 2 - Q3 Score]]</f>
        <v/>
      </c>
      <c r="S493">
        <f>Table1[[#This Row],[TA 2 - Q1 Bonus]]+Table1[[#This Row],[TA 2 - Q2 Bonus]]+Table1[[#This Row],[TA 2 - Q4 Bonus]]</f>
        <v/>
      </c>
      <c r="T493">
        <f>(Table1[[#This Row],[TA 1 - Total Score (out of 35)]]+Table1[[#This Row],[TA 2 - Total Score (out of 35)]])/2</f>
        <v/>
      </c>
      <c r="U493">
        <f>(Table1[[#This Row],[TA 1 - Total Bonus (out of 13)]]+Table1[[#This Row],[TA 2 - Total Bonus (out of 13)]])/2</f>
        <v/>
      </c>
      <c r="V493">
        <f>Table1[[#This Row],[Average Questions]]/35*20+Table1[[#This Row],[Average Bonus]]/13*5</f>
        <v/>
      </c>
      <c r="W493" t="n">
        <v>6</v>
      </c>
      <c r="X493" t="n">
        <v>0</v>
      </c>
      <c r="Y493"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 was unable to achieve the full score for this question.
Breakdown:
- Part 1: Load and Prepare Data: 0.0/?
- Part 2: Load Pretrained Model and Adapt: 0.0/?
- Part 3: Training and Validation Functions: 0.0/?
- Part 4: Training: 2.0/?
- Part 5: Bonus — Test Time Augmentation: 0.0/?</t>
        </is>
      </c>
      <c r="Z493" t="n">
        <v>4</v>
      </c>
      <c r="AA493" t="n">
        <v>0</v>
      </c>
      <c r="AB493"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493" t="n">
        <v>6</v>
      </c>
      <c r="AD493" t="inlineStr">
        <is>
          <t>The student's submission had several issues. They failed to submit code for Task 1: Dataset Class, Task 2: Model Class, Task 3: Training and Validation Loops, Task 4: Running Training, and Task 5: Visualizing Predictions. The student also used incorrect loss functions and optimizers in the training loop. Additionally, the student did not display the predicted masks correctly in Task 5: Visualizing Predictions.
Breakdown:
- Task 1: Dataset Class: 0.0/?
- Task 2: Model Class: 0.0/?
- Task 3: Training and Validation Loops: 0.0/?
- Task 4: Running Training: 0.0/?
- Task 5: Visualizing Predictions: 0.0/?</t>
        </is>
      </c>
      <c r="AE493" t="n">
        <v>0</v>
      </c>
      <c r="AF493" t="n">
        <v>0</v>
      </c>
      <c r="AG493" t="inlineStr">
        <is>
          <t>No submission found.</t>
        </is>
      </c>
      <c r="AH493" t="n">
        <v>16</v>
      </c>
      <c r="AI493" t="n">
        <v>0</v>
      </c>
    </row>
    <row r="494">
      <c r="A494" t="n">
        <v>493</v>
      </c>
      <c r="B494" t="inlineStr">
        <is>
          <t>TA_9</t>
        </is>
      </c>
      <c r="C494" t="inlineStr">
        <is>
          <t>TA_19</t>
        </is>
      </c>
      <c r="D494" t="n">
        <v>3.4</v>
      </c>
      <c r="E494" t="n">
        <v>0</v>
      </c>
      <c r="F494" t="n">
        <v>8.5</v>
      </c>
      <c r="G494" t="n">
        <v>0</v>
      </c>
      <c r="H494" t="n">
        <v>7.8</v>
      </c>
      <c r="I494" t="n">
        <v>0</v>
      </c>
      <c r="J494" t="n">
        <v>4.5</v>
      </c>
      <c r="K494" t="n">
        <v>0</v>
      </c>
      <c r="L494" t="n">
        <v>7.5</v>
      </c>
      <c r="M494" t="n">
        <v>0</v>
      </c>
      <c r="N494" t="n">
        <v>6.5</v>
      </c>
      <c r="O494" t="n">
        <v>0</v>
      </c>
      <c r="P494">
        <f>Table1[[#This Row],[TA 1 - Q1 Score]]+Table1[[#This Row],[TA 1 - Q2 Score]]+Table1[[#This Row],[TA 1 - Q3 Score]]</f>
        <v/>
      </c>
      <c r="Q494">
        <f>Table1[[#This Row],[TA 1 - Q1 Bonus]]+Table1[[#This Row],[TA 1 - Q2 Bonus]]+Table1[[#This Row],[TA 1 - Q4 Bonus]]</f>
        <v/>
      </c>
      <c r="R494">
        <f>Table1[[#This Row],[TA 2 - Q1 Score]]+Table1[[#This Row],[TA 2 - Q2 Score]]+Table1[[#This Row],[TA 2 - Q3 Score]]</f>
        <v/>
      </c>
      <c r="S494">
        <f>Table1[[#This Row],[TA 2 - Q1 Bonus]]+Table1[[#This Row],[TA 2 - Q2 Bonus]]+Table1[[#This Row],[TA 2 - Q4 Bonus]]</f>
        <v/>
      </c>
      <c r="T494">
        <f>(Table1[[#This Row],[TA 1 - Total Score (out of 35)]]+Table1[[#This Row],[TA 2 - Total Score (out of 35)]])/2</f>
        <v/>
      </c>
      <c r="U494">
        <f>(Table1[[#This Row],[TA 1 - Total Bonus (out of 13)]]+Table1[[#This Row],[TA 2 - Total Bonus (out of 13)]])/2</f>
        <v/>
      </c>
      <c r="V494">
        <f>Table1[[#This Row],[Average Questions]]/35*20+Table1[[#This Row],[Average Bonus]]/13*5</f>
        <v/>
      </c>
      <c r="W494" t="n">
        <v>6</v>
      </c>
      <c r="X494" t="n">
        <v>0</v>
      </c>
      <c r="Y494" t="inlineStr">
        <is>
          <t>The student's submission failed to complete several key tasks, including loading and preparing the data, loading a pretrained model, and training the model. The code for the training and validation functions was partially correct, but the student failed to fix the labels, resulting in a loss of 2 points.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494" t="n">
        <v>4</v>
      </c>
      <c r="AA494" t="n">
        <v>0</v>
      </c>
      <c r="AB494"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94" t="n">
        <v>6</v>
      </c>
      <c r="AD494"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494" t="n">
        <v>0</v>
      </c>
      <c r="AF494" t="n">
        <v>0</v>
      </c>
      <c r="AG494" t="inlineStr">
        <is>
          <t>No submission found.</t>
        </is>
      </c>
      <c r="AH494" t="n">
        <v>16</v>
      </c>
      <c r="AI494" t="n">
        <v>0</v>
      </c>
    </row>
    <row r="495">
      <c r="A495" t="n">
        <v>494</v>
      </c>
      <c r="B495" t="inlineStr">
        <is>
          <t>TA_9</t>
        </is>
      </c>
      <c r="C495" t="inlineStr">
        <is>
          <t>TA_19</t>
        </is>
      </c>
      <c r="D495" t="n">
        <v>12</v>
      </c>
      <c r="E495" t="n">
        <v>3</v>
      </c>
      <c r="F495" t="n">
        <v>11</v>
      </c>
      <c r="G495" t="n">
        <v>4</v>
      </c>
      <c r="H495" t="n">
        <v>12</v>
      </c>
      <c r="I495" t="n">
        <v>5</v>
      </c>
      <c r="J495" t="n">
        <v>12</v>
      </c>
      <c r="K495" t="n">
        <v>3</v>
      </c>
      <c r="L495" t="n">
        <v>11</v>
      </c>
      <c r="M495" t="n">
        <v>4</v>
      </c>
      <c r="N495" t="n">
        <v>12</v>
      </c>
      <c r="O495" t="n">
        <v>5</v>
      </c>
      <c r="P495">
        <f>Table1[[#This Row],[TA 1 - Q1 Score]]+Table1[[#This Row],[TA 1 - Q2 Score]]+Table1[[#This Row],[TA 1 - Q3 Score]]</f>
        <v/>
      </c>
      <c r="Q495">
        <f>Table1[[#This Row],[TA 1 - Q1 Bonus]]+Table1[[#This Row],[TA 1 - Q2 Bonus]]+Table1[[#This Row],[TA 1 - Q4 Bonus]]</f>
        <v/>
      </c>
      <c r="R495">
        <f>Table1[[#This Row],[TA 2 - Q1 Score]]+Table1[[#This Row],[TA 2 - Q2 Score]]+Table1[[#This Row],[TA 2 - Q3 Score]]</f>
        <v/>
      </c>
      <c r="S495">
        <f>Table1[[#This Row],[TA 2 - Q1 Bonus]]+Table1[[#This Row],[TA 2 - Q2 Bonus]]+Table1[[#This Row],[TA 2 - Q4 Bonus]]</f>
        <v/>
      </c>
      <c r="T495">
        <f>(Table1[[#This Row],[TA 1 - Total Score (out of 35)]]+Table1[[#This Row],[TA 2 - Total Score (out of 35)]])/2</f>
        <v/>
      </c>
      <c r="U495">
        <f>(Table1[[#This Row],[TA 1 - Total Bonus (out of 13)]]+Table1[[#This Row],[TA 2 - Total Bonus (out of 13)]])/2</f>
        <v/>
      </c>
      <c r="V495">
        <f>Table1[[#This Row],[Average Questions]]/35*20+Table1[[#This Row],[Average Bonus]]/13*5</f>
        <v/>
      </c>
      <c r="W495" t="n">
        <v>8</v>
      </c>
      <c r="X495" t="n">
        <v>0</v>
      </c>
      <c r="Y495" t="inlineStr">
        <is>
          <t>The student's submission failed to complete several key tasks, including loading and preparing the data, loading the pretrained model and adapting it, and implementing the training and validation functions. While they did attempt to train the model and implement test time augmentation, their code contained several syntax and logic mistakes, resulting in a low score. The student's failure to complete the required tasks and their inability to write correct code for the tasks they attempted resulted in a low overall score.
Breakdown:
- Part 1: Load and Prepare Data: 0.0/?
- Part 2: Load Pretrained Model and Adapt: 0.0/?
- Part 3: Training and Validation Functions: 1.5/?
- Part 4: Training: 2.5/?
- Part 5: Bonus — Test Time Augmentation: 0.0/?</t>
        </is>
      </c>
      <c r="Z495" t="n">
        <v>6</v>
      </c>
      <c r="AA495" t="n">
        <v>0</v>
      </c>
      <c r="AB495" t="inlineStr">
        <is>
          <t>The student's submission failed to meet the requirements for several tasks. In Part 1, the student did not create a custom Dataset class or use ImageFolder, and the transforms were not applied correctly. In Part 2, the CNN model class was not created with 5 convolutional layers, and batch normalization was not added. In Part 3, the training and validation loop functions were not defined. In Part 4, the model was trained, but the validation loop function was not used. In Part 5, the residual connection was not implemented correctly. The student's code had several syntax errors and logical mistakes, and the model did not run end-to-end.
Breakdown:
- Part 1: Load and Prepare Data: 0.0/?
- Part 2: Build the CNN Model: 0.0/?
- Part 3: Training and Validation Functions: 0.0/?
- Part 4: Training: 2.0/?
- Part 5: Bonus — Residual Connection: 0.0/?</t>
        </is>
      </c>
      <c r="AC495" t="n">
        <v>6</v>
      </c>
      <c r="AD495" t="inlineStr">
        <is>
          <t>The student's submission failed to meet the requirements for most of the tasks. They did not submit any code for Tasks 1-4, which are essential for the multi-class segmentation model. Although they did attempt to visualize predictions in Task 5, their code did not fully meet the requirements, as it did not display the ground truth for multiple images.
Breakdown:
- Task 1: Dataset Class: 0.0/?
- Task 2: Model Class: 0.0/?
- Task 3: Training and Validation Loops: 0.0/?
- Task 4: Running Training: 0.0/?
- Task 5: Visualizing Predictions: 6.0/?</t>
        </is>
      </c>
      <c r="AE495" t="n">
        <v>0</v>
      </c>
      <c r="AF495" t="n">
        <v>0</v>
      </c>
      <c r="AG495" t="inlineStr">
        <is>
          <t>The student's submission has multiple errors in the implementation of the `ColorizationDataset` class, including missing methods and incorrect logic. As a result, the submission does not meet the requirements of the task and does not award any points.
Breakdown:
- Correctly implemented `ColorizationDataset` class:: 0.0/?
- Any mistake in implementation: 0.0/?</t>
        </is>
      </c>
      <c r="AH495" t="n">
        <v>20</v>
      </c>
      <c r="AI495" t="n">
        <v>0</v>
      </c>
    </row>
    <row r="496">
      <c r="A496" t="n">
        <v>495</v>
      </c>
      <c r="B496" t="inlineStr">
        <is>
          <t>TA_9</t>
        </is>
      </c>
      <c r="C496" t="inlineStr">
        <is>
          <t>TA_19</t>
        </is>
      </c>
      <c r="D496" t="n">
        <v>5.1</v>
      </c>
      <c r="E496" t="n">
        <v>0</v>
      </c>
      <c r="F496" t="n">
        <v>9</v>
      </c>
      <c r="G496" t="n">
        <v>0</v>
      </c>
      <c r="H496" t="n">
        <v>12</v>
      </c>
      <c r="I496" t="n">
        <v>0</v>
      </c>
      <c r="J496" t="n">
        <v>9</v>
      </c>
      <c r="K496" t="n">
        <v>0</v>
      </c>
      <c r="L496" t="n">
        <v>8.25</v>
      </c>
      <c r="M496" t="n">
        <v>0</v>
      </c>
      <c r="N496" t="n">
        <v>12</v>
      </c>
      <c r="O496" t="n">
        <v>0</v>
      </c>
      <c r="P496">
        <f>Table1[[#This Row],[TA 1 - Q1 Score]]+Table1[[#This Row],[TA 1 - Q2 Score]]+Table1[[#This Row],[TA 1 - Q3 Score]]</f>
        <v/>
      </c>
      <c r="Q496">
        <f>Table1[[#This Row],[TA 1 - Q1 Bonus]]+Table1[[#This Row],[TA 1 - Q2 Bonus]]+Table1[[#This Row],[TA 1 - Q4 Bonus]]</f>
        <v/>
      </c>
      <c r="R496">
        <f>Table1[[#This Row],[TA 2 - Q1 Score]]+Table1[[#This Row],[TA 2 - Q2 Score]]+Table1[[#This Row],[TA 2 - Q3 Score]]</f>
        <v/>
      </c>
      <c r="S496">
        <f>Table1[[#This Row],[TA 2 - Q1 Bonus]]+Table1[[#This Row],[TA 2 - Q2 Bonus]]+Table1[[#This Row],[TA 2 - Q4 Bonus]]</f>
        <v/>
      </c>
      <c r="T496">
        <f>(Table1[[#This Row],[TA 1 - Total Score (out of 35)]]+Table1[[#This Row],[TA 2 - Total Score (out of 35)]])/2</f>
        <v/>
      </c>
      <c r="U496">
        <f>(Table1[[#This Row],[TA 1 - Total Bonus (out of 13)]]+Table1[[#This Row],[TA 2 - Total Bonus (out of 13)]])/2</f>
        <v/>
      </c>
      <c r="V496">
        <f>Table1[[#This Row],[Average Questions]]/35*20+Table1[[#This Row],[Average Bonus]]/13*5</f>
        <v/>
      </c>
      <c r="W496" t="n">
        <v>6</v>
      </c>
      <c r="X496" t="n">
        <v>0</v>
      </c>
      <c r="Y496"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data loading and model adaptation.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496" t="n">
        <v>4</v>
      </c>
      <c r="AA496" t="n">
        <v>0</v>
      </c>
      <c r="AB496" t="inlineStr">
        <is>
          <t>The student failed to complete any of the tasks in the rubric. The code provided does not follow the reference solution and lacks essential functionality. The student's submission does not demonstrate a clear understanding of the required tasks, and the code does not run end-to-end. As a result, no points can be awarded for any of the tasks.
Breakdown:
- Part 1: Load and Prepare Data: 0.0/?
- Part 2: Build the CNN Model: 0.0/?
- Part 3: Training and Validation Functions: 0.0/?
- Part 4: Training: 0.0/?
- Part 5: Bonus — Residual Connection: 0.0/?</t>
        </is>
      </c>
      <c r="AC496" t="n">
        <v>6</v>
      </c>
      <c r="AD496" t="inlineStr">
        <is>
          <t>The student's submission is incomplete and lacks code for several tasks. While they attempted to visualize predictions, their code is not fully functional and does not meet the requirements of the task. As a result, the student earns 0 points for the majority of the tasks and 6 points for the task of visualizing predictions.
Breakdown:
- Task 1: Dataset Class: 0.0/?
- Task 2: Model Class: 0.0/?
- Task 3: Training and Validation Loops: 0.0/?
- Task 4: Running Training: 0.0/?
- Task 5: Visualizing Predictions: 6.0/?</t>
        </is>
      </c>
      <c r="AE496" t="n">
        <v>0</v>
      </c>
      <c r="AF496" t="n">
        <v>0</v>
      </c>
      <c r="AG496" t="inlineStr">
        <is>
          <t>No submission found.</t>
        </is>
      </c>
      <c r="AH496" t="n">
        <v>16</v>
      </c>
      <c r="AI496" t="n">
        <v>0</v>
      </c>
    </row>
    <row r="497">
      <c r="A497" t="n">
        <v>496</v>
      </c>
      <c r="B497" t="inlineStr">
        <is>
          <t>TA_9</t>
        </is>
      </c>
      <c r="C497" t="inlineStr">
        <is>
          <t>TA_19</t>
        </is>
      </c>
      <c r="D497" t="n">
        <v>10.8</v>
      </c>
      <c r="E497" t="n">
        <v>0</v>
      </c>
      <c r="F497" t="n">
        <v>8.75</v>
      </c>
      <c r="G497" t="n">
        <v>0</v>
      </c>
      <c r="H497" t="n">
        <v>10.1</v>
      </c>
      <c r="I497" t="n">
        <v>0</v>
      </c>
      <c r="J497" t="n">
        <v>12</v>
      </c>
      <c r="K497" t="n">
        <v>0</v>
      </c>
      <c r="L497" t="n">
        <v>8.25</v>
      </c>
      <c r="M497" t="n">
        <v>0</v>
      </c>
      <c r="N497" t="n">
        <v>11.5</v>
      </c>
      <c r="O497" t="n">
        <v>0</v>
      </c>
      <c r="P497">
        <f>Table1[[#This Row],[TA 1 - Q1 Score]]+Table1[[#This Row],[TA 1 - Q2 Score]]+Table1[[#This Row],[TA 1 - Q3 Score]]</f>
        <v/>
      </c>
      <c r="Q497">
        <f>Table1[[#This Row],[TA 1 - Q1 Bonus]]+Table1[[#This Row],[TA 1 - Q2 Bonus]]+Table1[[#This Row],[TA 1 - Q4 Bonus]]</f>
        <v/>
      </c>
      <c r="R497">
        <f>Table1[[#This Row],[TA 2 - Q1 Score]]+Table1[[#This Row],[TA 2 - Q2 Score]]+Table1[[#This Row],[TA 2 - Q3 Score]]</f>
        <v/>
      </c>
      <c r="S497">
        <f>Table1[[#This Row],[TA 2 - Q1 Bonus]]+Table1[[#This Row],[TA 2 - Q2 Bonus]]+Table1[[#This Row],[TA 2 - Q4 Bonus]]</f>
        <v/>
      </c>
      <c r="T497">
        <f>(Table1[[#This Row],[TA 1 - Total Score (out of 35)]]+Table1[[#This Row],[TA 2 - Total Score (out of 35)]])/2</f>
        <v/>
      </c>
      <c r="U497">
        <f>(Table1[[#This Row],[TA 1 - Total Bonus (out of 13)]]+Table1[[#This Row],[TA 2 - Total Bonus (out of 13)]])/2</f>
        <v/>
      </c>
      <c r="V497">
        <f>Table1[[#This Row],[Average Questions]]/35*20+Table1[[#This Row],[Average Bonus]]/13*5</f>
        <v/>
      </c>
      <c r="W497" t="n">
        <v>6</v>
      </c>
      <c r="X497" t="n">
        <v>0</v>
      </c>
      <c r="Y497" t="inlineStr">
        <is>
          <t>The student's submission failed to complete several key tasks, including loading and preparing the data, loading a pretrained model and adapting it, and training the model. The code for training and validation functions was partially correct, but the student failed to fix the labels, resulting in a penalty. The bonus task of implementing test time augmentation was not attempted.
Breakdown:
- Part 1: Load and Prepare Data: 0.0/?
- Part 2: Load Pretrained Model and Adapt: 0.0/?
- Part 3: Training and Validation Functions: 1.5/?
- Part 4: Training: 0.0/?
- Part 5: Bonus — Test Time Augmentation: 0.0/?</t>
        </is>
      </c>
      <c r="Z497" t="n">
        <v>4</v>
      </c>
      <c r="AA497" t="n">
        <v>0</v>
      </c>
      <c r="AB497"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97" t="n">
        <v>6</v>
      </c>
      <c r="AD497" t="inlineStr">
        <is>
          <t>The student's submission was incomplete and lacked code for most tasks. The only task that was attempted was Task 5: Visualizing Predictions, where the student's code was mostly correct but had a minor issue with displaying the ground truth masks. As a result, the student scored 6.0 out of 12.0 for the base tasks and 0.0 for the bonus tasks.
Breakdown:
- Task 1: Dataset Class: 0.0/?
- Task 2: Model Class: 0.0/?
- Task 3: Training and Validation Loops: 0.0/?
- Task 4: Running Training: 0.0/?
- Task 5: Visualizing Predictions: 6.0/?</t>
        </is>
      </c>
      <c r="AE497" t="n">
        <v>0</v>
      </c>
      <c r="AF497" t="n">
        <v>0</v>
      </c>
      <c r="AG497" t="inlineStr">
        <is>
          <t>No submission found.</t>
        </is>
      </c>
      <c r="AH497" t="n">
        <v>16</v>
      </c>
      <c r="AI497" t="n">
        <v>0</v>
      </c>
    </row>
    <row r="498">
      <c r="A498" t="n">
        <v>497</v>
      </c>
      <c r="B498" t="inlineStr">
        <is>
          <t>TA_9</t>
        </is>
      </c>
      <c r="C498" t="inlineStr">
        <is>
          <t>TA_19</t>
        </is>
      </c>
      <c r="D498" t="n">
        <v>5.8</v>
      </c>
      <c r="E498" t="n">
        <v>0</v>
      </c>
      <c r="F498" t="n">
        <v>9</v>
      </c>
      <c r="G498" t="n">
        <v>0</v>
      </c>
      <c r="H498" t="n">
        <v>8.65</v>
      </c>
      <c r="I498" t="n">
        <v>0</v>
      </c>
      <c r="J498" t="n">
        <v>8</v>
      </c>
      <c r="K498" t="n">
        <v>0</v>
      </c>
      <c r="L498" t="n">
        <v>8.75</v>
      </c>
      <c r="M498" t="n">
        <v>0</v>
      </c>
      <c r="N498" t="n">
        <v>10.5</v>
      </c>
      <c r="O498" t="n">
        <v>0</v>
      </c>
      <c r="P498">
        <f>Table1[[#This Row],[TA 1 - Q1 Score]]+Table1[[#This Row],[TA 1 - Q2 Score]]+Table1[[#This Row],[TA 1 - Q3 Score]]</f>
        <v/>
      </c>
      <c r="Q498">
        <f>Table1[[#This Row],[TA 1 - Q1 Bonus]]+Table1[[#This Row],[TA 1 - Q2 Bonus]]+Table1[[#This Row],[TA 1 - Q4 Bonus]]</f>
        <v/>
      </c>
      <c r="R498">
        <f>Table1[[#This Row],[TA 2 - Q1 Score]]+Table1[[#This Row],[TA 2 - Q2 Score]]+Table1[[#This Row],[TA 2 - Q3 Score]]</f>
        <v/>
      </c>
      <c r="S498">
        <f>Table1[[#This Row],[TA 2 - Q1 Bonus]]+Table1[[#This Row],[TA 2 - Q2 Bonus]]+Table1[[#This Row],[TA 2 - Q4 Bonus]]</f>
        <v/>
      </c>
      <c r="T498">
        <f>(Table1[[#This Row],[TA 1 - Total Score (out of 35)]]+Table1[[#This Row],[TA 2 - Total Score (out of 35)]])/2</f>
        <v/>
      </c>
      <c r="U498">
        <f>(Table1[[#This Row],[TA 1 - Total Bonus (out of 13)]]+Table1[[#This Row],[TA 2 - Total Bonus (out of 13)]])/2</f>
        <v/>
      </c>
      <c r="V498">
        <f>Table1[[#This Row],[Average Questions]]/35*20+Table1[[#This Row],[Average Bonus]]/13*5</f>
        <v/>
      </c>
      <c r="W498" t="n">
        <v>6</v>
      </c>
      <c r="X498" t="n">
        <v>0</v>
      </c>
      <c r="Y498" t="inlineStr">
        <is>
          <t>The student's submission failed to complete several key tasks, including loading and preparing the data, loading a pretrained model and adapting it, and implementing training and validation functions. While the student did attempt to train the model and plot the loss and accuracy curves,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2.0/?
- Part 5: Bonus — Test Time Augmentation: 0.0/?</t>
        </is>
      </c>
      <c r="Z498" t="n">
        <v>4</v>
      </c>
      <c r="AA498" t="n">
        <v>0</v>
      </c>
      <c r="AB498"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498" t="n">
        <v>6</v>
      </c>
      <c r="AD498" t="inlineStr">
        <is>
          <t>The student's submission failed to meet the requirements of the task. They did not implement the dataset class, model class, training and validation loops, running training, and visualizing predictions correctly. As a result, they did not earn any points for these tasks.
Breakdown:
- Task 1: Dataset Class: 0.0/?
- Task 2: Model Class: 0.0/?
- Task 3: Training and Validation Loops: 0.0/?
- Task 4: Running Training: 0.0/?
- Task 5: Visualizing Predictions: 0.0/?</t>
        </is>
      </c>
      <c r="AE498" t="n">
        <v>0</v>
      </c>
      <c r="AF498" t="n">
        <v>0</v>
      </c>
      <c r="AG498" t="inlineStr">
        <is>
          <t>No submission found.</t>
        </is>
      </c>
      <c r="AH498" t="n">
        <v>16</v>
      </c>
      <c r="AI498" t="n">
        <v>0</v>
      </c>
    </row>
    <row r="499">
      <c r="A499" t="n">
        <v>498</v>
      </c>
      <c r="B499" t="inlineStr">
        <is>
          <t>TA_9</t>
        </is>
      </c>
      <c r="C499" t="inlineStr">
        <is>
          <t>TA_19</t>
        </is>
      </c>
      <c r="D499" t="n">
        <v>12</v>
      </c>
      <c r="E499" t="n">
        <v>3.5</v>
      </c>
      <c r="F499" t="n">
        <v>11</v>
      </c>
      <c r="G499" t="n">
        <v>4</v>
      </c>
      <c r="H499" t="n">
        <v>12</v>
      </c>
      <c r="I499" t="n">
        <v>5</v>
      </c>
      <c r="J499" t="n">
        <v>12</v>
      </c>
      <c r="K499" t="n">
        <v>3</v>
      </c>
      <c r="L499" t="n">
        <v>11</v>
      </c>
      <c r="M499" t="n">
        <v>4</v>
      </c>
      <c r="N499" t="n">
        <v>12</v>
      </c>
      <c r="O499" t="n">
        <v>0</v>
      </c>
      <c r="P499">
        <f>Table1[[#This Row],[TA 1 - Q1 Score]]+Table1[[#This Row],[TA 1 - Q2 Score]]+Table1[[#This Row],[TA 1 - Q3 Score]]</f>
        <v/>
      </c>
      <c r="Q499">
        <f>Table1[[#This Row],[TA 1 - Q1 Bonus]]+Table1[[#This Row],[TA 1 - Q2 Bonus]]+Table1[[#This Row],[TA 1 - Q4 Bonus]]</f>
        <v/>
      </c>
      <c r="R499">
        <f>Table1[[#This Row],[TA 2 - Q1 Score]]+Table1[[#This Row],[TA 2 - Q2 Score]]+Table1[[#This Row],[TA 2 - Q3 Score]]</f>
        <v/>
      </c>
      <c r="S499">
        <f>Table1[[#This Row],[TA 2 - Q1 Bonus]]+Table1[[#This Row],[TA 2 - Q2 Bonus]]+Table1[[#This Row],[TA 2 - Q4 Bonus]]</f>
        <v/>
      </c>
      <c r="T499">
        <f>(Table1[[#This Row],[TA 1 - Total Score (out of 35)]]+Table1[[#This Row],[TA 2 - Total Score (out of 35)]])/2</f>
        <v/>
      </c>
      <c r="U499">
        <f>(Table1[[#This Row],[TA 1 - Total Bonus (out of 13)]]+Table1[[#This Row],[TA 2 - Total Bonus (out of 13)]])/2</f>
        <v/>
      </c>
      <c r="V499">
        <f>Table1[[#This Row],[Average Questions]]/35*20+Table1[[#This Row],[Average Bonus]]/13*5</f>
        <v/>
      </c>
      <c r="W499" t="n">
        <v>6</v>
      </c>
      <c r="X499" t="n">
        <v>0</v>
      </c>
      <c r="Y499" t="inlineStr">
        <is>
          <t>The student's submission failed to complete several key tasks, including loading and preparing the data, loading a pretrained model and adapting it, and training the model. While the student made an attempt at the training and validation functions, the code contained syntax errors and did not run correctly. The bonus task of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499" t="n">
        <v>6</v>
      </c>
      <c r="AA499" t="n">
        <v>0</v>
      </c>
      <c r="AB499" t="inlineStr">
        <is>
          <t>The student's submission failed to meet the requirements for most tasks. They did not create a custom dataset class or use ImageFolder, and their DataLoaders were not created correctly. The transforms were not applied as required, and the sample images were not displayed with labels. The CNN model class did not have 5 convolutional layers, and batch normalization was not added. The training and validation loop functions were not defined, and the device, model, loss, and optimizer were not set up correctly. The model was not trained, and the losses and accuracy were not plotted. The bonus task of adding a residual connection was not attempted.
Breakdown:
- Task 1: Dataset class or ImageFolder: 0.0/?
- Task 2: Create train/test datasets and DataLoaders: 0.0/?
- Task 3: Transforms (RandomRotation, Resize to 32x32): 0.0/?
- Task 4: Display sample images with labels: 1.0/?
- Task 1: CNN model class with 5 convolutional layers: 0.0/?
- Task 2: Added Batch Normalization: 0.0/?
- Task 1: Training loop function: 0.0/?
- Task 2: Validation loop function: 0.0/?
- Task 1: Set up device, model, loss, optimizer: 1.0/?
- Task 2: Train the model: 0.0/?
- Task 3: Plot losses and accuracy: 0.0/?
- Bonus — Residual Connection: 0.0/?</t>
        </is>
      </c>
      <c r="AC499" t="n">
        <v>6</v>
      </c>
      <c r="AD499" t="inlineStr">
        <is>
          <t>The student's submission was incomplete and had several tasks with no code submitted. However, they were able to display some images with their masks in Task 5, which earned them 6 points. The rest of the tasks were not attempted, resulting in a total score of 6 points.
Breakdown:
- Task 1: Dataset Class: 0.0/?
- Task 2: Model Class: 0.0/?
- Task 3: Training and Validation Loops: 0.0/?
- Task 4: Running Training: 0.0/?
- Task 5: Visualizing Predictions: 6.0/?</t>
        </is>
      </c>
      <c r="AE499" t="n">
        <v>0</v>
      </c>
      <c r="AF499" t="n">
        <v>0</v>
      </c>
      <c r="AG499" t="inlineStr">
        <is>
          <t>No submission found.</t>
        </is>
      </c>
      <c r="AH499" t="n">
        <v>18</v>
      </c>
      <c r="AI499" t="n">
        <v>0</v>
      </c>
    </row>
    <row r="500">
      <c r="A500" t="n">
        <v>499</v>
      </c>
      <c r="B500" t="inlineStr">
        <is>
          <t>TA_9</t>
        </is>
      </c>
      <c r="C500" t="inlineStr">
        <is>
          <t>TA_19</t>
        </is>
      </c>
      <c r="D500" t="n">
        <v>12</v>
      </c>
      <c r="E500" t="n">
        <v>0</v>
      </c>
      <c r="F500" t="n">
        <v>11</v>
      </c>
      <c r="G500" t="n">
        <v>3.3</v>
      </c>
      <c r="H500" t="n">
        <v>12</v>
      </c>
      <c r="I500" t="n">
        <v>5</v>
      </c>
      <c r="J500" t="n">
        <v>12</v>
      </c>
      <c r="K500" t="n">
        <v>0</v>
      </c>
      <c r="L500" t="n">
        <v>10.9</v>
      </c>
      <c r="M500" t="n">
        <v>0</v>
      </c>
      <c r="N500" t="n">
        <v>11.5</v>
      </c>
      <c r="O500" t="n">
        <v>5</v>
      </c>
      <c r="P500">
        <f>Table1[[#This Row],[TA 1 - Q1 Score]]+Table1[[#This Row],[TA 1 - Q2 Score]]+Table1[[#This Row],[TA 1 - Q3 Score]]</f>
        <v/>
      </c>
      <c r="Q500">
        <f>Table1[[#This Row],[TA 1 - Q1 Bonus]]+Table1[[#This Row],[TA 1 - Q2 Bonus]]+Table1[[#This Row],[TA 1 - Q4 Bonus]]</f>
        <v/>
      </c>
      <c r="R500">
        <f>Table1[[#This Row],[TA 2 - Q1 Score]]+Table1[[#This Row],[TA 2 - Q2 Score]]+Table1[[#This Row],[TA 2 - Q3 Score]]</f>
        <v/>
      </c>
      <c r="S500">
        <f>Table1[[#This Row],[TA 2 - Q1 Bonus]]+Table1[[#This Row],[TA 2 - Q2 Bonus]]+Table1[[#This Row],[TA 2 - Q4 Bonus]]</f>
        <v/>
      </c>
      <c r="T500">
        <f>(Table1[[#This Row],[TA 1 - Total Score (out of 35)]]+Table1[[#This Row],[TA 2 - Total Score (out of 35)]])/2</f>
        <v/>
      </c>
      <c r="U500">
        <f>(Table1[[#This Row],[TA 1 - Total Bonus (out of 13)]]+Table1[[#This Row],[TA 2 - Total Bonus (out of 13)]])/2</f>
        <v/>
      </c>
      <c r="V500">
        <f>Table1[[#This Row],[Average Questions]]/35*20+Table1[[#This Row],[Average Bonus]]/13*5</f>
        <v/>
      </c>
      <c r="W500" t="n">
        <v>6</v>
      </c>
      <c r="X500" t="n">
        <v>0</v>
      </c>
      <c r="Y500"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failed to run end-to-end.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500" t="n">
        <v>4</v>
      </c>
      <c r="AA500" t="n">
        <v>0</v>
      </c>
      <c r="AB500" t="inlineStr">
        <is>
          <t>The submission failed to load and prepare the data correctly, as it used the wrong dataset and did not apply the required transformations. The CNN model was not built according to the specifications, and the training and validation functions were not implemented. The training process was also not executed correctly. The bonus task of adding a residual connection was not attempted. Overall, the submission demonstrates a lack of understanding of the required tasks and does not provide a functional solution.
Breakdown:
- Part 1: Load and Prepare Data: 0.0/?
- Part 2: Build the CNN Model: 0.0/?
- Part 3: Training and Validation Functions: 0.0/?
- Part 4: Training: 0.0/?
- Part 5: Bonus — Residual Connection: 0.0/?</t>
        </is>
      </c>
      <c r="AC500" t="n">
        <v>6</v>
      </c>
      <c r="AD500" t="inlineStr">
        <is>
          <t>The student's submission was incomplete and lacked code for most tasks. However, the code for visualizing predictions was mostly correct, but it did not run end-to-end due to missing imports and incorrect usage of the model. The student attempted to load the dataset, but the code was not complete and did not run successfully. The model class, training and validation loops, and running training tasks were not attempted at all. Overall, the submission was incomplete and lacked a clear understanding of the task requirements.
Breakdown:
- Task 1: Dataset Class: 0.0/?
- Task 2: Model Class: 0.0/?
- Task 3: Training and Validation Loops: 0.0/?
- Task 4: Running Training: 0.0/?
- Task 5: Visualizing Predictions: 6.0/?</t>
        </is>
      </c>
      <c r="AE500" t="n">
        <v>0</v>
      </c>
      <c r="AF500" t="n">
        <v>0</v>
      </c>
      <c r="AG500" t="inlineStr">
        <is>
          <t>The student's submission for Question 4 is incomplete and contains syntax errors. The `ColorizationDataset` class is not implemented correctly, and the methods within it are not functioning as intended. As a result, the student did not receive any points for this question.
Breakdown:
- Correctly implemented `ColorizationDataset` class:: 0.0/?
- • `__init__`: Store dataset: 0.0/?
- • `__len__`: Return length: 0.0/?
- • `rgb_to_grayscale`: Correct formula and dimensions: 0.0/?
- • `__getitem__`: Return (grayscale, color) tuple: 0.0/?
- • Correct visualization: 0.0/?</t>
        </is>
      </c>
      <c r="AH500" t="n">
        <v>16</v>
      </c>
      <c r="AI500" t="n">
        <v>0</v>
      </c>
    </row>
    <row r="501">
      <c r="A501" t="n">
        <v>500</v>
      </c>
      <c r="B501" t="inlineStr">
        <is>
          <t>TA_9</t>
        </is>
      </c>
      <c r="C501" t="inlineStr">
        <is>
          <t>TA_19</t>
        </is>
      </c>
      <c r="D501" t="n">
        <v>10.5</v>
      </c>
      <c r="E501" t="n">
        <v>0</v>
      </c>
      <c r="F501" t="n">
        <v>11</v>
      </c>
      <c r="G501" t="n">
        <v>0</v>
      </c>
      <c r="H501" t="n">
        <v>12</v>
      </c>
      <c r="I501" t="n">
        <v>0</v>
      </c>
      <c r="J501" t="n">
        <v>10.5</v>
      </c>
      <c r="K501" t="n">
        <v>0</v>
      </c>
      <c r="L501" t="n">
        <v>11</v>
      </c>
      <c r="M501" t="n">
        <v>0</v>
      </c>
      <c r="N501" t="n">
        <v>12</v>
      </c>
      <c r="O501" t="n">
        <v>0</v>
      </c>
      <c r="P501">
        <f>Table1[[#This Row],[TA 1 - Q1 Score]]+Table1[[#This Row],[TA 1 - Q2 Score]]+Table1[[#This Row],[TA 1 - Q3 Score]]</f>
        <v/>
      </c>
      <c r="Q501">
        <f>Table1[[#This Row],[TA 1 - Q1 Bonus]]+Table1[[#This Row],[TA 1 - Q2 Bonus]]+Table1[[#This Row],[TA 1 - Q4 Bonus]]</f>
        <v/>
      </c>
      <c r="R501">
        <f>Table1[[#This Row],[TA 2 - Q1 Score]]+Table1[[#This Row],[TA 2 - Q2 Score]]+Table1[[#This Row],[TA 2 - Q3 Score]]</f>
        <v/>
      </c>
      <c r="S501">
        <f>Table1[[#This Row],[TA 2 - Q1 Bonus]]+Table1[[#This Row],[TA 2 - Q2 Bonus]]+Table1[[#This Row],[TA 2 - Q4 Bonus]]</f>
        <v/>
      </c>
      <c r="T501">
        <f>(Table1[[#This Row],[TA 1 - Total Score (out of 35)]]+Table1[[#This Row],[TA 2 - Total Score (out of 35)]])/2</f>
        <v/>
      </c>
      <c r="U501">
        <f>(Table1[[#This Row],[TA 1 - Total Bonus (out of 13)]]+Table1[[#This Row],[TA 2 - Total Bonus (out of 13)]])/2</f>
        <v/>
      </c>
      <c r="V501">
        <f>Table1[[#This Row],[Average Questions]]/35*20+Table1[[#This Row],[Average Bonus]]/13*5</f>
        <v/>
      </c>
      <c r="W501" t="n">
        <v>8</v>
      </c>
      <c r="X501" t="n">
        <v>0</v>
      </c>
      <c r="Y501" t="inlineStr">
        <is>
          <t>The student's submission failed to complete several key tasks, including loading and preparing the data, loading a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501" t="n">
        <v>6</v>
      </c>
      <c r="AA501" t="n">
        <v>0</v>
      </c>
      <c r="AB501" t="inlineStr">
        <is>
          <t>The student's submission failed to meet the requirements for most tasks. In Part 1, the student failed to create a custom Dataset class or use ImageFolder, and did not display sample images with labels. In Part 2, the student's CNN model class did not have 5 convolutional layers, and did not include Batch Normalization. In Part 3, the student did not define the training loop function. In Part 4, the student only partially completed the task, setting up device, model, loss, and optimizer, but did not train the model or plot losses and accuracy. In Part 5, the student did not redefine the CNN model with a residual connection, and did not retrain the model or plot losses and accuracy.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501" t="n">
        <v>6</v>
      </c>
      <c r="AD501" t="inlineStr">
        <is>
          <t>The student's submission was incomplete and lacked code for several tasks. While the code for visualizing predictions was mostly correct, it did not run end-to-end due to missing imports and incorrect usage of the model. As a result, the student was awarded 0 points for the first four tasks and 6 points for the fifth task.
Breakdown:
- Task 1: Dataset Class: 0.0/?
- Task 2: Model Class: 0.0/?
- Task 3: Training and Validation Loops: 0.0/?
- Task 4: Running Training: 0.0/?
- Task 5: Visualizing Predictions: 6.0/?</t>
        </is>
      </c>
      <c r="AE501" t="n">
        <v>0</v>
      </c>
      <c r="AF501" t="n">
        <v>0</v>
      </c>
      <c r="AG501" t="inlineStr">
        <is>
          <t>No submission found.</t>
        </is>
      </c>
      <c r="AH501" t="n">
        <v>20</v>
      </c>
      <c r="AI501" t="n">
        <v>0</v>
      </c>
    </row>
    <row r="502">
      <c r="A502" t="n">
        <v>501</v>
      </c>
      <c r="B502" t="inlineStr">
        <is>
          <t>TA_9</t>
        </is>
      </c>
      <c r="C502" t="inlineStr">
        <is>
          <t>TA_19</t>
        </is>
      </c>
      <c r="D502" t="n">
        <v>10</v>
      </c>
      <c r="E502" t="n">
        <v>0</v>
      </c>
      <c r="F502" t="n">
        <v>9.75</v>
      </c>
      <c r="G502" t="n">
        <v>0</v>
      </c>
      <c r="H502" t="n">
        <v>8.300000000000001</v>
      </c>
      <c r="I502" t="n">
        <v>0</v>
      </c>
      <c r="J502" t="n">
        <v>10</v>
      </c>
      <c r="K502" t="n">
        <v>0</v>
      </c>
      <c r="L502" t="n">
        <v>9.5</v>
      </c>
      <c r="M502" t="n">
        <v>0</v>
      </c>
      <c r="N502" t="n">
        <v>7.25</v>
      </c>
      <c r="O502" t="n">
        <v>0</v>
      </c>
      <c r="P502">
        <f>Table1[[#This Row],[TA 1 - Q1 Score]]+Table1[[#This Row],[TA 1 - Q2 Score]]+Table1[[#This Row],[TA 1 - Q3 Score]]</f>
        <v/>
      </c>
      <c r="Q502">
        <f>Table1[[#This Row],[TA 1 - Q1 Bonus]]+Table1[[#This Row],[TA 1 - Q2 Bonus]]+Table1[[#This Row],[TA 1 - Q4 Bonus]]</f>
        <v/>
      </c>
      <c r="R502">
        <f>Table1[[#This Row],[TA 2 - Q1 Score]]+Table1[[#This Row],[TA 2 - Q2 Score]]+Table1[[#This Row],[TA 2 - Q3 Score]]</f>
        <v/>
      </c>
      <c r="S502">
        <f>Table1[[#This Row],[TA 2 - Q1 Bonus]]+Table1[[#This Row],[TA 2 - Q2 Bonus]]+Table1[[#This Row],[TA 2 - Q4 Bonus]]</f>
        <v/>
      </c>
      <c r="T502">
        <f>(Table1[[#This Row],[TA 1 - Total Score (out of 35)]]+Table1[[#This Row],[TA 2 - Total Score (out of 35)]])/2</f>
        <v/>
      </c>
      <c r="U502">
        <f>(Table1[[#This Row],[TA 1 - Total Bonus (out of 13)]]+Table1[[#This Row],[TA 2 - Total Bonus (out of 13)]])/2</f>
        <v/>
      </c>
      <c r="V502">
        <f>Table1[[#This Row],[Average Questions]]/35*20+Table1[[#This Row],[Average Bonus]]/13*5</f>
        <v/>
      </c>
      <c r="W502" t="n">
        <v>6</v>
      </c>
      <c r="X502" t="n">
        <v>0</v>
      </c>
      <c r="Y502"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502" t="n">
        <v>4</v>
      </c>
      <c r="AA502" t="n">
        <v>0</v>
      </c>
      <c r="AB502"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502" t="n">
        <v>6</v>
      </c>
      <c r="AD502" t="inlineStr">
        <is>
          <t>The student's submission failed to meet the requirements of the task. They did not complete the dataset class, model class, training and validation loops, running training, or visualizing predictions correctly. As a result, the student received 0 points for each task.
Breakdown:
- Task 1: Dataset Class: 0.0/?
- Task 2: Model Class: 0.0/?
- Task 3: Training and Validation Loops: 0.0/?
- Task 4: Running Training: 0.0/?
- Task 5: Visualizing Predictions: 0.0/?</t>
        </is>
      </c>
      <c r="AE502" t="n">
        <v>0</v>
      </c>
      <c r="AF502" t="n">
        <v>0</v>
      </c>
      <c r="AG502" t="inlineStr">
        <is>
          <t>No submission found.</t>
        </is>
      </c>
      <c r="AH502" t="n">
        <v>16</v>
      </c>
      <c r="AI502" t="n">
        <v>0</v>
      </c>
    </row>
    <row r="503">
      <c r="A503" t="n">
        <v>502</v>
      </c>
      <c r="B503" t="inlineStr">
        <is>
          <t>TA_9</t>
        </is>
      </c>
      <c r="C503" t="inlineStr">
        <is>
          <t>TA_19</t>
        </is>
      </c>
      <c r="D503" t="n">
        <v>9.15</v>
      </c>
      <c r="E503" t="n">
        <v>0</v>
      </c>
      <c r="F503" t="n">
        <v>7.75</v>
      </c>
      <c r="G503" t="n">
        <v>0</v>
      </c>
      <c r="H503" t="n">
        <v>9.300000000000001</v>
      </c>
      <c r="I503" t="n">
        <v>0</v>
      </c>
      <c r="J503" t="n">
        <v>8</v>
      </c>
      <c r="K503" t="n">
        <v>2</v>
      </c>
      <c r="L503" t="n">
        <v>5.9</v>
      </c>
      <c r="M503" t="n">
        <v>0</v>
      </c>
      <c r="N503" t="n">
        <v>9.25</v>
      </c>
      <c r="O503" t="n">
        <v>0</v>
      </c>
      <c r="P503">
        <f>Table1[[#This Row],[TA 1 - Q1 Score]]+Table1[[#This Row],[TA 1 - Q2 Score]]+Table1[[#This Row],[TA 1 - Q3 Score]]</f>
        <v/>
      </c>
      <c r="Q503">
        <f>Table1[[#This Row],[TA 1 - Q1 Bonus]]+Table1[[#This Row],[TA 1 - Q2 Bonus]]+Table1[[#This Row],[TA 1 - Q4 Bonus]]</f>
        <v/>
      </c>
      <c r="R503">
        <f>Table1[[#This Row],[TA 2 - Q1 Score]]+Table1[[#This Row],[TA 2 - Q2 Score]]+Table1[[#This Row],[TA 2 - Q3 Score]]</f>
        <v/>
      </c>
      <c r="S503">
        <f>Table1[[#This Row],[TA 2 - Q1 Bonus]]+Table1[[#This Row],[TA 2 - Q2 Bonus]]+Table1[[#This Row],[TA 2 - Q4 Bonus]]</f>
        <v/>
      </c>
      <c r="T503">
        <f>(Table1[[#This Row],[TA 1 - Total Score (out of 35)]]+Table1[[#This Row],[TA 2 - Total Score (out of 35)]])/2</f>
        <v/>
      </c>
      <c r="U503">
        <f>(Table1[[#This Row],[TA 1 - Total Bonus (out of 13)]]+Table1[[#This Row],[TA 2 - Total Bonus (out of 13)]])/2</f>
        <v/>
      </c>
      <c r="V503">
        <f>Table1[[#This Row],[Average Questions]]/35*20+Table1[[#This Row],[Average Bonus]]/13*5</f>
        <v/>
      </c>
      <c r="W503" t="n">
        <v>6</v>
      </c>
      <c r="X503" t="n">
        <v>0</v>
      </c>
      <c r="Y503" t="inlineStr">
        <is>
          <t>The student's submission failed to complete several key tasks, including loading and preparing the data, loading the pretrained model, and training the model. The code for the training and validation functions was partially correct, but the student failed to fix the labels, resulting in a penalty.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503" t="n">
        <v>4</v>
      </c>
      <c r="AA503" t="n">
        <v>0</v>
      </c>
      <c r="AB503"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503" t="n">
        <v>6</v>
      </c>
      <c r="AD503" t="inlineStr">
        <is>
          <t>The student's submission was incomplete and lacked code for most tasks. However, the code for visualizing predictions was mostly correct and attempted to run the task. Unfortunately, the student's submission did not meet the requirements for most tasks, resulting in a low score.
Breakdown:
- Task 1: Dataset Class: 0.0/?
- Task 2: Model Class: 0.0/?
- Task 3: Training and Validation Loops: 0.0/?
- Task 4: Running Training: 0.0/?
- Task 5: Visualizing Predictions: 6.0/?</t>
        </is>
      </c>
      <c r="AE503" t="n">
        <v>0</v>
      </c>
      <c r="AF503" t="n">
        <v>0</v>
      </c>
      <c r="AG503" t="inlineStr">
        <is>
          <t>No submission found.</t>
        </is>
      </c>
      <c r="AH503" t="n">
        <v>16</v>
      </c>
      <c r="AI503" t="n">
        <v>0</v>
      </c>
    </row>
    <row r="504">
      <c r="A504" t="n">
        <v>503</v>
      </c>
      <c r="B504" t="inlineStr">
        <is>
          <t>TA_9</t>
        </is>
      </c>
      <c r="C504" t="inlineStr">
        <is>
          <t>TA_19</t>
        </is>
      </c>
      <c r="D504" t="n">
        <v>10</v>
      </c>
      <c r="E504" t="n">
        <v>0</v>
      </c>
      <c r="F504" t="n">
        <v>5.6</v>
      </c>
      <c r="G504" t="n">
        <v>0</v>
      </c>
      <c r="H504" t="n">
        <v>6.3</v>
      </c>
      <c r="I504" t="n">
        <v>0</v>
      </c>
      <c r="J504" t="n">
        <v>10.25</v>
      </c>
      <c r="K504" t="n">
        <v>0</v>
      </c>
      <c r="L504" t="n">
        <v>6.5</v>
      </c>
      <c r="M504" t="n">
        <v>0</v>
      </c>
      <c r="N504" t="n">
        <v>7.75</v>
      </c>
      <c r="O504" t="n">
        <v>0</v>
      </c>
      <c r="P504">
        <f>Table1[[#This Row],[TA 1 - Q1 Score]]+Table1[[#This Row],[TA 1 - Q2 Score]]+Table1[[#This Row],[TA 1 - Q3 Score]]</f>
        <v/>
      </c>
      <c r="Q504">
        <f>Table1[[#This Row],[TA 1 - Q1 Bonus]]+Table1[[#This Row],[TA 1 - Q2 Bonus]]+Table1[[#This Row],[TA 1 - Q4 Bonus]]</f>
        <v/>
      </c>
      <c r="R504">
        <f>Table1[[#This Row],[TA 2 - Q1 Score]]+Table1[[#This Row],[TA 2 - Q2 Score]]+Table1[[#This Row],[TA 2 - Q3 Score]]</f>
        <v/>
      </c>
      <c r="S504">
        <f>Table1[[#This Row],[TA 2 - Q1 Bonus]]+Table1[[#This Row],[TA 2 - Q2 Bonus]]+Table1[[#This Row],[TA 2 - Q4 Bonus]]</f>
        <v/>
      </c>
      <c r="T504">
        <f>(Table1[[#This Row],[TA 1 - Total Score (out of 35)]]+Table1[[#This Row],[TA 2 - Total Score (out of 35)]])/2</f>
        <v/>
      </c>
      <c r="U504">
        <f>(Table1[[#This Row],[TA 1 - Total Bonus (out of 13)]]+Table1[[#This Row],[TA 2 - Total Bonus (out of 13)]])/2</f>
        <v/>
      </c>
      <c r="V504">
        <f>Table1[[#This Row],[Average Questions]]/35*20+Table1[[#This Row],[Average Bonus]]/13*5</f>
        <v/>
      </c>
      <c r="W504" t="n">
        <v>6</v>
      </c>
      <c r="X504" t="n">
        <v>0</v>
      </c>
      <c r="Y504"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504" t="n">
        <v>4</v>
      </c>
      <c r="AA504" t="n">
        <v>0</v>
      </c>
      <c r="AB504"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504" t="n">
        <v>6</v>
      </c>
      <c r="AD504" t="inlineStr">
        <is>
          <t>The student's submission failed to meet the requirements of the task. The code was not organized in a way that allowed it to run end-to-end, and several tasks were not implemented correctly. The student did not use the provided functions and did not follow the instructions. As a result, the student did not earn any points for this task.
Breakdown:
- Task 1: Dataset Class: 0.0/?
- Task 2: Model Class: 0.0/?
- Task 3: Training and Validation Loops: 0.0/?
- Task 4: Running Training: 0.0/?
- Task 5: Visualizing Predictions: 0.0/?</t>
        </is>
      </c>
      <c r="AE504" t="n">
        <v>0</v>
      </c>
      <c r="AF504" t="n">
        <v>0</v>
      </c>
      <c r="AG504" t="inlineStr">
        <is>
          <t>No submission found.</t>
        </is>
      </c>
      <c r="AH504" t="n">
        <v>16</v>
      </c>
      <c r="AI504" t="n">
        <v>0</v>
      </c>
    </row>
    <row r="505">
      <c r="A505" t="n">
        <v>504</v>
      </c>
      <c r="B505" t="inlineStr">
        <is>
          <t>TA_9</t>
        </is>
      </c>
      <c r="C505" t="inlineStr">
        <is>
          <t>TA_19</t>
        </is>
      </c>
      <c r="D505" t="n">
        <v>1</v>
      </c>
      <c r="E505" t="n">
        <v>0</v>
      </c>
      <c r="F505" t="n">
        <v>11</v>
      </c>
      <c r="G505" t="n">
        <v>4</v>
      </c>
      <c r="H505" t="n">
        <v>8.050000000000001</v>
      </c>
      <c r="I505" t="n">
        <v>5</v>
      </c>
      <c r="J505" t="n">
        <v>3.25</v>
      </c>
      <c r="K505" t="n">
        <v>0</v>
      </c>
      <c r="L505" t="n">
        <v>10.75</v>
      </c>
      <c r="M505" t="n">
        <v>4</v>
      </c>
      <c r="N505" t="n">
        <v>9.15</v>
      </c>
      <c r="O505" t="n">
        <v>5</v>
      </c>
      <c r="P505">
        <f>Table1[[#This Row],[TA 1 - Q1 Score]]+Table1[[#This Row],[TA 1 - Q2 Score]]+Table1[[#This Row],[TA 1 - Q3 Score]]</f>
        <v/>
      </c>
      <c r="Q505">
        <f>Table1[[#This Row],[TA 1 - Q1 Bonus]]+Table1[[#This Row],[TA 1 - Q2 Bonus]]+Table1[[#This Row],[TA 1 - Q4 Bonus]]</f>
        <v/>
      </c>
      <c r="R505">
        <f>Table1[[#This Row],[TA 2 - Q1 Score]]+Table1[[#This Row],[TA 2 - Q2 Score]]+Table1[[#This Row],[TA 2 - Q3 Score]]</f>
        <v/>
      </c>
      <c r="S505">
        <f>Table1[[#This Row],[TA 2 - Q1 Bonus]]+Table1[[#This Row],[TA 2 - Q2 Bonus]]+Table1[[#This Row],[TA 2 - Q4 Bonus]]</f>
        <v/>
      </c>
      <c r="T505">
        <f>(Table1[[#This Row],[TA 1 - Total Score (out of 35)]]+Table1[[#This Row],[TA 2 - Total Score (out of 35)]])/2</f>
        <v/>
      </c>
      <c r="U505">
        <f>(Table1[[#This Row],[TA 1 - Total Bonus (out of 13)]]+Table1[[#This Row],[TA 2 - Total Bonus (out of 13)]])/2</f>
        <v/>
      </c>
      <c r="V505">
        <f>Table1[[#This Row],[Average Questions]]/35*20+Table1[[#This Row],[Average Bonus]]/13*5</f>
        <v/>
      </c>
      <c r="W505" t="n">
        <v>6</v>
      </c>
      <c r="X505" t="n">
        <v>0</v>
      </c>
      <c r="Y505" t="inlineStr">
        <is>
          <t>The student's submission failed to complete several key tasks, including loading and preparing the data, loading a pretrained model, and training the model. While the student attempted to implement the training and validation functions, their code contained significant errors. The bonus task of implementing test time augmentation was also not completed. As a result, the student's score is low, reflecting the incomplete and incorrect nature of their submission.
Breakdown:
- Part 1: Load and Prepare Data: 0.0/?
- Part 2: Load Pretrained Model and Adapt: 0.0/?
- Part 3: Training and Validation Functions: 1.5/?
- Part 4: Training: 0.0/?
- Part 5: Bonus — Test Time Augmentation: 0.0/?</t>
        </is>
      </c>
      <c r="Z505" t="n">
        <v>6</v>
      </c>
      <c r="AA505" t="n">
        <v>0</v>
      </c>
      <c r="AB505" t="inlineStr">
        <is>
          <t>The student's submission failed to meet the requirements for most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4, the student only partially completed the task by setting up device, model, loss, and optimizer, but did not train the model or plot losses and accuracy. In Part 5, the student did not redefine the CNN model with a residual connection. As a result, the student earned 0 points for most tasks, with only 2 points awarded for partially completing Part 4.
Breakdown:
- Part 1: Load and Prepare Data: 0.0/?
- Part 2: Build the CNN Model: 0.0/?
- Part 3: Training and Validation Functions: 0.0/?
- Part 4: Training: 2.0/?
- Part 5: Bonus — Residual Connection: 0.0/?</t>
        </is>
      </c>
      <c r="AC505" t="n">
        <v>6</v>
      </c>
      <c r="AD505" t="inlineStr">
        <is>
          <t>The student's submission failed to meet the requirements of the task. The code was not organized correctly, and several tasks were not completed. The model class was not defined correctly, and the training and validation loops were not executed properly. The training process was not completed,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505" t="n">
        <v>0</v>
      </c>
      <c r="AF505" t="n">
        <v>0</v>
      </c>
      <c r="AG505" t="inlineStr">
        <is>
          <t>The student's submission demonstrates a good understanding of the ColorizationDataset class. The `__init__`, `__len__`, and `__getitem__` methods are correctly implemented, and the `rgb_to_grayscale` method is also correct. However, the student forgot to add a channel dimension to the grayscale image in the `rgb_to_grayscale` method, which results in a 0% award for the 'Correctly implemented `ColorizationDataset` class' task. The student's submission does not attempt the bonus task, so the bonus score is 0.
Breakdown:
- Correctly implemented `ColorizationDataset` class: 4.0/?
- Any mistake in implementation: 0.0/?</t>
        </is>
      </c>
      <c r="AH505" t="n">
        <v>18</v>
      </c>
      <c r="AI505" t="n">
        <v>0</v>
      </c>
    </row>
    <row r="506">
      <c r="A506" t="n">
        <v>505</v>
      </c>
      <c r="B506" t="inlineStr">
        <is>
          <t>TA_9</t>
        </is>
      </c>
      <c r="C506" t="inlineStr">
        <is>
          <t>TA_19</t>
        </is>
      </c>
      <c r="D506" t="n">
        <v>4.3</v>
      </c>
      <c r="E506" t="n">
        <v>3.8</v>
      </c>
      <c r="F506" t="n">
        <v>4.85</v>
      </c>
      <c r="G506" t="n">
        <v>3.3</v>
      </c>
      <c r="H506" t="n">
        <v>8.9</v>
      </c>
      <c r="I506" t="n">
        <v>5</v>
      </c>
      <c r="J506" t="n">
        <v>4.75</v>
      </c>
      <c r="K506" t="n">
        <v>3</v>
      </c>
      <c r="L506" t="n">
        <v>4.25</v>
      </c>
      <c r="M506" t="n">
        <v>0</v>
      </c>
      <c r="N506" t="n">
        <v>9.5</v>
      </c>
      <c r="O506" t="n">
        <v>5</v>
      </c>
      <c r="P506">
        <f>Table1[[#This Row],[TA 1 - Q1 Score]]+Table1[[#This Row],[TA 1 - Q2 Score]]+Table1[[#This Row],[TA 1 - Q3 Score]]</f>
        <v/>
      </c>
      <c r="Q506">
        <f>Table1[[#This Row],[TA 1 - Q1 Bonus]]+Table1[[#This Row],[TA 1 - Q2 Bonus]]+Table1[[#This Row],[TA 1 - Q4 Bonus]]</f>
        <v/>
      </c>
      <c r="R506">
        <f>Table1[[#This Row],[TA 2 - Q1 Score]]+Table1[[#This Row],[TA 2 - Q2 Score]]+Table1[[#This Row],[TA 2 - Q3 Score]]</f>
        <v/>
      </c>
      <c r="S506">
        <f>Table1[[#This Row],[TA 2 - Q1 Bonus]]+Table1[[#This Row],[TA 2 - Q2 Bonus]]+Table1[[#This Row],[TA 2 - Q4 Bonus]]</f>
        <v/>
      </c>
      <c r="T506">
        <f>(Table1[[#This Row],[TA 1 - Total Score (out of 35)]]+Table1[[#This Row],[TA 2 - Total Score (out of 35)]])/2</f>
        <v/>
      </c>
      <c r="U506">
        <f>(Table1[[#This Row],[TA 1 - Total Bonus (out of 13)]]+Table1[[#This Row],[TA 2 - Total Bonus (out of 13)]])/2</f>
        <v/>
      </c>
      <c r="V506">
        <f>Table1[[#This Row],[Average Questions]]/35*20+Table1[[#This Row],[Average Bonus]]/13*5</f>
        <v/>
      </c>
      <c r="W506" t="n">
        <v>6</v>
      </c>
      <c r="X506" t="n">
        <v>0</v>
      </c>
      <c r="Y506" t="inlineStr">
        <is>
          <t>The student's submission failed to complete several key tasks, including loading and preparing data, loading a pretrained model,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506" t="n">
        <v>4</v>
      </c>
      <c r="AA506" t="n">
        <v>0</v>
      </c>
      <c r="AB506"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disorganized and does not run end-to-end. As a result, the student receives 0% for each task.
Breakdown:
- Part 1: Load and Prepare Data: 0.0/?
- Part 2: Build the CNN Model: 0.0/?
- Part 3: Training and Validation Functions: 0.0/?
- Part 4: Training: 0.0/?
- Part 5: Bonus — Residual Connection: 0.0/?</t>
        </is>
      </c>
      <c r="AC506" t="n">
        <v>6</v>
      </c>
      <c r="AD506"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positive aspect of their submission. Overall, the student's submission was incomplete and had several errors, resulting in a low score.
Breakdown:
- Task 1: Dataset Class: 0.0/?
- Task 2: Model Class: 0.0/?
- Task 3: Training and Validation Loops: 0.0/?
- Task 4: Running Training: 0.0/?
- Task 5: Visualizing Predictions: 6.0/?</t>
        </is>
      </c>
      <c r="AE506" t="n">
        <v>0</v>
      </c>
      <c r="AF506" t="n">
        <v>1</v>
      </c>
      <c r="AG506" t="inlineStr">
        <is>
          <t>The student's submission demonstrates a good understanding of the ColorizationDataset class. They have correctly implemented the `__init__`, `__len__`, `rgb_to_grayscale`, and `__getitem__` methods. However, they have made a mistake in the `rgb_to_grayscale` method by not adding a channel dimension to the grayscale image. This results in a score of 4.0 for the base task. The student has also attempted to visualize the grayscale and color images, but this is not a required task, so it does not affect the score. Overall, the student's submission shows a good effort, but with some minor mistakes.
Breakdown:
- Correctly implemented `ColorizationDataset` class: 4.0/?
- Any mistake in implementation: 0.0/?</t>
        </is>
      </c>
      <c r="AH506" t="n">
        <v>16</v>
      </c>
      <c r="AI506" t="n">
        <v>1</v>
      </c>
    </row>
    <row r="507">
      <c r="A507" t="n">
        <v>506</v>
      </c>
      <c r="B507" t="inlineStr">
        <is>
          <t>TA_9</t>
        </is>
      </c>
      <c r="C507" t="inlineStr">
        <is>
          <t>TA_19</t>
        </is>
      </c>
      <c r="D507" t="n">
        <v>5</v>
      </c>
      <c r="E507" t="n">
        <v>0</v>
      </c>
      <c r="F507" t="n">
        <v>10.1</v>
      </c>
      <c r="G507" t="n">
        <v>0</v>
      </c>
      <c r="H507" t="n">
        <v>7.5</v>
      </c>
      <c r="I507" t="n">
        <v>0</v>
      </c>
      <c r="J507" t="n">
        <v>5.5</v>
      </c>
      <c r="K507" t="n">
        <v>0</v>
      </c>
      <c r="L507" t="n">
        <v>10.75</v>
      </c>
      <c r="M507" t="n">
        <v>0</v>
      </c>
      <c r="N507" t="n">
        <v>7.75</v>
      </c>
      <c r="O507" t="n">
        <v>0</v>
      </c>
      <c r="P507">
        <f>Table1[[#This Row],[TA 1 - Q1 Score]]+Table1[[#This Row],[TA 1 - Q2 Score]]+Table1[[#This Row],[TA 1 - Q3 Score]]</f>
        <v/>
      </c>
      <c r="Q507">
        <f>Table1[[#This Row],[TA 1 - Q1 Bonus]]+Table1[[#This Row],[TA 1 - Q2 Bonus]]+Table1[[#This Row],[TA 1 - Q4 Bonus]]</f>
        <v/>
      </c>
      <c r="R507">
        <f>Table1[[#This Row],[TA 2 - Q1 Score]]+Table1[[#This Row],[TA 2 - Q2 Score]]+Table1[[#This Row],[TA 2 - Q3 Score]]</f>
        <v/>
      </c>
      <c r="S507">
        <f>Table1[[#This Row],[TA 2 - Q1 Bonus]]+Table1[[#This Row],[TA 2 - Q2 Bonus]]+Table1[[#This Row],[TA 2 - Q4 Bonus]]</f>
        <v/>
      </c>
      <c r="T507">
        <f>(Table1[[#This Row],[TA 1 - Total Score (out of 35)]]+Table1[[#This Row],[TA 2 - Total Score (out of 35)]])/2</f>
        <v/>
      </c>
      <c r="U507">
        <f>(Table1[[#This Row],[TA 1 - Total Bonus (out of 13)]]+Table1[[#This Row],[TA 2 - Total Bonus (out of 13)]])/2</f>
        <v/>
      </c>
      <c r="V507">
        <f>Table1[[#This Row],[Average Questions]]/35*20+Table1[[#This Row],[Average Bonus]]/13*5</f>
        <v/>
      </c>
      <c r="W507" t="n">
        <v>6</v>
      </c>
      <c r="X507" t="n">
        <v>0</v>
      </c>
      <c r="Y507" t="inlineStr">
        <is>
          <t>The student's submission failed to complete several key tasks, including loading and preparing the data, loading a pretrained model, and training the model. While they did attempt to implement the training and validation functions, their code contained significant errors. The bonus task of implementing test time augmentation was also not completed.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507" t="n">
        <v>6</v>
      </c>
      <c r="AA507" t="n">
        <v>0</v>
      </c>
      <c r="AB507"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any points for the base tasks, and their bonus task was also not completed.
Breakdown:
- Part 1: Load and Prepare Data: 0.0/?
- Part 2: Build the CNN Model: 0.0/?
- Part 3: Training and Validation Functions: 0.0/?
- Part 4: Training: 2.0/?
- Part 5: Bonus — Residual Connection: 0.0/?</t>
        </is>
      </c>
      <c r="AC507" t="n">
        <v>6</v>
      </c>
      <c r="AD507" t="inlineStr">
        <is>
          <t>The student's submission was incomplete and lacked code for most tasks. However, the code for visualizing predictions was mostly correct and attempted to run the task, but it had some issues with imports and model usage. As a result, the student received partial credit for this task.
Breakdown:
- Task 1: Dataset Class: 0.0/?
- Task 2: Model Class: 0.0/?
- Task 3: Training and Validation Loops: 0.0/?
- Task 4: Running Training: 0.0/?
- Task 5: Visualizing Predictions: 6.0/?</t>
        </is>
      </c>
      <c r="AE507" t="n">
        <v>0</v>
      </c>
      <c r="AF507" t="n">
        <v>0</v>
      </c>
      <c r="AG507" t="inlineStr">
        <is>
          <t>No submission found.</t>
        </is>
      </c>
      <c r="AH507" t="n">
        <v>18</v>
      </c>
      <c r="AI507" t="n">
        <v>0</v>
      </c>
    </row>
    <row r="508">
      <c r="A508" t="n">
        <v>507</v>
      </c>
      <c r="B508" t="inlineStr">
        <is>
          <t>TA_9</t>
        </is>
      </c>
      <c r="C508" t="inlineStr">
        <is>
          <t>TA_19</t>
        </is>
      </c>
      <c r="D508" t="n">
        <v>4.3</v>
      </c>
      <c r="E508" t="n">
        <v>0</v>
      </c>
      <c r="F508" t="n">
        <v>6.8</v>
      </c>
      <c r="G508" t="n">
        <v>0</v>
      </c>
      <c r="H508" t="n">
        <v>8.1</v>
      </c>
      <c r="I508" t="n">
        <v>0</v>
      </c>
      <c r="J508" t="n">
        <v>4.75</v>
      </c>
      <c r="K508" t="n">
        <v>0</v>
      </c>
      <c r="L508" t="n">
        <v>6.9</v>
      </c>
      <c r="M508" t="n">
        <v>0</v>
      </c>
      <c r="N508" t="n">
        <v>6.25</v>
      </c>
      <c r="O508" t="n">
        <v>0</v>
      </c>
      <c r="P508">
        <f>Table1[[#This Row],[TA 1 - Q1 Score]]+Table1[[#This Row],[TA 1 - Q2 Score]]+Table1[[#This Row],[TA 1 - Q3 Score]]</f>
        <v/>
      </c>
      <c r="Q508">
        <f>Table1[[#This Row],[TA 1 - Q1 Bonus]]+Table1[[#This Row],[TA 1 - Q2 Bonus]]+Table1[[#This Row],[TA 1 - Q4 Bonus]]</f>
        <v/>
      </c>
      <c r="R508">
        <f>Table1[[#This Row],[TA 2 - Q1 Score]]+Table1[[#This Row],[TA 2 - Q2 Score]]+Table1[[#This Row],[TA 2 - Q3 Score]]</f>
        <v/>
      </c>
      <c r="S508">
        <f>Table1[[#This Row],[TA 2 - Q1 Bonus]]+Table1[[#This Row],[TA 2 - Q2 Bonus]]+Table1[[#This Row],[TA 2 - Q4 Bonus]]</f>
        <v/>
      </c>
      <c r="T508">
        <f>(Table1[[#This Row],[TA 1 - Total Score (out of 35)]]+Table1[[#This Row],[TA 2 - Total Score (out of 35)]])/2</f>
        <v/>
      </c>
      <c r="U508">
        <f>(Table1[[#This Row],[TA 1 - Total Bonus (out of 13)]]+Table1[[#This Row],[TA 2 - Total Bonus (out of 13)]])/2</f>
        <v/>
      </c>
      <c r="V508">
        <f>Table1[[#This Row],[Average Questions]]/35*20+Table1[[#This Row],[Average Bonus]]/13*5</f>
        <v/>
      </c>
      <c r="W508" t="n">
        <v>6</v>
      </c>
      <c r="X508" t="n">
        <v>0</v>
      </c>
      <c r="Y508"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normalization of the data and the use of the correct loss function.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2.0/?
- Part 5: Bonus — Test Time Augmentation: 0.0/?</t>
        </is>
      </c>
      <c r="Z508" t="n">
        <v>4</v>
      </c>
      <c r="AA508" t="n">
        <v>0</v>
      </c>
      <c r="AB508" t="inlineStr">
        <is>
          <t>The student's submission failed to meet the requirements of the task. The code does not load and prepare the data correctly, does not build the CNN model as specified, does not implement the training and validation functions, does not train the model, and does not implement the residual connection. The student's code is disorganized and does not run end-to-end. As a result, the student receives 0% for each task.
Breakdown:
- Part 1: Load and Prepare Data: 0.0/?
- Part 2: Build the CNN Model: 0.0/?
- Part 3: Training and Validation Functions: 0.0/?
- Part 4: Training: 0.0/?
- Part 5: Bonus — Residual Connection: 0.0/?</t>
        </is>
      </c>
      <c r="AC508" t="n">
        <v>6</v>
      </c>
      <c r="AD508" t="inlineStr">
        <is>
          <t>The student's submission failed to meet the requirements of the task.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508" t="n">
        <v>0</v>
      </c>
      <c r="AF508" t="n">
        <v>0</v>
      </c>
      <c r="AG508" t="inlineStr">
        <is>
          <t>No submission found.</t>
        </is>
      </c>
      <c r="AH508" t="n">
        <v>16</v>
      </c>
      <c r="AI508" t="n">
        <v>0</v>
      </c>
    </row>
    <row r="509">
      <c r="A509" t="n">
        <v>508</v>
      </c>
      <c r="B509" t="inlineStr">
        <is>
          <t>TA_9</t>
        </is>
      </c>
      <c r="C509" t="inlineStr">
        <is>
          <t>TA_19</t>
        </is>
      </c>
      <c r="D509" t="n">
        <v>4</v>
      </c>
      <c r="E509" t="n">
        <v>0</v>
      </c>
      <c r="F509" t="n">
        <v>9.5</v>
      </c>
      <c r="G509" t="n">
        <v>0</v>
      </c>
      <c r="H509" t="n">
        <v>10.6</v>
      </c>
      <c r="I509" t="n">
        <v>0</v>
      </c>
      <c r="J509" t="n">
        <v>5.25</v>
      </c>
      <c r="K509" t="n">
        <v>0</v>
      </c>
      <c r="L509" t="n">
        <v>8.75</v>
      </c>
      <c r="M509" t="n">
        <v>0</v>
      </c>
      <c r="N509" t="n">
        <v>9</v>
      </c>
      <c r="O509" t="n">
        <v>0</v>
      </c>
      <c r="P509">
        <f>Table1[[#This Row],[TA 1 - Q1 Score]]+Table1[[#This Row],[TA 1 - Q2 Score]]+Table1[[#This Row],[TA 1 - Q3 Score]]</f>
        <v/>
      </c>
      <c r="Q509">
        <f>Table1[[#This Row],[TA 1 - Q1 Bonus]]+Table1[[#This Row],[TA 1 - Q2 Bonus]]+Table1[[#This Row],[TA 1 - Q4 Bonus]]</f>
        <v/>
      </c>
      <c r="R509">
        <f>Table1[[#This Row],[TA 2 - Q1 Score]]+Table1[[#This Row],[TA 2 - Q2 Score]]+Table1[[#This Row],[TA 2 - Q3 Score]]</f>
        <v/>
      </c>
      <c r="S509">
        <f>Table1[[#This Row],[TA 2 - Q1 Bonus]]+Table1[[#This Row],[TA 2 - Q2 Bonus]]+Table1[[#This Row],[TA 2 - Q4 Bonus]]</f>
        <v/>
      </c>
      <c r="T509">
        <f>(Table1[[#This Row],[TA 1 - Total Score (out of 35)]]+Table1[[#This Row],[TA 2 - Total Score (out of 35)]])/2</f>
        <v/>
      </c>
      <c r="U509">
        <f>(Table1[[#This Row],[TA 1 - Total Bonus (out of 13)]]+Table1[[#This Row],[TA 2 - Total Bonus (out of 13)]])/2</f>
        <v/>
      </c>
      <c r="V509">
        <f>Table1[[#This Row],[Average Questions]]/35*20+Table1[[#This Row],[Average Bonus]]/13*5</f>
        <v/>
      </c>
      <c r="W509" t="n">
        <v>6</v>
      </c>
      <c r="X509" t="n">
        <v>0</v>
      </c>
      <c r="Y509" t="inlineStr">
        <is>
          <t>The student's submission failed to complete several key tasks, including loading and preparing the data, loading a pretrained model, and training the model. While the student attempted to implement the training and validation functions, their code contained significant errors. The bonus task of implementing test time augmentation was also not completed. As a result, the student's score is significantly lower than the maximum possible score.
Breakdown:
- Part 1: Load and Prepare Data: 0.0/?
- Part 2: Load Pretrained Model and Adapt: 0.0/?
- Part 3: Training and Validation Functions: 1.5/?
- Part 4: Training: 0.0/?
- Part 5: Bonus — Test Time Augmentation: 0.0/?</t>
        </is>
      </c>
      <c r="Z509" t="n">
        <v>4</v>
      </c>
      <c r="AA509" t="n">
        <v>0</v>
      </c>
      <c r="AB509" t="inlineStr">
        <is>
          <t>The student's submission failed to meet the requirements of the task. The code does not load and prepare the data correctly, does not build the CNN model as specified, does not implement the training and validation functions, does not train the model, and does not implement the residual connection. The student's code is incomplete and does not run end-to-end.
Breakdown:
- Part 1: Load and Prepare Data: 0.0/?
- Part 2: Build the CNN Model: 0.0/?
- Part 3: Training and Validation Functions: 0.0/?
- Part 4: Training: 0.0/?
- Part 5: Bonus — Residual Connection: 0.0/?</t>
        </is>
      </c>
      <c r="AC509" t="n">
        <v>6</v>
      </c>
      <c r="AD509" t="inlineStr">
        <is>
          <t>The student's submission failed to meet the requirements of the task. The code was not organized, and the tasks were not completed correctly. The student did not use the provided functions and the model was not trained correctly. As a result, the student did not receive any points for this task.
Breakdown:
- Task 1: Dataset Class: 0.0/?
- Task 2: Model Class: 0.0/?
- Task 3: Training and Validation Loops: 0.0/?
- Task 4: Running Training: 0.0/?
- Task 5: Visualizing Predictions: 0.0/?</t>
        </is>
      </c>
      <c r="AE509" t="n">
        <v>0</v>
      </c>
      <c r="AF509" t="n">
        <v>0</v>
      </c>
      <c r="AG509" t="inlineStr">
        <is>
          <t>No submission found.</t>
        </is>
      </c>
      <c r="AH509" t="n">
        <v>16</v>
      </c>
      <c r="AI509" t="n">
        <v>0</v>
      </c>
    </row>
    <row r="510">
      <c r="A510" t="n">
        <v>509</v>
      </c>
      <c r="B510" t="inlineStr">
        <is>
          <t>TA_9</t>
        </is>
      </c>
      <c r="C510" t="inlineStr">
        <is>
          <t>TA_19</t>
        </is>
      </c>
      <c r="D510" t="n">
        <v>11.7</v>
      </c>
      <c r="E510" t="n">
        <v>0</v>
      </c>
      <c r="F510" t="n">
        <v>8.5</v>
      </c>
      <c r="G510" t="n">
        <v>0</v>
      </c>
      <c r="H510" t="n">
        <v>10.6</v>
      </c>
      <c r="I510" t="n">
        <v>0</v>
      </c>
      <c r="J510" t="n">
        <v>9.75</v>
      </c>
      <c r="K510" t="n">
        <v>0</v>
      </c>
      <c r="L510" t="n">
        <v>8.25</v>
      </c>
      <c r="M510" t="n">
        <v>0</v>
      </c>
      <c r="N510" t="n">
        <v>7.75</v>
      </c>
      <c r="O510" t="n">
        <v>0</v>
      </c>
      <c r="P510">
        <f>Table1[[#This Row],[TA 1 - Q1 Score]]+Table1[[#This Row],[TA 1 - Q2 Score]]+Table1[[#This Row],[TA 1 - Q3 Score]]</f>
        <v/>
      </c>
      <c r="Q510">
        <f>Table1[[#This Row],[TA 1 - Q1 Bonus]]+Table1[[#This Row],[TA 1 - Q2 Bonus]]+Table1[[#This Row],[TA 1 - Q4 Bonus]]</f>
        <v/>
      </c>
      <c r="R510">
        <f>Table1[[#This Row],[TA 2 - Q1 Score]]+Table1[[#This Row],[TA 2 - Q2 Score]]+Table1[[#This Row],[TA 2 - Q3 Score]]</f>
        <v/>
      </c>
      <c r="S510">
        <f>Table1[[#This Row],[TA 2 - Q1 Bonus]]+Table1[[#This Row],[TA 2 - Q2 Bonus]]+Table1[[#This Row],[TA 2 - Q4 Bonus]]</f>
        <v/>
      </c>
      <c r="T510">
        <f>(Table1[[#This Row],[TA 1 - Total Score (out of 35)]]+Table1[[#This Row],[TA 2 - Total Score (out of 35)]])/2</f>
        <v/>
      </c>
      <c r="U510">
        <f>(Table1[[#This Row],[TA 1 - Total Bonus (out of 13)]]+Table1[[#This Row],[TA 2 - Total Bonus (out of 13)]])/2</f>
        <v/>
      </c>
      <c r="V510">
        <f>Table1[[#This Row],[Average Questions]]/35*20+Table1[[#This Row],[Average Bonus]]/13*5</f>
        <v/>
      </c>
      <c r="W510" t="n">
        <v>6</v>
      </c>
      <c r="X510" t="n">
        <v>0</v>
      </c>
      <c r="Y510" t="inlineStr">
        <is>
          <t>The student's submission failed to complete several key tasks, including loading and preparing the data, loading a pretrained model, and training the model. The code for the training and validation functions was partially correct, but the student failed to fix the labels, resulting in a penalty. The bonus task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510" t="n">
        <v>4</v>
      </c>
      <c r="AA510" t="n">
        <v>0</v>
      </c>
      <c r="AB510" t="inlineStr">
        <is>
          <t>The submission failed to load and prepare the data correctly, as the dataset class or ImageFolder was not used. The CNN model was not built with the correct architecture, and the training and validation functions were not implemented. The training process was also not executed. The bonus task of adding a residual connection was not attempted. The code had several syntax errors and logical mistakes, and it did not run end-to-end.
Breakdown:
- Part 1: Load and Prepare Data: 0.0/?
- Part 2: Build the CNN Model: 0.0/?
- Part 3: Training and Validation Functions: 0.0/?
- Part 4: Training: 0.0/?
- Part 5: Bonus — Residual Connection: 0.0/?</t>
        </is>
      </c>
      <c r="AC510" t="n">
        <v>6</v>
      </c>
      <c r="AD510" t="inlineStr">
        <is>
          <t>The student's submission had several issues. The dataset class was not implemented correctly, and the model class had the wrong number of classes. The training and validation loops were also not implemented correctly, and the training process was not completed. However, the student was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510" t="n">
        <v>0</v>
      </c>
      <c r="AF510" t="n">
        <v>0</v>
      </c>
      <c r="AG510" t="inlineStr">
        <is>
          <t>The student's submission has several issues with the `ColorizationDataset` class. The `__init__` method does not store the dataset correctly, the `__len__` method has a typo, the `rgb_to_grayscale` method has several issues, and the `__getitem__` method does not correctly get the color image and convert it to grayscale. As a result, the student does not receive any points for this task.
Breakdown:
- Correctly implemented `ColorizationDataset` class:: 0.0/?</t>
        </is>
      </c>
      <c r="AH510" t="n">
        <v>16</v>
      </c>
      <c r="AI510" t="n">
        <v>0</v>
      </c>
    </row>
    <row r="511">
      <c r="A511" t="n">
        <v>510</v>
      </c>
      <c r="B511" t="inlineStr">
        <is>
          <t>TA_9</t>
        </is>
      </c>
      <c r="C511" t="inlineStr">
        <is>
          <t>TA_19</t>
        </is>
      </c>
      <c r="D511" t="n">
        <v>11</v>
      </c>
      <c r="E511" t="n">
        <v>3</v>
      </c>
      <c r="F511" t="n">
        <v>11</v>
      </c>
      <c r="G511" t="n">
        <v>3.5</v>
      </c>
      <c r="H511" t="n">
        <v>8.5</v>
      </c>
      <c r="I511" t="n">
        <v>5</v>
      </c>
      <c r="J511" t="n">
        <v>11</v>
      </c>
      <c r="K511" t="n">
        <v>0</v>
      </c>
      <c r="L511" t="n">
        <v>11</v>
      </c>
      <c r="M511" t="n">
        <v>3</v>
      </c>
      <c r="N511" t="n">
        <v>7.5</v>
      </c>
      <c r="O511" t="n">
        <v>5</v>
      </c>
      <c r="P511">
        <f>Table1[[#This Row],[TA 1 - Q1 Score]]+Table1[[#This Row],[TA 1 - Q2 Score]]+Table1[[#This Row],[TA 1 - Q3 Score]]</f>
        <v/>
      </c>
      <c r="Q511">
        <f>Table1[[#This Row],[TA 1 - Q1 Bonus]]+Table1[[#This Row],[TA 1 - Q2 Bonus]]+Table1[[#This Row],[TA 1 - Q4 Bonus]]</f>
        <v/>
      </c>
      <c r="R511">
        <f>Table1[[#This Row],[TA 2 - Q1 Score]]+Table1[[#This Row],[TA 2 - Q2 Score]]+Table1[[#This Row],[TA 2 - Q3 Score]]</f>
        <v/>
      </c>
      <c r="S511">
        <f>Table1[[#This Row],[TA 2 - Q1 Bonus]]+Table1[[#This Row],[TA 2 - Q2 Bonus]]+Table1[[#This Row],[TA 2 - Q4 Bonus]]</f>
        <v/>
      </c>
      <c r="T511">
        <f>(Table1[[#This Row],[TA 1 - Total Score (out of 35)]]+Table1[[#This Row],[TA 2 - Total Score (out of 35)]])/2</f>
        <v/>
      </c>
      <c r="U511">
        <f>(Table1[[#This Row],[TA 1 - Total Bonus (out of 13)]]+Table1[[#This Row],[TA 2 - Total Bonus (out of 13)]])/2</f>
        <v/>
      </c>
      <c r="V511">
        <f>Table1[[#This Row],[Average Questions]]/35*20+Table1[[#This Row],[Average Bonus]]/13*5</f>
        <v/>
      </c>
      <c r="W511" t="n">
        <v>6</v>
      </c>
      <c r="X511" t="n">
        <v>0</v>
      </c>
      <c r="Y51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511" t="n">
        <v>6</v>
      </c>
      <c r="AA511" t="n">
        <v>0</v>
      </c>
      <c r="AB51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completed. As a result, the student's score is limited to the points awarded for the training task.
Breakdown:
- Part 1: Load and Prepare Data: 0.0/?
- Part 2: Build the CNN Model: 0.0/?
- Part 3: Training and Validation Functions: 0.0/?
- Part 4: Training: 2.0/?
- Part 5: Bonus — Residual Connection: 0.0/?</t>
        </is>
      </c>
      <c r="AC511" t="n">
        <v>6</v>
      </c>
      <c r="AD511" t="inlineStr">
        <is>
          <t>The student's submission failed to meet the requirements of the task. The code was not organized in a way that allowed it to run end-to-end, and several tasks were not completed correctly. The student attempted to define the dataset class, but did not provide any code for it. The model class was not defined correctly, and the training and validation loops were not implemented. The loss and optimizer were not defined correctly, and the model was not trained. Finally, the predictions were not visualized correctly. Overall, the student's submission did not demonstrate a clear understanding of the task requirements.
Breakdown:
- Task 1: Dataset Class: 0.0/?
- Task 2: Model Class: 0.0/?
- Task 3: Training and Validation Loops: 0.0/?
- Task 4: Running Training: 0.0/?
- Task 5: Visualizing Predictions: 0.0/?</t>
        </is>
      </c>
      <c r="AE511" t="n">
        <v>0</v>
      </c>
      <c r="AF511" t="n">
        <v>1</v>
      </c>
      <c r="AG511" t="inlineStr">
        <is>
          <t>The student's submission demonstrates a good understanding of the ColorizationDataset class. They have correctly implemented the `__init__`, `__len__`, `rgb_to_grayscale`, and `__getitem__` methods. However, the `rgb_to_grayscale` method does not correctly handle the tensor dimensions, resulting in a 0% award for that task. The student's code also runs end-to-end, and they have correctly visualized the grayscale and color images. Overall, the submission shows a good effort, but with some minor mistakes.
Breakdown:
- Correctly implemented `ColorizationDataset` class: 4.0/?
- Any mistake in implementation: 0.0/?</t>
        </is>
      </c>
      <c r="AH511" t="n">
        <v>18</v>
      </c>
      <c r="AI511" t="n">
        <v>1</v>
      </c>
    </row>
    <row r="512">
      <c r="A512" t="n">
        <v>511</v>
      </c>
      <c r="B512" t="inlineStr">
        <is>
          <t>TA_10</t>
        </is>
      </c>
      <c r="C512" t="inlineStr">
        <is>
          <t>TA_20</t>
        </is>
      </c>
      <c r="D512" t="n">
        <v>5.75</v>
      </c>
      <c r="E512" t="n">
        <v>0</v>
      </c>
      <c r="F512" t="n">
        <v>8</v>
      </c>
      <c r="G512" t="n">
        <v>0</v>
      </c>
      <c r="H512" t="n">
        <v>10</v>
      </c>
      <c r="I512" t="n">
        <v>0</v>
      </c>
      <c r="J512" t="n">
        <v>6</v>
      </c>
      <c r="K512" t="n">
        <v>0</v>
      </c>
      <c r="L512" t="n">
        <v>8</v>
      </c>
      <c r="M512" t="n">
        <v>0</v>
      </c>
      <c r="N512" t="n">
        <v>10.75</v>
      </c>
      <c r="O512" t="n">
        <v>0</v>
      </c>
      <c r="P512">
        <f>Table1[[#This Row],[TA 1 - Q1 Score]]+Table1[[#This Row],[TA 1 - Q2 Score]]+Table1[[#This Row],[TA 1 - Q3 Score]]</f>
        <v/>
      </c>
      <c r="Q512">
        <f>Table1[[#This Row],[TA 1 - Q1 Bonus]]+Table1[[#This Row],[TA 1 - Q2 Bonus]]+Table1[[#This Row],[TA 1 - Q4 Bonus]]</f>
        <v/>
      </c>
      <c r="R512">
        <f>Table1[[#This Row],[TA 2 - Q1 Score]]+Table1[[#This Row],[TA 2 - Q2 Score]]+Table1[[#This Row],[TA 2 - Q3 Score]]</f>
        <v/>
      </c>
      <c r="S512">
        <f>Table1[[#This Row],[TA 2 - Q1 Bonus]]+Table1[[#This Row],[TA 2 - Q2 Bonus]]+Table1[[#This Row],[TA 2 - Q4 Bonus]]</f>
        <v/>
      </c>
      <c r="T512">
        <f>(Table1[[#This Row],[TA 1 - Total Score (out of 35)]]+Table1[[#This Row],[TA 2 - Total Score (out of 35)]])/2</f>
        <v/>
      </c>
      <c r="U512">
        <f>(Table1[[#This Row],[TA 1 - Total Bonus (out of 13)]]+Table1[[#This Row],[TA 2 - Total Bonus (out of 13)]])/2</f>
        <v/>
      </c>
      <c r="V512">
        <f>Table1[[#This Row],[Average Questions]]/35*20+Table1[[#This Row],[Average Bonus]]/13*5</f>
        <v/>
      </c>
      <c r="W512" t="n">
        <v>6</v>
      </c>
      <c r="X512" t="n">
        <v>0</v>
      </c>
      <c r="Y512"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errors and did not run end-to-end. The bonus task of implementing test time augmentation was also not completed. As a result, the student's score is 6.0, reflecting the partial credit awarded for the training task.
Breakdown:
- Part 1: Load and Prepare Data: 0.0/?
- Part 2: Load Pretrained Model and Adapt: 0.0/?
- Part 3: Training and Validation Functions: 0.0/?
- Part 4: Training: 3.0/?
- Part 5: Bonus — Test Time Augmentation: 0.0/?</t>
        </is>
      </c>
      <c r="Z512" t="n">
        <v>4</v>
      </c>
      <c r="AA512" t="n">
        <v>0</v>
      </c>
      <c r="AB512" t="inlineStr">
        <is>
          <t>The student's submission failed to meet the requirements of the task. The code was not organized in a way that allowed it to run end-to-end, and several key components were missing or implemented incorrectly. As a result, the student was unable to complete the task and earn any points.
Breakdown:
- Part 1: Load and Prepare Data: 0.0/?
- Part 2: Build the CNN Model: 0.0/?
- Part 3: Training and Validation Functions: 0.0/?
- Part 4: Training: 0.0/?
- Part 5: Bonus — Residual Connection: 0.0/?</t>
        </is>
      </c>
      <c r="AC512" t="n">
        <v>6</v>
      </c>
      <c r="AD512" t="inlineStr">
        <is>
          <t>The student's submission was incomplete and lacked code for several tasks. While the code for visualizing predictions was mostly correct, it did not run end-to-end due to missing imports and incorrect usage of the model. As a result, the student was awarded 0 points for the first four tasks and 6 points for the fifth task.
Breakdown:
- Task 1: Dataset Class: 0.0/?
- Task 2: Model Class: 0.0/?
- Task 3: Training and Validation Loops: 0.0/?
- Task 4: Running Training: 0.0/?
- Task 5: Visualizing Predictions: 6.0/?</t>
        </is>
      </c>
      <c r="AE512" t="n">
        <v>0</v>
      </c>
      <c r="AF512" t="n">
        <v>0</v>
      </c>
      <c r="AG512" t="inlineStr">
        <is>
          <t>No submission found.</t>
        </is>
      </c>
      <c r="AH512" t="n">
        <v>16</v>
      </c>
      <c r="AI512" t="n">
        <v>0</v>
      </c>
    </row>
    <row r="513">
      <c r="A513" t="n">
        <v>512</v>
      </c>
      <c r="B513" t="inlineStr">
        <is>
          <t>TA_10</t>
        </is>
      </c>
      <c r="C513" t="inlineStr">
        <is>
          <t>TA_20</t>
        </is>
      </c>
      <c r="D513" t="n">
        <v>10.5</v>
      </c>
      <c r="E513" t="n">
        <v>0</v>
      </c>
      <c r="F513" t="n">
        <v>11</v>
      </c>
      <c r="G513" t="n">
        <v>0</v>
      </c>
      <c r="H513" t="n">
        <v>12</v>
      </c>
      <c r="I513" t="n">
        <v>0</v>
      </c>
      <c r="J513" t="n">
        <v>11</v>
      </c>
      <c r="K513" t="n">
        <v>4</v>
      </c>
      <c r="L513" t="n">
        <v>11</v>
      </c>
      <c r="M513" t="n">
        <v>0</v>
      </c>
      <c r="N513" t="n">
        <v>12</v>
      </c>
      <c r="O513" t="n">
        <v>0</v>
      </c>
      <c r="P513">
        <f>Table1[[#This Row],[TA 1 - Q1 Score]]+Table1[[#This Row],[TA 1 - Q2 Score]]+Table1[[#This Row],[TA 1 - Q3 Score]]</f>
        <v/>
      </c>
      <c r="Q513">
        <f>Table1[[#This Row],[TA 1 - Q1 Bonus]]+Table1[[#This Row],[TA 1 - Q2 Bonus]]+Table1[[#This Row],[TA 1 - Q4 Bonus]]</f>
        <v/>
      </c>
      <c r="R513">
        <f>Table1[[#This Row],[TA 2 - Q1 Score]]+Table1[[#This Row],[TA 2 - Q2 Score]]+Table1[[#This Row],[TA 2 - Q3 Score]]</f>
        <v/>
      </c>
      <c r="S513">
        <f>Table1[[#This Row],[TA 2 - Q1 Bonus]]+Table1[[#This Row],[TA 2 - Q2 Bonus]]+Table1[[#This Row],[TA 2 - Q4 Bonus]]</f>
        <v/>
      </c>
      <c r="T513">
        <f>(Table1[[#This Row],[TA 1 - Total Score (out of 35)]]+Table1[[#This Row],[TA 2 - Total Score (out of 35)]])/2</f>
        <v/>
      </c>
      <c r="U513">
        <f>(Table1[[#This Row],[TA 1 - Total Bonus (out of 13)]]+Table1[[#This Row],[TA 2 - Total Bonus (out of 13)]])/2</f>
        <v/>
      </c>
      <c r="V513">
        <f>Table1[[#This Row],[Average Questions]]/35*20+Table1[[#This Row],[Average Bonus]]/13*5</f>
        <v/>
      </c>
      <c r="W513" t="n">
        <v>6</v>
      </c>
      <c r="X513" t="n">
        <v>0</v>
      </c>
      <c r="Y513" t="inlineStr">
        <is>
          <t>The student's submission failed to complete several key tasks, including loading and preparing the data, loading a pretrained model and adapting it, and implementing test time augmentation. While they made an attempt at the training and validation functions, their code contained syntax errors and did not run correctly. As a result, the student was unable to train the model or achieve the bonus task. The submission demonstrates a lack of understanding of the required tasks and a failure to execute the code correctly.
Breakdown:
- Part 1: Load and Prepare Data: 0.0/?
- Part 2: Load Pretrained Model and Adapt: 0.0/?
- Part 3: Training and Validation Functions: 1.5/?
- Part 4: Training: 2.5/?
- Part 5: Bonus — Test Time Augmentation: 0.0/?</t>
        </is>
      </c>
      <c r="Z513" t="n">
        <v>4</v>
      </c>
      <c r="AA513" t="n">
        <v>0</v>
      </c>
      <c r="AB513"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513" t="n">
        <v>6</v>
      </c>
      <c r="AD513" t="inlineStr">
        <is>
          <t>The student's submission was incomplete and failed to run end-to-end for most tasks. While the code for visualizing predictions was mostly correct, it was not enough to award full credit for the task. The student's approach to the other tasks was incorrect or incomplete, resulting in a score of 0 for each task.
Breakdown:
- Task 1: Dataset Class: 0.0/?
- Task 2: Model Class: 0.0/?
- Task 3: Training and Validation Loops: 0.0/?
- Task 4: Running Training: 0.0/?
- Task 5: Visualizing Predictions: 6.0/?</t>
        </is>
      </c>
      <c r="AE513" t="n">
        <v>0</v>
      </c>
      <c r="AF513" t="n">
        <v>0</v>
      </c>
      <c r="AG513" t="inlineStr">
        <is>
          <t>The student's submission does not meet the requirements of the task. The `ColorizationDataset` class is not implemented correctly, and the implementation has several mistakes. As a result, the student does not receive any points for this task.
Breakdown:
- Correctly implemented `ColorizationDataset` class:: 0.0/?
- Any mistake in implementation: 0.0/?</t>
        </is>
      </c>
      <c r="AH513" t="n">
        <v>16</v>
      </c>
      <c r="AI513" t="n">
        <v>0</v>
      </c>
    </row>
    <row r="514">
      <c r="A514" t="n">
        <v>513</v>
      </c>
      <c r="B514" t="inlineStr">
        <is>
          <t>TA_10</t>
        </is>
      </c>
      <c r="C514" t="inlineStr">
        <is>
          <t>TA_20</t>
        </is>
      </c>
      <c r="D514" t="n">
        <v>11.25</v>
      </c>
      <c r="E514" t="n">
        <v>0</v>
      </c>
      <c r="F514" t="n">
        <v>7</v>
      </c>
      <c r="G514" t="n">
        <v>0</v>
      </c>
      <c r="H514" t="n">
        <v>12</v>
      </c>
      <c r="I514" t="n">
        <v>0</v>
      </c>
      <c r="J514" t="n">
        <v>12</v>
      </c>
      <c r="K514" t="n">
        <v>0</v>
      </c>
      <c r="L514" t="n">
        <v>7.25</v>
      </c>
      <c r="M514" t="n">
        <v>0</v>
      </c>
      <c r="N514" t="n">
        <v>11</v>
      </c>
      <c r="O514" t="n">
        <v>0</v>
      </c>
      <c r="P514">
        <f>Table1[[#This Row],[TA 1 - Q1 Score]]+Table1[[#This Row],[TA 1 - Q2 Score]]+Table1[[#This Row],[TA 1 - Q3 Score]]</f>
        <v/>
      </c>
      <c r="Q514">
        <f>Table1[[#This Row],[TA 1 - Q1 Bonus]]+Table1[[#This Row],[TA 1 - Q2 Bonus]]+Table1[[#This Row],[TA 1 - Q4 Bonus]]</f>
        <v/>
      </c>
      <c r="R514">
        <f>Table1[[#This Row],[TA 2 - Q1 Score]]+Table1[[#This Row],[TA 2 - Q2 Score]]+Table1[[#This Row],[TA 2 - Q3 Score]]</f>
        <v/>
      </c>
      <c r="S514">
        <f>Table1[[#This Row],[TA 2 - Q1 Bonus]]+Table1[[#This Row],[TA 2 - Q2 Bonus]]+Table1[[#This Row],[TA 2 - Q4 Bonus]]</f>
        <v/>
      </c>
      <c r="T514">
        <f>(Table1[[#This Row],[TA 1 - Total Score (out of 35)]]+Table1[[#This Row],[TA 2 - Total Score (out of 35)]])/2</f>
        <v/>
      </c>
      <c r="U514">
        <f>(Table1[[#This Row],[TA 1 - Total Bonus (out of 13)]]+Table1[[#This Row],[TA 2 - Total Bonus (out of 13)]])/2</f>
        <v/>
      </c>
      <c r="V514">
        <f>Table1[[#This Row],[Average Questions]]/35*20+Table1[[#This Row],[Average Bonus]]/13*5</f>
        <v/>
      </c>
      <c r="W514" t="n">
        <v>6</v>
      </c>
      <c r="X514" t="n">
        <v>0</v>
      </c>
      <c r="Y514"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approach to the bonus task was entirely wrong, disregarding explicit instructions. As a result, the student's submission was awarded a score of 6.0, with no bonus points.
Breakdown:
- Part 1: Load and Prepare Data: 0.0/?
- Part 2: Load Pretrained Model and Adapt: 0.0/?
- Part 3: Training and Validation Functions: 0.0/?
- Part 4: Training: 2.0/?
- Part 5: Bonus — Test Time Augmentation: 0.0/?</t>
        </is>
      </c>
      <c r="Z514" t="n">
        <v>4</v>
      </c>
      <c r="AA514" t="n">
        <v>0</v>
      </c>
      <c r="AB514"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add a residual connection to the model. As a result, the student did not earn any points for this task.
Breakdown:
- Part 1: Load and Prepare Data: 0.0/?
- Part 2: Build the CNN Model: 0.0/?
- Part 3: Training and Validation Functions: 0.0/?
- Part 4: Training: 0.0/?
- Part 5: Bonus — Residual Connection: 0.0/?</t>
        </is>
      </c>
      <c r="AC514" t="n">
        <v>6</v>
      </c>
      <c r="AD514" t="inlineStr">
        <is>
          <t>The student's submission was incomplete and contained several errors. They failed to complete tasks 1, 2, 3, and 4, and their implementation of task 5 was not entirely correct. The student's code was not well-organized and did not follow the provided structure. As a result, the student was only able to earn 6 points out of a possible 12.
Breakdown:
- Task 1: Dataset Class: 0.0/?
- Task 2: Model Class: 0.0/?
- Task 3: Training and Validation Loops: 0.0/?
- Task 4: Running Training: 0.0/?
- Task 5: Visualizing Predictions: 6.0/?</t>
        </is>
      </c>
      <c r="AE514" t="n">
        <v>0</v>
      </c>
      <c r="AF514" t="n">
        <v>0</v>
      </c>
      <c r="AG514" t="inlineStr">
        <is>
          <t>No submission found.</t>
        </is>
      </c>
      <c r="AH514" t="n">
        <v>16</v>
      </c>
      <c r="AI514" t="n">
        <v>0</v>
      </c>
    </row>
    <row r="515">
      <c r="A515" t="n">
        <v>514</v>
      </c>
      <c r="B515" t="inlineStr">
        <is>
          <t>TA_10</t>
        </is>
      </c>
      <c r="C515" t="inlineStr">
        <is>
          <t>TA_20</t>
        </is>
      </c>
      <c r="D515" t="n">
        <v>12</v>
      </c>
      <c r="E515" t="n">
        <v>3.5</v>
      </c>
      <c r="F515" t="n">
        <v>10.25</v>
      </c>
      <c r="G515" t="n">
        <v>2.5</v>
      </c>
      <c r="H515" t="n">
        <v>12</v>
      </c>
      <c r="I515" t="n">
        <v>5</v>
      </c>
      <c r="J515" t="n">
        <v>12</v>
      </c>
      <c r="K515" t="n">
        <v>4</v>
      </c>
      <c r="L515" t="n">
        <v>11</v>
      </c>
      <c r="M515" t="n">
        <v>4</v>
      </c>
      <c r="N515" t="n">
        <v>12</v>
      </c>
      <c r="O515" t="n">
        <v>5</v>
      </c>
      <c r="P515">
        <f>Table1[[#This Row],[TA 1 - Q1 Score]]+Table1[[#This Row],[TA 1 - Q2 Score]]+Table1[[#This Row],[TA 1 - Q3 Score]]</f>
        <v/>
      </c>
      <c r="Q515">
        <f>Table1[[#This Row],[TA 1 - Q1 Bonus]]+Table1[[#This Row],[TA 1 - Q2 Bonus]]+Table1[[#This Row],[TA 1 - Q4 Bonus]]</f>
        <v/>
      </c>
      <c r="R515">
        <f>Table1[[#This Row],[TA 2 - Q1 Score]]+Table1[[#This Row],[TA 2 - Q2 Score]]+Table1[[#This Row],[TA 2 - Q3 Score]]</f>
        <v/>
      </c>
      <c r="S515">
        <f>Table1[[#This Row],[TA 2 - Q1 Bonus]]+Table1[[#This Row],[TA 2 - Q2 Bonus]]+Table1[[#This Row],[TA 2 - Q4 Bonus]]</f>
        <v/>
      </c>
      <c r="T515">
        <f>(Table1[[#This Row],[TA 1 - Total Score (out of 35)]]+Table1[[#This Row],[TA 2 - Total Score (out of 35)]])/2</f>
        <v/>
      </c>
      <c r="U515">
        <f>(Table1[[#This Row],[TA 1 - Total Bonus (out of 13)]]+Table1[[#This Row],[TA 2 - Total Bonus (out of 13)]])/2</f>
        <v/>
      </c>
      <c r="V515">
        <f>Table1[[#This Row],[Average Questions]]/35*20+Table1[[#This Row],[Average Bonus]]/13*5</f>
        <v/>
      </c>
      <c r="W515" t="n">
        <v>6</v>
      </c>
      <c r="X515" t="n">
        <v>0</v>
      </c>
      <c r="Y515"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2.0/?
- Part 5: Bonus — Test Time Augmentation: 0.0/?</t>
        </is>
      </c>
      <c r="Z515" t="n">
        <v>4</v>
      </c>
      <c r="AA515" t="n">
        <v>0</v>
      </c>
      <c r="AB515" t="inlineStr">
        <is>
          <t>The student's submission failed to meet the requirements of the task. They did not complete any of the tasks, including loading and preparing the data, building the CNN model, training and validation functions, and the bonus task. The code provided does not run end-to-end and lacks essential components. As a result, the student did not demonstrate any understanding of the task and did not earn any points.
Breakdown:
- Part 1: Load and Prepare Data (Task 1: Dataset class or ImageFolder): 0.0/?
- Part 1: Load and Prepare Data (Task 2: Create train/test datasets and DataLoaders): 0.0/?
- Part 1: Load and Prepare Data (Task 3: Transforms (RandomRotation, Resize to 32x32)): 0.0/?
- Part 1: Load and Prepare Data (Task 4: Display sample images with labels): 0.0/?
- Part 2: Build the CNN Model (Task 1: CNN model class with 5 convolutional layers): 0.0/?
- Part 2: Build the CNN Model (Task 2: Added Batch Normalization): 0.0/?
- Part 3: Training and Validation Functions (Task 1: Training loop function): 0.0/?
- Part 3: Training and Validation Functions (Task 2: Validation loop function): 0.0/?
- Part 4: Training (Task 1: Set up device, model, loss, optimizer): 0.0/?
- Part 4: Training (Task 2: Train the model): 0.0/?
- Part 4: Training (Task 3: Plot losses and accuracy): 0.0/?
- Part 5: Bonus — Residual Connection (Bonus Task: Defined residual connection correctly): 0.0/?
- Part 5: Bonus — Residual Connection (Bonus Task: Retrain + Plot losses and accuracy): 0.0/?</t>
        </is>
      </c>
      <c r="AC515" t="n">
        <v>6</v>
      </c>
      <c r="AD515"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15" t="n">
        <v>0</v>
      </c>
      <c r="AF515" t="n">
        <v>0</v>
      </c>
      <c r="AG515" t="inlineStr">
        <is>
          <t>The student's submission failed to implement the `ColorizationDataset` class correctly, with missing methods and syntax errors. As a result, the submission does not meet the requirements of the task and does not award any points.
Breakdown:
- Correctly implemented `ColorizationDataset` class:: 0.0/?</t>
        </is>
      </c>
      <c r="AH515" t="n">
        <v>16</v>
      </c>
      <c r="AI515" t="n">
        <v>0</v>
      </c>
    </row>
    <row r="516">
      <c r="A516" t="n">
        <v>515</v>
      </c>
      <c r="B516" t="inlineStr">
        <is>
          <t>TA_10</t>
        </is>
      </c>
      <c r="C516" t="inlineStr">
        <is>
          <t>TA_20</t>
        </is>
      </c>
      <c r="D516" t="n">
        <v>2.5</v>
      </c>
      <c r="E516" t="n">
        <v>0</v>
      </c>
      <c r="F516" t="n">
        <v>7.5</v>
      </c>
      <c r="G516" t="n">
        <v>1.5</v>
      </c>
      <c r="H516" t="n">
        <v>5.75</v>
      </c>
      <c r="I516" t="n">
        <v>0</v>
      </c>
      <c r="J516" t="n">
        <v>2.25</v>
      </c>
      <c r="K516" t="n">
        <v>0</v>
      </c>
      <c r="L516" t="n">
        <v>8</v>
      </c>
      <c r="M516" t="n">
        <v>0</v>
      </c>
      <c r="N516" t="n">
        <v>5.75</v>
      </c>
      <c r="O516" t="n">
        <v>0</v>
      </c>
      <c r="P516">
        <f>Table1[[#This Row],[TA 1 - Q1 Score]]+Table1[[#This Row],[TA 1 - Q2 Score]]+Table1[[#This Row],[TA 1 - Q3 Score]]</f>
        <v/>
      </c>
      <c r="Q516">
        <f>Table1[[#This Row],[TA 1 - Q1 Bonus]]+Table1[[#This Row],[TA 1 - Q2 Bonus]]+Table1[[#This Row],[TA 1 - Q4 Bonus]]</f>
        <v/>
      </c>
      <c r="R516">
        <f>Table1[[#This Row],[TA 2 - Q1 Score]]+Table1[[#This Row],[TA 2 - Q2 Score]]+Table1[[#This Row],[TA 2 - Q3 Score]]</f>
        <v/>
      </c>
      <c r="S516">
        <f>Table1[[#This Row],[TA 2 - Q1 Bonus]]+Table1[[#This Row],[TA 2 - Q2 Bonus]]+Table1[[#This Row],[TA 2 - Q4 Bonus]]</f>
        <v/>
      </c>
      <c r="T516">
        <f>(Table1[[#This Row],[TA 1 - Total Score (out of 35)]]+Table1[[#This Row],[TA 2 - Total Score (out of 35)]])/2</f>
        <v/>
      </c>
      <c r="U516">
        <f>(Table1[[#This Row],[TA 1 - Total Bonus (out of 13)]]+Table1[[#This Row],[TA 2 - Total Bonus (out of 13)]])/2</f>
        <v/>
      </c>
      <c r="V516">
        <f>Table1[[#This Row],[Average Questions]]/35*20+Table1[[#This Row],[Average Bonus]]/13*5</f>
        <v/>
      </c>
      <c r="W516" t="n">
        <v>6</v>
      </c>
      <c r="X516" t="n">
        <v>0</v>
      </c>
      <c r="Y516" t="inlineStr">
        <is>
          <t>The student's submission failed to complete several key tasks, including loading and preparing the data, loading a pretrained model, and adapting it for the task. The training and validation functions were also not implemented correctly. While the student did attempt to train the model, the submission lacked several critical components, resulting in a low overall score.
Breakdown:
- Part 1: Load and Prepare Data: 0.0/?
- Part 2: Load Pretrained Model and Adapt: 0.0/?
- Part 3: Training and Validation Functions: 0.0/?
- Part 4: Training: 3.0/?
- Part 5: Bonus — Test Time Augmentation: 0.0/?</t>
        </is>
      </c>
      <c r="Z516" t="n">
        <v>4</v>
      </c>
      <c r="AA516" t="n">
        <v>0</v>
      </c>
      <c r="AB516"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add a residual connection to the model. As a result, the student did not earn any points for this task.
Breakdown:
- Part 1: Load and Prepare Data: 0.0/?
- Part 2: Build the CNN Model: 0.0/?
- Part 3: Training and Validation Functions: 0.0/?
- Part 4: Training: 0.0/?
- Part 5: Bonus — Residual Connection: 0.0/?</t>
        </is>
      </c>
      <c r="AC516" t="n">
        <v>6</v>
      </c>
      <c r="AD516" t="inlineStr">
        <is>
          <t>The student's submission had several issues. They failed to implement the dataset class, model class, and training and validation loops correctly. Additionally, they did not print the training and validation losses during training. However, they were able to visualize the predictions against the ground truth for several images, which is a positive aspect of their submission.
Breakdown:
- Task 1: Dataset Class: 0.0/?
- Task 2: Model Class: 0.0/?
- Task 3: Training and Validation Loops: 0.0/?
- Task 4: Running Training: 0.0/?
- Task 5: Visualizing Predictions: 6.0/?</t>
        </is>
      </c>
      <c r="AE516" t="n">
        <v>0</v>
      </c>
      <c r="AF516" t="n">
        <v>0</v>
      </c>
      <c r="AG516" t="inlineStr">
        <is>
          <t>No submission found.</t>
        </is>
      </c>
      <c r="AH516" t="n">
        <v>16</v>
      </c>
      <c r="AI516" t="n">
        <v>0</v>
      </c>
    </row>
    <row r="517">
      <c r="A517" t="n">
        <v>516</v>
      </c>
      <c r="B517" t="inlineStr">
        <is>
          <t>TA_10</t>
        </is>
      </c>
      <c r="C517" t="inlineStr">
        <is>
          <t>TA_20</t>
        </is>
      </c>
      <c r="D517" t="n">
        <v>6.25</v>
      </c>
      <c r="E517" t="n">
        <v>0</v>
      </c>
      <c r="F517" t="n">
        <v>8</v>
      </c>
      <c r="G517" t="n">
        <v>0</v>
      </c>
      <c r="H517" t="n">
        <v>11.75</v>
      </c>
      <c r="I517" t="n">
        <v>0</v>
      </c>
      <c r="J517" t="n">
        <v>7.5</v>
      </c>
      <c r="K517" t="n">
        <v>0</v>
      </c>
      <c r="L517" t="n">
        <v>8.5</v>
      </c>
      <c r="M517" t="n">
        <v>0</v>
      </c>
      <c r="N517" t="n">
        <v>12</v>
      </c>
      <c r="O517" t="n">
        <v>0</v>
      </c>
      <c r="P517">
        <f>Table1[[#This Row],[TA 1 - Q1 Score]]+Table1[[#This Row],[TA 1 - Q2 Score]]+Table1[[#This Row],[TA 1 - Q3 Score]]</f>
        <v/>
      </c>
      <c r="Q517">
        <f>Table1[[#This Row],[TA 1 - Q1 Bonus]]+Table1[[#This Row],[TA 1 - Q2 Bonus]]+Table1[[#This Row],[TA 1 - Q4 Bonus]]</f>
        <v/>
      </c>
      <c r="R517">
        <f>Table1[[#This Row],[TA 2 - Q1 Score]]+Table1[[#This Row],[TA 2 - Q2 Score]]+Table1[[#This Row],[TA 2 - Q3 Score]]</f>
        <v/>
      </c>
      <c r="S517">
        <f>Table1[[#This Row],[TA 2 - Q1 Bonus]]+Table1[[#This Row],[TA 2 - Q2 Bonus]]+Table1[[#This Row],[TA 2 - Q4 Bonus]]</f>
        <v/>
      </c>
      <c r="T517">
        <f>(Table1[[#This Row],[TA 1 - Total Score (out of 35)]]+Table1[[#This Row],[TA 2 - Total Score (out of 35)]])/2</f>
        <v/>
      </c>
      <c r="U517">
        <f>(Table1[[#This Row],[TA 1 - Total Bonus (out of 13)]]+Table1[[#This Row],[TA 2 - Total Bonus (out of 13)]])/2</f>
        <v/>
      </c>
      <c r="V517">
        <f>Table1[[#This Row],[Average Questions]]/35*20+Table1[[#This Row],[Average Bonus]]/13*5</f>
        <v/>
      </c>
      <c r="W517" t="n">
        <v>6</v>
      </c>
      <c r="X517" t="n">
        <v>0</v>
      </c>
      <c r="Y517"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produce a working solution.
Breakdown:
- Part 1: Load and Prepare Data: 0.0/?
- Part 2: Load Pretrained Model and Adapt: 0.0/?
- Part 3: Training and Validation Functions: 1.5/?
- Part 4: Training: 0.0/?
- Part 5: Bonus — Test Time Augmentation: 0.0/?</t>
        </is>
      </c>
      <c r="Z517" t="n">
        <v>6</v>
      </c>
      <c r="AA517" t="n">
        <v>0</v>
      </c>
      <c r="AB517" t="inlineStr">
        <is>
          <t>The student's submission failed to meet the requirements for most tasks. In Part 1, the student created a custom dataset class but failed to create train/test datasets and DataLoaders. In Part 2, the student defined a CNN model class but did not add Batch Normalization. In Part 3, the student defined the training and validation loop functions but did not implement them correctly. In Part 4, the student set up the device, model, loss, and optimizer but did not train the model correctly. In Part 5, the student did not implement the residual connection correctly. Overall, the student's submission demonstrates a lack of understanding of the required tasks and concepts.
Breakdown:
- Part 1: Load and Prepare Data: 0.0/?
- Part 2: Build the CNN Model: 0.0/?
- Part 3: Training and Validation Functions: 0.0/?
- Part 4: Training: 2.0/?
- Part 5: Bonus — Residual Connection: 0.0/?</t>
        </is>
      </c>
      <c r="AC517" t="n">
        <v>6</v>
      </c>
      <c r="AD51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17" t="n">
        <v>0</v>
      </c>
      <c r="AF517" t="n">
        <v>0</v>
      </c>
      <c r="AG517" t="inlineStr">
        <is>
          <t>The student's submission has several mistakes in the implementation of the `ColorizationDataset` class. The `__init__` method does not store the dataset, the `__len__` method does not return the correct length, the `rgb_to_grayscale` method is not implemented correctly, and the `__getitem__` method does not return the correct (grayscale, color) tuple. As a result, the student did not receive any points for this task.
Breakdown:
- Correctly implemented `ColorizationDataset` class:: 0.0/?
- Any mistake in implementation: 0.0/?</t>
        </is>
      </c>
      <c r="AH517" t="n">
        <v>18</v>
      </c>
      <c r="AI517" t="n">
        <v>0</v>
      </c>
    </row>
    <row r="518">
      <c r="A518" t="n">
        <v>517</v>
      </c>
      <c r="B518" t="inlineStr">
        <is>
          <t>TA_10</t>
        </is>
      </c>
      <c r="C518" t="inlineStr">
        <is>
          <t>TA_20</t>
        </is>
      </c>
      <c r="D518" t="n">
        <v>4.75</v>
      </c>
      <c r="E518" t="n">
        <v>0</v>
      </c>
      <c r="F518" t="n">
        <v>7.45</v>
      </c>
      <c r="G518" t="n">
        <v>0</v>
      </c>
      <c r="H518" t="n">
        <v>10.5</v>
      </c>
      <c r="I518" t="n">
        <v>0</v>
      </c>
      <c r="J518" t="n">
        <v>5.5</v>
      </c>
      <c r="K518" t="n">
        <v>0</v>
      </c>
      <c r="L518" t="n">
        <v>6.25</v>
      </c>
      <c r="M518" t="n">
        <v>0</v>
      </c>
      <c r="N518" t="n">
        <v>11.25</v>
      </c>
      <c r="O518" t="n">
        <v>0</v>
      </c>
      <c r="P518">
        <f>Table1[[#This Row],[TA 1 - Q1 Score]]+Table1[[#This Row],[TA 1 - Q2 Score]]+Table1[[#This Row],[TA 1 - Q3 Score]]</f>
        <v/>
      </c>
      <c r="Q518">
        <f>Table1[[#This Row],[TA 1 - Q1 Bonus]]+Table1[[#This Row],[TA 1 - Q2 Bonus]]+Table1[[#This Row],[TA 1 - Q4 Bonus]]</f>
        <v/>
      </c>
      <c r="R518">
        <f>Table1[[#This Row],[TA 2 - Q1 Score]]+Table1[[#This Row],[TA 2 - Q2 Score]]+Table1[[#This Row],[TA 2 - Q3 Score]]</f>
        <v/>
      </c>
      <c r="S518">
        <f>Table1[[#This Row],[TA 2 - Q1 Bonus]]+Table1[[#This Row],[TA 2 - Q2 Bonus]]+Table1[[#This Row],[TA 2 - Q4 Bonus]]</f>
        <v/>
      </c>
      <c r="T518">
        <f>(Table1[[#This Row],[TA 1 - Total Score (out of 35)]]+Table1[[#This Row],[TA 2 - Total Score (out of 35)]])/2</f>
        <v/>
      </c>
      <c r="U518">
        <f>(Table1[[#This Row],[TA 1 - Total Bonus (out of 13)]]+Table1[[#This Row],[TA 2 - Total Bonus (out of 13)]])/2</f>
        <v/>
      </c>
      <c r="V518">
        <f>Table1[[#This Row],[Average Questions]]/35*20+Table1[[#This Row],[Average Bonus]]/13*5</f>
        <v/>
      </c>
      <c r="W518" t="n">
        <v>6</v>
      </c>
      <c r="X518" t="n">
        <v>0</v>
      </c>
      <c r="Y518" t="inlineStr">
        <is>
          <t>The student's submission failed to complete several key tasks, including loading and preparing the data, loading a pretrained model and adapting it, and training the model. While the student made an attempt at the training and validation functions, the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518" t="n">
        <v>4</v>
      </c>
      <c r="AA518" t="n">
        <v>0</v>
      </c>
      <c r="AB518" t="inlineStr">
        <is>
          <t>The submission failed to load and prepare the data correctly, as it did not create a custom Dataset class or use ImageFolder. The CNN model was not built with the correct architecture, and the training and validation functions were not implemented. The training process was also not executed. The bonus task of adding a residual connection was not attempted.
Breakdown:
- Part 1: Load and Prepare Data: 0.0/?
- Part 2: Build the CNN Model: 0.0/?
- Part 3: Training and Validation Functions: 0.0/?
- Part 4: Training: 0.0/?
- Part 5: Bonus — Residual Connection: 0.0/?</t>
        </is>
      </c>
      <c r="AC518" t="n">
        <v>6</v>
      </c>
      <c r="AD518" t="inlineStr">
        <is>
          <t>The student's submission was incomplete and lacked code for several tasks. While the code for visualizing predictions was mostly correct, it did not display the ground truth masks correctly. As a result, the student was awarded 0 points for the first four tasks and 6 points for the fifth task.
Breakdown:
- Task 1: Dataset Class: 0.0/?
- Task 2: Model Class: 0.0/?
- Task 3: Training and Validation Loops: 0.0/?
- Task 4: Running Training: 0.0/?
- Task 5: Visualizing Predictions: 6.0/?</t>
        </is>
      </c>
      <c r="AE518" t="n">
        <v>0</v>
      </c>
      <c r="AF518" t="n">
        <v>0</v>
      </c>
      <c r="AG518" t="inlineStr">
        <is>
          <t>The student's submission for Question 4 does not meet the requirements of the task. The `ColorizationDataset` class is not implemented correctly, and the `rgb_to_grayscale` method is not implemented as required. As a result, the submission does not run end-to-end and does not produce the correct output. Therefore, the score for this question is 0.0.
Breakdown:
- Correctly implemented `ColorizationDataset` class:: 0.0/?
- Any mistake in implementation: 0.0/?</t>
        </is>
      </c>
      <c r="AH518" t="n">
        <v>16</v>
      </c>
      <c r="AI518" t="n">
        <v>0</v>
      </c>
    </row>
    <row r="519">
      <c r="A519" t="n">
        <v>518</v>
      </c>
      <c r="B519" t="inlineStr">
        <is>
          <t>TA_10</t>
        </is>
      </c>
      <c r="C519" t="inlineStr">
        <is>
          <t>TA_20</t>
        </is>
      </c>
      <c r="D519" t="n">
        <v>7.75</v>
      </c>
      <c r="E519" t="n">
        <v>0</v>
      </c>
      <c r="F519" t="n">
        <v>8.5</v>
      </c>
      <c r="G519" t="n">
        <v>0</v>
      </c>
      <c r="H519" t="n">
        <v>2.25</v>
      </c>
      <c r="I519" t="n">
        <v>0</v>
      </c>
      <c r="J519" t="n">
        <v>5.5</v>
      </c>
      <c r="K519" t="n">
        <v>0</v>
      </c>
      <c r="L519" t="n">
        <v>8.5</v>
      </c>
      <c r="M519" t="n">
        <v>0</v>
      </c>
      <c r="N519" t="n">
        <v>5.75</v>
      </c>
      <c r="O519" t="n">
        <v>0</v>
      </c>
      <c r="P519">
        <f>Table1[[#This Row],[TA 1 - Q1 Score]]+Table1[[#This Row],[TA 1 - Q2 Score]]+Table1[[#This Row],[TA 1 - Q3 Score]]</f>
        <v/>
      </c>
      <c r="Q519">
        <f>Table1[[#This Row],[TA 1 - Q1 Bonus]]+Table1[[#This Row],[TA 1 - Q2 Bonus]]+Table1[[#This Row],[TA 1 - Q4 Bonus]]</f>
        <v/>
      </c>
      <c r="R519">
        <f>Table1[[#This Row],[TA 2 - Q1 Score]]+Table1[[#This Row],[TA 2 - Q2 Score]]+Table1[[#This Row],[TA 2 - Q3 Score]]</f>
        <v/>
      </c>
      <c r="S519">
        <f>Table1[[#This Row],[TA 2 - Q1 Bonus]]+Table1[[#This Row],[TA 2 - Q2 Bonus]]+Table1[[#This Row],[TA 2 - Q4 Bonus]]</f>
        <v/>
      </c>
      <c r="T519">
        <f>(Table1[[#This Row],[TA 1 - Total Score (out of 35)]]+Table1[[#This Row],[TA 2 - Total Score (out of 35)]])/2</f>
        <v/>
      </c>
      <c r="U519">
        <f>(Table1[[#This Row],[TA 1 - Total Bonus (out of 13)]]+Table1[[#This Row],[TA 2 - Total Bonus (out of 13)]])/2</f>
        <v/>
      </c>
      <c r="V519">
        <f>Table1[[#This Row],[Average Questions]]/35*20+Table1[[#This Row],[Average Bonus]]/13*5</f>
        <v/>
      </c>
      <c r="W519" t="n">
        <v>6</v>
      </c>
      <c r="X519" t="n">
        <v>0</v>
      </c>
      <c r="Y519"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errors and did not run end-to-end. The student's approach to the bonus task was also incorrect, and they failed to implement test time augmentation. As a result, the student's score is low, reflecting the significant gaps in their submission.
Breakdown:
- Part 1: Load and Prepare Data: 0.0/?
- Part 2: Load Pretrained Model and Adapt: 0.0/?
- Part 3: Training and Validation Functions: 0.0/?
- Part 4: Training: 3.0/?
- Part 5: Bonus — Test Time Augmentation: 0.0/?</t>
        </is>
      </c>
      <c r="Z519" t="n">
        <v>4</v>
      </c>
      <c r="AA519" t="n">
        <v>0</v>
      </c>
      <c r="AB519" t="inlineStr">
        <is>
          <t>The student's submission failed to meet the requirements of the task. The code did not load and prepare the data correctly, and the CNN model was not built as specified. The training and validation functions were not implemented, and the training process was not executed. The bonus task of adding a residual connection was not attempted. The student's code was disorganized and failed to run end-to-end.
Breakdown:
- Part 1: Load and Prepare Data: 0.0/?
- Part 2: Build the CNN Model: 0.0/?
- Part 3: Training and Validation Functions: 0.0/?
- Part 4: Training: 0.0/?
- Part 5: Bonus — Residual Connection: 0.0/?</t>
        </is>
      </c>
      <c r="AC519" t="n">
        <v>6</v>
      </c>
      <c r="AD519" t="inlineStr">
        <is>
          <t>The student's submission was incomplete, with no code submitted for Tasks 1-4. However, the code for Task 5: Visualizing Predictions was correct and ran, earning 6.0 points. Unfortunately, the lack of effort in the other tasks means that the student's overall score is 6.0.
Breakdown:
- Task 1: Dataset Class: 0.0/?
- Task 2: Model Class: 0.0/?
- Task 3: Training and Validation Loops: 0.0/?
- Task 4: Running Training: 0.0/?
- Task 5: Visualizing Predictions: 6.0/?</t>
        </is>
      </c>
      <c r="AE519" t="n">
        <v>0</v>
      </c>
      <c r="AF519" t="n">
        <v>0</v>
      </c>
      <c r="AG519" t="inlineStr">
        <is>
          <t>No submission found.</t>
        </is>
      </c>
      <c r="AH519" t="n">
        <v>16</v>
      </c>
      <c r="AI519" t="n">
        <v>0</v>
      </c>
    </row>
    <row r="520">
      <c r="A520" t="n">
        <v>519</v>
      </c>
      <c r="B520" t="inlineStr">
        <is>
          <t>TA_10</t>
        </is>
      </c>
      <c r="C520" t="inlineStr">
        <is>
          <t>TA_20</t>
        </is>
      </c>
      <c r="D520" t="n">
        <v>5</v>
      </c>
      <c r="E520" t="n">
        <v>0</v>
      </c>
      <c r="F520" t="n">
        <v>9.5</v>
      </c>
      <c r="G520" t="n">
        <v>0</v>
      </c>
      <c r="H520" t="n">
        <v>4.5</v>
      </c>
      <c r="I520" t="n">
        <v>0</v>
      </c>
      <c r="J520" t="n">
        <v>4.75</v>
      </c>
      <c r="K520" t="n">
        <v>0</v>
      </c>
      <c r="L520" t="n">
        <v>9.5</v>
      </c>
      <c r="M520" t="n">
        <v>0</v>
      </c>
      <c r="N520" t="n">
        <v>6</v>
      </c>
      <c r="O520" t="n">
        <v>0</v>
      </c>
      <c r="P520">
        <f>Table1[[#This Row],[TA 1 - Q1 Score]]+Table1[[#This Row],[TA 1 - Q2 Score]]+Table1[[#This Row],[TA 1 - Q3 Score]]</f>
        <v/>
      </c>
      <c r="Q520">
        <f>Table1[[#This Row],[TA 1 - Q1 Bonus]]+Table1[[#This Row],[TA 1 - Q2 Bonus]]+Table1[[#This Row],[TA 1 - Q4 Bonus]]</f>
        <v/>
      </c>
      <c r="R520">
        <f>Table1[[#This Row],[TA 2 - Q1 Score]]+Table1[[#This Row],[TA 2 - Q2 Score]]+Table1[[#This Row],[TA 2 - Q3 Score]]</f>
        <v/>
      </c>
      <c r="S520">
        <f>Table1[[#This Row],[TA 2 - Q1 Bonus]]+Table1[[#This Row],[TA 2 - Q2 Bonus]]+Table1[[#This Row],[TA 2 - Q4 Bonus]]</f>
        <v/>
      </c>
      <c r="T520">
        <f>(Table1[[#This Row],[TA 1 - Total Score (out of 35)]]+Table1[[#This Row],[TA 2 - Total Score (out of 35)]])/2</f>
        <v/>
      </c>
      <c r="U520">
        <f>(Table1[[#This Row],[TA 1 - Total Bonus (out of 13)]]+Table1[[#This Row],[TA 2 - Total Bonus (out of 13)]])/2</f>
        <v/>
      </c>
      <c r="V520">
        <f>Table1[[#This Row],[Average Questions]]/35*20+Table1[[#This Row],[Average Bonus]]/13*5</f>
        <v/>
      </c>
      <c r="W520" t="n">
        <v>6</v>
      </c>
      <c r="X520" t="n">
        <v>0</v>
      </c>
      <c r="Y52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520" t="n">
        <v>4</v>
      </c>
      <c r="AA520" t="n">
        <v>0</v>
      </c>
      <c r="AB520"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520" t="n">
        <v>6</v>
      </c>
      <c r="AD520"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positive aspect of their submission. Overall, the student's submission was incomplete and had several errors, resulting in a low score.
Breakdown:
- Task 1: Dataset Class: 0.0/?
- Task 2: Model Class: 0.0/?
- Task 3: Training and Validation Loops: 0.0/?
- Task 4: Running Training: 0.0/?
- Task 5: Visualizing Predictions: 6.0/?</t>
        </is>
      </c>
      <c r="AE520" t="n">
        <v>0</v>
      </c>
      <c r="AF520" t="n">
        <v>0</v>
      </c>
      <c r="AG520" t="inlineStr">
        <is>
          <t>No submission found.</t>
        </is>
      </c>
      <c r="AH520" t="n">
        <v>16</v>
      </c>
      <c r="AI520" t="n">
        <v>0</v>
      </c>
    </row>
    <row r="521">
      <c r="A521" t="n">
        <v>520</v>
      </c>
      <c r="B521" t="inlineStr">
        <is>
          <t>TA_10</t>
        </is>
      </c>
      <c r="C521" t="inlineStr">
        <is>
          <t>TA_20</t>
        </is>
      </c>
      <c r="D521" t="n">
        <v>10.75</v>
      </c>
      <c r="E521" t="n">
        <v>0</v>
      </c>
      <c r="F521" t="n">
        <v>8.5</v>
      </c>
      <c r="G521" t="n">
        <v>0</v>
      </c>
      <c r="H521" t="n">
        <v>10.75</v>
      </c>
      <c r="I521" t="n">
        <v>0</v>
      </c>
      <c r="J521" t="n">
        <v>10.5</v>
      </c>
      <c r="K521" t="n">
        <v>0</v>
      </c>
      <c r="L521" t="n">
        <v>9</v>
      </c>
      <c r="M521" t="n">
        <v>0</v>
      </c>
      <c r="N521" t="n">
        <v>11</v>
      </c>
      <c r="O521" t="n">
        <v>0</v>
      </c>
      <c r="P521">
        <f>Table1[[#This Row],[TA 1 - Q1 Score]]+Table1[[#This Row],[TA 1 - Q2 Score]]+Table1[[#This Row],[TA 1 - Q3 Score]]</f>
        <v/>
      </c>
      <c r="Q521">
        <f>Table1[[#This Row],[TA 1 - Q1 Bonus]]+Table1[[#This Row],[TA 1 - Q2 Bonus]]+Table1[[#This Row],[TA 1 - Q4 Bonus]]</f>
        <v/>
      </c>
      <c r="R521">
        <f>Table1[[#This Row],[TA 2 - Q1 Score]]+Table1[[#This Row],[TA 2 - Q2 Score]]+Table1[[#This Row],[TA 2 - Q3 Score]]</f>
        <v/>
      </c>
      <c r="S521">
        <f>Table1[[#This Row],[TA 2 - Q1 Bonus]]+Table1[[#This Row],[TA 2 - Q2 Bonus]]+Table1[[#This Row],[TA 2 - Q4 Bonus]]</f>
        <v/>
      </c>
      <c r="T521">
        <f>(Table1[[#This Row],[TA 1 - Total Score (out of 35)]]+Table1[[#This Row],[TA 2 - Total Score (out of 35)]])/2</f>
        <v/>
      </c>
      <c r="U521">
        <f>(Table1[[#This Row],[TA 1 - Total Bonus (out of 13)]]+Table1[[#This Row],[TA 2 - Total Bonus (out of 13)]])/2</f>
        <v/>
      </c>
      <c r="V521">
        <f>Table1[[#This Row],[Average Questions]]/35*20+Table1[[#This Row],[Average Bonus]]/13*5</f>
        <v/>
      </c>
      <c r="W521" t="n">
        <v>6</v>
      </c>
      <c r="X521" t="n">
        <v>0</v>
      </c>
      <c r="Y521"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resulting in a low score for this task. Unfortunately, the student did not complete the bonus task, which further reduced their overall score.
Breakdown:
- Part 1: Load and Prepare Data: 0.0/?
- Part 2: Load Pretrained Model and Adapt: 0.0/?
- Part 3: Training and Validation Functions: 0.0/?
- Part 4: Training: 3.0/?
- Part 5: Bonus — Test Time Augmentation: 0.0/?</t>
        </is>
      </c>
      <c r="Z521" t="n">
        <v>4</v>
      </c>
      <c r="AA521" t="n">
        <v>0</v>
      </c>
      <c r="AB521"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521" t="n">
        <v>6</v>
      </c>
      <c r="AD521"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521" t="n">
        <v>0</v>
      </c>
      <c r="AF521" t="n">
        <v>0</v>
      </c>
      <c r="AG521" t="inlineStr">
        <is>
          <t>No submission found.</t>
        </is>
      </c>
      <c r="AH521" t="n">
        <v>16</v>
      </c>
      <c r="AI521" t="n">
        <v>0</v>
      </c>
    </row>
    <row r="522">
      <c r="A522" t="n">
        <v>521</v>
      </c>
      <c r="B522" t="inlineStr">
        <is>
          <t>TA_10</t>
        </is>
      </c>
      <c r="C522" t="inlineStr">
        <is>
          <t>TA_20</t>
        </is>
      </c>
      <c r="D522" t="n">
        <v>11</v>
      </c>
      <c r="E522" t="n">
        <v>4</v>
      </c>
      <c r="F522" t="n">
        <v>11</v>
      </c>
      <c r="G522" t="n">
        <v>1.5</v>
      </c>
      <c r="H522" t="n">
        <v>12</v>
      </c>
      <c r="I522" t="n">
        <v>5</v>
      </c>
      <c r="J522" t="n">
        <v>10.75</v>
      </c>
      <c r="K522" t="n">
        <v>4</v>
      </c>
      <c r="L522" t="n">
        <v>11</v>
      </c>
      <c r="M522" t="n">
        <v>3</v>
      </c>
      <c r="N522" t="n">
        <v>12</v>
      </c>
      <c r="O522" t="n">
        <v>5</v>
      </c>
      <c r="P522">
        <f>Table1[[#This Row],[TA 1 - Q1 Score]]+Table1[[#This Row],[TA 1 - Q2 Score]]+Table1[[#This Row],[TA 1 - Q3 Score]]</f>
        <v/>
      </c>
      <c r="Q522">
        <f>Table1[[#This Row],[TA 1 - Q1 Bonus]]+Table1[[#This Row],[TA 1 - Q2 Bonus]]+Table1[[#This Row],[TA 1 - Q4 Bonus]]</f>
        <v/>
      </c>
      <c r="R522">
        <f>Table1[[#This Row],[TA 2 - Q1 Score]]+Table1[[#This Row],[TA 2 - Q2 Score]]+Table1[[#This Row],[TA 2 - Q3 Score]]</f>
        <v/>
      </c>
      <c r="S522">
        <f>Table1[[#This Row],[TA 2 - Q1 Bonus]]+Table1[[#This Row],[TA 2 - Q2 Bonus]]+Table1[[#This Row],[TA 2 - Q4 Bonus]]</f>
        <v/>
      </c>
      <c r="T522">
        <f>(Table1[[#This Row],[TA 1 - Total Score (out of 35)]]+Table1[[#This Row],[TA 2 - Total Score (out of 35)]])/2</f>
        <v/>
      </c>
      <c r="U522">
        <f>(Table1[[#This Row],[TA 1 - Total Bonus (out of 13)]]+Table1[[#This Row],[TA 2 - Total Bonus (out of 13)]])/2</f>
        <v/>
      </c>
      <c r="V522">
        <f>Table1[[#This Row],[Average Questions]]/35*20+Table1[[#This Row],[Average Bonus]]/13*5</f>
        <v/>
      </c>
      <c r="W522" t="n">
        <v>9</v>
      </c>
      <c r="X522" t="n">
        <v>0</v>
      </c>
      <c r="Y522"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As a result, the student was unable to complete the training process and did not achieve the desired accuracy. The student's code was also disorganized and failed to run end-to-end, making it difficult to assess their work.
Breakdown:
- Part 1: Load and Prepare Data: 0.0/?
- Part 2: Load Pretrained Model and Adapt: 0.0/?
- Part 3: Training and Validation Functions: 3.5/?
- Part 4: Training: 2.5/?
- Part 5: Bonus — Test Time Augmentation: 0.0/?</t>
        </is>
      </c>
      <c r="Z522" t="n">
        <v>6</v>
      </c>
      <c r="AA522" t="n">
        <v>0</v>
      </c>
      <c r="AB522"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completed. As a result, the student's submission was awarded a score of 2.0 for the training task and 0.0 for all other tasks.
Breakdown:
- Part 1: Load and Prepare Data: 0.0/?
- Part 2: Build the CNN Model: 0.0/?
- Part 3: Training and Validation Functions: 0.0/?
- Part 4: Training: 2.0/?
- Part 5: Bonus — Residual Connection: 0.0/?</t>
        </is>
      </c>
      <c r="AC522" t="n">
        <v>6</v>
      </c>
      <c r="AD522" t="inlineStr">
        <is>
          <t>The student's submission failed to meet the requirements of the task. The code was not organized correctly, and several tasks were not implemented correctly. The student did not define the dataset class, model class, training and validation loops, or the running training process correctly. The predictions were not visualized correctly, and the code did not run end-to-end. As a result, the student did not earn any points for this task.
Breakdown:
- Task 1: Dataset Class: 0.0/?
- Task 2: Model Class: 0.0/?
- Task 3: Training and Validation Loops: 0.0/?
- Task 4: Running Training: 0.0/?
- Task 5: Visualizing Predictions: 0.0/?</t>
        </is>
      </c>
      <c r="AE522" t="n">
        <v>0</v>
      </c>
      <c r="AF522" t="n">
        <v>0</v>
      </c>
      <c r="AG522" t="inlineStr">
        <is>
          <t>The student's submission does not meet the requirements of the task. The `ColorizationDataset` class is not fully implemented, and the code contains several syntax and logic mistakes. As a result, the student does not receive any points for this task.
Breakdown:
- Correctly implemented `ColorizationDataset` class:: 0.0/?
- Any mistake in implementation: 0.0/?</t>
        </is>
      </c>
      <c r="AH522" t="n">
        <v>21</v>
      </c>
      <c r="AI522" t="n">
        <v>0</v>
      </c>
    </row>
    <row r="523">
      <c r="A523" t="n">
        <v>522</v>
      </c>
      <c r="B523" t="inlineStr">
        <is>
          <t>TA_10</t>
        </is>
      </c>
      <c r="C523" t="inlineStr">
        <is>
          <t>TA_20</t>
        </is>
      </c>
      <c r="D523" t="n">
        <v>6.5</v>
      </c>
      <c r="E523" t="n">
        <v>0</v>
      </c>
      <c r="F523" t="n">
        <v>7.75</v>
      </c>
      <c r="G523" t="n">
        <v>0</v>
      </c>
      <c r="H523" t="n">
        <v>2.25</v>
      </c>
      <c r="I523" t="n">
        <v>0</v>
      </c>
      <c r="J523" t="n">
        <v>12</v>
      </c>
      <c r="K523" t="n">
        <v>0</v>
      </c>
      <c r="L523" t="n">
        <v>7.5</v>
      </c>
      <c r="M523" t="n">
        <v>0</v>
      </c>
      <c r="N523" t="n">
        <v>2.5</v>
      </c>
      <c r="O523" t="n">
        <v>0</v>
      </c>
      <c r="P523">
        <f>Table1[[#This Row],[TA 1 - Q1 Score]]+Table1[[#This Row],[TA 1 - Q2 Score]]+Table1[[#This Row],[TA 1 - Q3 Score]]</f>
        <v/>
      </c>
      <c r="Q523">
        <f>Table1[[#This Row],[TA 1 - Q1 Bonus]]+Table1[[#This Row],[TA 1 - Q2 Bonus]]+Table1[[#This Row],[TA 1 - Q4 Bonus]]</f>
        <v/>
      </c>
      <c r="R523">
        <f>Table1[[#This Row],[TA 2 - Q1 Score]]+Table1[[#This Row],[TA 2 - Q2 Score]]+Table1[[#This Row],[TA 2 - Q3 Score]]</f>
        <v/>
      </c>
      <c r="S523">
        <f>Table1[[#This Row],[TA 2 - Q1 Bonus]]+Table1[[#This Row],[TA 2 - Q2 Bonus]]+Table1[[#This Row],[TA 2 - Q4 Bonus]]</f>
        <v/>
      </c>
      <c r="T523">
        <f>(Table1[[#This Row],[TA 1 - Total Score (out of 35)]]+Table1[[#This Row],[TA 2 - Total Score (out of 35)]])/2</f>
        <v/>
      </c>
      <c r="U523">
        <f>(Table1[[#This Row],[TA 1 - Total Bonus (out of 13)]]+Table1[[#This Row],[TA 2 - Total Bonus (out of 13)]])/2</f>
        <v/>
      </c>
      <c r="V523">
        <f>Table1[[#This Row],[Average Questions]]/35*20+Table1[[#This Row],[Average Bonus]]/13*5</f>
        <v/>
      </c>
      <c r="W523" t="n">
        <v>6</v>
      </c>
      <c r="X523" t="n">
        <v>0</v>
      </c>
      <c r="Y52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2.0/?
- Part 5: Bonus — Test Time Augmentation: 0.0/?</t>
        </is>
      </c>
      <c r="Z523" t="n">
        <v>6</v>
      </c>
      <c r="AA523" t="n">
        <v>0</v>
      </c>
      <c r="AB52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was unable to achieve the full potential of the model and their submission was awarded a score of 2.0 for the training task. The student did not attempt the bonus task, so they were awarded 0.0 for that task.
Breakdown:
- Part 1: Load and Prepare Data: 0.0/?
- Part 2: Build the CNN Model: 0.0/?
- Part 3: Training and Validation Functions: 0.0/?
- Part 4: Training: 2.0/?
- Part 5: Bonus — Residual Connection: 0.0/?</t>
        </is>
      </c>
      <c r="AC523" t="n">
        <v>6</v>
      </c>
      <c r="AD523"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23" t="n">
        <v>0</v>
      </c>
      <c r="AF523" t="n">
        <v>0</v>
      </c>
      <c r="AG523" t="inlineStr">
        <is>
          <t>No submission found.</t>
        </is>
      </c>
      <c r="AH523" t="n">
        <v>18</v>
      </c>
      <c r="AI523" t="n">
        <v>0</v>
      </c>
    </row>
    <row r="524">
      <c r="A524" t="n">
        <v>523</v>
      </c>
      <c r="B524" t="inlineStr">
        <is>
          <t>TA_10</t>
        </is>
      </c>
      <c r="C524" t="inlineStr">
        <is>
          <t>TA_20</t>
        </is>
      </c>
      <c r="D524" t="n">
        <v>4.75</v>
      </c>
      <c r="E524" t="n">
        <v>0</v>
      </c>
      <c r="F524" t="n">
        <v>9</v>
      </c>
      <c r="G524" t="n">
        <v>0</v>
      </c>
      <c r="H524" t="n">
        <v>5</v>
      </c>
      <c r="I524" t="n">
        <v>0</v>
      </c>
      <c r="J524" t="n">
        <v>6.5</v>
      </c>
      <c r="K524" t="n">
        <v>0</v>
      </c>
      <c r="L524" t="n">
        <v>11</v>
      </c>
      <c r="M524" t="n">
        <v>0</v>
      </c>
      <c r="N524" t="n">
        <v>5</v>
      </c>
      <c r="O524" t="n">
        <v>0</v>
      </c>
      <c r="P524">
        <f>Table1[[#This Row],[TA 1 - Q1 Score]]+Table1[[#This Row],[TA 1 - Q2 Score]]+Table1[[#This Row],[TA 1 - Q3 Score]]</f>
        <v/>
      </c>
      <c r="Q524">
        <f>Table1[[#This Row],[TA 1 - Q1 Bonus]]+Table1[[#This Row],[TA 1 - Q2 Bonus]]+Table1[[#This Row],[TA 1 - Q4 Bonus]]</f>
        <v/>
      </c>
      <c r="R524">
        <f>Table1[[#This Row],[TA 2 - Q1 Score]]+Table1[[#This Row],[TA 2 - Q2 Score]]+Table1[[#This Row],[TA 2 - Q3 Score]]</f>
        <v/>
      </c>
      <c r="S524">
        <f>Table1[[#This Row],[TA 2 - Q1 Bonus]]+Table1[[#This Row],[TA 2 - Q2 Bonus]]+Table1[[#This Row],[TA 2 - Q4 Bonus]]</f>
        <v/>
      </c>
      <c r="T524">
        <f>(Table1[[#This Row],[TA 1 - Total Score (out of 35)]]+Table1[[#This Row],[TA 2 - Total Score (out of 35)]])/2</f>
        <v/>
      </c>
      <c r="U524">
        <f>(Table1[[#This Row],[TA 1 - Total Bonus (out of 13)]]+Table1[[#This Row],[TA 2 - Total Bonus (out of 13)]])/2</f>
        <v/>
      </c>
      <c r="V524">
        <f>Table1[[#This Row],[Average Questions]]/35*20+Table1[[#This Row],[Average Bonus]]/13*5</f>
        <v/>
      </c>
      <c r="W524" t="n">
        <v>6</v>
      </c>
      <c r="X524" t="n">
        <v>0</v>
      </c>
      <c r="Y524"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disregarding the explicit instructions provided in the reference solution.
Breakdown:
- Part 1: Load and Prepare Data: 0.0/?
- Part 2: Load Pretrained Model and Adapt: 0.0/?
- Part 3: Training and Validation Functions: 0.0/?
- Part 4: Training: 2.0/?
- Part 5: Bonus — Test Time Augmentation: 0.0/?</t>
        </is>
      </c>
      <c r="Z524" t="n">
        <v>4</v>
      </c>
      <c r="AA524" t="n">
        <v>0</v>
      </c>
      <c r="AB52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524" t="n">
        <v>6</v>
      </c>
      <c r="AD524" t="inlineStr">
        <is>
          <t>The student failed to submit code for any of the tasks in Question 3. The submission is incomplete and does not demonstrate any understanding of the required concepts. As a result, the student receives 0 points for each task.
Breakdown:
- Task 1: Dataset Class: 0.0/?
- Task 2: Model Class: 0.0/?
- Task 3: Training and Validation Loops: 0.0/?
- Task 4: Running Training: 0.0/?
- Task 5: Visualizing Predictions: 0.0/?</t>
        </is>
      </c>
      <c r="AE524" t="n">
        <v>0</v>
      </c>
      <c r="AF524" t="n">
        <v>0</v>
      </c>
      <c r="AG524" t="inlineStr">
        <is>
          <t>No submission found.</t>
        </is>
      </c>
      <c r="AH524" t="n">
        <v>16</v>
      </c>
      <c r="AI524" t="n">
        <v>0</v>
      </c>
    </row>
    <row r="525">
      <c r="A525" t="n">
        <v>524</v>
      </c>
      <c r="B525" t="inlineStr">
        <is>
          <t>TA_10</t>
        </is>
      </c>
      <c r="C525" t="inlineStr">
        <is>
          <t>TA_20</t>
        </is>
      </c>
      <c r="D525" t="n">
        <v>6.5</v>
      </c>
      <c r="E525" t="n">
        <v>0</v>
      </c>
      <c r="F525" t="n">
        <v>8.75</v>
      </c>
      <c r="G525" t="n">
        <v>0</v>
      </c>
      <c r="H525" t="n">
        <v>5</v>
      </c>
      <c r="I525" t="n">
        <v>0</v>
      </c>
      <c r="J525" t="n">
        <v>6</v>
      </c>
      <c r="K525" t="n">
        <v>0</v>
      </c>
      <c r="L525" t="n">
        <v>11</v>
      </c>
      <c r="M525" t="n">
        <v>0</v>
      </c>
      <c r="N525" t="n">
        <v>11.5</v>
      </c>
      <c r="O525" t="n">
        <v>0</v>
      </c>
      <c r="P525">
        <f>Table1[[#This Row],[TA 1 - Q1 Score]]+Table1[[#This Row],[TA 1 - Q2 Score]]+Table1[[#This Row],[TA 1 - Q3 Score]]</f>
        <v/>
      </c>
      <c r="Q525">
        <f>Table1[[#This Row],[TA 1 - Q1 Bonus]]+Table1[[#This Row],[TA 1 - Q2 Bonus]]+Table1[[#This Row],[TA 1 - Q4 Bonus]]</f>
        <v/>
      </c>
      <c r="R525">
        <f>Table1[[#This Row],[TA 2 - Q1 Score]]+Table1[[#This Row],[TA 2 - Q2 Score]]+Table1[[#This Row],[TA 2 - Q3 Score]]</f>
        <v/>
      </c>
      <c r="S525">
        <f>Table1[[#This Row],[TA 2 - Q1 Bonus]]+Table1[[#This Row],[TA 2 - Q2 Bonus]]+Table1[[#This Row],[TA 2 - Q4 Bonus]]</f>
        <v/>
      </c>
      <c r="T525">
        <f>(Table1[[#This Row],[TA 1 - Total Score (out of 35)]]+Table1[[#This Row],[TA 2 - Total Score (out of 35)]])/2</f>
        <v/>
      </c>
      <c r="U525">
        <f>(Table1[[#This Row],[TA 1 - Total Bonus (out of 13)]]+Table1[[#This Row],[TA 2 - Total Bonus (out of 13)]])/2</f>
        <v/>
      </c>
      <c r="V525">
        <f>Table1[[#This Row],[Average Questions]]/35*20+Table1[[#This Row],[Average Bonus]]/13*5</f>
        <v/>
      </c>
      <c r="W525" t="n">
        <v>6</v>
      </c>
      <c r="X525" t="n">
        <v>0</v>
      </c>
      <c r="Y525" t="inlineStr">
        <is>
          <t>The student's submission failed to address any of the tasks outlined in the rubric. Each task was left unattempted, resulting in a score of 0 for each. The student's code did not run end-to-end, and no effort was made to complete the required tasks. As a result, the student's score is 0 for the base tasks and 0 for the bonus task.
Breakdown:
- Part 1: Load and Prepare Data: 0.0/?
- Part 2: Load Pretrained Model and Adapt: 0.0/?
- Part 3: Training and Validation Functions: 0.0/?
- Part 4: Training: 0.0/?
- Part 5: Bonus — Test Time Augmentation: 0.0/?</t>
        </is>
      </c>
      <c r="Z525" t="n">
        <v>4</v>
      </c>
      <c r="AA525" t="n">
        <v>0</v>
      </c>
      <c r="AB525"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525" t="n">
        <v>6</v>
      </c>
      <c r="AD525" t="inlineStr">
        <is>
          <t>The student's submission failed to meet the requirements of the task. The code was not organized in a way that allowed it to run end-to-end, and several tasks were not completed correctly. The student did not define the dataset class, model class, training and validation loops, or visualize the predictions as required. As a result, the student did not earn any points for these tasks.
Breakdown:
- Task 1: Dataset Class: 0.0/?
- Task 2: Model Class: 0.0/?
- Task 3: Training and Validation Loops: 0.0/?
- Task 4: Running Training: 0.0/?
- Task 5: Visualizing Predictions: 0.0/?</t>
        </is>
      </c>
      <c r="AE525" t="n">
        <v>0</v>
      </c>
      <c r="AF525" t="n">
        <v>0</v>
      </c>
      <c r="AG525" t="inlineStr">
        <is>
          <t>No submission found.</t>
        </is>
      </c>
      <c r="AH525" t="n">
        <v>16</v>
      </c>
      <c r="AI525" t="n">
        <v>0</v>
      </c>
    </row>
    <row r="526">
      <c r="A526" t="n">
        <v>525</v>
      </c>
      <c r="B526" t="inlineStr">
        <is>
          <t>TA_10</t>
        </is>
      </c>
      <c r="C526" t="inlineStr">
        <is>
          <t>TA_20</t>
        </is>
      </c>
      <c r="D526" t="n">
        <v>10.5</v>
      </c>
      <c r="E526" t="n">
        <v>0</v>
      </c>
      <c r="F526" t="n">
        <v>11</v>
      </c>
      <c r="G526" t="n">
        <v>0</v>
      </c>
      <c r="H526" t="n">
        <v>11</v>
      </c>
      <c r="I526" t="n">
        <v>0</v>
      </c>
      <c r="J526" t="n">
        <v>9</v>
      </c>
      <c r="K526" t="n">
        <v>0</v>
      </c>
      <c r="L526" t="n">
        <v>11</v>
      </c>
      <c r="M526" t="n">
        <v>0</v>
      </c>
      <c r="N526" t="n">
        <v>10</v>
      </c>
      <c r="O526" t="n">
        <v>0</v>
      </c>
      <c r="P526">
        <f>Table1[[#This Row],[TA 1 - Q1 Score]]+Table1[[#This Row],[TA 1 - Q2 Score]]+Table1[[#This Row],[TA 1 - Q3 Score]]</f>
        <v/>
      </c>
      <c r="Q526">
        <f>Table1[[#This Row],[TA 1 - Q1 Bonus]]+Table1[[#This Row],[TA 1 - Q2 Bonus]]+Table1[[#This Row],[TA 1 - Q4 Bonus]]</f>
        <v/>
      </c>
      <c r="R526">
        <f>Table1[[#This Row],[TA 2 - Q1 Score]]+Table1[[#This Row],[TA 2 - Q2 Score]]+Table1[[#This Row],[TA 2 - Q3 Score]]</f>
        <v/>
      </c>
      <c r="S526">
        <f>Table1[[#This Row],[TA 2 - Q1 Bonus]]+Table1[[#This Row],[TA 2 - Q2 Bonus]]+Table1[[#This Row],[TA 2 - Q4 Bonus]]</f>
        <v/>
      </c>
      <c r="T526">
        <f>(Table1[[#This Row],[TA 1 - Total Score (out of 35)]]+Table1[[#This Row],[TA 2 - Total Score (out of 35)]])/2</f>
        <v/>
      </c>
      <c r="U526">
        <f>(Table1[[#This Row],[TA 1 - Total Bonus (out of 13)]]+Table1[[#This Row],[TA 2 - Total Bonus (out of 13)]])/2</f>
        <v/>
      </c>
      <c r="V526">
        <f>Table1[[#This Row],[Average Questions]]/35*20+Table1[[#This Row],[Average Bonus]]/13*5</f>
        <v/>
      </c>
      <c r="W526" t="n">
        <v>6</v>
      </c>
      <c r="X526" t="n">
        <v>0</v>
      </c>
      <c r="Y526" t="inlineStr">
        <is>
          <t>The student's submission failed to complete several key tasks, including loading and preparing the data, loading a pretrained model, and implementing training and validation functions. While the student did attempt to train the model and plot losses and accuracy, their code contained several errors and did not run end-to-end. The bonus task of implementing test time augmentation was also not completed. Overall, the student's submission demonstrated a lack of understanding of the required tasks and concepts.
Breakdown:
- Part 1: Load and Prepare Data: 0.0/?
- Part 2: Load Pretrained Model and Adapt: 0.0/?
- Part 3: Training and Validation Functions: 0.0/?
- Part 4: Training: 3.0/?
- Part 5: Bonus — Test Time Augmentation: 0.0/?</t>
        </is>
      </c>
      <c r="Z526" t="n">
        <v>4</v>
      </c>
      <c r="AA526" t="n">
        <v>0</v>
      </c>
      <c r="AB526" t="inlineStr">
        <is>
          <t>The student's submission failed to meet the requirements of the task. The code was not organized in a way that follows the reference solution, and it did not run end-to-end. The student attempted to load and prepare the data, but the code was not correct and did not produce the expected output. The CNN model was not built correctly, and the training and validation functions were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526" t="n">
        <v>6</v>
      </c>
      <c r="AD526" t="inlineStr">
        <is>
          <t>The student's submission is incomplete and lacks code for several tasks. While they attempted to visualize predictions, their code is not fully functional and does not meet the requirements of the task. As a result, the student receives a score of 6.0, reflecting the partial credit awarded for the visualizing predictions task.
Breakdown:
- Task 1: Dataset Class: 0.0/?
- Task 2: Model Class: 0.0/?
- Task 3: Training and Validation Loops: 0.0/?
- Task 4: Running Training: 0.0/?
- Task 5: Visualizing Predictions: 6.0/?</t>
        </is>
      </c>
      <c r="AE526" t="n">
        <v>0</v>
      </c>
      <c r="AF526" t="n">
        <v>0</v>
      </c>
      <c r="AG526" t="inlineStr">
        <is>
          <t>No submission found.</t>
        </is>
      </c>
      <c r="AH526" t="n">
        <v>16</v>
      </c>
      <c r="AI526" t="n">
        <v>0</v>
      </c>
    </row>
    <row r="527">
      <c r="A527" t="n">
        <v>526</v>
      </c>
      <c r="B527" t="inlineStr">
        <is>
          <t>TA_10</t>
        </is>
      </c>
      <c r="C527" t="inlineStr">
        <is>
          <t>TA_20</t>
        </is>
      </c>
      <c r="D527" t="n">
        <v>12</v>
      </c>
      <c r="E527" t="n">
        <v>4</v>
      </c>
      <c r="F527" t="n">
        <v>11</v>
      </c>
      <c r="G527" t="n">
        <v>2</v>
      </c>
      <c r="H527" t="n">
        <v>12</v>
      </c>
      <c r="I527" t="n">
        <v>5</v>
      </c>
      <c r="J527" t="n">
        <v>12</v>
      </c>
      <c r="K527" t="n">
        <v>4</v>
      </c>
      <c r="L527" t="n">
        <v>11</v>
      </c>
      <c r="M527" t="n">
        <v>4</v>
      </c>
      <c r="N527" t="n">
        <v>12</v>
      </c>
      <c r="O527" t="n">
        <v>5</v>
      </c>
      <c r="P527">
        <f>Table1[[#This Row],[TA 1 - Q1 Score]]+Table1[[#This Row],[TA 1 - Q2 Score]]+Table1[[#This Row],[TA 1 - Q3 Score]]</f>
        <v/>
      </c>
      <c r="Q527">
        <f>Table1[[#This Row],[TA 1 - Q1 Bonus]]+Table1[[#This Row],[TA 1 - Q2 Bonus]]+Table1[[#This Row],[TA 1 - Q4 Bonus]]</f>
        <v/>
      </c>
      <c r="R527">
        <f>Table1[[#This Row],[TA 2 - Q1 Score]]+Table1[[#This Row],[TA 2 - Q2 Score]]+Table1[[#This Row],[TA 2 - Q3 Score]]</f>
        <v/>
      </c>
      <c r="S527">
        <f>Table1[[#This Row],[TA 2 - Q1 Bonus]]+Table1[[#This Row],[TA 2 - Q2 Bonus]]+Table1[[#This Row],[TA 2 - Q4 Bonus]]</f>
        <v/>
      </c>
      <c r="T527">
        <f>(Table1[[#This Row],[TA 1 - Total Score (out of 35)]]+Table1[[#This Row],[TA 2 - Total Score (out of 35)]])/2</f>
        <v/>
      </c>
      <c r="U527">
        <f>(Table1[[#This Row],[TA 1 - Total Bonus (out of 13)]]+Table1[[#This Row],[TA 2 - Total Bonus (out of 13)]])/2</f>
        <v/>
      </c>
      <c r="V527">
        <f>Table1[[#This Row],[Average Questions]]/35*20+Table1[[#This Row],[Average Bonus]]/13*5</f>
        <v/>
      </c>
      <c r="W527" t="n">
        <v>6</v>
      </c>
      <c r="X527" t="n">
        <v>0</v>
      </c>
      <c r="Y527" t="inlineStr">
        <is>
          <t>The student's submission failed to complete several key tasks, including loading and preparing the data, loading the pretrained model and adapting it, and training the model. While they did attempt to implement the training and validation functions, their code contained syntax errors and did not run correctly. Additionally, they did not implement test time augmentation as required for the bonus task. As a result, the student's score is low, reflecting their incomplete and incorrect submission.
Breakdown:
- Part 1: Load and Prepare Data: 0.0/?
- Part 2: Load Pretrained Model and Adapt: 0.0/?
- Part 3: Training and Validation Functions: 1.5/?
- Part 4: Training: 0.0/?
- Part 5: Bonus — Test Time Augmentation: 0.0/?</t>
        </is>
      </c>
      <c r="Z527" t="n">
        <v>6</v>
      </c>
      <c r="AA527" t="n">
        <v>0</v>
      </c>
      <c r="AB527" t="inlineStr">
        <is>
          <t>The student's submission failed to meet the requirements for most tasks. In Part 1, the student incorrectly used the ImageFolder class and failed to implement the transforms. In Part 2, the student did not implement the CNN model with the correct number of convolutional layers. In Part 3, the student did not define the training and validation functions. In Part 4, the student only partially implemented the training function. In Part 5, the student did not implement the residual connection correctly. As a result, the student did not meet the requirements for most tasks and did not earn the maximum score.
Breakdown:
- Part 1: Load and Prepare Data: 0.0/?
- Part 2: Build the CNN Model: 0.0/?
- Part 3: Training and Validation Functions: 0.0/?
- Part 4: Training: 2.0/?
- Part 5: Bonus — Residual Connection: 0.0/?</t>
        </is>
      </c>
      <c r="AC527" t="n">
        <v>6</v>
      </c>
      <c r="AD52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27" t="n">
        <v>0</v>
      </c>
      <c r="AF527" t="n">
        <v>1</v>
      </c>
      <c r="AG527" t="inlineStr">
        <is>
          <t>The student's submission demonstrates a good understanding of the ColorizationDataset class. They correctly implemented the `__init__`, `__len__`, `rgb_to_grayscale`, and `__getitem__` methods. However, they made a mistake in the `rgb_to_grayscale` method by not adding a channel dimension to the grayscale image. This mistake results in a score of 4.0 for the base task. The student also attempted to visualize the grayscale and color images, but this is not a required task, so it does not affect the score. Overall, the student's submission shows a good effort, but with some minor mistakes.
Breakdown:
- Correctly implemented `ColorizationDataset` class: 4.0/?
- Any mistake in implementation: 0.0/?</t>
        </is>
      </c>
      <c r="AH527" t="n">
        <v>18</v>
      </c>
      <c r="AI527" t="n">
        <v>1</v>
      </c>
    </row>
    <row r="528">
      <c r="A528" t="n">
        <v>527</v>
      </c>
      <c r="B528" t="inlineStr">
        <is>
          <t>TA_10</t>
        </is>
      </c>
      <c r="C528" t="inlineStr">
        <is>
          <t>TA_20</t>
        </is>
      </c>
      <c r="D528" t="n">
        <v>12</v>
      </c>
      <c r="E528" t="n">
        <v>0</v>
      </c>
      <c r="F528" t="n">
        <v>11</v>
      </c>
      <c r="G528" t="n">
        <v>0</v>
      </c>
      <c r="H528" t="n">
        <v>5.25</v>
      </c>
      <c r="I528" t="n">
        <v>0</v>
      </c>
      <c r="J528" t="n">
        <v>12</v>
      </c>
      <c r="K528" t="n">
        <v>0</v>
      </c>
      <c r="L528" t="n">
        <v>11</v>
      </c>
      <c r="M528" t="n">
        <v>0</v>
      </c>
      <c r="N528" t="n">
        <v>5.25</v>
      </c>
      <c r="O528" t="n">
        <v>0</v>
      </c>
      <c r="P528">
        <f>Table1[[#This Row],[TA 1 - Q1 Score]]+Table1[[#This Row],[TA 1 - Q2 Score]]+Table1[[#This Row],[TA 1 - Q3 Score]]</f>
        <v/>
      </c>
      <c r="Q528">
        <f>Table1[[#This Row],[TA 1 - Q1 Bonus]]+Table1[[#This Row],[TA 1 - Q2 Bonus]]+Table1[[#This Row],[TA 1 - Q4 Bonus]]</f>
        <v/>
      </c>
      <c r="R528">
        <f>Table1[[#This Row],[TA 2 - Q1 Score]]+Table1[[#This Row],[TA 2 - Q2 Score]]+Table1[[#This Row],[TA 2 - Q3 Score]]</f>
        <v/>
      </c>
      <c r="S528">
        <f>Table1[[#This Row],[TA 2 - Q1 Bonus]]+Table1[[#This Row],[TA 2 - Q2 Bonus]]+Table1[[#This Row],[TA 2 - Q4 Bonus]]</f>
        <v/>
      </c>
      <c r="T528">
        <f>(Table1[[#This Row],[TA 1 - Total Score (out of 35)]]+Table1[[#This Row],[TA 2 - Total Score (out of 35)]])/2</f>
        <v/>
      </c>
      <c r="U528">
        <f>(Table1[[#This Row],[TA 1 - Total Bonus (out of 13)]]+Table1[[#This Row],[TA 2 - Total Bonus (out of 13)]])/2</f>
        <v/>
      </c>
      <c r="V528">
        <f>Table1[[#This Row],[Average Questions]]/35*20+Table1[[#This Row],[Average Bonus]]/13*5</f>
        <v/>
      </c>
      <c r="W528" t="n">
        <v>9.5</v>
      </c>
      <c r="X528" t="n">
        <v>0</v>
      </c>
      <c r="Y528" t="inlineStr">
        <is>
          <t>The student's submission is incomplete and lacks code for several tasks. While they attempted to define the training and validation functions, their code is not correct and does not run end-to-end. The student also failed to submit code for several other tasks, including loading and preparing data, loading a pretrained model, and training the model. As a result, the student's score is significantly lower than the maximum possible score.
Breakdown:
- Part 1: Load and Prepare Data: 0.0/?
- Part 1: Load and Prepare Data: 0.0/?
- Part 1: Load and Prepare Data: 0.0/?
- Part 2: Load Pretrained Model and Adapt: 0.0/?
- Part 2: Load Pretrained Model and Adapt: 0.0/?
- Part 2: Load Pretrained Model and Adapt: 0.0/?
- Part 3: Training and Validation Functions: 0.5/?
- Part 3: Training and Validation Functions: 1.0/?
- Part 3: Training and Validation Functions: 0.0/?
- Part 4: Training: 1.0/?
- Part 4: Training: 0.5/?
- Part 4: Training: 0.0/?
- Part 4: Training: 0.0/?
- Part 5: Bonus - Test Time Augmentation: 0.0/?</t>
        </is>
      </c>
      <c r="Z528" t="n">
        <v>6</v>
      </c>
      <c r="AA528" t="n">
        <v>0</v>
      </c>
      <c r="AB528" t="inlineStr">
        <is>
          <t>The student's submission failed to meet the requirements for several tasks. In Part 1, the student failed to create a custom Dataset class or use ImageFolder, and did not display sample images with labels. In Part 2, the student did not create a CNN model class with 5 convolutional layers. In Part 3, the student did not define the training loop function. In Part 5, the student did not redefine the CNN model with a residual connection. As a result, the student received 0 points for these tasks. The student did receive 2 points for Part 4, as they were able to set up the device, model, loss, and optimizer, and train the model.
Breakdown:
- Part 1: Load and Prepare Data: 0.0/?
- Part 2: Build the CNN Model: 0.0/?
- Part 3: Training and Validation Functions: 0.0/?
- Part 4: Training: 2.0/?
- Part 5: Bonus — Residual Connection: 0.0/?</t>
        </is>
      </c>
      <c r="AC528" t="n">
        <v>6</v>
      </c>
      <c r="AD528"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task of visualizing predictions was not implemented correctly. As a result, the student did not earn any points for these tasks.
Breakdown:
- Task 1: Dataset Class: 0.0/?
- Task 2: Model Class: 0.0/?
- Task 3: Training and Validation Loops: 0.0/?
- Task 4: Running Training: 0.0/?
- Task 5: Visualizing Predictions: 0.0/?</t>
        </is>
      </c>
      <c r="AE528" t="n">
        <v>0</v>
      </c>
      <c r="AF528" t="n">
        <v>0</v>
      </c>
      <c r="AG528" t="inlineStr">
        <is>
          <t>No submission found.</t>
        </is>
      </c>
      <c r="AH528" t="n">
        <v>21.5</v>
      </c>
      <c r="AI528" t="n">
        <v>0</v>
      </c>
    </row>
    <row r="529">
      <c r="A529" t="n">
        <v>528</v>
      </c>
      <c r="B529" t="inlineStr">
        <is>
          <t>TA_10</t>
        </is>
      </c>
      <c r="C529" t="inlineStr">
        <is>
          <t>TA_20</t>
        </is>
      </c>
      <c r="D529" t="n">
        <v>11</v>
      </c>
      <c r="E529" t="n">
        <v>4</v>
      </c>
      <c r="F529" t="n">
        <v>9.75</v>
      </c>
      <c r="G529" t="n">
        <v>3.75</v>
      </c>
      <c r="H529" t="n">
        <v>11.25</v>
      </c>
      <c r="I529" t="n">
        <v>5</v>
      </c>
      <c r="J529" t="n">
        <v>11.5</v>
      </c>
      <c r="K529" t="n">
        <v>4</v>
      </c>
      <c r="L529" t="n">
        <v>9</v>
      </c>
      <c r="M529" t="n">
        <v>4</v>
      </c>
      <c r="N529" t="n">
        <v>11.5</v>
      </c>
      <c r="O529" t="n">
        <v>5</v>
      </c>
      <c r="P529">
        <f>Table1[[#This Row],[TA 1 - Q1 Score]]+Table1[[#This Row],[TA 1 - Q2 Score]]+Table1[[#This Row],[TA 1 - Q3 Score]]</f>
        <v/>
      </c>
      <c r="Q529">
        <f>Table1[[#This Row],[TA 1 - Q1 Bonus]]+Table1[[#This Row],[TA 1 - Q2 Bonus]]+Table1[[#This Row],[TA 1 - Q4 Bonus]]</f>
        <v/>
      </c>
      <c r="R529">
        <f>Table1[[#This Row],[TA 2 - Q1 Score]]+Table1[[#This Row],[TA 2 - Q2 Score]]+Table1[[#This Row],[TA 2 - Q3 Score]]</f>
        <v/>
      </c>
      <c r="S529">
        <f>Table1[[#This Row],[TA 2 - Q1 Bonus]]+Table1[[#This Row],[TA 2 - Q2 Bonus]]+Table1[[#This Row],[TA 2 - Q4 Bonus]]</f>
        <v/>
      </c>
      <c r="T529">
        <f>(Table1[[#This Row],[TA 1 - Total Score (out of 35)]]+Table1[[#This Row],[TA 2 - Total Score (out of 35)]])/2</f>
        <v/>
      </c>
      <c r="U529">
        <f>(Table1[[#This Row],[TA 1 - Total Bonus (out of 13)]]+Table1[[#This Row],[TA 2 - Total Bonus (out of 13)]])/2</f>
        <v/>
      </c>
      <c r="V529">
        <f>Table1[[#This Row],[Average Questions]]/35*20+Table1[[#This Row],[Average Bonus]]/13*5</f>
        <v/>
      </c>
      <c r="W529" t="n">
        <v>6</v>
      </c>
      <c r="X529" t="n">
        <v>0</v>
      </c>
      <c r="Y52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training and validation losses,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529" t="n">
        <v>6</v>
      </c>
      <c r="AA529" t="n">
        <v>0</v>
      </c>
      <c r="AB529"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completed. As a result, the student's score is limited to the points awarded for the training task.
Breakdown:
- Part 1: Load and Prepare Data: 0.0/?
- Part 2: Build the CNN Model: 0.0/?
- Part 3: Training and Validation Functions: 0.0/?
- Part 4: Training: 2.0/?
- Part 5: Bonus — Residual Connection: 0.0/?</t>
        </is>
      </c>
      <c r="AC529" t="n">
        <v>6</v>
      </c>
      <c r="AD529" t="inlineStr">
        <is>
          <t>The student's submission was incomplete and lacked code for most of the tasks. Although the code for visualizing predictions was attempted, it did not meet the requirements of the task. Therefore, the student scored 6.0 out of 12.0 for the base tasks and 0.0 out of 0.0 for the bonus tasks.
Breakdown:
- Task 1: Dataset Class: 0.0/?
- Task 2: Model Class: 0.0/?
- Task 3: Training and Validation Loops: 0.0/?
- Task 4: Running Training: 0.0/?
- Task 5: Visualizing Predictions: 6.0/?</t>
        </is>
      </c>
      <c r="AE529" t="n">
        <v>0</v>
      </c>
      <c r="AF529" t="n">
        <v>0</v>
      </c>
      <c r="AG529" t="inlineStr">
        <is>
          <t>The student's submission has multiple errors, including syntax errors and incorrect logic. The `ColorizationDataset` class is not implemented correctly, and the `rgb_to_grayscale` method has a syntax error. Additionally, the `__getitem__` method does not return the correct values. As a result, the student did not receive any points for this task.
Breakdown:
- Correctly implemented `ColorizationDataset` class:: 0.0/?
- Any mistake in implementation: 0.0/?</t>
        </is>
      </c>
      <c r="AH529" t="n">
        <v>18</v>
      </c>
      <c r="AI529" t="n">
        <v>0</v>
      </c>
    </row>
    <row r="530">
      <c r="A530" t="n">
        <v>529</v>
      </c>
      <c r="B530" t="inlineStr">
        <is>
          <t>TA_10</t>
        </is>
      </c>
      <c r="C530" t="inlineStr">
        <is>
          <t>TA_20</t>
        </is>
      </c>
      <c r="D530" t="n">
        <v>12</v>
      </c>
      <c r="E530" t="n">
        <v>0</v>
      </c>
      <c r="F530" t="n">
        <v>8.75</v>
      </c>
      <c r="G530" t="n">
        <v>0</v>
      </c>
      <c r="H530" t="n">
        <v>10</v>
      </c>
      <c r="I530" t="n">
        <v>0</v>
      </c>
      <c r="J530" t="n">
        <v>10.5</v>
      </c>
      <c r="K530" t="n">
        <v>0</v>
      </c>
      <c r="L530" t="n">
        <v>8.5</v>
      </c>
      <c r="M530" t="n">
        <v>0</v>
      </c>
      <c r="N530" t="n">
        <v>10.75</v>
      </c>
      <c r="O530" t="n">
        <v>0</v>
      </c>
      <c r="P530">
        <f>Table1[[#This Row],[TA 1 - Q1 Score]]+Table1[[#This Row],[TA 1 - Q2 Score]]+Table1[[#This Row],[TA 1 - Q3 Score]]</f>
        <v/>
      </c>
      <c r="Q530">
        <f>Table1[[#This Row],[TA 1 - Q1 Bonus]]+Table1[[#This Row],[TA 1 - Q2 Bonus]]+Table1[[#This Row],[TA 1 - Q4 Bonus]]</f>
        <v/>
      </c>
      <c r="R530">
        <f>Table1[[#This Row],[TA 2 - Q1 Score]]+Table1[[#This Row],[TA 2 - Q2 Score]]+Table1[[#This Row],[TA 2 - Q3 Score]]</f>
        <v/>
      </c>
      <c r="S530">
        <f>Table1[[#This Row],[TA 2 - Q1 Bonus]]+Table1[[#This Row],[TA 2 - Q2 Bonus]]+Table1[[#This Row],[TA 2 - Q4 Bonus]]</f>
        <v/>
      </c>
      <c r="T530">
        <f>(Table1[[#This Row],[TA 1 - Total Score (out of 35)]]+Table1[[#This Row],[TA 2 - Total Score (out of 35)]])/2</f>
        <v/>
      </c>
      <c r="U530">
        <f>(Table1[[#This Row],[TA 1 - Total Bonus (out of 13)]]+Table1[[#This Row],[TA 2 - Total Bonus (out of 13)]])/2</f>
        <v/>
      </c>
      <c r="V530">
        <f>Table1[[#This Row],[Average Questions]]/35*20+Table1[[#This Row],[Average Bonus]]/13*5</f>
        <v/>
      </c>
      <c r="W530" t="n">
        <v>6</v>
      </c>
      <c r="X530" t="n">
        <v>0</v>
      </c>
      <c r="Y530"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data loaders and the necessary transforms. As a result, the student's submission did not meet the requirements of the task and did not demonstrate a clear understanding of the concepts.
Breakdown:
- Part 1: Load and Prepare Data: 0.0/?
- Part 2: Load Pretrained Model and Adapt: 0.0/?
- Part 3: Training and Validation Functions: 0.0/?
- Part 4: Training: 3.0/?
- Part 5: Bonus — Test Time Augmentation: 0.0/?</t>
        </is>
      </c>
      <c r="Z530" t="n">
        <v>4</v>
      </c>
      <c r="AA530" t="n">
        <v>0</v>
      </c>
      <c r="AB530" t="inlineStr">
        <is>
          <t>The student's submission failed to meet the requirements of the task. The code was not organized in the same structure as the reference solution, and it failed to run end-to-end. The student attempted to load and prepare the data, but the code was incomplete and contained syntax errors. The CNN model was not built correctly, and the training and validation functions were not implemented. The training process was not executed, and the residual connection was not added to the model. The student's submission did not demonstrate a clear understanding of the task requirements and the necessary code to complete it.
Breakdown:
- Part 1: Load and Prepare Data: 0.0/?
- Part 2: Build the CNN Model: 0.0/?
- Part 3: Training and Validation Functions: 0.0/?
- Part 4: Training: 0.0/?
- Part 5: Bonus — Residual Connection: 0.0/?</t>
        </is>
      </c>
      <c r="AC530" t="n">
        <v>6</v>
      </c>
      <c r="AD530" t="inlineStr">
        <is>
          <t>The student's submission failed to meet the requirements of the task, with no code submitted for several tasks and incorrect implementations in others. The student's approach was not correct, and they failed to follow the instructions provided.
Breakdown:
- Task 1: Dataset Class: 0.0/?
- Task 2: Model Class: 0.0/?
- Task 3: Training and Validation Loops: 0.0/?
- Task 4: Running Training: 0.0/?
- Task 5: Visualizing Predictions: 0.0/?</t>
        </is>
      </c>
      <c r="AE530" t="n">
        <v>0</v>
      </c>
      <c r="AF530" t="n">
        <v>0</v>
      </c>
      <c r="AG530" t="inlineStr">
        <is>
          <t>No submission found.</t>
        </is>
      </c>
      <c r="AH530" t="n">
        <v>16</v>
      </c>
      <c r="AI530" t="n">
        <v>0</v>
      </c>
    </row>
    <row r="531">
      <c r="A531" t="n">
        <v>530</v>
      </c>
      <c r="B531" t="inlineStr">
        <is>
          <t>TA_10</t>
        </is>
      </c>
      <c r="C531" t="inlineStr">
        <is>
          <t>TA_20</t>
        </is>
      </c>
      <c r="D531" t="n">
        <v>9.5</v>
      </c>
      <c r="E531" t="n">
        <v>0</v>
      </c>
      <c r="F531" t="n">
        <v>0</v>
      </c>
      <c r="G531" t="n">
        <v>0</v>
      </c>
      <c r="H531" t="n">
        <v>4.5</v>
      </c>
      <c r="I531" t="n">
        <v>0</v>
      </c>
      <c r="J531" t="n">
        <v>10</v>
      </c>
      <c r="K531" t="n">
        <v>0</v>
      </c>
      <c r="L531" t="n">
        <v>0</v>
      </c>
      <c r="M531" t="n">
        <v>0</v>
      </c>
      <c r="N531" t="n">
        <v>9</v>
      </c>
      <c r="O531" t="n">
        <v>0</v>
      </c>
      <c r="P531">
        <f>Table1[[#This Row],[TA 1 - Q1 Score]]+Table1[[#This Row],[TA 1 - Q2 Score]]+Table1[[#This Row],[TA 1 - Q3 Score]]</f>
        <v/>
      </c>
      <c r="Q531">
        <f>Table1[[#This Row],[TA 1 - Q1 Bonus]]+Table1[[#This Row],[TA 1 - Q2 Bonus]]+Table1[[#This Row],[TA 1 - Q4 Bonus]]</f>
        <v/>
      </c>
      <c r="R531">
        <f>Table1[[#This Row],[TA 2 - Q1 Score]]+Table1[[#This Row],[TA 2 - Q2 Score]]+Table1[[#This Row],[TA 2 - Q3 Score]]</f>
        <v/>
      </c>
      <c r="S531">
        <f>Table1[[#This Row],[TA 2 - Q1 Bonus]]+Table1[[#This Row],[TA 2 - Q2 Bonus]]+Table1[[#This Row],[TA 2 - Q4 Bonus]]</f>
        <v/>
      </c>
      <c r="T531">
        <f>(Table1[[#This Row],[TA 1 - Total Score (out of 35)]]+Table1[[#This Row],[TA 2 - Total Score (out of 35)]])/2</f>
        <v/>
      </c>
      <c r="U531">
        <f>(Table1[[#This Row],[TA 1 - Total Bonus (out of 13)]]+Table1[[#This Row],[TA 2 - Total Bonus (out of 13)]])/2</f>
        <v/>
      </c>
      <c r="V531">
        <f>Table1[[#This Row],[Average Questions]]/35*20+Table1[[#This Row],[Average Bonus]]/13*5</f>
        <v/>
      </c>
      <c r="W531" t="n">
        <v>6</v>
      </c>
      <c r="X531" t="n">
        <v>0</v>
      </c>
      <c r="Y531"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produce a working solution.
Breakdown:
- Part 1: Load and Prepare Data: 0.0/?
- Part 2: Load Pretrained Model and Adapt: 0.0/?
- Part 3: Training and Validation Functions: 1.5/?
- Part 4: Training: 0.0/?
- Part 5: Bonus — Test Time Augmentation: 0.0/?</t>
        </is>
      </c>
      <c r="Z531" t="n">
        <v>4</v>
      </c>
      <c r="AA531" t="n">
        <v>0</v>
      </c>
      <c r="AB531" t="inlineStr">
        <is>
          <t>The student's submission failed to address any of the tasks in the rubric. The code provided does not load and prepare the data, build the CNN model, define the training and validation functions, train the model, or implement the residual connection. Each task was attempted with no code written, resulting in a score of 0 for each task. The student's submission does not demonstrate any understanding of the required concepts or ability to implement them.
Breakdown:
- Part 1: Load and Prepare Data: 0.0/?
- Part 2: Build the CNN Model: 0.0/?
- Part 3: Training and Validation Functions: 0.0/?
- Part 4: Training: 0.0/?
- Part 5: Bonus — Residual Connection: 0.0/?</t>
        </is>
      </c>
      <c r="AC531" t="n">
        <v>6</v>
      </c>
      <c r="AD531" t="inlineStr">
        <is>
          <t>The student's submission failed to meet the requirements of the task. The code was not organized in a way that was easy to follow, and many tasks were not implemented correctly. The student did not define the dataset class, model class, training and validation loops, or running training correctly. The predictions were not visualized correctly. Overall, the submission did not demonstrate a clear understanding of the task and the requirements.
Breakdown:
- Task 1: Dataset Class: 0.0/?
- Task 2: Model Class: 0.0/?
- Task 3: Training and Validation Loops: 0.0/?
- Task 4: Running Training: 0.0/?
- Task 5: Visualizing Predictions: 0.0/?</t>
        </is>
      </c>
      <c r="AE531" t="n">
        <v>0</v>
      </c>
      <c r="AF531" t="n">
        <v>0</v>
      </c>
      <c r="AG531" t="inlineStr">
        <is>
          <t>The student's submission does not meet the requirements of the task. The implementation of the `ColorizationDataset` class is incomplete and contains several syntax errors. The student's code does not follow the optimal logic and does not produce the correct output. Therefore, the student receives 0 points for this task.
Breakdown:
- Correctly implemented `ColorizationDataset` class:: 0.0/?</t>
        </is>
      </c>
      <c r="AH531" t="n">
        <v>16</v>
      </c>
      <c r="AI531" t="n">
        <v>0</v>
      </c>
    </row>
    <row r="532">
      <c r="A532" t="n">
        <v>531</v>
      </c>
      <c r="B532" t="inlineStr">
        <is>
          <t>TA_10</t>
        </is>
      </c>
      <c r="C532" t="inlineStr">
        <is>
          <t>TA_20</t>
        </is>
      </c>
      <c r="D532" t="n">
        <v>6.5</v>
      </c>
      <c r="E532" t="n">
        <v>0</v>
      </c>
      <c r="F532" t="n">
        <v>9</v>
      </c>
      <c r="G532" t="n">
        <v>0</v>
      </c>
      <c r="H532" t="n">
        <v>12</v>
      </c>
      <c r="I532" t="n">
        <v>0</v>
      </c>
      <c r="J532" t="n">
        <v>11.5</v>
      </c>
      <c r="K532" t="n">
        <v>0</v>
      </c>
      <c r="L532" t="n">
        <v>9</v>
      </c>
      <c r="M532" t="n">
        <v>0</v>
      </c>
      <c r="N532" t="n">
        <v>12</v>
      </c>
      <c r="O532" t="n">
        <v>0</v>
      </c>
      <c r="P532">
        <f>Table1[[#This Row],[TA 1 - Q1 Score]]+Table1[[#This Row],[TA 1 - Q2 Score]]+Table1[[#This Row],[TA 1 - Q3 Score]]</f>
        <v/>
      </c>
      <c r="Q532">
        <f>Table1[[#This Row],[TA 1 - Q1 Bonus]]+Table1[[#This Row],[TA 1 - Q2 Bonus]]+Table1[[#This Row],[TA 1 - Q4 Bonus]]</f>
        <v/>
      </c>
      <c r="R532">
        <f>Table1[[#This Row],[TA 2 - Q1 Score]]+Table1[[#This Row],[TA 2 - Q2 Score]]+Table1[[#This Row],[TA 2 - Q3 Score]]</f>
        <v/>
      </c>
      <c r="S532">
        <f>Table1[[#This Row],[TA 2 - Q1 Bonus]]+Table1[[#This Row],[TA 2 - Q2 Bonus]]+Table1[[#This Row],[TA 2 - Q4 Bonus]]</f>
        <v/>
      </c>
      <c r="T532">
        <f>(Table1[[#This Row],[TA 1 - Total Score (out of 35)]]+Table1[[#This Row],[TA 2 - Total Score (out of 35)]])/2</f>
        <v/>
      </c>
      <c r="U532">
        <f>(Table1[[#This Row],[TA 1 - Total Bonus (out of 13)]]+Table1[[#This Row],[TA 2 - Total Bonus (out of 13)]])/2</f>
        <v/>
      </c>
      <c r="V532">
        <f>Table1[[#This Row],[Average Questions]]/35*20+Table1[[#This Row],[Average Bonus]]/13*5</f>
        <v/>
      </c>
      <c r="W532" t="n">
        <v>6</v>
      </c>
      <c r="X532" t="n">
        <v>0</v>
      </c>
      <c r="Y532" t="inlineStr">
        <is>
          <t>The student failed to complete the data loading and preparation, model loading and adaptation, and training tasks. The training and validation functions were partially implemented, but the student failed to fix the labels for the 0-indexed classification. The bonus task of implementing test time augmentation was not attempted.
Breakdown:
- Part 1: Load and Prepare Data: 0.0/?
- Part 2: Load Pretrained Model and Adapt: 0.0/?
- Part 3: Training and Validation Functions: 1.5/?
- Part 4: Training: 0.0/?
- Part 5: Bonus — Test Time Augmentation: 0.0/?</t>
        </is>
      </c>
      <c r="Z532" t="n">
        <v>4</v>
      </c>
      <c r="AA532" t="n">
        <v>4</v>
      </c>
      <c r="AB532" t="inlineStr">
        <is>
          <t>The student's submission failed to meet the requirements of the task. They did not load and prepare the data correctly, did not build the CNN model as specified, did not implement the training and validation functions, and did not train the model. However, they did attempt to implement the residual connection in the bonus task, and their code for this task was correct and ran. Therefore, they received full credit for the bonus task.
Breakdown:
- Part 1: Load and Prepare Data: 0.0/?
- Part 2: Build the CNN Model: 0.0/?
- Part 3: Training and Validation Functions: 0.0/?
- Part 4: Training: 0.0/?
- Part 5: Bonus — Residual Connection: 4.0/?</t>
        </is>
      </c>
      <c r="AC532" t="n">
        <v>6</v>
      </c>
      <c r="AD532" t="inlineStr">
        <is>
          <t>The student's submission was incomplete, with no code submitted for Tasks 1-4. However, the code for Task 5 was mostly correct, with the student successfully visualizing the predictions against the ground truth for several images. The only issue was that the ground truth masks were not displayed correctly.
Breakdown:
- Task 1: Dataset Class: 0.0/?
- Task 2: Model Class: 0.0/?
- Task 3: Training and Validation Loops: 0.0/?
- Task 4: Running Training: 0.0/?
- Task 5: Visualizing Predictions: 6.0/?</t>
        </is>
      </c>
      <c r="AE532" t="n">
        <v>0</v>
      </c>
      <c r="AF532" t="n">
        <v>0</v>
      </c>
      <c r="AG532" t="inlineStr">
        <is>
          <t>The student's submission did not implement the `ColorizationDataset` class correctly, resulting in a score of 0.0 for the base task. Since the student did not implement the class correctly, they did not attempt the bonus task, resulting in a score of 0.0 for the bonus task.
Breakdown:
- Correctly implemented `ColorizationDataset` class:: 0.0/?
- Any mistake in implementation: 0.0/?</t>
        </is>
      </c>
      <c r="AH532" t="n">
        <v>16</v>
      </c>
      <c r="AI532" t="n">
        <v>4</v>
      </c>
    </row>
    <row r="533">
      <c r="A533" t="n">
        <v>532</v>
      </c>
      <c r="B533" t="inlineStr">
        <is>
          <t>TA_10</t>
        </is>
      </c>
      <c r="C533" t="inlineStr">
        <is>
          <t>TA_20</t>
        </is>
      </c>
      <c r="D533" t="n">
        <v>11.5</v>
      </c>
      <c r="E533" t="n">
        <v>0</v>
      </c>
      <c r="F533" t="n">
        <v>11</v>
      </c>
      <c r="G533" t="n">
        <v>0</v>
      </c>
      <c r="H533" t="n">
        <v>10.5</v>
      </c>
      <c r="I533" t="n">
        <v>0</v>
      </c>
      <c r="J533" t="n">
        <v>8.75</v>
      </c>
      <c r="K533" t="n">
        <v>0</v>
      </c>
      <c r="L533" t="n">
        <v>11</v>
      </c>
      <c r="M533" t="n">
        <v>0</v>
      </c>
      <c r="N533" t="n">
        <v>11.5</v>
      </c>
      <c r="O533" t="n">
        <v>0</v>
      </c>
      <c r="P533">
        <f>Table1[[#This Row],[TA 1 - Q1 Score]]+Table1[[#This Row],[TA 1 - Q2 Score]]+Table1[[#This Row],[TA 1 - Q3 Score]]</f>
        <v/>
      </c>
      <c r="Q533">
        <f>Table1[[#This Row],[TA 1 - Q1 Bonus]]+Table1[[#This Row],[TA 1 - Q2 Bonus]]+Table1[[#This Row],[TA 1 - Q4 Bonus]]</f>
        <v/>
      </c>
      <c r="R533">
        <f>Table1[[#This Row],[TA 2 - Q1 Score]]+Table1[[#This Row],[TA 2 - Q2 Score]]+Table1[[#This Row],[TA 2 - Q3 Score]]</f>
        <v/>
      </c>
      <c r="S533">
        <f>Table1[[#This Row],[TA 2 - Q1 Bonus]]+Table1[[#This Row],[TA 2 - Q2 Bonus]]+Table1[[#This Row],[TA 2 - Q4 Bonus]]</f>
        <v/>
      </c>
      <c r="T533">
        <f>(Table1[[#This Row],[TA 1 - Total Score (out of 35)]]+Table1[[#This Row],[TA 2 - Total Score (out of 35)]])/2</f>
        <v/>
      </c>
      <c r="U533">
        <f>(Table1[[#This Row],[TA 1 - Total Bonus (out of 13)]]+Table1[[#This Row],[TA 2 - Total Bonus (out of 13)]])/2</f>
        <v/>
      </c>
      <c r="V533">
        <f>Table1[[#This Row],[Average Questions]]/35*20+Table1[[#This Row],[Average Bonus]]/13*5</f>
        <v/>
      </c>
      <c r="W533" t="n">
        <v>8</v>
      </c>
      <c r="X533" t="n">
        <v>0</v>
      </c>
      <c r="Y533" t="inlineStr">
        <is>
          <t>The student's submission failed to complete several key tasks, including loading and preparing the data, loading a pretrained model and adapting it, and implementing test time augmentation. While they did attempt to implement the training and validation functions, their code contained syntax errors and failed to run end-to-end. As a result, the student was unable to train the model or evaluate its performance. The lack of correct code for several key tasks resulted in a low overall score.
Breakdown:
- Part 1: Load and Prepare Data: 0.0/?
- Part 2: Load Pretrained Model and Adapt: 0.0/?
- Part 3: Training and Validation Functions: 3.5/?
- Part 4: Training: 2.5/?
- Part 5: Bonus — Test Time Augmentation: 0.0/?</t>
        </is>
      </c>
      <c r="Z533" t="n">
        <v>6</v>
      </c>
      <c r="AA533" t="n">
        <v>0</v>
      </c>
      <c r="AB53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As a result, the student's score is limited to the 2 points awarded for the training task.
Breakdown:
- Part 1: Load and Prepare Data: 0.0/?
- Part 2: Build the CNN Model: 0.0/?
- Part 3: Training and Validation Functions: 0.0/?
- Part 4: Training: 2.0/?
- Part 5: Bonus — Residual Connection: 0.0/?</t>
        </is>
      </c>
      <c r="AC533" t="n">
        <v>6</v>
      </c>
      <c r="AD533" t="inlineStr">
        <is>
          <t>The student's submission was incomplete, with no code submitted for Tasks 1-4. However, the code for Task 5 was mostly correct, with the student successfully visualizing the model's predictions. Unfortunately, the ground truth masks were not displayed correctly, resulting in a score of 6.0 for this task.
Breakdown:
- Task 1: Dataset Class: 0.0/?
- Task 2: Model Class: 0.0/?
- Task 3: Training and Validation Loops: 0.0/?
- Task 4: Running Training: 0.0/?
- Task 5: Visualizing Predictions: 6.0/?</t>
        </is>
      </c>
      <c r="AE533" t="n">
        <v>0</v>
      </c>
      <c r="AF533" t="n">
        <v>0</v>
      </c>
      <c r="AG533" t="inlineStr">
        <is>
          <t>The student's submission does not meet the requirements of the task. The `ColorizationDataset` class is not implemented correctly, and the `rgb_to_grayscale` method and `__getitem__` method are not implemented as required. As a result, the student does not receive any points for this task.
Breakdown:
- Correctly implemented `ColorizationDataset` class:: 0.0/?
- Any mistake in implementation: 0.0/?</t>
        </is>
      </c>
      <c r="AH533" t="n">
        <v>20</v>
      </c>
      <c r="AI533" t="n">
        <v>0</v>
      </c>
    </row>
    <row r="534">
      <c r="A534" t="n">
        <v>533</v>
      </c>
      <c r="B534" t="inlineStr">
        <is>
          <t>TA_10</t>
        </is>
      </c>
      <c r="C534" t="inlineStr">
        <is>
          <t>TA_20</t>
        </is>
      </c>
      <c r="D534" t="n">
        <v>5.75</v>
      </c>
      <c r="E534" t="n">
        <v>0</v>
      </c>
      <c r="F534" t="n">
        <v>8.75</v>
      </c>
      <c r="G534" t="n">
        <v>0</v>
      </c>
      <c r="H534" t="n">
        <v>6.5</v>
      </c>
      <c r="I534" t="n">
        <v>0</v>
      </c>
      <c r="J534" t="n">
        <v>9</v>
      </c>
      <c r="K534" t="n">
        <v>0</v>
      </c>
      <c r="L534" t="n">
        <v>9.75</v>
      </c>
      <c r="M534" t="n">
        <v>0</v>
      </c>
      <c r="N534" t="n">
        <v>11.25</v>
      </c>
      <c r="O534" t="n">
        <v>0</v>
      </c>
      <c r="P534">
        <f>Table1[[#This Row],[TA 1 - Q1 Score]]+Table1[[#This Row],[TA 1 - Q2 Score]]+Table1[[#This Row],[TA 1 - Q3 Score]]</f>
        <v/>
      </c>
      <c r="Q534">
        <f>Table1[[#This Row],[TA 1 - Q1 Bonus]]+Table1[[#This Row],[TA 1 - Q2 Bonus]]+Table1[[#This Row],[TA 1 - Q4 Bonus]]</f>
        <v/>
      </c>
      <c r="R534">
        <f>Table1[[#This Row],[TA 2 - Q1 Score]]+Table1[[#This Row],[TA 2 - Q2 Score]]+Table1[[#This Row],[TA 2 - Q3 Score]]</f>
        <v/>
      </c>
      <c r="S534">
        <f>Table1[[#This Row],[TA 2 - Q1 Bonus]]+Table1[[#This Row],[TA 2 - Q2 Bonus]]+Table1[[#This Row],[TA 2 - Q4 Bonus]]</f>
        <v/>
      </c>
      <c r="T534">
        <f>(Table1[[#This Row],[TA 1 - Total Score (out of 35)]]+Table1[[#This Row],[TA 2 - Total Score (out of 35)]])/2</f>
        <v/>
      </c>
      <c r="U534">
        <f>(Table1[[#This Row],[TA 1 - Total Bonus (out of 13)]]+Table1[[#This Row],[TA 2 - Total Bonus (out of 13)]])/2</f>
        <v/>
      </c>
      <c r="V534">
        <f>Table1[[#This Row],[Average Questions]]/35*20+Table1[[#This Row],[Average Bonus]]/13*5</f>
        <v/>
      </c>
      <c r="W534" t="n">
        <v>6</v>
      </c>
      <c r="X534" t="n">
        <v>0</v>
      </c>
      <c r="Y534" t="inlineStr">
        <is>
          <t>The student's submission failed to complete several key tasks, including loading and preparing the data, loading the pretrained model and adapting it, and implementing the training and validation functions. While the student made an attempt at training the model, their code contained several errors and did not run end-to-end. The bonus task of implementing test time augmentation was also not completed. Overall, the student's submission demonstrated a lack of understanding of the required tasks and concepts.
Breakdown:
- Part 1: Load and Prepare Data: 0.0/?
- Part 2: Load Pretrained Model and Adapt: 0.0/?
- Part 3: Training and Validation Functions: 0.0/?
- Part 4: Training: 2.0/?
- Part 5: Bonus — Test Time Augmentation: 0.0/?</t>
        </is>
      </c>
      <c r="Z534" t="n">
        <v>4</v>
      </c>
      <c r="AA534" t="n">
        <v>0</v>
      </c>
      <c r="AB534"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534" t="n">
        <v>6</v>
      </c>
      <c r="AD534" t="inlineStr">
        <is>
          <t>The student's submission failed to meet the requirements of the task. They did not implement the dataset class, model class, training and validation loops, running training, and visualizing predictions correctly. As a result, they did not earn any points for these tasks. The student's code had several syntax and logic mistakes, and they used a different approach than the reference solution. Therefore, they did not earn any points for these tasks.
Breakdown:
- Task 1: Dataset Class: 0.0/?
- Task 2: Model Class: 0.0/?
- Task 3: Training and Validation Loops: 0.0/?
- Task 4: Running Training: 0.0/?
- Task 5: Visualizing Predictions: 0.0/?</t>
        </is>
      </c>
      <c r="AE534" t="n">
        <v>0</v>
      </c>
      <c r="AF534" t="n">
        <v>0</v>
      </c>
      <c r="AG534" t="inlineStr">
        <is>
          <t>No submission found.</t>
        </is>
      </c>
      <c r="AH534" t="n">
        <v>16</v>
      </c>
      <c r="AI534" t="n">
        <v>0</v>
      </c>
    </row>
    <row r="535">
      <c r="A535" t="n">
        <v>534</v>
      </c>
      <c r="B535" t="inlineStr">
        <is>
          <t>TA_10</t>
        </is>
      </c>
      <c r="C535" t="inlineStr">
        <is>
          <t>TA_20</t>
        </is>
      </c>
      <c r="D535" t="n">
        <v>12</v>
      </c>
      <c r="E535" t="n">
        <v>3</v>
      </c>
      <c r="F535" t="n">
        <v>10</v>
      </c>
      <c r="G535" t="n">
        <v>4</v>
      </c>
      <c r="H535" t="n">
        <v>9.75</v>
      </c>
      <c r="I535" t="n">
        <v>5</v>
      </c>
      <c r="J535" t="n">
        <v>12</v>
      </c>
      <c r="K535" t="n">
        <v>3</v>
      </c>
      <c r="L535" t="n">
        <v>10.5</v>
      </c>
      <c r="M535" t="n">
        <v>4</v>
      </c>
      <c r="N535" t="n">
        <v>10.75</v>
      </c>
      <c r="O535" t="n">
        <v>5</v>
      </c>
      <c r="P535">
        <f>Table1[[#This Row],[TA 1 - Q1 Score]]+Table1[[#This Row],[TA 1 - Q2 Score]]+Table1[[#This Row],[TA 1 - Q3 Score]]</f>
        <v/>
      </c>
      <c r="Q535">
        <f>Table1[[#This Row],[TA 1 - Q1 Bonus]]+Table1[[#This Row],[TA 1 - Q2 Bonus]]+Table1[[#This Row],[TA 1 - Q4 Bonus]]</f>
        <v/>
      </c>
      <c r="R535">
        <f>Table1[[#This Row],[TA 2 - Q1 Score]]+Table1[[#This Row],[TA 2 - Q2 Score]]+Table1[[#This Row],[TA 2 - Q3 Score]]</f>
        <v/>
      </c>
      <c r="S535">
        <f>Table1[[#This Row],[TA 2 - Q1 Bonus]]+Table1[[#This Row],[TA 2 - Q2 Bonus]]+Table1[[#This Row],[TA 2 - Q4 Bonus]]</f>
        <v/>
      </c>
      <c r="T535">
        <f>(Table1[[#This Row],[TA 1 - Total Score (out of 35)]]+Table1[[#This Row],[TA 2 - Total Score (out of 35)]])/2</f>
        <v/>
      </c>
      <c r="U535">
        <f>(Table1[[#This Row],[TA 1 - Total Bonus (out of 13)]]+Table1[[#This Row],[TA 2 - Total Bonus (out of 13)]])/2</f>
        <v/>
      </c>
      <c r="V535">
        <f>Table1[[#This Row],[Average Questions]]/35*20+Table1[[#This Row],[Average Bonus]]/13*5</f>
        <v/>
      </c>
      <c r="W535" t="n">
        <v>6</v>
      </c>
      <c r="X535" t="n">
        <v>0</v>
      </c>
      <c r="Y535" t="inlineStr">
        <is>
          <t>The student's submission failed to complete several key tasks, including loading and preparing the data, loading a pretrained model, and training the model. The code for training and validation functions was partially correct, but the student failed to fix the labels, resulting in a penalty. The bonus task of test time augmentation was not attempted. Overall, the submission demonstrates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535" t="n">
        <v>4</v>
      </c>
      <c r="AA535" t="n">
        <v>0</v>
      </c>
      <c r="AB535" t="inlineStr">
        <is>
          <t>The student's submission failed to meet the requirements of the task. They did not load and prepare the data correctly, and their CNN model was not built as specified. The training and validation functions were not implemented, and the training process was not executed. The bonus task of adding a residual connection was also not attempted. As a result, the student did not earn any points for this task.
Breakdown:
- Part 1: Load and Prepare Data: 0.0/?
- Part 2: Build the CNN Model: 0.0/?
- Part 3: Training and Validation Functions: 0.0/?
- Part 4: Training: 0.0/?
- Part 5: Bonus — Residual Connection: 0.0/?</t>
        </is>
      </c>
      <c r="AC535" t="n">
        <v>6</v>
      </c>
      <c r="AD535" t="inlineStr">
        <is>
          <t>The student's submission was incomplete and contained several errors. They failed to complete tasks 1, 2, 3, and 4, and their code for task 5 was not fully correct. However, they were able to visualize the predictions against the ground truth for several images, which is why they received partial credit for task 5.
Breakdown:
- Task 1: Dataset Class: 0.0/?
- Task 2: Model Class: 0.0/?
- Task 3: Training and Validation Loops: 0.0/?
- Task 4: Running Training: 0.0/?
- Task 5: Visualizing Predictions: 6.0/?</t>
        </is>
      </c>
      <c r="AE535" t="n">
        <v>0</v>
      </c>
      <c r="AF535" t="n">
        <v>0</v>
      </c>
      <c r="AG535" t="inlineStr">
        <is>
          <t>The student's submission does not meet the requirements of the task. The `ColorizationDataset` class is not implemented correctly, and the code does not run end-to-end. The student attempted to implement the class, but made several mistakes, including incorrect dimensions and return types. As a result, the student did not earn any points for this task.
Breakdown:
- Correctly implemented `ColorizationDataset` class:: 0.0/?</t>
        </is>
      </c>
      <c r="AH535" t="n">
        <v>16</v>
      </c>
      <c r="AI535" t="n">
        <v>0</v>
      </c>
    </row>
    <row r="536">
      <c r="A536" t="n">
        <v>535</v>
      </c>
      <c r="B536" t="inlineStr">
        <is>
          <t>TA_10</t>
        </is>
      </c>
      <c r="C536" t="inlineStr">
        <is>
          <t>TA_20</t>
        </is>
      </c>
      <c r="D536" t="n">
        <v>1</v>
      </c>
      <c r="E536" t="n">
        <v>0</v>
      </c>
      <c r="F536" t="n">
        <v>3.2</v>
      </c>
      <c r="G536" t="n">
        <v>0</v>
      </c>
      <c r="H536" t="n">
        <v>-6</v>
      </c>
      <c r="I536" t="n">
        <v>0</v>
      </c>
      <c r="J536" t="n">
        <v>7.5</v>
      </c>
      <c r="K536" t="n">
        <v>0</v>
      </c>
      <c r="L536" t="n">
        <v>4.75</v>
      </c>
      <c r="M536" t="n">
        <v>0</v>
      </c>
      <c r="N536" t="n">
        <v>10</v>
      </c>
      <c r="O536" t="n">
        <v>0</v>
      </c>
      <c r="P536">
        <f>Table1[[#This Row],[TA 1 - Q1 Score]]+Table1[[#This Row],[TA 1 - Q2 Score]]+Table1[[#This Row],[TA 1 - Q3 Score]]</f>
        <v/>
      </c>
      <c r="Q536">
        <f>Table1[[#This Row],[TA 1 - Q1 Bonus]]+Table1[[#This Row],[TA 1 - Q2 Bonus]]+Table1[[#This Row],[TA 1 - Q4 Bonus]]</f>
        <v/>
      </c>
      <c r="R536">
        <f>Table1[[#This Row],[TA 2 - Q1 Score]]+Table1[[#This Row],[TA 2 - Q2 Score]]+Table1[[#This Row],[TA 2 - Q3 Score]]</f>
        <v/>
      </c>
      <c r="S536">
        <f>Table1[[#This Row],[TA 2 - Q1 Bonus]]+Table1[[#This Row],[TA 2 - Q2 Bonus]]+Table1[[#This Row],[TA 2 - Q4 Bonus]]</f>
        <v/>
      </c>
      <c r="T536">
        <f>(Table1[[#This Row],[TA 1 - Total Score (out of 35)]]+Table1[[#This Row],[TA 2 - Total Score (out of 35)]])/2</f>
        <v/>
      </c>
      <c r="U536">
        <f>(Table1[[#This Row],[TA 1 - Total Bonus (out of 13)]]+Table1[[#This Row],[TA 2 - Total Bonus (out of 13)]])/2</f>
        <v/>
      </c>
      <c r="V536">
        <f>Table1[[#This Row],[Average Questions]]/35*20+Table1[[#This Row],[Average Bonus]]/13*5</f>
        <v/>
      </c>
      <c r="W536" t="n">
        <v>6</v>
      </c>
      <c r="X536" t="n">
        <v>0</v>
      </c>
      <c r="Y536" t="inlineStr">
        <is>
          <t>The student failed to complete the transforms in Part 1, resulting in a score of 0. In Part 2, the student incorrectly loaded the EfficientNetV2-Small model and did not freeze the backbone. In Part 3, the student did not correctly implement the training and validation functions. In Part 4, the student was able to train the model, but the training loop function was not correctly implemented. The student did not attempt the bonus task in Part 5.
Breakdown:
- Part 1: Load and Prepare Data: 0.0/?
- Part 2: Load Pretrained Model and Adapt: 0.0/?
- Part 3: Training and Validation Functions: 0.0/?
- Part 4: Training: 2.0/?
- Part 5: Bonus — Test Time Augmentation: 0.0/?</t>
        </is>
      </c>
      <c r="Z536" t="n">
        <v>4</v>
      </c>
      <c r="AA536" t="n">
        <v>0</v>
      </c>
      <c r="AB536"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536" t="n">
        <v>6</v>
      </c>
      <c r="AD536" t="inlineStr">
        <is>
          <t>The student's submission had several issues. They did not submit code for Task 1: Dataset Class. For Task 2: Model Class, they used a different dataset and did not use a pretrained U-Net with efficientnet-b0 encoder. For Task 3: Training and Validation Loops, they used BCEWithLogitsLoss instead of CrossEntropyLoss and did not use the correct optimizer. For Task 4: Running Training, they did not print the training and validation losses and did not plot the loss curve. For Task 5: Visualizing Predictions, they did not use the correct function to denormalize the images and did not display the ground truth and predicted masks correctly.
Breakdown:
- Task 1: Dataset Class: 0.0/?
- Task 2: Model Class: 0.0/?
- Task 3: Training and Validation Loops: 0.0/?
- Task 4: Running Training: 0.0/?
- Task 5: Visualizing Predictions: 0.0/?</t>
        </is>
      </c>
      <c r="AE536" t="n">
        <v>0</v>
      </c>
      <c r="AF536" t="n">
        <v>0</v>
      </c>
      <c r="AG536" t="inlineStr">
        <is>
          <t>The student's submission does not implement the `ColorizationDataset` class correctly. The `rgb_to_grayscale` method is missing and the `__getitem__` method is not implemented as per the reference solution. As a result, the student does not receive any points for this task.
Breakdown:
- Correctly implemented `ColorizationDataset` class:: 0.0/?
- Any mistake in implementation: 0.0/?</t>
        </is>
      </c>
      <c r="AH536" t="n">
        <v>16</v>
      </c>
      <c r="AI536" t="n">
        <v>0</v>
      </c>
    </row>
    <row r="537">
      <c r="A537" t="n">
        <v>536</v>
      </c>
      <c r="B537" t="inlineStr">
        <is>
          <t>TA_10</t>
        </is>
      </c>
      <c r="C537" t="inlineStr">
        <is>
          <t>TA_20</t>
        </is>
      </c>
      <c r="D537" t="n">
        <v>11</v>
      </c>
      <c r="E537" t="n">
        <v>0</v>
      </c>
      <c r="F537" t="n">
        <v>9.5</v>
      </c>
      <c r="G537" t="n">
        <v>0</v>
      </c>
      <c r="H537" t="n">
        <v>12.5</v>
      </c>
      <c r="I537" t="n">
        <v>0</v>
      </c>
      <c r="J537" t="n">
        <v>9.5</v>
      </c>
      <c r="K537" t="n">
        <v>0</v>
      </c>
      <c r="L537" t="n">
        <v>9.5</v>
      </c>
      <c r="M537" t="n">
        <v>0</v>
      </c>
      <c r="N537" t="n">
        <v>11.5</v>
      </c>
      <c r="O537" t="n">
        <v>0</v>
      </c>
      <c r="P537">
        <f>Table1[[#This Row],[TA 1 - Q1 Score]]+Table1[[#This Row],[TA 1 - Q2 Score]]+Table1[[#This Row],[TA 1 - Q3 Score]]</f>
        <v/>
      </c>
      <c r="Q537">
        <f>Table1[[#This Row],[TA 1 - Q1 Bonus]]+Table1[[#This Row],[TA 1 - Q2 Bonus]]+Table1[[#This Row],[TA 1 - Q4 Bonus]]</f>
        <v/>
      </c>
      <c r="R537">
        <f>Table1[[#This Row],[TA 2 - Q1 Score]]+Table1[[#This Row],[TA 2 - Q2 Score]]+Table1[[#This Row],[TA 2 - Q3 Score]]</f>
        <v/>
      </c>
      <c r="S537">
        <f>Table1[[#This Row],[TA 2 - Q1 Bonus]]+Table1[[#This Row],[TA 2 - Q2 Bonus]]+Table1[[#This Row],[TA 2 - Q4 Bonus]]</f>
        <v/>
      </c>
      <c r="T537">
        <f>(Table1[[#This Row],[TA 1 - Total Score (out of 35)]]+Table1[[#This Row],[TA 2 - Total Score (out of 35)]])/2</f>
        <v/>
      </c>
      <c r="U537">
        <f>(Table1[[#This Row],[TA 1 - Total Bonus (out of 13)]]+Table1[[#This Row],[TA 2 - Total Bonus (out of 13)]])/2</f>
        <v/>
      </c>
      <c r="V537">
        <f>Table1[[#This Row],[Average Questions]]/35*20+Table1[[#This Row],[Average Bonus]]/13*5</f>
        <v/>
      </c>
      <c r="W537" t="n">
        <v>6</v>
      </c>
      <c r="X537" t="n">
        <v>0</v>
      </c>
      <c r="Y537"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537" t="n">
        <v>6</v>
      </c>
      <c r="AA537" t="n">
        <v>0</v>
      </c>
      <c r="AB537" t="inlineStr">
        <is>
          <t>The student's submission failed to meet the requirements for several tasks. In Part 1, the student incorrectly used the ImageFolder class and failed to apply the specified transforms. In Part 2, the student did not implement the CNN model with the correct architecture. In Part 3, the student did not define the training and validation functions. In Part 4, the student only partially completed the training task. In Part 5, the student did not implement the residual connection correctly. As a result, the student's submission did not meet the requirements for most tasks, and they were awarded a score of 6.0.
Breakdown:
- Part 1: Load and Prepare Data: 0.0/?
- Part 2: Build the CNN Model: 0.0/?
- Part 3: Training and Validation Functions: 0.0/?
- Part 4: Training: 2.0/?
- Part 5: Bonus — Residual Connection: 0.0/?</t>
        </is>
      </c>
      <c r="AC537" t="n">
        <v>6</v>
      </c>
      <c r="AD537"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537" t="n">
        <v>0</v>
      </c>
      <c r="AF537" t="n">
        <v>0</v>
      </c>
      <c r="AG537" t="inlineStr">
        <is>
          <t>The student's submission has multiple errors and does not implement the `ColorizationDataset` class correctly. The `rgb_to_grayscale` method has a syntax error and the `__getitem__` method is not implemented. As a result, the student does not receive any points for this task.
Breakdown:
- Correctly implemented `ColorizationDataset` class:: 0.0/?
- Any mistake in implementation: 0.0/?</t>
        </is>
      </c>
      <c r="AH537" t="n">
        <v>18</v>
      </c>
      <c r="AI537" t="n">
        <v>0</v>
      </c>
    </row>
    <row r="538">
      <c r="A538" t="n">
        <v>537</v>
      </c>
      <c r="B538" t="inlineStr">
        <is>
          <t>TA_10</t>
        </is>
      </c>
      <c r="C538" t="inlineStr">
        <is>
          <t>TA_20</t>
        </is>
      </c>
      <c r="D538" t="n">
        <v>12</v>
      </c>
      <c r="E538" t="n">
        <v>4</v>
      </c>
      <c r="F538" t="n">
        <v>11</v>
      </c>
      <c r="G538" t="n">
        <v>1</v>
      </c>
      <c r="H538" t="n">
        <v>12</v>
      </c>
      <c r="I538" t="n">
        <v>0</v>
      </c>
      <c r="J538" t="n">
        <v>12</v>
      </c>
      <c r="K538" t="n">
        <v>4</v>
      </c>
      <c r="L538" t="n">
        <v>11</v>
      </c>
      <c r="M538" t="n">
        <v>0</v>
      </c>
      <c r="N538" t="n">
        <v>12</v>
      </c>
      <c r="O538" t="n">
        <v>0</v>
      </c>
      <c r="P538">
        <f>Table1[[#This Row],[TA 1 - Q1 Score]]+Table1[[#This Row],[TA 1 - Q2 Score]]+Table1[[#This Row],[TA 1 - Q3 Score]]</f>
        <v/>
      </c>
      <c r="Q538">
        <f>Table1[[#This Row],[TA 1 - Q1 Bonus]]+Table1[[#This Row],[TA 1 - Q2 Bonus]]+Table1[[#This Row],[TA 1 - Q4 Bonus]]</f>
        <v/>
      </c>
      <c r="R538">
        <f>Table1[[#This Row],[TA 2 - Q1 Score]]+Table1[[#This Row],[TA 2 - Q2 Score]]+Table1[[#This Row],[TA 2 - Q3 Score]]</f>
        <v/>
      </c>
      <c r="S538">
        <f>Table1[[#This Row],[TA 2 - Q1 Bonus]]+Table1[[#This Row],[TA 2 - Q2 Bonus]]+Table1[[#This Row],[TA 2 - Q4 Bonus]]</f>
        <v/>
      </c>
      <c r="T538">
        <f>(Table1[[#This Row],[TA 1 - Total Score (out of 35)]]+Table1[[#This Row],[TA 2 - Total Score (out of 35)]])/2</f>
        <v/>
      </c>
      <c r="U538">
        <f>(Table1[[#This Row],[TA 1 - Total Bonus (out of 13)]]+Table1[[#This Row],[TA 2 - Total Bonus (out of 13)]])/2</f>
        <v/>
      </c>
      <c r="V538">
        <f>Table1[[#This Row],[Average Questions]]/35*20+Table1[[#This Row],[Average Bonus]]/13*5</f>
        <v/>
      </c>
      <c r="W538" t="n">
        <v>6</v>
      </c>
      <c r="X538" t="n">
        <v>0</v>
      </c>
      <c r="Y538"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end-to-end.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538" t="n">
        <v>4</v>
      </c>
      <c r="AA538" t="n">
        <v>0</v>
      </c>
      <c r="AB538" t="inlineStr">
        <is>
          <t>The student's submission failed to meet the requirements of the task. The code was not organized and did not run end-to-end. The student did not attempt to load and prepare the data, build the CNN model, define the training and validation functions, train the model, or implement the residual connection. As a result, the student did not earn any points for these tasks.
Breakdown:
- Part 1: Load and Prepare Data: 0.0/?
- Part 2: Build the CNN Model: 0.0/?
- Part 3: Training and Validation Functions: 0.0/?
- Part 4: Training: 0.0/?
- Part 5: Bonus — Residual Connection: 0.0/?</t>
        </is>
      </c>
      <c r="AC538" t="n">
        <v>6</v>
      </c>
      <c r="AD538" t="inlineStr">
        <is>
          <t>The student's submission was incomplete and contained several errors. They failed to complete tasks 1, 2, 3, and 4, and their implementation of task 5 was not entirely correct. The student's code was not well-organized and did not follow the provided structure. As a result, they were unable to complete the majority of the tasks and were only able to receive partial credit for task 5.
Breakdown:
- Task 1: Dataset Class: 0.0/?
- Task 2: Model Class: 0.0/?
- Task 3: Training and Validation Loops: 0.0/?
- Task 4: Running Training: 0.0/?
- Task 5: Visualizing Predictions: 6.0/?</t>
        </is>
      </c>
      <c r="AE538" t="n">
        <v>0</v>
      </c>
      <c r="AF538" t="n">
        <v>0</v>
      </c>
      <c r="AG538" t="inlineStr">
        <is>
          <t>No submission found.</t>
        </is>
      </c>
      <c r="AH538" t="n">
        <v>16</v>
      </c>
      <c r="AI538" t="n">
        <v>0</v>
      </c>
    </row>
    <row r="539">
      <c r="A539" t="n">
        <v>538</v>
      </c>
      <c r="B539" t="inlineStr">
        <is>
          <t>TA_10</t>
        </is>
      </c>
      <c r="C539" t="inlineStr">
        <is>
          <t>TA_20</t>
        </is>
      </c>
      <c r="D539" t="n">
        <v>10.5</v>
      </c>
      <c r="E539" t="n">
        <v>0</v>
      </c>
      <c r="F539" t="n">
        <v>8.5</v>
      </c>
      <c r="G539" t="n">
        <v>0</v>
      </c>
      <c r="H539" t="n">
        <v>6</v>
      </c>
      <c r="I539" t="n">
        <v>0</v>
      </c>
      <c r="J539" t="n">
        <v>9.5</v>
      </c>
      <c r="K539" t="n">
        <v>0</v>
      </c>
      <c r="L539" t="n">
        <v>9</v>
      </c>
      <c r="M539" t="n">
        <v>0</v>
      </c>
      <c r="N539" t="n">
        <v>8.5</v>
      </c>
      <c r="O539" t="n">
        <v>0</v>
      </c>
      <c r="P539">
        <f>Table1[[#This Row],[TA 1 - Q1 Score]]+Table1[[#This Row],[TA 1 - Q2 Score]]+Table1[[#This Row],[TA 1 - Q3 Score]]</f>
        <v/>
      </c>
      <c r="Q539">
        <f>Table1[[#This Row],[TA 1 - Q1 Bonus]]+Table1[[#This Row],[TA 1 - Q2 Bonus]]+Table1[[#This Row],[TA 1 - Q4 Bonus]]</f>
        <v/>
      </c>
      <c r="R539">
        <f>Table1[[#This Row],[TA 2 - Q1 Score]]+Table1[[#This Row],[TA 2 - Q2 Score]]+Table1[[#This Row],[TA 2 - Q3 Score]]</f>
        <v/>
      </c>
      <c r="S539">
        <f>Table1[[#This Row],[TA 2 - Q1 Bonus]]+Table1[[#This Row],[TA 2 - Q2 Bonus]]+Table1[[#This Row],[TA 2 - Q4 Bonus]]</f>
        <v/>
      </c>
      <c r="T539">
        <f>(Table1[[#This Row],[TA 1 - Total Score (out of 35)]]+Table1[[#This Row],[TA 2 - Total Score (out of 35)]])/2</f>
        <v/>
      </c>
      <c r="U539">
        <f>(Table1[[#This Row],[TA 1 - Total Bonus (out of 13)]]+Table1[[#This Row],[TA 2 - Total Bonus (out of 13)]])/2</f>
        <v/>
      </c>
      <c r="V539">
        <f>Table1[[#This Row],[Average Questions]]/35*20+Table1[[#This Row],[Average Bonus]]/13*5</f>
        <v/>
      </c>
      <c r="W539" t="n">
        <v>6</v>
      </c>
      <c r="X539" t="n">
        <v>0</v>
      </c>
      <c r="Y539"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submission did not demonstrate a clear understanding of the required tasks and concepts.
Breakdown:
- Part 1: Load and Prepare Data: 0.0/?
- Part 2: Load Pretrained Model and Adapt: 0.0/?
- Part 3: Training and Validation Functions: 0.0/?
- Part 4: Training: 2.0/?
- Part 5: Bonus — Test Time Augmentation: 0.0/?</t>
        </is>
      </c>
      <c r="Z539" t="n">
        <v>4</v>
      </c>
      <c r="AA539" t="n">
        <v>0</v>
      </c>
      <c r="AB539"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points for each task.
Breakdown:
- Part 1: Load and Prepare Data: 0.0/?
- Part 2: Build the CNN Model: 0.0/?
- Part 3: Training and Validation Functions: 0.0/?
- Part 4: Training: 0.0/?
- Part 5: Bonus — Residual Connection: 0.0/?</t>
        </is>
      </c>
      <c r="AC539" t="n">
        <v>6</v>
      </c>
      <c r="AD539" t="inlineStr">
        <is>
          <t>The student's submission failed to meet the requirements of the task. The code was not organized, and the structure was different from the reference solution. The student attempted to write code for each task, but the code was not correct, and the tasks were not completed. The student did not follow the instructions and did not use the correct approach. As a result, the student did not earn any points for this task.
Breakdown:
- Task 1: Dataset Class: 0.0/?
- Task 2: Model Class: 0.0/?
- Task 3: Training and Validation Loops: 0.0/?
- Task 4: Running Training: 0.0/?
- Task 5: Visualizing Predictions: 0.0/?</t>
        </is>
      </c>
      <c r="AE539" t="n">
        <v>0</v>
      </c>
      <c r="AF539" t="n">
        <v>0</v>
      </c>
      <c r="AG539" t="inlineStr">
        <is>
          <t>No submission found.</t>
        </is>
      </c>
      <c r="AH539" t="n">
        <v>16</v>
      </c>
      <c r="AI539" t="n">
        <v>0</v>
      </c>
    </row>
    <row r="540">
      <c r="A540" t="n">
        <v>539</v>
      </c>
      <c r="B540" t="inlineStr">
        <is>
          <t>TA_10</t>
        </is>
      </c>
      <c r="C540" t="inlineStr">
        <is>
          <t>TA_20</t>
        </is>
      </c>
      <c r="D540" t="n">
        <v>11.5</v>
      </c>
      <c r="E540" t="n">
        <v>0</v>
      </c>
      <c r="F540" t="n">
        <v>9.5</v>
      </c>
      <c r="G540" t="n">
        <v>1</v>
      </c>
      <c r="H540" t="n">
        <v>6.5</v>
      </c>
      <c r="I540" t="n">
        <v>0</v>
      </c>
      <c r="J540" t="n">
        <v>11.5</v>
      </c>
      <c r="K540" t="n">
        <v>0</v>
      </c>
      <c r="L540" t="n">
        <v>9</v>
      </c>
      <c r="M540" t="n">
        <v>3</v>
      </c>
      <c r="N540" t="n">
        <v>8</v>
      </c>
      <c r="O540" t="n">
        <v>0</v>
      </c>
      <c r="P540">
        <f>Table1[[#This Row],[TA 1 - Q1 Score]]+Table1[[#This Row],[TA 1 - Q2 Score]]+Table1[[#This Row],[TA 1 - Q3 Score]]</f>
        <v/>
      </c>
      <c r="Q540">
        <f>Table1[[#This Row],[TA 1 - Q1 Bonus]]+Table1[[#This Row],[TA 1 - Q2 Bonus]]+Table1[[#This Row],[TA 1 - Q4 Bonus]]</f>
        <v/>
      </c>
      <c r="R540">
        <f>Table1[[#This Row],[TA 2 - Q1 Score]]+Table1[[#This Row],[TA 2 - Q2 Score]]+Table1[[#This Row],[TA 2 - Q3 Score]]</f>
        <v/>
      </c>
      <c r="S540">
        <f>Table1[[#This Row],[TA 2 - Q1 Bonus]]+Table1[[#This Row],[TA 2 - Q2 Bonus]]+Table1[[#This Row],[TA 2 - Q4 Bonus]]</f>
        <v/>
      </c>
      <c r="T540">
        <f>(Table1[[#This Row],[TA 1 - Total Score (out of 35)]]+Table1[[#This Row],[TA 2 - Total Score (out of 35)]])/2</f>
        <v/>
      </c>
      <c r="U540">
        <f>(Table1[[#This Row],[TA 1 - Total Bonus (out of 13)]]+Table1[[#This Row],[TA 2 - Total Bonus (out of 13)]])/2</f>
        <v/>
      </c>
      <c r="V540">
        <f>Table1[[#This Row],[Average Questions]]/35*20+Table1[[#This Row],[Average Bonus]]/13*5</f>
        <v/>
      </c>
      <c r="W540" t="n">
        <v>6</v>
      </c>
      <c r="X540" t="n">
        <v>0</v>
      </c>
      <c r="Y540" t="inlineStr">
        <is>
          <t>The student's submission failed to complete several key tasks, including loading and preparing the data, loading the pretrained model and adapting it, and training the model. While they did attempt to implement the training and validation functions, their code contained syntax errors and did not run correctly. Additionally, they did not implement test time augmentation as required for the bonus task. As a result, the student's score is significantly lower than the maximum possible score.
Breakdown:
- Part 1: Load and Prepare Data: 0.0/?
- Part 2: Load Pretrained Model and Adapt: 0.0/?
- Part 3: Training and Validation Functions: 1.5/?
- Part 4: Training: 0.0/?
- Part 5: Bonus — Test Time Augmentation: 0.0/?</t>
        </is>
      </c>
      <c r="Z540" t="n">
        <v>6</v>
      </c>
      <c r="AA540" t="n">
        <v>0</v>
      </c>
      <c r="AB540"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The bonus task, which involved adding a residual connection to the model, was also not attempted. As a result, the student's score is limited to the 2 points awarded for the training task.
Breakdown:
- Part 1: Load and Prepare Data: 0.0/?
- Part 2: Build the CNN Model: 0.0/?
- Part 3: Training and Validation Functions: 0.0/?
- Part 4: Training: 2.0/?
- Part 5: Bonus — Residual Connection: 0.0/?</t>
        </is>
      </c>
      <c r="AC540" t="n">
        <v>6</v>
      </c>
      <c r="AD540" t="inlineStr">
        <is>
          <t>The student's submission failed to meet the requirements of the task. The code was not organized correctly, and many tasks were not implemented. The student attempted to define the dataset class, but it was not correct. The model class was not defined correctly, and the training and validation loops were not implemented. The training loop was not implemented correctly, and the model was not trained. The visualization of predictions was not implemented correctly. Overall, the student's submission did not meet the requirements of the task.
Breakdown:
- Task 1: Dataset Class: 0.0/?
- Task 2: Model Class: 0.0/?
- Task 3: Training and Validation Loops: 0.0/?
- Task 4: Running Training: 0.0/?
- Task 5: Visualizing Predictions: 0.0/?</t>
        </is>
      </c>
      <c r="AE540" t="n">
        <v>0</v>
      </c>
      <c r="AF540" t="n">
        <v>0</v>
      </c>
      <c r="AG540" t="inlineStr">
        <is>
          <t>No submission found.</t>
        </is>
      </c>
      <c r="AH540" t="n">
        <v>18</v>
      </c>
      <c r="AI540" t="n">
        <v>0</v>
      </c>
    </row>
    <row r="541">
      <c r="A541" t="n">
        <v>540</v>
      </c>
      <c r="B541" t="inlineStr">
        <is>
          <t>TA_10</t>
        </is>
      </c>
      <c r="C541" t="inlineStr">
        <is>
          <t>TA_20</t>
        </is>
      </c>
      <c r="D541" t="n">
        <v>8.5</v>
      </c>
      <c r="E541" t="n">
        <v>0</v>
      </c>
      <c r="F541" t="n">
        <v>10.5</v>
      </c>
      <c r="G541" t="n">
        <v>0</v>
      </c>
      <c r="H541" t="n">
        <v>12</v>
      </c>
      <c r="I541" t="n">
        <v>0</v>
      </c>
      <c r="J541" t="n">
        <v>11.5</v>
      </c>
      <c r="K541" t="n">
        <v>0</v>
      </c>
      <c r="L541" t="n">
        <v>10.5</v>
      </c>
      <c r="M541" t="n">
        <v>0</v>
      </c>
      <c r="N541" t="n">
        <v>12</v>
      </c>
      <c r="O541" t="n">
        <v>0</v>
      </c>
      <c r="P541">
        <f>Table1[[#This Row],[TA 1 - Q1 Score]]+Table1[[#This Row],[TA 1 - Q2 Score]]+Table1[[#This Row],[TA 1 - Q3 Score]]</f>
        <v/>
      </c>
      <c r="Q541">
        <f>Table1[[#This Row],[TA 1 - Q1 Bonus]]+Table1[[#This Row],[TA 1 - Q2 Bonus]]+Table1[[#This Row],[TA 1 - Q4 Bonus]]</f>
        <v/>
      </c>
      <c r="R541">
        <f>Table1[[#This Row],[TA 2 - Q1 Score]]+Table1[[#This Row],[TA 2 - Q2 Score]]+Table1[[#This Row],[TA 2 - Q3 Score]]</f>
        <v/>
      </c>
      <c r="S541">
        <f>Table1[[#This Row],[TA 2 - Q1 Bonus]]+Table1[[#This Row],[TA 2 - Q2 Bonus]]+Table1[[#This Row],[TA 2 - Q4 Bonus]]</f>
        <v/>
      </c>
      <c r="T541">
        <f>(Table1[[#This Row],[TA 1 - Total Score (out of 35)]]+Table1[[#This Row],[TA 2 - Total Score (out of 35)]])/2</f>
        <v/>
      </c>
      <c r="U541">
        <f>(Table1[[#This Row],[TA 1 - Total Bonus (out of 13)]]+Table1[[#This Row],[TA 2 - Total Bonus (out of 13)]])/2</f>
        <v/>
      </c>
      <c r="V541">
        <f>Table1[[#This Row],[Average Questions]]/35*20+Table1[[#This Row],[Average Bonus]]/13*5</f>
        <v/>
      </c>
      <c r="W541" t="n">
        <v>6</v>
      </c>
      <c r="X541" t="n">
        <v>0</v>
      </c>
      <c r="Y541" t="inlineStr">
        <is>
          <t>The student's submission failed to complete several key tasks, including loading and preparing the data, loading a pretrained model, and training the model. While they did attempt to implement the training and validation functions, their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541" t="n">
        <v>6</v>
      </c>
      <c r="AA541" t="n">
        <v>0</v>
      </c>
      <c r="AB541"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any points for the base tasks. The bonus task was also not completed, resulting in a score of 0 for the bonus.
Breakdown:
- Part 1: Load and Prepare Data: 0.0/?
- Part 2: Build the CNN Model: 0.0/?
- Part 3: Training and Validation Functions: 0.0/?
- Part 4: Training: 2.0/?
- Part 5: Bonus — Residual Connection: 0.0/?</t>
        </is>
      </c>
      <c r="AC541" t="n">
        <v>6</v>
      </c>
      <c r="AD541" t="inlineStr">
        <is>
          <t>The student's submission was incomplete and failed to run end-to-end for most tasks. While they attempted to visualize predictions, their code was not fully correct and relied on missing imports and incorrect usage of the model's output. As a result, the student did not demonstrate a clear understanding of the required tasks and their implementation.
Breakdown:
- Task 1: Dataset Class: 0.0/?
- Task 2: Model Class: 0.0/?
- Task 3: Training and Validation Loops: 0.0/?
- Task 4: Running Training: 0.0/?
- Task 5: Visualizing Predictions: 6.0/?</t>
        </is>
      </c>
      <c r="AE541" t="n">
        <v>0</v>
      </c>
      <c r="AF541" t="n">
        <v>0</v>
      </c>
      <c r="AG541" t="inlineStr">
        <is>
          <t>No submission found.</t>
        </is>
      </c>
      <c r="AH541" t="n">
        <v>18</v>
      </c>
      <c r="AI541" t="n">
        <v>0</v>
      </c>
    </row>
    <row r="542">
      <c r="A542" t="n">
        <v>541</v>
      </c>
      <c r="B542" t="inlineStr">
        <is>
          <t>TA_10</t>
        </is>
      </c>
      <c r="C542" t="inlineStr">
        <is>
          <t>TA_20</t>
        </is>
      </c>
      <c r="D542" t="n">
        <v>8.5</v>
      </c>
      <c r="E542" t="n">
        <v>0</v>
      </c>
      <c r="F542" t="n">
        <v>7.25</v>
      </c>
      <c r="G542" t="n">
        <v>0</v>
      </c>
      <c r="H542" t="n">
        <v>3.25</v>
      </c>
      <c r="I542" t="n">
        <v>0</v>
      </c>
      <c r="J542" t="n">
        <v>8.5</v>
      </c>
      <c r="K542" t="n">
        <v>0</v>
      </c>
      <c r="L542" t="n">
        <v>6.75</v>
      </c>
      <c r="M542" t="n">
        <v>0</v>
      </c>
      <c r="N542" t="n">
        <v>9.5</v>
      </c>
      <c r="O542" t="n">
        <v>0</v>
      </c>
      <c r="P542">
        <f>Table1[[#This Row],[TA 1 - Q1 Score]]+Table1[[#This Row],[TA 1 - Q2 Score]]+Table1[[#This Row],[TA 1 - Q3 Score]]</f>
        <v/>
      </c>
      <c r="Q542">
        <f>Table1[[#This Row],[TA 1 - Q1 Bonus]]+Table1[[#This Row],[TA 1 - Q2 Bonus]]+Table1[[#This Row],[TA 1 - Q4 Bonus]]</f>
        <v/>
      </c>
      <c r="R542">
        <f>Table1[[#This Row],[TA 2 - Q1 Score]]+Table1[[#This Row],[TA 2 - Q2 Score]]+Table1[[#This Row],[TA 2 - Q3 Score]]</f>
        <v/>
      </c>
      <c r="S542">
        <f>Table1[[#This Row],[TA 2 - Q1 Bonus]]+Table1[[#This Row],[TA 2 - Q2 Bonus]]+Table1[[#This Row],[TA 2 - Q4 Bonus]]</f>
        <v/>
      </c>
      <c r="T542">
        <f>(Table1[[#This Row],[TA 1 - Total Score (out of 35)]]+Table1[[#This Row],[TA 2 - Total Score (out of 35)]])/2</f>
        <v/>
      </c>
      <c r="U542">
        <f>(Table1[[#This Row],[TA 1 - Total Bonus (out of 13)]]+Table1[[#This Row],[TA 2 - Total Bonus (out of 13)]])/2</f>
        <v/>
      </c>
      <c r="V542">
        <f>Table1[[#This Row],[Average Questions]]/35*20+Table1[[#This Row],[Average Bonus]]/13*5</f>
        <v/>
      </c>
      <c r="W542" t="n">
        <v>6</v>
      </c>
      <c r="X542" t="n">
        <v>0</v>
      </c>
      <c r="Y542" t="inlineStr">
        <is>
          <t>The student's submission failed to complete several key tasks, including loading and preparing the data, loading a pretrained model and adapting it, and implementing training and validation functions. While the student did attempt to train the model, their implementation was incomplete and did not follow the reference solution. As a result, the student earned a score of 6.0, with the majority of the points coming from the training task. The bonus task was not attempted, resulting in a bonus score of 0.0.
Breakdown:
- Part 1: Load and Prepare Data: 0.0/?
- Part 2: Load Pretrained Model and Adapt: 0.0/?
- Part 3: Training and Validation Functions: 0.0/?
- Part 4: Training: 6.0/?
- Part 5: Bonus — Test Time Augmentation: 0.0/?</t>
        </is>
      </c>
      <c r="Z542" t="n">
        <v>4</v>
      </c>
      <c r="AA542" t="n">
        <v>0</v>
      </c>
      <c r="AB542" t="inlineStr">
        <is>
          <t>The submission failed to load and prepare the data correctly, as it did not use the provided dataset paths. The CNN model was not built as per the reference solution, and the training and validation functions were not implemented. The training process was also not executed. The bonus task of adding a residual connection was not attempted.
Breakdown:
- Part 1: Load and Prepare Data: 0.0/?
- Part 2: Build the CNN Model: 0.0/?
- Part 3: Training and Validation Functions: 0.0/?
- Part 4: Training: 0.0/?
- Part 5: Bonus — Residual Connection: 0.0/?</t>
        </is>
      </c>
      <c r="AC542" t="n">
        <v>6</v>
      </c>
      <c r="AD542" t="inlineStr">
        <is>
          <t>The student's submission failed to meet the requirements of several tasks. The dataset class was not implemented, the model class was not defined correctly, the training and validation loops were not implemented correctly, the training process was not implemented correctly,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542" t="n">
        <v>0</v>
      </c>
      <c r="AF542" t="n">
        <v>0</v>
      </c>
      <c r="AG542" t="inlineStr">
        <is>
          <t>The student's submission does not meet the requirements of the task. The `ColorizationDataset` class is not implemented correctly, and the implementation contains several mistakes. As a result, the student does not receive any points for this task.
Breakdown:
- Correctly implemented `ColorizationDataset` class:: 0.0/?
- Any mistake in implementation: 0.0/?</t>
        </is>
      </c>
      <c r="AH542" t="n">
        <v>16</v>
      </c>
      <c r="AI542" t="n">
        <v>0</v>
      </c>
    </row>
    <row r="543">
      <c r="A543" t="n">
        <v>542</v>
      </c>
      <c r="B543" t="inlineStr">
        <is>
          <t>TA_10</t>
        </is>
      </c>
      <c r="C543" t="inlineStr">
        <is>
          <t>TA_20</t>
        </is>
      </c>
      <c r="D543" t="n">
        <v>6.5</v>
      </c>
      <c r="E543" t="n">
        <v>0</v>
      </c>
      <c r="F543" t="n">
        <v>9.5</v>
      </c>
      <c r="G543" t="n">
        <v>0</v>
      </c>
      <c r="H543" t="n">
        <v>7</v>
      </c>
      <c r="I543" t="n">
        <v>0</v>
      </c>
      <c r="J543" t="n">
        <v>9</v>
      </c>
      <c r="K543" t="n">
        <v>0</v>
      </c>
      <c r="L543" t="n">
        <v>9.5</v>
      </c>
      <c r="M543" t="n">
        <v>0</v>
      </c>
      <c r="N543" t="n">
        <v>10</v>
      </c>
      <c r="O543" t="n">
        <v>0</v>
      </c>
      <c r="P543">
        <f>Table1[[#This Row],[TA 1 - Q1 Score]]+Table1[[#This Row],[TA 1 - Q2 Score]]+Table1[[#This Row],[TA 1 - Q3 Score]]</f>
        <v/>
      </c>
      <c r="Q543">
        <f>Table1[[#This Row],[TA 1 - Q1 Bonus]]+Table1[[#This Row],[TA 1 - Q2 Bonus]]+Table1[[#This Row],[TA 1 - Q4 Bonus]]</f>
        <v/>
      </c>
      <c r="R543">
        <f>Table1[[#This Row],[TA 2 - Q1 Score]]+Table1[[#This Row],[TA 2 - Q2 Score]]+Table1[[#This Row],[TA 2 - Q3 Score]]</f>
        <v/>
      </c>
      <c r="S543">
        <f>Table1[[#This Row],[TA 2 - Q1 Bonus]]+Table1[[#This Row],[TA 2 - Q2 Bonus]]+Table1[[#This Row],[TA 2 - Q4 Bonus]]</f>
        <v/>
      </c>
      <c r="T543">
        <f>(Table1[[#This Row],[TA 1 - Total Score (out of 35)]]+Table1[[#This Row],[TA 2 - Total Score (out of 35)]])/2</f>
        <v/>
      </c>
      <c r="U543">
        <f>(Table1[[#This Row],[TA 1 - Total Bonus (out of 13)]]+Table1[[#This Row],[TA 2 - Total Bonus (out of 13)]])/2</f>
        <v/>
      </c>
      <c r="V543">
        <f>Table1[[#This Row],[Average Questions]]/35*20+Table1[[#This Row],[Average Bonus]]/13*5</f>
        <v/>
      </c>
      <c r="W543" t="n">
        <v>6</v>
      </c>
      <c r="X543" t="n">
        <v>0</v>
      </c>
      <c r="Y543" t="inlineStr">
        <is>
          <t>The student's submission failed to complete several key tasks, including loading and preparing the data, loading a pretrained model, and training the model. While they attempted to implement the training and validation functions, their code contained syntax errors and did not run correctly. The bonus task of implementing test time augmentation was also not completed. Overall, the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543" t="n">
        <v>4</v>
      </c>
      <c r="AA543" t="n">
        <v>0</v>
      </c>
      <c r="AB543"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543" t="n">
        <v>6</v>
      </c>
      <c r="AD543"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43" t="n">
        <v>0</v>
      </c>
      <c r="AF543" t="n">
        <v>0</v>
      </c>
      <c r="AG543" t="inlineStr">
        <is>
          <t>No submission found.</t>
        </is>
      </c>
      <c r="AH543" t="n">
        <v>16</v>
      </c>
      <c r="AI543" t="n">
        <v>0</v>
      </c>
    </row>
    <row r="544">
      <c r="A544" t="n">
        <v>543</v>
      </c>
      <c r="B544" t="inlineStr">
        <is>
          <t>TA_10</t>
        </is>
      </c>
      <c r="C544" t="inlineStr">
        <is>
          <t>TA_20</t>
        </is>
      </c>
      <c r="D544" t="n">
        <v>3.25</v>
      </c>
      <c r="E544" t="n">
        <v>0</v>
      </c>
      <c r="F544" t="n">
        <v>5.3</v>
      </c>
      <c r="G544" t="n">
        <v>0</v>
      </c>
      <c r="H544" t="n">
        <v>5.25</v>
      </c>
      <c r="I544" t="n">
        <v>0</v>
      </c>
      <c r="J544" t="n">
        <v>3.25</v>
      </c>
      <c r="K544" t="n">
        <v>0</v>
      </c>
      <c r="L544" t="n">
        <v>5.5</v>
      </c>
      <c r="M544" t="n">
        <v>0</v>
      </c>
      <c r="N544" t="n">
        <v>6.75</v>
      </c>
      <c r="O544" t="n">
        <v>0</v>
      </c>
      <c r="P544">
        <f>Table1[[#This Row],[TA 1 - Q1 Score]]+Table1[[#This Row],[TA 1 - Q2 Score]]+Table1[[#This Row],[TA 1 - Q3 Score]]</f>
        <v/>
      </c>
      <c r="Q544">
        <f>Table1[[#This Row],[TA 1 - Q1 Bonus]]+Table1[[#This Row],[TA 1 - Q2 Bonus]]+Table1[[#This Row],[TA 1 - Q4 Bonus]]</f>
        <v/>
      </c>
      <c r="R544">
        <f>Table1[[#This Row],[TA 2 - Q1 Score]]+Table1[[#This Row],[TA 2 - Q2 Score]]+Table1[[#This Row],[TA 2 - Q3 Score]]</f>
        <v/>
      </c>
      <c r="S544">
        <f>Table1[[#This Row],[TA 2 - Q1 Bonus]]+Table1[[#This Row],[TA 2 - Q2 Bonus]]+Table1[[#This Row],[TA 2 - Q4 Bonus]]</f>
        <v/>
      </c>
      <c r="T544">
        <f>(Table1[[#This Row],[TA 1 - Total Score (out of 35)]]+Table1[[#This Row],[TA 2 - Total Score (out of 35)]])/2</f>
        <v/>
      </c>
      <c r="U544">
        <f>(Table1[[#This Row],[TA 1 - Total Bonus (out of 13)]]+Table1[[#This Row],[TA 2 - Total Bonus (out of 13)]])/2</f>
        <v/>
      </c>
      <c r="V544">
        <f>Table1[[#This Row],[Average Questions]]/35*20+Table1[[#This Row],[Average Bonus]]/13*5</f>
        <v/>
      </c>
      <c r="W544" t="n">
        <v>6</v>
      </c>
      <c r="X544" t="n">
        <v>0</v>
      </c>
      <c r="Y544" t="inlineStr">
        <is>
          <t>The student's submission failed to complete several key tasks, including loading and preparing the data, loading a pretrained model, and implementing training and validation functions. The code also failed to train the model and implement test time augmentation. While the student made some attempts, the submission was incomplete and did not run end-to-end. As a result, the student earned 0 points for each task.
Breakdown:
- Part 1: Load and Prepare Data: 0.0/?
- Part 2: Load Pretrained Model and Adapt: 0.0/?
- Part 3: Training and Validation Functions: 0.0/?
- Part 4: Training: 0.0/?
- Part 5: Bonus — Test Time Augmentation: 0.0/?</t>
        </is>
      </c>
      <c r="Z544" t="n">
        <v>4</v>
      </c>
      <c r="AA544" t="n">
        <v>0</v>
      </c>
      <c r="AB544"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544" t="n">
        <v>6</v>
      </c>
      <c r="AD544" t="inlineStr">
        <is>
          <t>The student's submission failed to meet the requirements of several tasks. The dataset class was not defined correctly, and the model class used a different encoder and number of classes. The training and validation loops were also not defined correctly, using BCEWithLogitsLoss instead of CrossEntropyLoss. Additionally, the training loop was not defined correctly, and no code was submitted for visualizing predictions. As a result, the student received a score of 6.0, with no bonus points awarded.
Breakdown:
- Task 1: Dataset Class: 0.0/?
- Task 2: Model Class: 0.0/?
- Task 3: Training and Validation Loops: 0.0/?
- Task 4: Running Training: 0.0/?
- Task 5: Visualizing Predictions: 0.0/?</t>
        </is>
      </c>
      <c r="AE544" t="n">
        <v>0</v>
      </c>
      <c r="AF544" t="n">
        <v>0</v>
      </c>
      <c r="AG544" t="inlineStr">
        <is>
          <t>No submission found.</t>
        </is>
      </c>
      <c r="AH544" t="n">
        <v>16</v>
      </c>
      <c r="AI544" t="n">
        <v>0</v>
      </c>
    </row>
    <row r="545">
      <c r="A545" t="n">
        <v>544</v>
      </c>
      <c r="B545" t="inlineStr">
        <is>
          <t>TA_10</t>
        </is>
      </c>
      <c r="C545" t="inlineStr">
        <is>
          <t>TA_20</t>
        </is>
      </c>
      <c r="D545" t="n">
        <v>5</v>
      </c>
      <c r="E545" t="n">
        <v>4</v>
      </c>
      <c r="F545" t="n">
        <v>10</v>
      </c>
      <c r="G545" t="n">
        <v>1</v>
      </c>
      <c r="H545" t="n">
        <v>11.5</v>
      </c>
      <c r="I545" t="n">
        <v>0</v>
      </c>
      <c r="J545" t="n">
        <v>6.5</v>
      </c>
      <c r="K545" t="n">
        <v>3</v>
      </c>
      <c r="L545" t="n">
        <v>11</v>
      </c>
      <c r="M545" t="n">
        <v>0</v>
      </c>
      <c r="N545" t="n">
        <v>12</v>
      </c>
      <c r="O545" t="n">
        <v>0</v>
      </c>
      <c r="P545">
        <f>Table1[[#This Row],[TA 1 - Q1 Score]]+Table1[[#This Row],[TA 1 - Q2 Score]]+Table1[[#This Row],[TA 1 - Q3 Score]]</f>
        <v/>
      </c>
      <c r="Q545">
        <f>Table1[[#This Row],[TA 1 - Q1 Bonus]]+Table1[[#This Row],[TA 1 - Q2 Bonus]]+Table1[[#This Row],[TA 1 - Q4 Bonus]]</f>
        <v/>
      </c>
      <c r="R545">
        <f>Table1[[#This Row],[TA 2 - Q1 Score]]+Table1[[#This Row],[TA 2 - Q2 Score]]+Table1[[#This Row],[TA 2 - Q3 Score]]</f>
        <v/>
      </c>
      <c r="S545">
        <f>Table1[[#This Row],[TA 2 - Q1 Bonus]]+Table1[[#This Row],[TA 2 - Q2 Bonus]]+Table1[[#This Row],[TA 2 - Q4 Bonus]]</f>
        <v/>
      </c>
      <c r="T545">
        <f>(Table1[[#This Row],[TA 1 - Total Score (out of 35)]]+Table1[[#This Row],[TA 2 - Total Score (out of 35)]])/2</f>
        <v/>
      </c>
      <c r="U545">
        <f>(Table1[[#This Row],[TA 1 - Total Bonus (out of 13)]]+Table1[[#This Row],[TA 2 - Total Bonus (out of 13)]])/2</f>
        <v/>
      </c>
      <c r="V545">
        <f>Table1[[#This Row],[Average Questions]]/35*20+Table1[[#This Row],[Average Bonus]]/13*5</f>
        <v/>
      </c>
      <c r="W545" t="n">
        <v>6</v>
      </c>
      <c r="X545" t="n">
        <v>0</v>
      </c>
      <c r="Y545" t="inlineStr">
        <is>
          <t>The student's submission failed to address any of the tasks outlined in the rubric. The code provided does not attempt to load and prepare the data, load a pretrained model, define training and validation functions, train the model, or implement test time augmentation. As a result, the student earned 0 points for each task, resulting in a total score of 0.0 for the base tasks and 0.0 for the bonus task.
Breakdown:
- Part 1: Load and Prepare Data: 0.0/?
- Part 2: Load Pretrained Model and Adapt: 0.0/?
- Part 3: Training and Validation Functions: 0.0/?
- Part 4: Training: 0.0/?
- Part 5: Bonus — Test Time Augmentation: 0.0/?</t>
        </is>
      </c>
      <c r="Z545" t="n">
        <v>4</v>
      </c>
      <c r="AA545" t="n">
        <v>0</v>
      </c>
      <c r="AB545"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545" t="n">
        <v>6</v>
      </c>
      <c r="AD545" t="inlineStr">
        <is>
          <t>The student's submission failed to meet the requirements of the task, with no code submitted for several tasks. The code that was submitted contained errors and did not run correctly. As a result, the student was awarded 0 points for each task.
Breakdown:
- Task 1: Dataset Class: 0.0/?
- Task 2: Model Class: 0.0/?
- Task 3: Training and Validation Loops: 0.0/?
- Task 4: Running Training: 0.0/?
- Task 5: Visualizing Predictions: 0.0/?</t>
        </is>
      </c>
      <c r="AE545" t="n">
        <v>0</v>
      </c>
      <c r="AF545" t="n">
        <v>0</v>
      </c>
      <c r="AG545" t="inlineStr">
        <is>
          <t>The student's submission has multiple errors, including syntax errors and incorrect logic. The `ColorizationDataset` class is not implemented correctly, and the `rgb_to_grayscale` method has a syntax error. Additionally, the `__getitem__` method is not implemented correctly. As a result, the submission does not meet the requirements of the task and does not award any points.
Breakdown:
- Correctly implemented `ColorizationDataset` class:: 0.0/?
- Any mistake in implementation: 0.0/?</t>
        </is>
      </c>
      <c r="AH545" t="n">
        <v>16</v>
      </c>
      <c r="AI545" t="n">
        <v>0</v>
      </c>
    </row>
    <row r="546">
      <c r="A546" t="n">
        <v>545</v>
      </c>
      <c r="B546" t="inlineStr">
        <is>
          <t>TA_10</t>
        </is>
      </c>
      <c r="C546" t="inlineStr">
        <is>
          <t>TA_20</t>
        </is>
      </c>
      <c r="D546" t="n">
        <v>12</v>
      </c>
      <c r="E546" t="n">
        <v>4</v>
      </c>
      <c r="F546" t="n">
        <v>11</v>
      </c>
      <c r="G546" t="n">
        <v>4</v>
      </c>
      <c r="H546" t="n">
        <v>11.25</v>
      </c>
      <c r="I546" t="n">
        <v>5</v>
      </c>
      <c r="J546" t="n">
        <v>12</v>
      </c>
      <c r="K546" t="n">
        <v>4</v>
      </c>
      <c r="L546" t="n">
        <v>11</v>
      </c>
      <c r="M546" t="n">
        <v>4</v>
      </c>
      <c r="N546" t="n">
        <v>12</v>
      </c>
      <c r="O546" t="n">
        <v>5</v>
      </c>
      <c r="P546">
        <f>Table1[[#This Row],[TA 1 - Q1 Score]]+Table1[[#This Row],[TA 1 - Q2 Score]]+Table1[[#This Row],[TA 1 - Q3 Score]]</f>
        <v/>
      </c>
      <c r="Q546">
        <f>Table1[[#This Row],[TA 1 - Q1 Bonus]]+Table1[[#This Row],[TA 1 - Q2 Bonus]]+Table1[[#This Row],[TA 1 - Q4 Bonus]]</f>
        <v/>
      </c>
      <c r="R546">
        <f>Table1[[#This Row],[TA 2 - Q1 Score]]+Table1[[#This Row],[TA 2 - Q2 Score]]+Table1[[#This Row],[TA 2 - Q3 Score]]</f>
        <v/>
      </c>
      <c r="S546">
        <f>Table1[[#This Row],[TA 2 - Q1 Bonus]]+Table1[[#This Row],[TA 2 - Q2 Bonus]]+Table1[[#This Row],[TA 2 - Q4 Bonus]]</f>
        <v/>
      </c>
      <c r="T546">
        <f>(Table1[[#This Row],[TA 1 - Total Score (out of 35)]]+Table1[[#This Row],[TA 2 - Total Score (out of 35)]])/2</f>
        <v/>
      </c>
      <c r="U546">
        <f>(Table1[[#This Row],[TA 1 - Total Bonus (out of 13)]]+Table1[[#This Row],[TA 2 - Total Bonus (out of 13)]])/2</f>
        <v/>
      </c>
      <c r="V546">
        <f>Table1[[#This Row],[Average Questions]]/35*20+Table1[[#This Row],[Average Bonus]]/13*5</f>
        <v/>
      </c>
      <c r="W546" t="n">
        <v>6</v>
      </c>
      <c r="X546" t="n">
        <v>0</v>
      </c>
      <c r="Y546"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546" t="n">
        <v>4</v>
      </c>
      <c r="AA546" t="n">
        <v>0</v>
      </c>
      <c r="AB54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546" t="n">
        <v>6</v>
      </c>
      <c r="AD546" t="inlineStr">
        <is>
          <t>The student's submission was incomplete and lacked code for most tasks. The only task that was attempted was Task 5: Visualizing Predictions, where the student's code was mostly correct but did not meet all the requirements. As a result, the student scored 6.0 out of 12.0 for the base tasks and 0.0 out of 0.0 for the bonus tasks.
Breakdown:
- Task 1: Dataset Class: 0.0/?
- Task 2: Model Class: 0.0/?
- Task 3: Training and Validation Loops: 0.0/?
- Task 4: Running Training: 0.0/?
- Task 5: Visualizing Predictions: 6.0/?</t>
        </is>
      </c>
      <c r="AE546" t="n">
        <v>0</v>
      </c>
      <c r="AF546" t="n">
        <v>0</v>
      </c>
      <c r="AG546" t="inlineStr">
        <is>
          <t>The student's submission attempts to implement the `ColorizationDataset` class, but it is not fully correct. The `rgb_to_grayscale` method has a syntax error and the `__getitem__` method does not correctly return the grayscale and color images. As a result, the student does not receive any points for this task.
Breakdown:
- Correctly implemented `ColorizationDataset` class:: 0.0/?</t>
        </is>
      </c>
      <c r="AH546" t="n">
        <v>16</v>
      </c>
      <c r="AI546" t="n">
        <v>0</v>
      </c>
    </row>
    <row r="547">
      <c r="A547" t="n">
        <v>546</v>
      </c>
      <c r="B547" t="inlineStr">
        <is>
          <t>TA_10</t>
        </is>
      </c>
      <c r="C547" t="inlineStr">
        <is>
          <t>TA_20</t>
        </is>
      </c>
      <c r="D547" t="n">
        <v>5</v>
      </c>
      <c r="E547" t="n">
        <v>0</v>
      </c>
      <c r="F547" t="n">
        <v>10.75</v>
      </c>
      <c r="G547" t="n">
        <v>0</v>
      </c>
      <c r="H547" t="n">
        <v>5</v>
      </c>
      <c r="I547" t="n">
        <v>0</v>
      </c>
      <c r="J547" t="n">
        <v>8.5</v>
      </c>
      <c r="K547" t="n">
        <v>0</v>
      </c>
      <c r="L547" t="n">
        <v>10.5</v>
      </c>
      <c r="M547" t="n">
        <v>0</v>
      </c>
      <c r="N547" t="n">
        <v>9.75</v>
      </c>
      <c r="O547" t="n">
        <v>0</v>
      </c>
      <c r="P547">
        <f>Table1[[#This Row],[TA 1 - Q1 Score]]+Table1[[#This Row],[TA 1 - Q2 Score]]+Table1[[#This Row],[TA 1 - Q3 Score]]</f>
        <v/>
      </c>
      <c r="Q547">
        <f>Table1[[#This Row],[TA 1 - Q1 Bonus]]+Table1[[#This Row],[TA 1 - Q2 Bonus]]+Table1[[#This Row],[TA 1 - Q4 Bonus]]</f>
        <v/>
      </c>
      <c r="R547">
        <f>Table1[[#This Row],[TA 2 - Q1 Score]]+Table1[[#This Row],[TA 2 - Q2 Score]]+Table1[[#This Row],[TA 2 - Q3 Score]]</f>
        <v/>
      </c>
      <c r="S547">
        <f>Table1[[#This Row],[TA 2 - Q1 Bonus]]+Table1[[#This Row],[TA 2 - Q2 Bonus]]+Table1[[#This Row],[TA 2 - Q4 Bonus]]</f>
        <v/>
      </c>
      <c r="T547">
        <f>(Table1[[#This Row],[TA 1 - Total Score (out of 35)]]+Table1[[#This Row],[TA 2 - Total Score (out of 35)]])/2</f>
        <v/>
      </c>
      <c r="U547">
        <f>(Table1[[#This Row],[TA 1 - Total Bonus (out of 13)]]+Table1[[#This Row],[TA 2 - Total Bonus (out of 13)]])/2</f>
        <v/>
      </c>
      <c r="V547">
        <f>Table1[[#This Row],[Average Questions]]/35*20+Table1[[#This Row],[Average Bonus]]/13*5</f>
        <v/>
      </c>
      <c r="W547" t="n">
        <v>6</v>
      </c>
      <c r="X547" t="n">
        <v>0</v>
      </c>
      <c r="Y547" t="inlineStr">
        <is>
          <t>The student's submission failed to complete several key tasks, including loading and preparing the data, loading the pretrained model and adapting it, and implementing the training and validation functions. While the student did attempt to train the model, their implementation was incomplete and did not follow the reference solution. As a result, the student was unable to achieve the full score for the question.
Breakdown:
- Part 1: Load and Prepare Data: 0.0/?
- Part 2: Load Pretrained Model and Adapt: 0.0/?
- Part 3: Training and Validation Functions: 0.0/?
- Part 4: Training: 6.0/?
- Part 5: Bonus — Test Time Augmentation: 0.0/?</t>
        </is>
      </c>
      <c r="Z547" t="n">
        <v>4</v>
      </c>
      <c r="AA547" t="n">
        <v>0</v>
      </c>
      <c r="AB547"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disorganized and does not run end-to-end. As a result, the student receives 0% for each task.
Breakdown:
- Part 1: Load and Prepare Data: 0.0/?
- Part 2: Build the CNN Model: 0.0/?
- Part 3: Training and Validation Functions: 0.0/?
- Part 4: Training: 0.0/?
- Part 5: Bonus — Residual Connection: 0.0/?</t>
        </is>
      </c>
      <c r="AC547" t="n">
        <v>6</v>
      </c>
      <c r="AD54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out of 0.0 for the bonus tasks.
Breakdown:
- Task 1: Dataset Class: 0.0/?
- Task 2: Model Class: 0.0/?
- Task 3: Training and Validation Loops: 0.0/?
- Task 4: Running Training: 0.0/?
- Task 5: Visualizing Predictions: 6.0/?</t>
        </is>
      </c>
      <c r="AE547" t="n">
        <v>0</v>
      </c>
      <c r="AF547" t="n">
        <v>0</v>
      </c>
      <c r="AG547" t="inlineStr">
        <is>
          <t>The student's submission contains multiple errors and does not correctly implement the `ColorizationDataset` class. The `__init__` method does not store the dataset, the `__len__` method does not return the correct length, the `rgb_to_grayscale` method does not apply the correct formula, and the `__getitem__` method does not return the correct (grayscale, color) tuple. Additionally, the implementation contains multiple syntax and logic mistakes. As a result, the student does not receive any points for this task.
Breakdown:
- Correctly implemented `ColorizationDataset` class:: 0.0/?
- Any mistake in implementation: 0.0/?</t>
        </is>
      </c>
      <c r="AH547" t="n">
        <v>16</v>
      </c>
      <c r="AI547" t="n">
        <v>0</v>
      </c>
    </row>
    <row r="548">
      <c r="A548" t="n">
        <v>547</v>
      </c>
      <c r="B548" t="inlineStr">
        <is>
          <t>TA_10</t>
        </is>
      </c>
      <c r="C548" t="inlineStr">
        <is>
          <t>TA_20</t>
        </is>
      </c>
      <c r="D548" t="n">
        <v>9.5</v>
      </c>
      <c r="E548" t="n">
        <v>3</v>
      </c>
      <c r="F548" t="n">
        <v>9</v>
      </c>
      <c r="G548" t="n">
        <v>0</v>
      </c>
      <c r="H548" t="n">
        <v>10.75</v>
      </c>
      <c r="I548" t="n">
        <v>0</v>
      </c>
      <c r="J548" t="n">
        <v>9.5</v>
      </c>
      <c r="K548" t="n">
        <v>0</v>
      </c>
      <c r="L548" t="n">
        <v>9</v>
      </c>
      <c r="M548" t="n">
        <v>0</v>
      </c>
      <c r="N548" t="n">
        <v>12</v>
      </c>
      <c r="O548" t="n">
        <v>0</v>
      </c>
      <c r="P548">
        <f>Table1[[#This Row],[TA 1 - Q1 Score]]+Table1[[#This Row],[TA 1 - Q2 Score]]+Table1[[#This Row],[TA 1 - Q3 Score]]</f>
        <v/>
      </c>
      <c r="Q548">
        <f>Table1[[#This Row],[TA 1 - Q1 Bonus]]+Table1[[#This Row],[TA 1 - Q2 Bonus]]+Table1[[#This Row],[TA 1 - Q4 Bonus]]</f>
        <v/>
      </c>
      <c r="R548">
        <f>Table1[[#This Row],[TA 2 - Q1 Score]]+Table1[[#This Row],[TA 2 - Q2 Score]]+Table1[[#This Row],[TA 2 - Q3 Score]]</f>
        <v/>
      </c>
      <c r="S548">
        <f>Table1[[#This Row],[TA 2 - Q1 Bonus]]+Table1[[#This Row],[TA 2 - Q2 Bonus]]+Table1[[#This Row],[TA 2 - Q4 Bonus]]</f>
        <v/>
      </c>
      <c r="T548">
        <f>(Table1[[#This Row],[TA 1 - Total Score (out of 35)]]+Table1[[#This Row],[TA 2 - Total Score (out of 35)]])/2</f>
        <v/>
      </c>
      <c r="U548">
        <f>(Table1[[#This Row],[TA 1 - Total Bonus (out of 13)]]+Table1[[#This Row],[TA 2 - Total Bonus (out of 13)]])/2</f>
        <v/>
      </c>
      <c r="V548">
        <f>Table1[[#This Row],[Average Questions]]/35*20+Table1[[#This Row],[Average Bonus]]/13*5</f>
        <v/>
      </c>
      <c r="W548" t="n">
        <v>6</v>
      </c>
      <c r="X548" t="n">
        <v>0</v>
      </c>
      <c r="Y54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bonus task of implementing test time augmentation was not attempted. Overall, the student's submission demonstrated a lack of understanding of the required tasks and concepts.
Breakdown:
- Part 1: Load and Prepare Data: 0.0/?
- Part 2: Load Pretrained Model and Adapt: 0.0/?
- Part 3: Training and Validation Functions: 0.0/?
- Part 4: Training: 2.0/?
- Part 5: Bonus — Test Time Augmentation: 0.0/?</t>
        </is>
      </c>
      <c r="Z548" t="n">
        <v>6</v>
      </c>
      <c r="AA548" t="n">
        <v>0</v>
      </c>
      <c r="AB548" t="inlineStr">
        <is>
          <t>The student's submission failed to load and prepare the data correctly, as they used the wrong transform for the test dataset. The CNN model was partially correct, but the student did not implement the training and validation functions or the training process. The bonus task of adding a residual connection was not attempted. Overall, the submission demonstrates a lack of understanding of the required tasks and concepts.
Breakdown:
- Part 1: Load and Prepare Data: 0.0/?
- Part 2: Build the CNN Model: 2.0/?
- Part 3: Training and Validation Functions: 0.0/?
- Part 4: Training: 0.0/?
- Part 5: Bonus — Residual Connection: 0.0/?</t>
        </is>
      </c>
      <c r="AC548" t="n">
        <v>6</v>
      </c>
      <c r="AD548" t="inlineStr">
        <is>
          <t>The student's submission is incomplete and does not follow the reference solution. The code is fragmented, and many tasks are not implemented correctly. The student needs to revisit the reference solution and complete the tasks properly to receive a higher score.
Breakdown:
- Task 1: Dataset Class: 0.0/?
- Task 2: Model Class: 0.0/?
- Task 3: Training and Validation Loops: 0.0/?
- Task 4: Running Training: 0.0/?
- Task 5: Visualizing Predictions: 0.0/?</t>
        </is>
      </c>
      <c r="AE548" t="n">
        <v>0</v>
      </c>
      <c r="AF548" t="n">
        <v>0</v>
      </c>
      <c r="AG548" t="inlineStr">
        <is>
          <t>No submission found.</t>
        </is>
      </c>
      <c r="AH548" t="n">
        <v>18</v>
      </c>
      <c r="AI548" t="n">
        <v>0</v>
      </c>
    </row>
    <row r="549">
      <c r="A549" t="n">
        <v>548</v>
      </c>
      <c r="B549" t="inlineStr">
        <is>
          <t>TA_10</t>
        </is>
      </c>
      <c r="C549" t="inlineStr">
        <is>
          <t>TA_20</t>
        </is>
      </c>
      <c r="D549" t="n">
        <v>4</v>
      </c>
      <c r="E549" t="n">
        <v>0</v>
      </c>
      <c r="F549" t="n">
        <v>4</v>
      </c>
      <c r="G549" t="n">
        <v>0</v>
      </c>
      <c r="H549" t="n">
        <v>2.75</v>
      </c>
      <c r="I549" t="n">
        <v>0</v>
      </c>
      <c r="J549" t="n">
        <v>6.5</v>
      </c>
      <c r="K549" t="n">
        <v>0</v>
      </c>
      <c r="L549" t="n">
        <v>6</v>
      </c>
      <c r="M549" t="n">
        <v>0</v>
      </c>
      <c r="N549" t="n">
        <v>8.25</v>
      </c>
      <c r="O549" t="n">
        <v>0</v>
      </c>
      <c r="P549">
        <f>Table1[[#This Row],[TA 1 - Q1 Score]]+Table1[[#This Row],[TA 1 - Q2 Score]]+Table1[[#This Row],[TA 1 - Q3 Score]]</f>
        <v/>
      </c>
      <c r="Q549">
        <f>Table1[[#This Row],[TA 1 - Q1 Bonus]]+Table1[[#This Row],[TA 1 - Q2 Bonus]]+Table1[[#This Row],[TA 1 - Q4 Bonus]]</f>
        <v/>
      </c>
      <c r="R549">
        <f>Table1[[#This Row],[TA 2 - Q1 Score]]+Table1[[#This Row],[TA 2 - Q2 Score]]+Table1[[#This Row],[TA 2 - Q3 Score]]</f>
        <v/>
      </c>
      <c r="S549">
        <f>Table1[[#This Row],[TA 2 - Q1 Bonus]]+Table1[[#This Row],[TA 2 - Q2 Bonus]]+Table1[[#This Row],[TA 2 - Q4 Bonus]]</f>
        <v/>
      </c>
      <c r="T549">
        <f>(Table1[[#This Row],[TA 1 - Total Score (out of 35)]]+Table1[[#This Row],[TA 2 - Total Score (out of 35)]])/2</f>
        <v/>
      </c>
      <c r="U549">
        <f>(Table1[[#This Row],[TA 1 - Total Bonus (out of 13)]]+Table1[[#This Row],[TA 2 - Total Bonus (out of 13)]])/2</f>
        <v/>
      </c>
      <c r="V549">
        <f>Table1[[#This Row],[Average Questions]]/35*20+Table1[[#This Row],[Average Bonus]]/13*5</f>
        <v/>
      </c>
      <c r="W549" t="n">
        <v>6</v>
      </c>
      <c r="X549" t="n">
        <v>0</v>
      </c>
      <c r="Y549" t="inlineStr">
        <is>
          <t>The student's submission failed to complete several key tasks, including loading and preparing the data, loading a pretrained model, and training the model. The code for the training and validation functions was partially correct, but the student failed to fix the labels, resulting in a loss of 2 points. The bonus task was not attempted. Overall, the submission demonstrates a lack of understanding of the required tasks and a failure to follow the instructions.
Breakdown:
- Part 1: Load and Prepare Data: 0.0/?
- Part 2: Load Pretrained Model and Adapt: 0.0/?
- Part 3: Training and Validation Functions: 1.5/?
- Part 4: Training: 0.0/?
- Part 5: Bonus — Test Time Augmentation: 0.0/?</t>
        </is>
      </c>
      <c r="Z549" t="n">
        <v>4</v>
      </c>
      <c r="AA549" t="n">
        <v>0</v>
      </c>
      <c r="AB549"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549" t="n">
        <v>6</v>
      </c>
      <c r="AD549" t="inlineStr">
        <is>
          <t>The student's submission failed to meet the requirements of the task. They did not define the dataset class, model class, training and validation loops, or visualize predictions correctly. The model class was not defined correctly, and the training and validation loops were not defined correctly. The student also did not train the model for 10 epochs. As a result, the submission was awarded 0 points for each task.
Breakdown:
- Task 1: Dataset Class: 0.0/?
- Task 2: Model Class: 0.0/?
- Task 3: Training and Validation Loops: 0.0/?
- Task 4: Running Training: 0.0/?
- Task 5: Visualizing Predictions: 0.0/?</t>
        </is>
      </c>
      <c r="AE549" t="n">
        <v>0</v>
      </c>
      <c r="AF549" t="n">
        <v>0</v>
      </c>
      <c r="AG549" t="inlineStr">
        <is>
          <t>No submission found.</t>
        </is>
      </c>
      <c r="AH549" t="n">
        <v>16</v>
      </c>
      <c r="AI549" t="n">
        <v>0</v>
      </c>
    </row>
    <row r="550">
      <c r="A550" t="n">
        <v>549</v>
      </c>
      <c r="B550" t="inlineStr">
        <is>
          <t>TA_10</t>
        </is>
      </c>
      <c r="C550" t="inlineStr">
        <is>
          <t>TA_20</t>
        </is>
      </c>
      <c r="D550" t="n">
        <v>6.5</v>
      </c>
      <c r="E550" t="n">
        <v>0</v>
      </c>
      <c r="F550" t="n">
        <v>9</v>
      </c>
      <c r="G550" t="n">
        <v>0</v>
      </c>
      <c r="H550" t="n">
        <v>5.25</v>
      </c>
      <c r="I550" t="n">
        <v>0</v>
      </c>
      <c r="J550" t="n">
        <v>8</v>
      </c>
      <c r="K550" t="n">
        <v>0</v>
      </c>
      <c r="L550" t="n">
        <v>9</v>
      </c>
      <c r="M550" t="n">
        <v>0</v>
      </c>
      <c r="N550" t="n">
        <v>11</v>
      </c>
      <c r="O550" t="n">
        <v>0</v>
      </c>
      <c r="P550">
        <f>Table1[[#This Row],[TA 1 - Q1 Score]]+Table1[[#This Row],[TA 1 - Q2 Score]]+Table1[[#This Row],[TA 1 - Q3 Score]]</f>
        <v/>
      </c>
      <c r="Q550">
        <f>Table1[[#This Row],[TA 1 - Q1 Bonus]]+Table1[[#This Row],[TA 1 - Q2 Bonus]]+Table1[[#This Row],[TA 1 - Q4 Bonus]]</f>
        <v/>
      </c>
      <c r="R550">
        <f>Table1[[#This Row],[TA 2 - Q1 Score]]+Table1[[#This Row],[TA 2 - Q2 Score]]+Table1[[#This Row],[TA 2 - Q3 Score]]</f>
        <v/>
      </c>
      <c r="S550">
        <f>Table1[[#This Row],[TA 2 - Q1 Bonus]]+Table1[[#This Row],[TA 2 - Q2 Bonus]]+Table1[[#This Row],[TA 2 - Q4 Bonus]]</f>
        <v/>
      </c>
      <c r="T550">
        <f>(Table1[[#This Row],[TA 1 - Total Score (out of 35)]]+Table1[[#This Row],[TA 2 - Total Score (out of 35)]])/2</f>
        <v/>
      </c>
      <c r="U550">
        <f>(Table1[[#This Row],[TA 1 - Total Bonus (out of 13)]]+Table1[[#This Row],[TA 2 - Total Bonus (out of 13)]])/2</f>
        <v/>
      </c>
      <c r="V550">
        <f>Table1[[#This Row],[Average Questions]]/35*20+Table1[[#This Row],[Average Bonus]]/13*5</f>
        <v/>
      </c>
      <c r="W550" t="n">
        <v>6</v>
      </c>
      <c r="X550" t="n">
        <v>0</v>
      </c>
      <c r="Y550" t="inlineStr">
        <is>
          <t>The student's submission failed to complete several key tasks, including loading and preparing the data, loading a pretrained model and adapting it, and implementing training and validation functions. While the student made an attempt at training the model, their code contained several errors and did not run end-to-end. The bonus task of implementing test time augmentation was also not completed. As a result, the student's score is limited to the points awarded for the training task, which was partially completed.
Breakdown:
- Part 1: Load and Prepare Data: 0.0/?
- Part 2: Load Pretrained Model and Adapt: 0.0/?
- Part 3: Training and Validation Functions: 0.0/?
- Part 4: Training: 2.0/?
- Part 5: Bonus — Test Time Augmentation: 0.0/?</t>
        </is>
      </c>
      <c r="Z550" t="n">
        <v>4</v>
      </c>
      <c r="AA550" t="n">
        <v>0</v>
      </c>
      <c r="AB550" t="inlineStr">
        <is>
          <t>The submission failed to load and prepare the data correctly, as the dataset class or ImageFolder was not implemented. The CNN model was not built with the correct architecture, and the training and validation functions were not defined. The training process was also not implemented correctly. The bonus task of adding a residual connection was not attempted. Overall, the submission lacked a clear understanding of the task requirements and failed to implement the necessary code to complete the tasks.
Breakdown:
- Part 1: Load and Prepare Data: 0.0/?
- Part 2: Build the CNN Model: 0.0/?
- Part 3: Training and Validation Functions: 0.0/?
- Part 4: Training: 0.0/?
- Part 5: Bonus — Residual Connection: 0.0/?</t>
        </is>
      </c>
      <c r="AC550" t="n">
        <v>6</v>
      </c>
      <c r="AD550" t="inlineStr">
        <is>
          <t>The student's submission failed to meet the requirements of the task. They did not implement the dataset class, model class, training and validation loops, running training, and visualizing predictions correctly. The code was not organized and was missing essential components. As a result, the student did not earn any points for this task.
Breakdown:
- Task 1: Dataset Class: 0.0/?
- Task 2: Model Class: 0.0/?
- Task 3: Training and Validation Loops: 0.0/?
- Task 4: Running Training: 0.0/?
- Task 5: Visualizing Predictions: 0.0/?</t>
        </is>
      </c>
      <c r="AE550" t="n">
        <v>0</v>
      </c>
      <c r="AF550" t="n">
        <v>0</v>
      </c>
      <c r="AG550" t="inlineStr">
        <is>
          <t>No submission found.</t>
        </is>
      </c>
      <c r="AH550" t="n">
        <v>16</v>
      </c>
      <c r="AI550" t="n">
        <v>0</v>
      </c>
    </row>
    <row r="551">
      <c r="A551" t="n">
        <v>550</v>
      </c>
      <c r="B551" t="inlineStr">
        <is>
          <t>TA_10</t>
        </is>
      </c>
      <c r="C551" t="inlineStr">
        <is>
          <t>TA_20</t>
        </is>
      </c>
      <c r="D551" t="n">
        <v>11.5</v>
      </c>
      <c r="E551" t="n">
        <v>4</v>
      </c>
      <c r="F551" t="n">
        <v>7.9</v>
      </c>
      <c r="G551" t="n">
        <v>0</v>
      </c>
      <c r="H551" t="n">
        <v>6</v>
      </c>
      <c r="I551" t="n">
        <v>0</v>
      </c>
      <c r="J551" t="n">
        <v>11.5</v>
      </c>
      <c r="K551" t="n">
        <v>4</v>
      </c>
      <c r="L551" t="n">
        <v>9</v>
      </c>
      <c r="M551" t="n">
        <v>0</v>
      </c>
      <c r="N551" t="n">
        <v>6.5</v>
      </c>
      <c r="O551" t="n">
        <v>0</v>
      </c>
      <c r="P551">
        <f>Table1[[#This Row],[TA 1 - Q1 Score]]+Table1[[#This Row],[TA 1 - Q2 Score]]+Table1[[#This Row],[TA 1 - Q3 Score]]</f>
        <v/>
      </c>
      <c r="Q551">
        <f>Table1[[#This Row],[TA 1 - Q1 Bonus]]+Table1[[#This Row],[TA 1 - Q2 Bonus]]+Table1[[#This Row],[TA 1 - Q4 Bonus]]</f>
        <v/>
      </c>
      <c r="R551">
        <f>Table1[[#This Row],[TA 2 - Q1 Score]]+Table1[[#This Row],[TA 2 - Q2 Score]]+Table1[[#This Row],[TA 2 - Q3 Score]]</f>
        <v/>
      </c>
      <c r="S551">
        <f>Table1[[#This Row],[TA 2 - Q1 Bonus]]+Table1[[#This Row],[TA 2 - Q2 Bonus]]+Table1[[#This Row],[TA 2 - Q4 Bonus]]</f>
        <v/>
      </c>
      <c r="T551">
        <f>(Table1[[#This Row],[TA 1 - Total Score (out of 35)]]+Table1[[#This Row],[TA 2 - Total Score (out of 35)]])/2</f>
        <v/>
      </c>
      <c r="U551">
        <f>(Table1[[#This Row],[TA 1 - Total Bonus (out of 13)]]+Table1[[#This Row],[TA 2 - Total Bonus (out of 13)]])/2</f>
        <v/>
      </c>
      <c r="V551">
        <f>Table1[[#This Row],[Average Questions]]/35*20+Table1[[#This Row],[Average Bonus]]/13*5</f>
        <v/>
      </c>
      <c r="W551" t="n">
        <v>6</v>
      </c>
      <c r="X551" t="n">
        <v>0</v>
      </c>
      <c r="Y551" t="inlineStr">
        <is>
          <t>The student's submission failed to complete several key tasks, including loading and preparing the data, loading a pretrained model, and adapting it for the task. The training and validation functions were partially implemented, but the student failed to fix the labels, resulting in a penalty. The training loop was also incomplete. The bonus task of implementing test time augmentation was not attempted.
Breakdown:
- Part 1: Load and Prepare Data: 0.0/?
- Part 2: Load Pretrained Model and Adapt: 0.0/?
- Part 3: Training and Validation Functions: 1.5/?
- Part 4: Training: 2.5/?
- Part 5: Bonus — Test Time Augmentation: 0.0/?</t>
        </is>
      </c>
      <c r="Z551" t="n">
        <v>4</v>
      </c>
      <c r="AA551" t="n">
        <v>0</v>
      </c>
      <c r="AB551" t="inlineStr">
        <is>
          <t>The student's submission failed to meet the requirements of the task. The code is disorganized and does not follow the structure of the reference solution. The student attempted to load and prepare the data, but the code is incomplete and does not display sample images with labels. The CNN model is not built correctly, and the training and validation functions are not implemented. The student did not attempt to train the model or implement the residual connection.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551" t="n">
        <v>6</v>
      </c>
      <c r="AD551"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51" t="n">
        <v>0</v>
      </c>
      <c r="AF551" t="n">
        <v>0</v>
      </c>
      <c r="AG551" t="inlineStr">
        <is>
          <t>No submission found.</t>
        </is>
      </c>
      <c r="AH551" t="n">
        <v>16</v>
      </c>
      <c r="AI551" t="n">
        <v>0</v>
      </c>
    </row>
    <row r="552">
      <c r="A552" t="n">
        <v>551</v>
      </c>
      <c r="B552" t="inlineStr">
        <is>
          <t>TA_10</t>
        </is>
      </c>
      <c r="C552" t="inlineStr">
        <is>
          <t>TA_20</t>
        </is>
      </c>
      <c r="D552" t="n">
        <v>12</v>
      </c>
      <c r="E552" t="n">
        <v>4</v>
      </c>
      <c r="F552" t="n">
        <v>11</v>
      </c>
      <c r="G552" t="n">
        <v>0</v>
      </c>
      <c r="H552" t="n">
        <v>9.5</v>
      </c>
      <c r="I552" t="n">
        <v>0</v>
      </c>
      <c r="J552" t="n">
        <v>12</v>
      </c>
      <c r="K552" t="n">
        <v>4</v>
      </c>
      <c r="L552" t="n">
        <v>11</v>
      </c>
      <c r="M552" t="n">
        <v>0</v>
      </c>
      <c r="N552" t="n">
        <v>9.75</v>
      </c>
      <c r="O552" t="n">
        <v>0</v>
      </c>
      <c r="P552">
        <f>Table1[[#This Row],[TA 1 - Q1 Score]]+Table1[[#This Row],[TA 1 - Q2 Score]]+Table1[[#This Row],[TA 1 - Q3 Score]]</f>
        <v/>
      </c>
      <c r="Q552">
        <f>Table1[[#This Row],[TA 1 - Q1 Bonus]]+Table1[[#This Row],[TA 1 - Q2 Bonus]]+Table1[[#This Row],[TA 1 - Q4 Bonus]]</f>
        <v/>
      </c>
      <c r="R552">
        <f>Table1[[#This Row],[TA 2 - Q1 Score]]+Table1[[#This Row],[TA 2 - Q2 Score]]+Table1[[#This Row],[TA 2 - Q3 Score]]</f>
        <v/>
      </c>
      <c r="S552">
        <f>Table1[[#This Row],[TA 2 - Q1 Bonus]]+Table1[[#This Row],[TA 2 - Q2 Bonus]]+Table1[[#This Row],[TA 2 - Q4 Bonus]]</f>
        <v/>
      </c>
      <c r="T552">
        <f>(Table1[[#This Row],[TA 1 - Total Score (out of 35)]]+Table1[[#This Row],[TA 2 - Total Score (out of 35)]])/2</f>
        <v/>
      </c>
      <c r="U552">
        <f>(Table1[[#This Row],[TA 1 - Total Bonus (out of 13)]]+Table1[[#This Row],[TA 2 - Total Bonus (out of 13)]])/2</f>
        <v/>
      </c>
      <c r="V552">
        <f>Table1[[#This Row],[Average Questions]]/35*20+Table1[[#This Row],[Average Bonus]]/13*5</f>
        <v/>
      </c>
      <c r="W552" t="n">
        <v>6</v>
      </c>
      <c r="X552" t="n">
        <v>0</v>
      </c>
      <c r="Y552"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552" t="n">
        <v>6</v>
      </c>
      <c r="AA552" t="n">
        <v>0</v>
      </c>
      <c r="AB552" t="inlineStr">
        <is>
          <t>The student's submission failed to meet the requirements for most tasks. In Part 1, the student failed to create a custom Dataset class or use ImageFolder, and did not display sample images with labels. In Part 2, the student did not build a CNN model with 5 convolutional layers. In Part 3, the student did not define the training loop function. In Part 4, the student partially completed the training task, but did not plot the training and validation losses and training and validation accuracy. In Part 5, the student did not redefine the CNN model with a residual connection. The student's submission did not demonstrate a clear understanding of the required tasks and concepts.
Breakdown:
- Part 1: Load and Prepare Data: 0.0/?
- Part 2: Build the CNN Model: 0.0/?
- Part 3: Training and Validation Functions: 0.0/?
- Part 4: Training: 2.0/?
- Part 5: Bonus — Residual Connection: 0.0/?</t>
        </is>
      </c>
      <c r="AC552" t="n">
        <v>6</v>
      </c>
      <c r="AD552" t="inlineStr">
        <is>
          <t>The student's submission was incomplete and lacked code for most tasks. While the code for visualizing predictions was mostly correct, it did not run end-to-end due to missing imports and incorrect usage of the model. As a result, the student was awarded 0 points for the first four tasks and 6 points for the fifth task.
Breakdown:
- Task 1: Dataset Class: 0.0/?
- Task 2: Model Class: 0.0/?
- Task 3: Training and Validation Loops: 0.0/?
- Task 4: Running Training: 0.0/?
- Task 5: Visualizing Predictions: 6.0/?</t>
        </is>
      </c>
      <c r="AE552" t="n">
        <v>0</v>
      </c>
      <c r="AF552" t="n">
        <v>0</v>
      </c>
      <c r="AG552" t="inlineStr">
        <is>
          <t>No submission found.</t>
        </is>
      </c>
      <c r="AH552" t="n">
        <v>18</v>
      </c>
      <c r="AI552" t="n">
        <v>0</v>
      </c>
    </row>
    <row r="553">
      <c r="A553" t="n">
        <v>552</v>
      </c>
      <c r="B553" t="inlineStr">
        <is>
          <t>TA_10</t>
        </is>
      </c>
      <c r="C553" t="inlineStr">
        <is>
          <t>TA_20</t>
        </is>
      </c>
      <c r="D553" t="n">
        <v>12</v>
      </c>
      <c r="E553" t="n">
        <v>4</v>
      </c>
      <c r="F553" t="n">
        <v>11</v>
      </c>
      <c r="G553" t="n">
        <v>0</v>
      </c>
      <c r="H553" t="n">
        <v>9.25</v>
      </c>
      <c r="I553" t="n">
        <v>0</v>
      </c>
      <c r="J553" t="n">
        <v>12</v>
      </c>
      <c r="K553" t="n">
        <v>3</v>
      </c>
      <c r="L553" t="n">
        <v>11</v>
      </c>
      <c r="M553" t="n">
        <v>0</v>
      </c>
      <c r="N553" t="n">
        <v>10.75</v>
      </c>
      <c r="O553" t="n">
        <v>0</v>
      </c>
      <c r="P553">
        <f>Table1[[#This Row],[TA 1 - Q1 Score]]+Table1[[#This Row],[TA 1 - Q2 Score]]+Table1[[#This Row],[TA 1 - Q3 Score]]</f>
        <v/>
      </c>
      <c r="Q553">
        <f>Table1[[#This Row],[TA 1 - Q1 Bonus]]+Table1[[#This Row],[TA 1 - Q2 Bonus]]+Table1[[#This Row],[TA 1 - Q4 Bonus]]</f>
        <v/>
      </c>
      <c r="R553">
        <f>Table1[[#This Row],[TA 2 - Q1 Score]]+Table1[[#This Row],[TA 2 - Q2 Score]]+Table1[[#This Row],[TA 2 - Q3 Score]]</f>
        <v/>
      </c>
      <c r="S553">
        <f>Table1[[#This Row],[TA 2 - Q1 Bonus]]+Table1[[#This Row],[TA 2 - Q2 Bonus]]+Table1[[#This Row],[TA 2 - Q4 Bonus]]</f>
        <v/>
      </c>
      <c r="T553">
        <f>(Table1[[#This Row],[TA 1 - Total Score (out of 35)]]+Table1[[#This Row],[TA 2 - Total Score (out of 35)]])/2</f>
        <v/>
      </c>
      <c r="U553">
        <f>(Table1[[#This Row],[TA 1 - Total Bonus (out of 13)]]+Table1[[#This Row],[TA 2 - Total Bonus (out of 13)]])/2</f>
        <v/>
      </c>
      <c r="V553">
        <f>Table1[[#This Row],[Average Questions]]/35*20+Table1[[#This Row],[Average Bonus]]/13*5</f>
        <v/>
      </c>
      <c r="W553" t="n">
        <v>6</v>
      </c>
      <c r="X553" t="n">
        <v>0</v>
      </c>
      <c r="Y553"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 also failed to implement test time augmentation correctly. Overall, the submission demonstrated a lack of understanding of the key concepts and a failure to follow the instructions.
Breakdown:
- Part 1: Load and Prepare Data: 0.0/?
- Part 2: Load Pretrained Model and Adapt: 0.0/?
- Part 3: Training and Validation Functions: 0.0/?
- Part 4: Training: 3.0/?
- Part 5: Bonus — Test Time Augmentation: 0.0/?</t>
        </is>
      </c>
      <c r="Z553" t="n">
        <v>6</v>
      </c>
      <c r="AA553" t="n">
        <v>0</v>
      </c>
      <c r="AB553" t="inlineStr">
        <is>
          <t>The student's submission failed to complete several key tasks, including loading and preparing the data, building the CNN model, and implementing the training and validation functions. While the student did attempt to train the model, their implementation was incomplete and did not follow the reference solution. As a result, the student did not earn any points for the base tasks, and their bonus task was also not completed.
Breakdown:
- Part 1: Load and Prepare Data: 0.0/?
- Part 2: Build the CNN Model: 0.0/?
- Part 3: Training and Validation Functions: 0.0/?
- Part 4: Training: 2.0/?
- Part 5: Bonus — Residual Connection: 0.0/?</t>
        </is>
      </c>
      <c r="AC553" t="n">
        <v>6</v>
      </c>
      <c r="AD553" t="inlineStr">
        <is>
          <t>The student's submission failed to meet the requirements of the task. The code was not organized, and the tasks were not completed correctly. The student did not use the correct model architecture, loss function, optimizer, or method to display the results. As a result, the student did not earn any points for this task.
Breakdown:
- Task 1: Dataset Class: 0.0/?
- Task 2: Model Class: 0.0/?
- Task 3: Training and Validation Loops: 0.0/?
- Task 4: Running Training: 0.0/?
- Task 5: Visualizing Predictions: 0.0/?</t>
        </is>
      </c>
      <c r="AE553" t="n">
        <v>0</v>
      </c>
      <c r="AF553" t="n">
        <v>0</v>
      </c>
      <c r="AG553" t="inlineStr">
        <is>
          <t>No submission found.</t>
        </is>
      </c>
      <c r="AH553" t="n">
        <v>18</v>
      </c>
      <c r="AI553" t="n">
        <v>0</v>
      </c>
    </row>
    <row r="554">
      <c r="A554" t="n">
        <v>553</v>
      </c>
      <c r="B554" t="inlineStr">
        <is>
          <t>TA_10</t>
        </is>
      </c>
      <c r="C554" t="inlineStr">
        <is>
          <t>TA_20</t>
        </is>
      </c>
      <c r="D554" t="n">
        <v>11</v>
      </c>
      <c r="E554" t="n">
        <v>4</v>
      </c>
      <c r="F554" t="n">
        <v>8.5</v>
      </c>
      <c r="G554" t="n">
        <v>1</v>
      </c>
      <c r="H554" t="n">
        <v>12</v>
      </c>
      <c r="I554" t="n">
        <v>5</v>
      </c>
      <c r="J554" t="n">
        <v>12</v>
      </c>
      <c r="K554" t="n">
        <v>3</v>
      </c>
      <c r="L554" t="n">
        <v>8.75</v>
      </c>
      <c r="M554" t="n">
        <v>0</v>
      </c>
      <c r="N554" t="n">
        <v>12</v>
      </c>
      <c r="O554" t="n">
        <v>5</v>
      </c>
      <c r="P554">
        <f>Table1[[#This Row],[TA 1 - Q1 Score]]+Table1[[#This Row],[TA 1 - Q2 Score]]+Table1[[#This Row],[TA 1 - Q3 Score]]</f>
        <v/>
      </c>
      <c r="Q554">
        <f>Table1[[#This Row],[TA 1 - Q1 Bonus]]+Table1[[#This Row],[TA 1 - Q2 Bonus]]+Table1[[#This Row],[TA 1 - Q4 Bonus]]</f>
        <v/>
      </c>
      <c r="R554">
        <f>Table1[[#This Row],[TA 2 - Q1 Score]]+Table1[[#This Row],[TA 2 - Q2 Score]]+Table1[[#This Row],[TA 2 - Q3 Score]]</f>
        <v/>
      </c>
      <c r="S554">
        <f>Table1[[#This Row],[TA 2 - Q1 Bonus]]+Table1[[#This Row],[TA 2 - Q2 Bonus]]+Table1[[#This Row],[TA 2 - Q4 Bonus]]</f>
        <v/>
      </c>
      <c r="T554">
        <f>(Table1[[#This Row],[TA 1 - Total Score (out of 35)]]+Table1[[#This Row],[TA 2 - Total Score (out of 35)]])/2</f>
        <v/>
      </c>
      <c r="U554">
        <f>(Table1[[#This Row],[TA 1 - Total Bonus (out of 13)]]+Table1[[#This Row],[TA 2 - Total Bonus (out of 13)]])/2</f>
        <v/>
      </c>
      <c r="V554">
        <f>Table1[[#This Row],[Average Questions]]/35*20+Table1[[#This Row],[Average Bonus]]/13*5</f>
        <v/>
      </c>
      <c r="W554" t="n">
        <v>9.5</v>
      </c>
      <c r="X554" t="n">
        <v>0</v>
      </c>
      <c r="Y554" t="inlineStr">
        <is>
          <t>The student's submission demonstrates a good understanding of the task requirements. However, they failed to complete several tasks, including Part 1: Load and Prepare Data, Part 2: Load Pretrained Model and Adapt, and Part 3: Training and Validation Functions. The code for these tasks is either incomplete or contains syntax/logic mistakes. The student also failed to implement Test Time Augmentation correctly, resulting in a score of 0 for the bonus task. Despite these errors, the student's submission shows potential, and with further refinement, they could achieve a higher score.
Breakdown:
- Part 1: Load and Prepare Data: 0.5/?
- Part 2: Load Pretrained Model and Adapt: 0.5/?
- Part 3: Training and Validation Functions: 0.5/?
- Part 4: Training: 2.5/?
- Part 5: Bonus — Test Time Augmentation: 0/?</t>
        </is>
      </c>
      <c r="Z554" t="n">
        <v>6</v>
      </c>
      <c r="AA554" t="n">
        <v>0</v>
      </c>
      <c r="AB554" t="inlineStr">
        <is>
          <t>The student's submission failed to load and prepare the data correctly, as the dataset class or ImageFolder was not implemented. The CNN model was partially built, but it lacked the correct number of convolutional layers and did not include batch normalization. The training and validation functions were not implemented, and the training process was not executed. The bonus task of adding a residual connection was not attempted. Overall, the submission demonstrated a lack of understanding of the required tasks and concepts.
Breakdown:
- Part 1: Load and Prepare Data: 0.0/?
- Part 2: Build the CNN Model: 2.0/?
- Part 3: Training and Validation Functions: 0.0/?
- Part 4: Training: 0.0/?
- Part 5: Bonus — Residual Connection: 0.0/?</t>
        </is>
      </c>
      <c r="AC554" t="n">
        <v>6</v>
      </c>
      <c r="AD554" t="inlineStr">
        <is>
          <t>The student's submission failed to meet the requirements of the task. The code was not organized, and several tasks were not completed correctly. The model class was not defined correctly, and the training and validation loops were not implemented. The loss and optimizer were not defined correctly, and the model was not trained. The predictions were not visualized correctly. As a result, the student did not earn any points for this task.
Breakdown:
- Task 1: Dataset Class: 0.0/?
- Task 2: Model Class: 0.0/?
- Task 3: Training and Validation Loops: 0.0/?
- Task 4: Running Training: 0.0/?
- Task 5: Visualizing Predictions: 0.0/?</t>
        </is>
      </c>
      <c r="AE554" t="n">
        <v>0</v>
      </c>
      <c r="AF554" t="n">
        <v>0</v>
      </c>
      <c r="AG554" t="inlineStr">
        <is>
          <t>The student's submission does not fully implement the `ColorizationDataset` class. The `rgb_to_grayscale` method incorrectly calculates the grayscale value, and the `__getitem__` method does not return the correct grayscale and color images. As a result, the submission does not meet the requirements of the task and does not earn any points.
Breakdown:
- Correctly implemented `ColorizationDataset` class:: 0.0/?</t>
        </is>
      </c>
      <c r="AH554" t="n">
        <v>21.5</v>
      </c>
      <c r="AI554" t="n">
        <v>0</v>
      </c>
    </row>
    <row r="555">
      <c r="A555" t="n">
        <v>554</v>
      </c>
      <c r="B555" t="inlineStr">
        <is>
          <t>TA_10</t>
        </is>
      </c>
      <c r="C555" t="inlineStr">
        <is>
          <t>TA_20</t>
        </is>
      </c>
      <c r="D555" t="n">
        <v>11.25</v>
      </c>
      <c r="E555" t="n">
        <v>0</v>
      </c>
      <c r="F555" t="n">
        <v>11</v>
      </c>
      <c r="G555" t="n">
        <v>0</v>
      </c>
      <c r="H555" t="n">
        <v>10.75</v>
      </c>
      <c r="I555" t="n">
        <v>0</v>
      </c>
      <c r="J555" t="n">
        <v>12</v>
      </c>
      <c r="K555" t="n">
        <v>0</v>
      </c>
      <c r="L555" t="n">
        <v>11</v>
      </c>
      <c r="M555" t="n">
        <v>1</v>
      </c>
      <c r="N555" t="n">
        <v>12</v>
      </c>
      <c r="O555" t="n">
        <v>0</v>
      </c>
      <c r="P555">
        <f>Table1[[#This Row],[TA 1 - Q1 Score]]+Table1[[#This Row],[TA 1 - Q2 Score]]+Table1[[#This Row],[TA 1 - Q3 Score]]</f>
        <v/>
      </c>
      <c r="Q555">
        <f>Table1[[#This Row],[TA 1 - Q1 Bonus]]+Table1[[#This Row],[TA 1 - Q2 Bonus]]+Table1[[#This Row],[TA 1 - Q4 Bonus]]</f>
        <v/>
      </c>
      <c r="R555">
        <f>Table1[[#This Row],[TA 2 - Q1 Score]]+Table1[[#This Row],[TA 2 - Q2 Score]]+Table1[[#This Row],[TA 2 - Q3 Score]]</f>
        <v/>
      </c>
      <c r="S555">
        <f>Table1[[#This Row],[TA 2 - Q1 Bonus]]+Table1[[#This Row],[TA 2 - Q2 Bonus]]+Table1[[#This Row],[TA 2 - Q4 Bonus]]</f>
        <v/>
      </c>
      <c r="T555">
        <f>(Table1[[#This Row],[TA 1 - Total Score (out of 35)]]+Table1[[#This Row],[TA 2 - Total Score (out of 35)]])/2</f>
        <v/>
      </c>
      <c r="U555">
        <f>(Table1[[#This Row],[TA 1 - Total Bonus (out of 13)]]+Table1[[#This Row],[TA 2 - Total Bonus (out of 13)]])/2</f>
        <v/>
      </c>
      <c r="V555">
        <f>Table1[[#This Row],[Average Questions]]/35*20+Table1[[#This Row],[Average Bonus]]/13*5</f>
        <v/>
      </c>
      <c r="W555" t="n">
        <v>6</v>
      </c>
      <c r="X555" t="n">
        <v>0</v>
      </c>
      <c r="Y555" t="inlineStr">
        <is>
          <t>The student's submission failed to complete several key tasks, including loading and preparing the data, loading a pretrained model, and implementing training and validation functions. While the student did attempt to train the model, their submission lacked critical components, such as data normalization and label adjustment. Furthermore, the bonus task of implementing test time augmentation was not attempted. As a result, the student's submission was awarded a score of 6.0, reflecting the partial completion of the training task.
Breakdown:
- Part 1: Load and Prepare Data: 0.0/?
- Part 2: Load Pretrained Model and Adapt: 0.0/?
- Part 3: Training and Validation Functions: 0.0/?
- Part 4: Training: 2.5/?
- Part 5: Bonus — Test Time Augmentation: 0.0/?</t>
        </is>
      </c>
      <c r="Z555" t="n">
        <v>4</v>
      </c>
      <c r="AA555" t="n">
        <v>0</v>
      </c>
      <c r="AB555"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add a residual connection to the model. As a result, the student did not earn any points for this task.
Breakdown:
- Part 1: Load and Prepare Data: 0.0/?
- Part 2: Build the CNN Model: 0.0/?
- Part 3: Training and Validation Functions: 0.0/?
- Part 4: Training: 0.0/?
- Part 5: Bonus — Residual Connection: 0.0/?</t>
        </is>
      </c>
      <c r="AC555" t="n">
        <v>6</v>
      </c>
      <c r="AD555" t="inlineStr">
        <is>
          <t>The student's submission was incomplete and lacked code for most tasks. The only task that was partially attempted was Task 5: Visualizing Predictions, where the student's code was mostly correct but failed to run due to missing imports and incorrect usage of the model. As a result, the student received a score of 6.0 out of 12.0 for the base tasks and 0.0 out of 0.0 for the bonus tasks.
Breakdown:
- Task 1: Dataset Class: 0.0/?
- Task 2: Model Class: 0.0/?
- Task 3: Training and Validation Loops: 0.0/?
- Task 4: Running Training: 0.0/?
- Task 5: Visualizing Predictions: 6.0/?</t>
        </is>
      </c>
      <c r="AE555" t="n">
        <v>0</v>
      </c>
      <c r="AF555" t="n">
        <v>0</v>
      </c>
      <c r="AG555" t="inlineStr">
        <is>
          <t>No submission found.</t>
        </is>
      </c>
      <c r="AH555" t="n">
        <v>16</v>
      </c>
      <c r="AI555" t="n">
        <v>0</v>
      </c>
    </row>
    <row r="556">
      <c r="A556" t="n">
        <v>555</v>
      </c>
      <c r="B556" t="inlineStr">
        <is>
          <t>TA_10</t>
        </is>
      </c>
      <c r="C556" t="inlineStr">
        <is>
          <t>TA_20</t>
        </is>
      </c>
      <c r="D556" t="n">
        <v>5.5</v>
      </c>
      <c r="E556" t="n">
        <v>0</v>
      </c>
      <c r="F556" t="n">
        <v>10</v>
      </c>
      <c r="G556" t="n">
        <v>0</v>
      </c>
      <c r="H556" t="n">
        <v>11.75</v>
      </c>
      <c r="I556" t="n">
        <v>0</v>
      </c>
      <c r="J556" t="n">
        <v>9</v>
      </c>
      <c r="K556" t="n">
        <v>0</v>
      </c>
      <c r="L556" t="n">
        <v>10.5</v>
      </c>
      <c r="M556" t="n">
        <v>0</v>
      </c>
      <c r="N556" t="n">
        <v>12</v>
      </c>
      <c r="O556" t="n">
        <v>0</v>
      </c>
      <c r="P556">
        <f>Table1[[#This Row],[TA 1 - Q1 Score]]+Table1[[#This Row],[TA 1 - Q2 Score]]+Table1[[#This Row],[TA 1 - Q3 Score]]</f>
        <v/>
      </c>
      <c r="Q556">
        <f>Table1[[#This Row],[TA 1 - Q1 Bonus]]+Table1[[#This Row],[TA 1 - Q2 Bonus]]+Table1[[#This Row],[TA 1 - Q4 Bonus]]</f>
        <v/>
      </c>
      <c r="R556">
        <f>Table1[[#This Row],[TA 2 - Q1 Score]]+Table1[[#This Row],[TA 2 - Q2 Score]]+Table1[[#This Row],[TA 2 - Q3 Score]]</f>
        <v/>
      </c>
      <c r="S556">
        <f>Table1[[#This Row],[TA 2 - Q1 Bonus]]+Table1[[#This Row],[TA 2 - Q2 Bonus]]+Table1[[#This Row],[TA 2 - Q4 Bonus]]</f>
        <v/>
      </c>
      <c r="T556">
        <f>(Table1[[#This Row],[TA 1 - Total Score (out of 35)]]+Table1[[#This Row],[TA 2 - Total Score (out of 35)]])/2</f>
        <v/>
      </c>
      <c r="U556">
        <f>(Table1[[#This Row],[TA 1 - Total Bonus (out of 13)]]+Table1[[#This Row],[TA 2 - Total Bonus (out of 13)]])/2</f>
        <v/>
      </c>
      <c r="V556">
        <f>Table1[[#This Row],[Average Questions]]/35*20+Table1[[#This Row],[Average Bonus]]/13*5</f>
        <v/>
      </c>
      <c r="W556" t="n">
        <v>6</v>
      </c>
      <c r="X556" t="n">
        <v>0</v>
      </c>
      <c r="Y556" t="inlineStr">
        <is>
          <t>The student failed to complete the data loading and preparation, model loading and adaptation, and training tasks. The training and validation functions were partially implemented, but the student failed to fix the labels for 0-indexing. The bonus task of test time augmentation was not attempted.
Breakdown:
- Part 1: Load and Prepare Data: 0.0/?
- Part 2: Load Pretrained Model and Adapt: 0.0/?
- Part 3: Training and Validation Functions: 1.5/?
- Part 4: Training: 0.0/?
- Part 5: Bonus — Test Time Augmentation: 0.0/?</t>
        </is>
      </c>
      <c r="Z556" t="n">
        <v>4</v>
      </c>
      <c r="AA556" t="n">
        <v>0</v>
      </c>
      <c r="AB556"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556" t="n">
        <v>6</v>
      </c>
      <c r="AD556" t="inlineStr">
        <is>
          <t>The student's submission failed to meet the requirements of the task. The code was not organized in a way that allowed it to run end-to-end, and several tasks were not implemented correctly. The student attempted to use a different model and did not define the dataset class, training and validation loops, and running training correctly. The predictions were not visualized correctly. Overall, the submission did not demonstrate a clear understanding of the task requirements.
Breakdown:
- Task 1: Dataset Class: 0.0/?
- Task 2: Model Class: 0.0/?
- Task 3: Training and Validation Loops: 0.0/?
- Task 4: Running Training: 0.0/?
- Task 5: Visualizing Predictions: 0.0/?</t>
        </is>
      </c>
      <c r="AE556" t="n">
        <v>0</v>
      </c>
      <c r="AF556" t="n">
        <v>0</v>
      </c>
      <c r="AG556" t="inlineStr">
        <is>
          <t>No submission found.</t>
        </is>
      </c>
      <c r="AH556" t="n">
        <v>16</v>
      </c>
      <c r="AI556" t="n">
        <v>0</v>
      </c>
    </row>
    <row r="557">
      <c r="A557" t="n">
        <v>556</v>
      </c>
      <c r="B557" t="inlineStr">
        <is>
          <t>TA_10</t>
        </is>
      </c>
      <c r="C557" t="inlineStr">
        <is>
          <t>TA_20</t>
        </is>
      </c>
      <c r="D557" t="n">
        <v>6.25</v>
      </c>
      <c r="E557" t="n">
        <v>4</v>
      </c>
      <c r="F557" t="n">
        <v>10</v>
      </c>
      <c r="G557" t="n">
        <v>3</v>
      </c>
      <c r="H557" t="n">
        <v>11.75</v>
      </c>
      <c r="I557" t="n">
        <v>5</v>
      </c>
      <c r="J557" t="n">
        <v>7</v>
      </c>
      <c r="K557" t="n">
        <v>4</v>
      </c>
      <c r="L557" t="n">
        <v>10</v>
      </c>
      <c r="M557" t="n">
        <v>4</v>
      </c>
      <c r="N557" t="n">
        <v>12</v>
      </c>
      <c r="O557" t="n">
        <v>5</v>
      </c>
      <c r="P557">
        <f>Table1[[#This Row],[TA 1 - Q1 Score]]+Table1[[#This Row],[TA 1 - Q2 Score]]+Table1[[#This Row],[TA 1 - Q3 Score]]</f>
        <v/>
      </c>
      <c r="Q557">
        <f>Table1[[#This Row],[TA 1 - Q1 Bonus]]+Table1[[#This Row],[TA 1 - Q2 Bonus]]+Table1[[#This Row],[TA 1 - Q4 Bonus]]</f>
        <v/>
      </c>
      <c r="R557">
        <f>Table1[[#This Row],[TA 2 - Q1 Score]]+Table1[[#This Row],[TA 2 - Q2 Score]]+Table1[[#This Row],[TA 2 - Q3 Score]]</f>
        <v/>
      </c>
      <c r="S557">
        <f>Table1[[#This Row],[TA 2 - Q1 Bonus]]+Table1[[#This Row],[TA 2 - Q2 Bonus]]+Table1[[#This Row],[TA 2 - Q4 Bonus]]</f>
        <v/>
      </c>
      <c r="T557">
        <f>(Table1[[#This Row],[TA 1 - Total Score (out of 35)]]+Table1[[#This Row],[TA 2 - Total Score (out of 35)]])/2</f>
        <v/>
      </c>
      <c r="U557">
        <f>(Table1[[#This Row],[TA 1 - Total Bonus (out of 13)]]+Table1[[#This Row],[TA 2 - Total Bonus (out of 13)]])/2</f>
        <v/>
      </c>
      <c r="V557">
        <f>Table1[[#This Row],[Average Questions]]/35*20+Table1[[#This Row],[Average Bonus]]/13*5</f>
        <v/>
      </c>
      <c r="W557" t="n">
        <v>6</v>
      </c>
      <c r="X557" t="n">
        <v>0</v>
      </c>
      <c r="Y557" t="inlineStr">
        <is>
          <t>The student's submission failed to complete several key tasks, including loading and preparing the data, loading a pretrained model, and training the model. While the student attempted to implement the training and validation functions, their code contained syntax errors and failed to run end-to-end.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1.75/?
- Part 4: Training: 0.0/?
- Part 5: Bonus — Test Time Augmentation: 0.0/?</t>
        </is>
      </c>
      <c r="Z557" t="n">
        <v>4</v>
      </c>
      <c r="AA557" t="n">
        <v>0</v>
      </c>
      <c r="AB557" t="inlineStr">
        <is>
          <t>The student's submission failed to meet the requirements of the task. The code does not load and prepare the data correctly, does not build the CNN model as specified, does not define the training and validation functions, does not train the model, and does not implement the residual connection. The student's code is not organized and does not follow the structure of the reference solution. As a result, the student did not earn any points for this task.
Breakdown:
- Part 1: Load and Prepare Data: 0.0/?
- Part 2: Build the CNN Model: 0.0/?
- Part 3: Training and Validation Functions: 0.0/?
- Part 4: Training: 0.0/?
- Part 5: Bonus — Residual Connection: 0.0/?</t>
        </is>
      </c>
      <c r="AC557" t="n">
        <v>6</v>
      </c>
      <c r="AD557" t="inlineStr">
        <is>
          <t>The student's submission was incomplete, with no code submitted for Tasks 1-4. However, the code for Task 5 was mostly correct, with the student successfully visualizing the predictions against the ground truth for several images. The only issue was that the ground truth masks were not displayed correctly.
Breakdown:
- Task 1: Dataset Class: 0.0/?
- Task 2: Model Class: 0.0/?
- Task 3: Training and Validation Loops: 0.0/?
- Task 4: Running Training: 0.0/?
- Task 5: Visualizing Predictions: 6.0/?</t>
        </is>
      </c>
      <c r="AE557" t="n">
        <v>0</v>
      </c>
      <c r="AF557" t="n">
        <v>0</v>
      </c>
      <c r="AG557" t="inlineStr">
        <is>
          <t>The student's submission does not meet the requirements of the task. The `ColorizationDataset` class is not implemented correctly, and the code has syntax errors and logical mistakes. As a result, the student does not receive any points for this task.
Breakdown:
- Correctly implemented `ColorizationDataset` class:: 0.0/?</t>
        </is>
      </c>
      <c r="AH557" t="n">
        <v>16</v>
      </c>
      <c r="AI557" t="n">
        <v>0</v>
      </c>
    </row>
    <row r="558">
      <c r="A558" t="n">
        <v>557</v>
      </c>
      <c r="B558" t="inlineStr">
        <is>
          <t>TA_10</t>
        </is>
      </c>
      <c r="C558" t="inlineStr">
        <is>
          <t>TA_20</t>
        </is>
      </c>
      <c r="D558" t="n">
        <v>9.75</v>
      </c>
      <c r="E558" t="n">
        <v>0</v>
      </c>
      <c r="F558" t="n">
        <v>8.5</v>
      </c>
      <c r="G558" t="n">
        <v>0</v>
      </c>
      <c r="H558" t="n">
        <v>5</v>
      </c>
      <c r="I558" t="n">
        <v>0</v>
      </c>
      <c r="J558" t="n">
        <v>11</v>
      </c>
      <c r="K558" t="n">
        <v>0</v>
      </c>
      <c r="L558" t="n">
        <v>9</v>
      </c>
      <c r="M558" t="n">
        <v>0</v>
      </c>
      <c r="N558" t="n">
        <v>10.75</v>
      </c>
      <c r="O558" t="n">
        <v>0</v>
      </c>
      <c r="P558">
        <f>Table1[[#This Row],[TA 1 - Q1 Score]]+Table1[[#This Row],[TA 1 - Q2 Score]]+Table1[[#This Row],[TA 1 - Q3 Score]]</f>
        <v/>
      </c>
      <c r="Q558">
        <f>Table1[[#This Row],[TA 1 - Q1 Bonus]]+Table1[[#This Row],[TA 1 - Q2 Bonus]]+Table1[[#This Row],[TA 1 - Q4 Bonus]]</f>
        <v/>
      </c>
      <c r="R558">
        <f>Table1[[#This Row],[TA 2 - Q1 Score]]+Table1[[#This Row],[TA 2 - Q2 Score]]+Table1[[#This Row],[TA 2 - Q3 Score]]</f>
        <v/>
      </c>
      <c r="S558">
        <f>Table1[[#This Row],[TA 2 - Q1 Bonus]]+Table1[[#This Row],[TA 2 - Q2 Bonus]]+Table1[[#This Row],[TA 2 - Q4 Bonus]]</f>
        <v/>
      </c>
      <c r="T558">
        <f>(Table1[[#This Row],[TA 1 - Total Score (out of 35)]]+Table1[[#This Row],[TA 2 - Total Score (out of 35)]])/2</f>
        <v/>
      </c>
      <c r="U558">
        <f>(Table1[[#This Row],[TA 1 - Total Bonus (out of 13)]]+Table1[[#This Row],[TA 2 - Total Bonus (out of 13)]])/2</f>
        <v/>
      </c>
      <c r="V558">
        <f>Table1[[#This Row],[Average Questions]]/35*20+Table1[[#This Row],[Average Bonus]]/13*5</f>
        <v/>
      </c>
      <c r="W558" t="n">
        <v>6</v>
      </c>
      <c r="X558" t="n">
        <v>0</v>
      </c>
      <c r="Y558"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558" t="n">
        <v>4</v>
      </c>
      <c r="AA558" t="n">
        <v>0</v>
      </c>
      <c r="AB558" t="inlineStr">
        <is>
          <t>The student's submission failed to meet the requirements of the task. The code is disorganized and does not follow the structure of the reference solution. The student attempted to load and prepare the data, but the code is incomplete and does not display sample images with labels. The CNN model is not built correctly, and the training and validation functions are not implemented. The training process is also not completed. The bonus task of adding a residual connection is not attempted. Overall, the submission lacks a clear understanding of the task requirements and does not demonstrate a working solution.
Breakdown:
- Part 1: Load and Prepare Data: 0.0/?
- Part 2: Build the CNN Model: 0.0/?
- Part 3: Training and Validation Functions: 0.0/?
- Part 4: Training: 0.0/?
- Part 5: Bonus — Residual Connection: 0.0/?</t>
        </is>
      </c>
      <c r="AC558" t="n">
        <v>6</v>
      </c>
      <c r="AD558" t="inlineStr">
        <is>
          <t>The student's submission failed to meet the requirements of several tasks, including the dataset class, model class, training and validation loops, running training, and visualizing predictions. The code was often incomplete or incorrect, and did not run end-to-end. As a result, the student was awarded 0 points for each of these tasks. The only task that was partially attempted was Task 1, but it was not completed. Therefore, the student's final score is 0.0.
Breakdown:
- Task 1: Dataset Class: 0.0/?
- Task 2: Model Class: 0.0/?
- Task 3: Training and Validation Loops: 0.0/?
- Task 4: Running Training: 0.0/?
- Task 5: Visualizing Predictions: 0.0/?</t>
        </is>
      </c>
      <c r="AE558" t="n">
        <v>0</v>
      </c>
      <c r="AF558" t="n">
        <v>0</v>
      </c>
      <c r="AG558" t="inlineStr">
        <is>
          <t>No submission found.</t>
        </is>
      </c>
      <c r="AH558" t="n">
        <v>16</v>
      </c>
      <c r="AI558" t="n">
        <v>0</v>
      </c>
    </row>
    <row r="559">
      <c r="A559" t="n">
        <v>558</v>
      </c>
      <c r="B559" t="inlineStr">
        <is>
          <t>TA_10</t>
        </is>
      </c>
      <c r="C559" t="inlineStr">
        <is>
          <t>TA_20</t>
        </is>
      </c>
      <c r="D559" t="n">
        <v>2.5</v>
      </c>
      <c r="E559" t="n">
        <v>0</v>
      </c>
      <c r="F559" t="n">
        <v>0</v>
      </c>
      <c r="G559" t="n">
        <v>0</v>
      </c>
      <c r="H559" t="n">
        <v>0</v>
      </c>
      <c r="I559" t="n">
        <v>0</v>
      </c>
      <c r="J559" t="n">
        <v>5.5</v>
      </c>
      <c r="K559" t="n">
        <v>0</v>
      </c>
      <c r="L559" t="n">
        <v>2.5</v>
      </c>
      <c r="M559" t="n">
        <v>0</v>
      </c>
      <c r="N559" t="n">
        <v>10.75</v>
      </c>
      <c r="O559" t="n">
        <v>0</v>
      </c>
      <c r="P559">
        <f>Table1[[#This Row],[TA 1 - Q1 Score]]+Table1[[#This Row],[TA 1 - Q2 Score]]+Table1[[#This Row],[TA 1 - Q3 Score]]</f>
        <v/>
      </c>
      <c r="Q559">
        <f>Table1[[#This Row],[TA 1 - Q1 Bonus]]+Table1[[#This Row],[TA 1 - Q2 Bonus]]+Table1[[#This Row],[TA 1 - Q4 Bonus]]</f>
        <v/>
      </c>
      <c r="R559">
        <f>Table1[[#This Row],[TA 2 - Q1 Score]]+Table1[[#This Row],[TA 2 - Q2 Score]]+Table1[[#This Row],[TA 2 - Q3 Score]]</f>
        <v/>
      </c>
      <c r="S559">
        <f>Table1[[#This Row],[TA 2 - Q1 Bonus]]+Table1[[#This Row],[TA 2 - Q2 Bonus]]+Table1[[#This Row],[TA 2 - Q4 Bonus]]</f>
        <v/>
      </c>
      <c r="T559">
        <f>(Table1[[#This Row],[TA 1 - Total Score (out of 35)]]+Table1[[#This Row],[TA 2 - Total Score (out of 35)]])/2</f>
        <v/>
      </c>
      <c r="U559">
        <f>(Table1[[#This Row],[TA 1 - Total Bonus (out of 13)]]+Table1[[#This Row],[TA 2 - Total Bonus (out of 13)]])/2</f>
        <v/>
      </c>
      <c r="V559">
        <f>Table1[[#This Row],[Average Questions]]/35*20+Table1[[#This Row],[Average Bonus]]/13*5</f>
        <v/>
      </c>
      <c r="W559" t="n">
        <v>6</v>
      </c>
      <c r="X559" t="n">
        <v>0</v>
      </c>
      <c r="Y559" t="inlineStr">
        <is>
          <t>The student's submission failed to complete several key tasks, including loading and preparing the data, loading a pretrained model, and adapting it for the task. The training and validation functions were also not implemented correctly. Although the student attempted to train the model, the submission lacked several critical components, including the correct data loaders and the necessary transforms. As a result, the student was unable to complete the bonus task of implementing test time augmentation.
Breakdown:
- Part 1: Load and Prepare Data: 0.0/?
- Part 2: Load Pretrained Model and Adapt: 0.0/?
- Part 3: Training and Validation Functions: 0.0/?
- Part 4: Training: 2.5/?
- Part 5: Bonus — Test Time Augmentation: 0.0/?</t>
        </is>
      </c>
      <c r="Z559" t="n">
        <v>4</v>
      </c>
      <c r="AA559" t="n">
        <v>0</v>
      </c>
      <c r="AB559" t="inlineStr">
        <is>
          <t>The submission failed to load and prepare the data, build the CNN model, define the training and validation functions, set up the training process, and implement the residual connection. The code is disorganized and lacks a clear structure. The student attempted to implement the residual connection but failed to do so correctly. The submission does not meet the requirements of the task and does not demonstrate a clear understanding of the concepts.
Breakdown:
- Part 1: Load and Prepare Data: 0.0/?
- Part 2: Build the CNN Model: 0.0/?
- Part 3: Training and Validation Functions: 0.0/?
- Part 4: Training: 0.0/?
- Part 5: Bonus — Residual Connection: 0.0/?</t>
        </is>
      </c>
      <c r="AC559" t="n">
        <v>6</v>
      </c>
      <c r="AD559" t="inlineStr">
        <is>
          <t>The student's submission failed to meet the requirements of several tasks. The dataset class was not implemented, the model class was not defined correctly, the training and validation loops were not implemented, the training process was not completed, and the predictions were not visualized correctly. As a result, the student did not earn any points for these tasks.
Breakdown:
- Task 1: Dataset Class: 0.0/?
- Task 2: Model Class: 0.0/?
- Task 3: Training and Validation Loops: 0.0/?
- Task 4: Running Training: 0.0/?
- Task 5: Visualizing Predictions: 0.0/?</t>
        </is>
      </c>
      <c r="AE559" t="n">
        <v>0</v>
      </c>
      <c r="AF559" t="n">
        <v>0</v>
      </c>
      <c r="AG559" t="inlineStr">
        <is>
          <t>The student's submission did not implement the `ColorizationDataset` class correctly, resulting in a score of 0.0 for the base task. Since the student did not implement the class correctly, they did not attempt the bonus task, resulting in a score of 0.0 for the bonus task.
Breakdown:
- Correctly implemented `ColorizationDataset` class:: 0.0/?
- Any mistake in implementation: 0.0/?</t>
        </is>
      </c>
      <c r="AH559" t="n">
        <v>16</v>
      </c>
      <c r="AI559" t="n">
        <v>0</v>
      </c>
    </row>
    <row r="560">
      <c r="A560" t="n">
        <v>559</v>
      </c>
      <c r="B560" t="inlineStr">
        <is>
          <t>TA_10</t>
        </is>
      </c>
      <c r="C560" t="inlineStr">
        <is>
          <t>TA_20</t>
        </is>
      </c>
      <c r="D560" t="n">
        <v>12</v>
      </c>
      <c r="E560" t="n">
        <v>4</v>
      </c>
      <c r="F560" t="n">
        <v>10.5</v>
      </c>
      <c r="G560" t="n">
        <v>4</v>
      </c>
      <c r="H560" t="n">
        <v>11.5</v>
      </c>
      <c r="I560" t="n">
        <v>5</v>
      </c>
      <c r="J560" t="n">
        <v>12</v>
      </c>
      <c r="K560" t="n">
        <v>3</v>
      </c>
      <c r="L560" t="n">
        <v>11</v>
      </c>
      <c r="M560" t="n">
        <v>4</v>
      </c>
      <c r="N560" t="n">
        <v>12</v>
      </c>
      <c r="O560" t="n">
        <v>5</v>
      </c>
      <c r="P560">
        <f>Table1[[#This Row],[TA 1 - Q1 Score]]+Table1[[#This Row],[TA 1 - Q2 Score]]+Table1[[#This Row],[TA 1 - Q3 Score]]</f>
        <v/>
      </c>
      <c r="Q560">
        <f>Table1[[#This Row],[TA 1 - Q1 Bonus]]+Table1[[#This Row],[TA 1 - Q2 Bonus]]+Table1[[#This Row],[TA 1 - Q4 Bonus]]</f>
        <v/>
      </c>
      <c r="R560">
        <f>Table1[[#This Row],[TA 2 - Q1 Score]]+Table1[[#This Row],[TA 2 - Q2 Score]]+Table1[[#This Row],[TA 2 - Q3 Score]]</f>
        <v/>
      </c>
      <c r="S560">
        <f>Table1[[#This Row],[TA 2 - Q1 Bonus]]+Table1[[#This Row],[TA 2 - Q2 Bonus]]+Table1[[#This Row],[TA 2 - Q4 Bonus]]</f>
        <v/>
      </c>
      <c r="T560">
        <f>(Table1[[#This Row],[TA 1 - Total Score (out of 35)]]+Table1[[#This Row],[TA 2 - Total Score (out of 35)]])/2</f>
        <v/>
      </c>
      <c r="U560">
        <f>(Table1[[#This Row],[TA 1 - Total Bonus (out of 13)]]+Table1[[#This Row],[TA 2 - Total Bonus (out of 13)]])/2</f>
        <v/>
      </c>
      <c r="V560">
        <f>Table1[[#This Row],[Average Questions]]/35*20+Table1[[#This Row],[Average Bonus]]/13*5</f>
        <v/>
      </c>
      <c r="W560" t="n">
        <v>6</v>
      </c>
      <c r="X560" t="n">
        <v>0</v>
      </c>
      <c r="Y560" t="inlineStr">
        <is>
          <t>The student failed to complete the transforms in Part 1, and the model loading and adaptation in Part 2. The training and validation functions in Part 3 were partially correct, but the training process in Part 4 was not implemented. The bonus task of Test Time Augmentation was not attempted. The student's code had several syntax and logic mistakes, and failed to run end-to-end.
Breakdown:
- Part 1: Load and Prepare Data: 0.0/?
- Part 2: Load Pretrained Model and Adapt: 0.0/?
- Part 3: Training and Validation Functions: 1.5/?
- Part 4: Training: 0.0/?
- Part 5: Bonus — Test Time Augmentation: 0.0/?</t>
        </is>
      </c>
      <c r="Z560" t="n">
        <v>4</v>
      </c>
      <c r="AA560" t="n">
        <v>0</v>
      </c>
      <c r="AB560" t="inlineStr">
        <is>
          <t>The student's submission failed to address any of the tasks outlined in the rubric. The code provided does not attempt to load and prepare the data, build the CNN model, define the training and validation functions, or perform the training. The bonus task of adding a residual connection is also not addressed. As a result, the student earns 0 points for each task, with a total score of 0.0.
Breakdown:
- Part 1: Load and Prepare Data: 0.0/?
- Part 2: Build the CNN Model: 0.0/?
- Part 3: Training and Validation Functions: 0.0/?
- Part 4: Training: 0.0/?
- Part 5: Bonus — Residual Connection: 0.0/?</t>
        </is>
      </c>
      <c r="AC560" t="n">
        <v>6</v>
      </c>
      <c r="AD560"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positive aspect of their submission. Overall, the student's submission was incomplete and had several errors, resulting in a low score.
Breakdown:
- Task 1: Dataset Class: 0.0/?
- Task 2: Model Class: 0.0/?
- Task 3: Training and Validation Loops: 0.0/?
- Task 4: Running Training: 0.0/?
- Task 5: Visualizing Predictions: 6.0/?</t>
        </is>
      </c>
      <c r="AE560" t="n">
        <v>0</v>
      </c>
      <c r="AF560" t="n">
        <v>0</v>
      </c>
      <c r="AG560" t="inlineStr">
        <is>
          <t>The student's submission does not meet the requirements of the task. The `ColorizationDataset` class is not implemented correctly, and the `rgb_to_grayscale` method and `__getitem__` method have errors. As a result, the submission does not run end-to-end and does not produce the correct output.
Breakdown:
- Correctly implemented `ColorizationDataset` class:: 0.0/?</t>
        </is>
      </c>
      <c r="AH560" t="n">
        <v>16</v>
      </c>
      <c r="AI560" t="n">
        <v>0</v>
      </c>
    </row>
    <row r="561">
      <c r="A561" t="n">
        <v>560</v>
      </c>
      <c r="B561" t="inlineStr">
        <is>
          <t>TA_10</t>
        </is>
      </c>
      <c r="C561" t="inlineStr">
        <is>
          <t>TA_20</t>
        </is>
      </c>
      <c r="D561" t="n">
        <v>6.5</v>
      </c>
      <c r="E561" t="n">
        <v>0</v>
      </c>
      <c r="F561" t="n">
        <v>8</v>
      </c>
      <c r="G561" t="n">
        <v>0</v>
      </c>
      <c r="H561" t="n">
        <v>12</v>
      </c>
      <c r="I561" t="n">
        <v>0</v>
      </c>
      <c r="J561" t="n">
        <v>8</v>
      </c>
      <c r="K561" t="n">
        <v>0</v>
      </c>
      <c r="L561" t="n">
        <v>8.5</v>
      </c>
      <c r="M561" t="n">
        <v>0</v>
      </c>
      <c r="N561" t="n">
        <v>12</v>
      </c>
      <c r="O561" t="n">
        <v>0</v>
      </c>
      <c r="P561">
        <f>Table1[[#This Row],[TA 1 - Q1 Score]]+Table1[[#This Row],[TA 1 - Q2 Score]]+Table1[[#This Row],[TA 1 - Q3 Score]]</f>
        <v/>
      </c>
      <c r="Q561">
        <f>Table1[[#This Row],[TA 1 - Q1 Bonus]]+Table1[[#This Row],[TA 1 - Q2 Bonus]]+Table1[[#This Row],[TA 1 - Q4 Bonus]]</f>
        <v/>
      </c>
      <c r="R561">
        <f>Table1[[#This Row],[TA 2 - Q1 Score]]+Table1[[#This Row],[TA 2 - Q2 Score]]+Table1[[#This Row],[TA 2 - Q3 Score]]</f>
        <v/>
      </c>
      <c r="S561">
        <f>Table1[[#This Row],[TA 2 - Q1 Bonus]]+Table1[[#This Row],[TA 2 - Q2 Bonus]]+Table1[[#This Row],[TA 2 - Q4 Bonus]]</f>
        <v/>
      </c>
      <c r="T561">
        <f>(Table1[[#This Row],[TA 1 - Total Score (out of 35)]]+Table1[[#This Row],[TA 2 - Total Score (out of 35)]])/2</f>
        <v/>
      </c>
      <c r="U561">
        <f>(Table1[[#This Row],[TA 1 - Total Bonus (out of 13)]]+Table1[[#This Row],[TA 2 - Total Bonus (out of 13)]])/2</f>
        <v/>
      </c>
      <c r="V561">
        <f>Table1[[#This Row],[Average Questions]]/35*20+Table1[[#This Row],[Average Bonus]]/13*5</f>
        <v/>
      </c>
      <c r="W561" t="n">
        <v>6</v>
      </c>
      <c r="X561" t="n">
        <v>0</v>
      </c>
      <c r="Y561" t="inlineStr">
        <is>
          <t>The student's submission failed to complete several key tasks, including loading and preparing the data, loading a pretrained model and adapting it, and implementing training and validation functions. While the student did attempt to train the model and plot losses and accuracy, their code contained several syntax and logic mistakes. The student's approach to test time augmentation was also incorrect, and they failed to average the predictions correctly. Overall, the student's submission demonstrated a lack of understanding of the key concepts and tasks required for the question.
Breakdown:
- Part 1: Load and Prepare Data: 0.0/?
- Part 2: Load Pretrained Model and Adapt: 0.0/?
- Part 3: Training and Validation Functions: 0.0/?
- Part 4: Training: 3.0/?
- Part 5: Bonus — Test Time Augmentation: 0.0/?</t>
        </is>
      </c>
      <c r="Z561" t="n">
        <v>4</v>
      </c>
      <c r="AA561" t="n">
        <v>0</v>
      </c>
      <c r="AB561" t="inlineStr">
        <is>
          <t>The student's submission failed to meet the requirements of the task. The code is disorganized and does not follow the structure of the reference solution. The student attempted to load and prepare the data, but the code is incomplete and does not produce the correct output. The CNN model is not built correctly, and the training and validation functions are not implemented. The student did not attempt to train the model or implement the residual connection. As a result, the student did not meet the requirements of the task and did not earn any points.
Breakdown:
- Part 1: Load and Prepare Data: 0.0/?
- Part 2: Build the CNN Model: 0.0/?
- Part 3: Training and Validation Functions: 0.0/?
- Part 4: Training: 0.0/?
- Part 5: Bonus — Residual Connection: 0.0/?</t>
        </is>
      </c>
      <c r="AC561" t="n">
        <v>6</v>
      </c>
      <c r="AD561"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61" t="n">
        <v>0</v>
      </c>
      <c r="AF561" t="n">
        <v>0</v>
      </c>
      <c r="AG561" t="inlineStr">
        <is>
          <t>The student's submission for Question 4 is incomplete and contains syntax errors. The `ColorizationDataset` class is not implemented correctly, and the student's code does not run end-to-end. As a result, the student does not receive any credit for this question.
Breakdown:
- Correctly implemented `ColorizationDataset` class:: 0.0/?
- Any mistake in implementation: 0.0/?</t>
        </is>
      </c>
      <c r="AH561" t="n">
        <v>16</v>
      </c>
      <c r="AI561" t="n">
        <v>0</v>
      </c>
    </row>
    <row r="562">
      <c r="A562" t="n">
        <v>561</v>
      </c>
      <c r="B562" t="inlineStr">
        <is>
          <t>TA_10</t>
        </is>
      </c>
      <c r="C562" t="inlineStr">
        <is>
          <t>TA_20</t>
        </is>
      </c>
      <c r="D562" t="n">
        <v>11</v>
      </c>
      <c r="E562" t="n">
        <v>0</v>
      </c>
      <c r="F562" t="n">
        <v>9.25</v>
      </c>
      <c r="G562" t="n">
        <v>0</v>
      </c>
      <c r="H562" t="n">
        <v>10</v>
      </c>
      <c r="I562" t="n">
        <v>0</v>
      </c>
      <c r="J562" t="n">
        <v>11</v>
      </c>
      <c r="K562" t="n">
        <v>0</v>
      </c>
      <c r="L562" t="n">
        <v>10.5</v>
      </c>
      <c r="M562" t="n">
        <v>0</v>
      </c>
      <c r="N562" t="n">
        <v>11.25</v>
      </c>
      <c r="O562" t="n">
        <v>0</v>
      </c>
      <c r="P562">
        <f>Table1[[#This Row],[TA 1 - Q1 Score]]+Table1[[#This Row],[TA 1 - Q2 Score]]+Table1[[#This Row],[TA 1 - Q3 Score]]</f>
        <v/>
      </c>
      <c r="Q562">
        <f>Table1[[#This Row],[TA 1 - Q1 Bonus]]+Table1[[#This Row],[TA 1 - Q2 Bonus]]+Table1[[#This Row],[TA 1 - Q4 Bonus]]</f>
        <v/>
      </c>
      <c r="R562">
        <f>Table1[[#This Row],[TA 2 - Q1 Score]]+Table1[[#This Row],[TA 2 - Q2 Score]]+Table1[[#This Row],[TA 2 - Q3 Score]]</f>
        <v/>
      </c>
      <c r="S562">
        <f>Table1[[#This Row],[TA 2 - Q1 Bonus]]+Table1[[#This Row],[TA 2 - Q2 Bonus]]+Table1[[#This Row],[TA 2 - Q4 Bonus]]</f>
        <v/>
      </c>
      <c r="T562">
        <f>(Table1[[#This Row],[TA 1 - Total Score (out of 35)]]+Table1[[#This Row],[TA 2 - Total Score (out of 35)]])/2</f>
        <v/>
      </c>
      <c r="U562">
        <f>(Table1[[#This Row],[TA 1 - Total Bonus (out of 13)]]+Table1[[#This Row],[TA 2 - Total Bonus (out of 13)]])/2</f>
        <v/>
      </c>
      <c r="V562">
        <f>Table1[[#This Row],[Average Questions]]/35*20+Table1[[#This Row],[Average Bonus]]/13*5</f>
        <v/>
      </c>
      <c r="W562" t="n">
        <v>6</v>
      </c>
      <c r="X562" t="n">
        <v>0</v>
      </c>
      <c r="Y562" t="inlineStr">
        <is>
          <t>The student's submission failed to complete several key tasks, including loading and preparing the data, loading the pretrained model, and adapting it for the task. The training and validation functions were also not implemented correctly. Although the student attempted to train the model, the submission lacked several critical components, resulting in a low overall score. The bonus task was not attempted.
Breakdown:
- Part 1: Load and Prepare Data: 0.0/?
- Part 2: Load Pretrained Model and Adapt: 0.0/?
- Part 3: Training and Validation Functions: 0.0/?
- Part 4: Training: 3.0/?
- Part 5: Bonus — Test Time Augmentation: 0.0/?</t>
        </is>
      </c>
      <c r="Z562" t="n">
        <v>4</v>
      </c>
      <c r="AA562" t="n">
        <v>0</v>
      </c>
      <c r="AB562" t="inlineStr">
        <is>
          <t>The student's submission failed to meet the requirements of the task. The code is disorganized and does not follow the structure of the reference solution. The student attempted to load and prepare the data, but the code is incomplete and does not create the necessary DataLoaders.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562" t="n">
        <v>6</v>
      </c>
      <c r="AD562" t="inlineStr">
        <is>
          <t>The student's submission failed to meet the requirements of the task. The code was not organized, and many tasks were not completed correctly. The model class was not defined correctly, and the training and validation loops were not implemented. The loss and optimizer were not defined correctly, and the model was not trained. The predictions were not visualized correctly. Overall, the submission did not demonstrate a clear understanding of the task and the requirements.
Breakdown:
- Task 1: Dataset Class: 0.0/?
- Task 2: Model Class: 0.0/?
- Task 3: Training and Validation Loops: 0.0/?
- Task 4: Running Training: 0.0/?
- Task 5: Visualizing Predictions: 0.0/?</t>
        </is>
      </c>
      <c r="AE562" t="n">
        <v>0</v>
      </c>
      <c r="AF562" t="n">
        <v>0</v>
      </c>
      <c r="AG562" t="inlineStr">
        <is>
          <t>No submission found.</t>
        </is>
      </c>
      <c r="AH562" t="n">
        <v>16</v>
      </c>
      <c r="AI562" t="n">
        <v>0</v>
      </c>
    </row>
    <row r="563">
      <c r="A563" t="n">
        <v>562</v>
      </c>
      <c r="B563" t="inlineStr">
        <is>
          <t>TA_10</t>
        </is>
      </c>
      <c r="C563" t="inlineStr">
        <is>
          <t>TA_20</t>
        </is>
      </c>
      <c r="D563" t="n">
        <v>12</v>
      </c>
      <c r="E563" t="n">
        <v>0</v>
      </c>
      <c r="F563" t="n">
        <v>9</v>
      </c>
      <c r="G563" t="n">
        <v>0</v>
      </c>
      <c r="H563" t="n">
        <v>12</v>
      </c>
      <c r="I563" t="n">
        <v>0</v>
      </c>
      <c r="J563" t="n">
        <v>11</v>
      </c>
      <c r="K563" t="n">
        <v>0</v>
      </c>
      <c r="L563" t="n">
        <v>9</v>
      </c>
      <c r="M563" t="n">
        <v>0</v>
      </c>
      <c r="N563" t="n">
        <v>12</v>
      </c>
      <c r="O563" t="n">
        <v>0</v>
      </c>
      <c r="P563">
        <f>Table1[[#This Row],[TA 1 - Q1 Score]]+Table1[[#This Row],[TA 1 - Q2 Score]]+Table1[[#This Row],[TA 1 - Q3 Score]]</f>
        <v/>
      </c>
      <c r="Q563">
        <f>Table1[[#This Row],[TA 1 - Q1 Bonus]]+Table1[[#This Row],[TA 1 - Q2 Bonus]]+Table1[[#This Row],[TA 1 - Q4 Bonus]]</f>
        <v/>
      </c>
      <c r="R563">
        <f>Table1[[#This Row],[TA 2 - Q1 Score]]+Table1[[#This Row],[TA 2 - Q2 Score]]+Table1[[#This Row],[TA 2 - Q3 Score]]</f>
        <v/>
      </c>
      <c r="S563">
        <f>Table1[[#This Row],[TA 2 - Q1 Bonus]]+Table1[[#This Row],[TA 2 - Q2 Bonus]]+Table1[[#This Row],[TA 2 - Q4 Bonus]]</f>
        <v/>
      </c>
      <c r="T563">
        <f>(Table1[[#This Row],[TA 1 - Total Score (out of 35)]]+Table1[[#This Row],[TA 2 - Total Score (out of 35)]])/2</f>
        <v/>
      </c>
      <c r="U563">
        <f>(Table1[[#This Row],[TA 1 - Total Bonus (out of 13)]]+Table1[[#This Row],[TA 2 - Total Bonus (out of 13)]])/2</f>
        <v/>
      </c>
      <c r="V563">
        <f>Table1[[#This Row],[Average Questions]]/35*20+Table1[[#This Row],[Average Bonus]]/13*5</f>
        <v/>
      </c>
      <c r="W563" t="n">
        <v>6</v>
      </c>
      <c r="X563" t="n">
        <v>0</v>
      </c>
      <c r="Y563" t="inlineStr">
        <is>
          <t>The student's submission failed to complete several key tasks, including loading and preparing the data, loading a pretrained model and adapting it, and implementing training and validation functions. While the student did attempt to train the model and plot the loss and accuracy curves, their code contained several errors and did not run end-to-end. The student's implementation of test time augmentation was also incomplete. As a result, the student's submission was awarded a score of 6.0, with no bonus points.
Breakdown:
- Part 1: Load and Prepare Data: 0.0/?
- Part 2: Load Pretrained Model and Adapt: 0.0/?
- Part 3: Training and Validation Functions: 0.0/?
- Part 4: Training: 2.5/?
- Part 5: Bonus — Test Time Augmentation: 0.0/?</t>
        </is>
      </c>
      <c r="Z563" t="n">
        <v>4</v>
      </c>
      <c r="AA563" t="n">
        <v>0</v>
      </c>
      <c r="AB563"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563" t="n">
        <v>6</v>
      </c>
      <c r="AD563" t="inlineStr">
        <is>
          <t>The student's submission was incomplete and lacked code for most tasks. The only task that was attempted was Task 5: Visualizing Predictions, where the student's code was mostly correct but had a minor issue with displaying the ground truth masks. As a result, the student scored 6.0 out of 12.0 for the base tasks and 0.0 for the bonus tasks.
Breakdown:
- Task 1: Dataset Class: 0.0/?
- Task 2: Model Class: 0.0/?
- Task 3: Training and Validation Loops: 0.0/?
- Task 4: Running Training: 0.0/?
- Task 5: Visualizing Predictions: 6.0/?</t>
        </is>
      </c>
      <c r="AE563" t="n">
        <v>0</v>
      </c>
      <c r="AF563" t="n">
        <v>0</v>
      </c>
      <c r="AG563" t="inlineStr">
        <is>
          <t>No submission found.</t>
        </is>
      </c>
      <c r="AH563" t="n">
        <v>16</v>
      </c>
      <c r="AI563" t="n">
        <v>0</v>
      </c>
    </row>
    <row r="564">
      <c r="A564" t="n">
        <v>563</v>
      </c>
      <c r="B564" t="inlineStr">
        <is>
          <t>TA_10</t>
        </is>
      </c>
      <c r="C564" t="inlineStr">
        <is>
          <t>TA_20</t>
        </is>
      </c>
      <c r="D564" t="n">
        <v>12</v>
      </c>
      <c r="E564" t="n">
        <v>0</v>
      </c>
      <c r="F564" t="n">
        <v>10.5</v>
      </c>
      <c r="G564" t="n">
        <v>0</v>
      </c>
      <c r="H564" t="n">
        <v>1.5</v>
      </c>
      <c r="I564" t="n">
        <v>0</v>
      </c>
      <c r="J564" t="n">
        <v>12</v>
      </c>
      <c r="K564" t="n">
        <v>0</v>
      </c>
      <c r="L564" t="n">
        <v>10</v>
      </c>
      <c r="M564" t="n">
        <v>0</v>
      </c>
      <c r="N564" t="n">
        <v>2</v>
      </c>
      <c r="O564" t="n">
        <v>0</v>
      </c>
      <c r="P564">
        <f>Table1[[#This Row],[TA 1 - Q1 Score]]+Table1[[#This Row],[TA 1 - Q2 Score]]+Table1[[#This Row],[TA 1 - Q3 Score]]</f>
        <v/>
      </c>
      <c r="Q564">
        <f>Table1[[#This Row],[TA 1 - Q1 Bonus]]+Table1[[#This Row],[TA 1 - Q2 Bonus]]+Table1[[#This Row],[TA 1 - Q4 Bonus]]</f>
        <v/>
      </c>
      <c r="R564">
        <f>Table1[[#This Row],[TA 2 - Q1 Score]]+Table1[[#This Row],[TA 2 - Q2 Score]]+Table1[[#This Row],[TA 2 - Q3 Score]]</f>
        <v/>
      </c>
      <c r="S564">
        <f>Table1[[#This Row],[TA 2 - Q1 Bonus]]+Table1[[#This Row],[TA 2 - Q2 Bonus]]+Table1[[#This Row],[TA 2 - Q4 Bonus]]</f>
        <v/>
      </c>
      <c r="T564">
        <f>(Table1[[#This Row],[TA 1 - Total Score (out of 35)]]+Table1[[#This Row],[TA 2 - Total Score (out of 35)]])/2</f>
        <v/>
      </c>
      <c r="U564">
        <f>(Table1[[#This Row],[TA 1 - Total Bonus (out of 13)]]+Table1[[#This Row],[TA 2 - Total Bonus (out of 13)]])/2</f>
        <v/>
      </c>
      <c r="V564">
        <f>Table1[[#This Row],[Average Questions]]/35*20+Table1[[#This Row],[Average Bonus]]/13*5</f>
        <v/>
      </c>
      <c r="W564" t="n">
        <v>8</v>
      </c>
      <c r="X564" t="n">
        <v>0</v>
      </c>
      <c r="Y564" t="inlineStr">
        <is>
          <t>The student's submission failed to meet the requirements of several tasks. Specifically, the student did not write code for Part 1, Part 2, Part 3, and Part 5. Although the student wrote some code for Part 4, it is incomplete. As a result, the student's score is 8.0, which is the sum of the awarded points for Part 4.
Breakdown:
- Part 1: Load and Prepare Data: 0.0/?
- Part 2: Load Pretrained Model and Adapt: 0.0/?
- Part 3: Training and Validation Functions: 0.0/?
- Part 4: Training: 2.5/?
- Part 5: Bonus — Test Time Augmentation: 0.0/?</t>
        </is>
      </c>
      <c r="Z564" t="n">
        <v>4</v>
      </c>
      <c r="AA564" t="n">
        <v>0</v>
      </c>
      <c r="AB564" t="inlineStr">
        <is>
          <t>The student's submission failed to address any of the tasks in the rubric. The code provided does not attempt to load and prepare the data, build the CNN model, define the training and validation functions, train the model, or implement the residual connection. As a result, the student earned 0% for each task, resulting in a total score of 0.0 for the base tasks and 0.0 for the bonus task.
Breakdown:
- Part 1: Load and Prepare Data: 0.0/?
- Part 2: Build the CNN Model: 0.0/?
- Part 3: Training and Validation Functions: 0.0/?
- Part 4: Training: 0.0/?
- Part 5: Bonus — Residual Connection: 0.0/?</t>
        </is>
      </c>
      <c r="AC564" t="n">
        <v>6</v>
      </c>
      <c r="AD564" t="inlineStr">
        <is>
          <t>The student's submission was incomplete, with no code submitted for Tasks 1-4. However, the code for Task 5: Visualizing Predictions was correct and ran, earning 6 points. The student's failure to attempt the other tasks resulted in a low overall score.
Breakdown:
- Task 1: Dataset Class: 0.0/?
- Task 2: Model Class: 0.0/?
- Task 3: Training and Validation Loops: 0.0/?
- Task 4: Running Training: 0.0/?
- Task 5: Visualizing Predictions: 6.0/?</t>
        </is>
      </c>
      <c r="AE564" t="n">
        <v>0</v>
      </c>
      <c r="AF564" t="n">
        <v>0</v>
      </c>
      <c r="AG564" t="inlineStr">
        <is>
          <t>No submission found.</t>
        </is>
      </c>
      <c r="AH564" t="n">
        <v>18</v>
      </c>
      <c r="AI564" t="n">
        <v>0</v>
      </c>
    </row>
    <row r="565">
      <c r="A565" t="n">
        <v>564</v>
      </c>
      <c r="B565" t="inlineStr">
        <is>
          <t>TA_10</t>
        </is>
      </c>
      <c r="C565" t="inlineStr">
        <is>
          <t>TA_20</t>
        </is>
      </c>
      <c r="D565" t="n">
        <v>0</v>
      </c>
      <c r="E565" t="n">
        <v>0</v>
      </c>
      <c r="F565" t="n">
        <v>0</v>
      </c>
      <c r="G565" t="n">
        <v>0</v>
      </c>
      <c r="H565" t="n">
        <v>0</v>
      </c>
      <c r="I565" t="n">
        <v>0</v>
      </c>
      <c r="J565" t="n">
        <v>0</v>
      </c>
      <c r="K565" t="n">
        <v>0</v>
      </c>
      <c r="L565" t="n">
        <v>0</v>
      </c>
      <c r="M565" t="n">
        <v>0</v>
      </c>
      <c r="N565" t="n">
        <v>0</v>
      </c>
      <c r="O565" t="n">
        <v>0</v>
      </c>
      <c r="P565">
        <f>Table1[[#This Row],[TA 1 - Q1 Score]]+Table1[[#This Row],[TA 1 - Q2 Score]]+Table1[[#This Row],[TA 1 - Q3 Score]]</f>
        <v/>
      </c>
      <c r="Q565">
        <f>Table1[[#This Row],[TA 1 - Q1 Bonus]]+Table1[[#This Row],[TA 1 - Q2 Bonus]]+Table1[[#This Row],[TA 1 - Q4 Bonus]]</f>
        <v/>
      </c>
      <c r="R565">
        <f>Table1[[#This Row],[TA 2 - Q1 Score]]+Table1[[#This Row],[TA 2 - Q2 Score]]+Table1[[#This Row],[TA 2 - Q3 Score]]</f>
        <v/>
      </c>
      <c r="S565">
        <f>Table1[[#This Row],[TA 2 - Q1 Bonus]]+Table1[[#This Row],[TA 2 - Q2 Bonus]]+Table1[[#This Row],[TA 2 - Q4 Bonus]]</f>
        <v/>
      </c>
      <c r="T565">
        <f>(Table1[[#This Row],[TA 1 - Total Score (out of 35)]]+Table1[[#This Row],[TA 2 - Total Score (out of 35)]])/2</f>
        <v/>
      </c>
      <c r="U565">
        <f>(Table1[[#This Row],[TA 1 - Total Bonus (out of 13)]]+Table1[[#This Row],[TA 2 - Total Bonus (out of 13)]])/2</f>
        <v/>
      </c>
      <c r="V565">
        <f>Table1[[#This Row],[Average Questions]]/35*20+Table1[[#This Row],[Average Bonus]]/13*5</f>
        <v/>
      </c>
      <c r="W565" t="n">
        <v>6</v>
      </c>
      <c r="X565" t="n">
        <v>0</v>
      </c>
      <c r="Y565" t="inlineStr">
        <is>
          <t>The student's submission failed to complete several key tasks, including loading and preparing the data, loading the pretrained model and adapting it, and training the model. While the student made an attempt at the training and validation functions, the code contained syntax errors and did not run correctly. The bonus task of implementing test time augmentation was also not completed. Overall, the submission demonstrated a lack of understanding of the required tasks and a failure to execute the code correctly.
Breakdown:
- Part 1: Load and Prepare Data: 0.0/?
- Part 2: Load Pretrained Model and Adapt: 0.0/?
- Part 3: Training and Validation Functions: 1.5/?
- Part 4: Training: 0.0/?
- Part 5: Bonus — Test Time Augmentation: 0.0/?</t>
        </is>
      </c>
      <c r="Z565" t="n">
        <v>4</v>
      </c>
      <c r="AA565" t="n">
        <v>0</v>
      </c>
      <c r="AB565" t="inlineStr">
        <is>
          <t>The student's submission is incomplete and lacks any meaningful attempt at the tasks. The code provided does not run end-to-end and fails to address the requirements of the problem. As a result, no credit can be awarded for any of the tasks. The student's submission does not demonstrate any understanding of the problem or the required concepts.
Breakdown:
- Part 1: Load and Prepare Data: 0.0/?
- Part 2: Build the CNN Model: 0.0/?
- Part 3: Training and Validation Functions: 0.0/?
- Part 4: Training: 0.0/?
- Part 5: Bonus — Residual Connection: 0.0/?</t>
        </is>
      </c>
      <c r="AC565" t="n">
        <v>6</v>
      </c>
      <c r="AD565" t="inlineStr">
        <is>
          <t>The student's submission failed to address any of the tasks in Question 3. The code provided is incomplete and does not attempt to solve any of the tasks. As a result, the student receives 0 points for each task.
Breakdown:
- Task 1: Dataset Class: 0.0/?
- Task 2: Model Class: 0.0/?
- Task 3: Training and Validation Loops: 0.0/?
- Task 4: Running Training: 0.0/?
- Task 5: Visualizing Predictions: 0.0/?</t>
        </is>
      </c>
      <c r="AE565" t="n">
        <v>0</v>
      </c>
      <c r="AF565" t="n">
        <v>0</v>
      </c>
      <c r="AG565" t="inlineStr">
        <is>
          <t>No submission found.</t>
        </is>
      </c>
      <c r="AH565" t="n">
        <v>16</v>
      </c>
      <c r="AI565" t="n">
        <v>0</v>
      </c>
    </row>
    <row r="566">
      <c r="A566" t="n">
        <v>565</v>
      </c>
      <c r="B566" t="inlineStr">
        <is>
          <t>TA_10</t>
        </is>
      </c>
      <c r="C566" t="inlineStr">
        <is>
          <t>TA_20</t>
        </is>
      </c>
      <c r="D566" t="n">
        <v>6</v>
      </c>
      <c r="E566" t="n">
        <v>0</v>
      </c>
      <c r="F566" t="n">
        <v>11</v>
      </c>
      <c r="G566" t="n">
        <v>0</v>
      </c>
      <c r="H566" t="n">
        <v>12</v>
      </c>
      <c r="I566" t="n">
        <v>0</v>
      </c>
      <c r="J566" t="n">
        <v>8.5</v>
      </c>
      <c r="K566" t="n">
        <v>0</v>
      </c>
      <c r="L566" t="n">
        <v>11</v>
      </c>
      <c r="M566" t="n">
        <v>0</v>
      </c>
      <c r="N566" t="n">
        <v>12</v>
      </c>
      <c r="O566" t="n">
        <v>0</v>
      </c>
      <c r="P566">
        <f>Table1[[#This Row],[TA 1 - Q1 Score]]+Table1[[#This Row],[TA 1 - Q2 Score]]+Table1[[#This Row],[TA 1 - Q3 Score]]</f>
        <v/>
      </c>
      <c r="Q566">
        <f>Table1[[#This Row],[TA 1 - Q1 Bonus]]+Table1[[#This Row],[TA 1 - Q2 Bonus]]+Table1[[#This Row],[TA 1 - Q4 Bonus]]</f>
        <v/>
      </c>
      <c r="R566">
        <f>Table1[[#This Row],[TA 2 - Q1 Score]]+Table1[[#This Row],[TA 2 - Q2 Score]]+Table1[[#This Row],[TA 2 - Q3 Score]]</f>
        <v/>
      </c>
      <c r="S566">
        <f>Table1[[#This Row],[TA 2 - Q1 Bonus]]+Table1[[#This Row],[TA 2 - Q2 Bonus]]+Table1[[#This Row],[TA 2 - Q4 Bonus]]</f>
        <v/>
      </c>
      <c r="T566">
        <f>(Table1[[#This Row],[TA 1 - Total Score (out of 35)]]+Table1[[#This Row],[TA 2 - Total Score (out of 35)]])/2</f>
        <v/>
      </c>
      <c r="U566">
        <f>(Table1[[#This Row],[TA 1 - Total Bonus (out of 13)]]+Table1[[#This Row],[TA 2 - Total Bonus (out of 13)]])/2</f>
        <v/>
      </c>
      <c r="V566">
        <f>Table1[[#This Row],[Average Questions]]/35*20+Table1[[#This Row],[Average Bonus]]/13*5</f>
        <v/>
      </c>
      <c r="W566" t="n">
        <v>6</v>
      </c>
      <c r="X566" t="n">
        <v>0</v>
      </c>
      <c r="Y566" t="inlineStr">
        <is>
          <t>The student's submission failed to complete several key tasks, including loading and preparing data, loading a pretrained model, and training the model. The code for training and validation functions was partially correct, but the student failed to fix the labels, resulting in a penalty. The bonus task was not attempted. Overall, the submission demonstrates a lack of understanding of the required tasks and concepts.
Breakdown:
- Part 1: Load and Prepare Data: 0.0/?
- Part 2: Load Pretrained Model and Adapt: 0.0/?
- Part 3: Training and Validation Functions: 1.5/?
- Part 4: Training: 0.0/?
- Part 5: Bonus — Test Time Augmentation: 0.0/?</t>
        </is>
      </c>
      <c r="Z566" t="n">
        <v>4</v>
      </c>
      <c r="AA566" t="n">
        <v>0</v>
      </c>
      <c r="AB566" t="inlineStr">
        <is>
          <t>The student's submission failed to address any of the tasks outlined in the rubric. The code provided does not attempt to load and prepare the data, build the CNN model, define the training and validation functions, train the model, or implement the residual connection. As a result, the student earns 0 points for each task, resulting in a total score of 0.
Breakdown:
- Part 1: Load and Prepare Data: 0.0/?
- Part 2: Build the CNN Model: 0.0/?
- Part 3: Training and Validation Functions: 0.0/?
- Part 4: Training: 0.0/?
- Part 5: Bonus — Residual Connection: 0.0/?</t>
        </is>
      </c>
      <c r="AC566" t="n">
        <v>6</v>
      </c>
      <c r="AD566" t="inlineStr">
        <is>
          <t>The student's submission was incomplete and lacked code for most tasks. However, the code for visualizing predictions was mostly correct, but it did not run end-to-end due to missing imports and incorrect usage of the model. The student should have provided complete and correct code for all tasks to receive full credit.
Breakdown:
- Task 1: Dataset Class: 0.0/?
- Task 2: Model Class: 0.0/?
- Task 3: Training and Validation Loops: 0.0/?
- Task 4: Running Training: 0.0/?
- Task 5: Visualizing Predictions: 6.0/?</t>
        </is>
      </c>
      <c r="AE566" t="n">
        <v>0</v>
      </c>
      <c r="AF566" t="n">
        <v>0</v>
      </c>
      <c r="AG566" t="inlineStr">
        <is>
          <t>No submission found.</t>
        </is>
      </c>
      <c r="AH566" t="n">
        <v>16</v>
      </c>
      <c r="AI566" t="n">
        <v>0</v>
      </c>
    </row>
    <row r="567">
      <c r="A567" t="n">
        <v>566</v>
      </c>
      <c r="B567" t="inlineStr">
        <is>
          <t>TA_10</t>
        </is>
      </c>
      <c r="C567" t="inlineStr">
        <is>
          <t>TA_20</t>
        </is>
      </c>
      <c r="D567" t="n">
        <v>11</v>
      </c>
      <c r="E567" t="n">
        <v>0</v>
      </c>
      <c r="F567" t="n">
        <v>7.5</v>
      </c>
      <c r="G567" t="n">
        <v>1</v>
      </c>
      <c r="H567" t="n">
        <v>10.5</v>
      </c>
      <c r="I567" t="n">
        <v>0</v>
      </c>
      <c r="J567" t="n">
        <v>11</v>
      </c>
      <c r="K567" t="n">
        <v>0</v>
      </c>
      <c r="L567" t="n">
        <v>7.5</v>
      </c>
      <c r="M567" t="n">
        <v>0</v>
      </c>
      <c r="N567" t="n">
        <v>11</v>
      </c>
      <c r="O567" t="n">
        <v>0</v>
      </c>
      <c r="P567">
        <f>Table1[[#This Row],[TA 1 - Q1 Score]]+Table1[[#This Row],[TA 1 - Q2 Score]]+Table1[[#This Row],[TA 1 - Q3 Score]]</f>
        <v/>
      </c>
      <c r="Q567">
        <f>Table1[[#This Row],[TA 1 - Q1 Bonus]]+Table1[[#This Row],[TA 1 - Q2 Bonus]]+Table1[[#This Row],[TA 1 - Q4 Bonus]]</f>
        <v/>
      </c>
      <c r="R567">
        <f>Table1[[#This Row],[TA 2 - Q1 Score]]+Table1[[#This Row],[TA 2 - Q2 Score]]+Table1[[#This Row],[TA 2 - Q3 Score]]</f>
        <v/>
      </c>
      <c r="S567">
        <f>Table1[[#This Row],[TA 2 - Q1 Bonus]]+Table1[[#This Row],[TA 2 - Q2 Bonus]]+Table1[[#This Row],[TA 2 - Q4 Bonus]]</f>
        <v/>
      </c>
      <c r="T567">
        <f>(Table1[[#This Row],[TA 1 - Total Score (out of 35)]]+Table1[[#This Row],[TA 2 - Total Score (out of 35)]])/2</f>
        <v/>
      </c>
      <c r="U567">
        <f>(Table1[[#This Row],[TA 1 - Total Bonus (out of 13)]]+Table1[[#This Row],[TA 2 - Total Bonus (out of 13)]])/2</f>
        <v/>
      </c>
      <c r="V567">
        <f>Table1[[#This Row],[Average Questions]]/35*20+Table1[[#This Row],[Average Bonus]]/13*5</f>
        <v/>
      </c>
      <c r="W567" t="n">
        <v>6</v>
      </c>
      <c r="X567" t="n">
        <v>0</v>
      </c>
      <c r="Y567" t="inlineStr">
        <is>
          <t>The student's submission failed to complete several key tasks, including loading and preparing the data, loading a pretrained model and adapting it, and training the model. While the student attempted to implement the training and validation functions, their code contained syntax errors and did not run correctly. The bonus task of implementing test time augmentation was also not completed. Overall, the student's submission demonstrated a lack of understanding of the required tasks and failed to execute the code correctly.
Breakdown:
- Part 1: Load and Prepare Data: 0.0/?
- Part 2: Load Pretrained Model and Adapt: 0.0/?
- Part 3: Training and Validation Functions: 1.5/?
- Part 4: Training: 0.0/?
- Part 5: Bonus — Test Time Augmentation: 0.0/?</t>
        </is>
      </c>
      <c r="Z567" t="n">
        <v>4</v>
      </c>
      <c r="AA567" t="n">
        <v>0</v>
      </c>
      <c r="AB567" t="inlineStr">
        <is>
          <t>The student's submission failed to meet the requirements of the task. The code was not organized in the same structure as the reference solution, and it failed to run end-to-end. The student attempted to load and prepare the data, but the code was not correct and did not produce the expected output. The student also attempted to build the CNN model, but the code was not correct and did not produce the expected output. The student did not provide any code for the training and validation functions, and the training part was not implemented correctly. The bonus task was not attempted. Overall, the student's submission did not meet the requirements of the task, and therefore, no points were awarded.
Breakdown:
- Part 1: Load and Prepare Data: 0.0/?
- Part 2: Build the CNN Model: 0.0/?
- Part 3: Training and Validation Functions: 0.0/?
- Part 4: Training: 0.0/?
- Part 5: Bonus — Residual Connection: 0.0/?</t>
        </is>
      </c>
      <c r="AC567" t="n">
        <v>6</v>
      </c>
      <c r="AD567"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67" t="n">
        <v>0</v>
      </c>
      <c r="AF567" t="n">
        <v>0</v>
      </c>
      <c r="AG567" t="inlineStr">
        <is>
          <t>The student's submission contains several errors in the implementation of the `ColorizationDataset` class. The `rgb_to_grayscale` method modifies the input image in-place, which is incorrect. Additionally, the `__getitem__` method does not return a tuple of (grayscale, color) as required. As a result, the submission does not meet the requirements of the task and does not award any points.
Breakdown:
- Correctly implemented `ColorizationDataset` class:: 0.0/?
- Any mistake in implementation: 0.0/?</t>
        </is>
      </c>
      <c r="AH567" t="n">
        <v>16</v>
      </c>
      <c r="AI567" t="n">
        <v>0</v>
      </c>
    </row>
    <row r="568">
      <c r="A568" t="n">
        <v>567</v>
      </c>
      <c r="B568" t="inlineStr">
        <is>
          <t>TA_10</t>
        </is>
      </c>
      <c r="C568" t="inlineStr">
        <is>
          <t>TA_20</t>
        </is>
      </c>
      <c r="D568" t="n">
        <v>6.5</v>
      </c>
      <c r="E568" t="n">
        <v>0</v>
      </c>
      <c r="F568" t="n">
        <v>8.5</v>
      </c>
      <c r="G568" t="n">
        <v>0</v>
      </c>
      <c r="H568" t="n">
        <v>11.75</v>
      </c>
      <c r="I568" t="n">
        <v>0</v>
      </c>
      <c r="J568" t="n">
        <v>10</v>
      </c>
      <c r="K568" t="n">
        <v>0</v>
      </c>
      <c r="L568" t="n">
        <v>9</v>
      </c>
      <c r="M568" t="n">
        <v>0</v>
      </c>
      <c r="N568" t="n">
        <v>12</v>
      </c>
      <c r="O568" t="n">
        <v>0</v>
      </c>
      <c r="P568">
        <f>Table1[[#This Row],[TA 1 - Q1 Score]]+Table1[[#This Row],[TA 1 - Q2 Score]]+Table1[[#This Row],[TA 1 - Q3 Score]]</f>
        <v/>
      </c>
      <c r="Q568">
        <f>Table1[[#This Row],[TA 1 - Q1 Bonus]]+Table1[[#This Row],[TA 1 - Q2 Bonus]]+Table1[[#This Row],[TA 1 - Q4 Bonus]]</f>
        <v/>
      </c>
      <c r="R568">
        <f>Table1[[#This Row],[TA 2 - Q1 Score]]+Table1[[#This Row],[TA 2 - Q2 Score]]+Table1[[#This Row],[TA 2 - Q3 Score]]</f>
        <v/>
      </c>
      <c r="S568">
        <f>Table1[[#This Row],[TA 2 - Q1 Bonus]]+Table1[[#This Row],[TA 2 - Q2 Bonus]]+Table1[[#This Row],[TA 2 - Q4 Bonus]]</f>
        <v/>
      </c>
      <c r="T568">
        <f>(Table1[[#This Row],[TA 1 - Total Score (out of 35)]]+Table1[[#This Row],[TA 2 - Total Score (out of 35)]])/2</f>
        <v/>
      </c>
      <c r="U568">
        <f>(Table1[[#This Row],[TA 1 - Total Bonus (out of 13)]]+Table1[[#This Row],[TA 2 - Total Bonus (out of 13)]])/2</f>
        <v/>
      </c>
      <c r="V568">
        <f>Table1[[#This Row],[Average Questions]]/35*20+Table1[[#This Row],[Average Bonus]]/13*5</f>
        <v/>
      </c>
      <c r="W568" t="n">
        <v>8</v>
      </c>
      <c r="X568" t="n">
        <v>0</v>
      </c>
      <c r="Y568" t="inlineStr">
        <is>
          <t>The student's submission failed to complete several key tasks, including loading and preparing the data, loading the pretrained model and adapting it, and implementing test time augmentation. While the student made an attempt at training and validation functions, their implementation was incomplete and did not follow the reference solution. As a result, the student was unable to achieve the full potential of the model and did not demonstrate a thorough understanding of the concepts.
Breakdown:
- Part 1: Load and Prepare Data: 0.0/?
- Part 2: Load Pretrained Model and Adapt: 0.0/?
- Part 3: Training and Validation Functions: 3.5/?
- Part 4: Training: 2.5/?
- Part 5: Bonus — Test Time Augmentation: 0.0/?</t>
        </is>
      </c>
      <c r="Z568" t="n">
        <v>4</v>
      </c>
      <c r="AA568" t="n">
        <v>0</v>
      </c>
      <c r="AB568" t="inlineStr">
        <is>
          <t>The student's submission failed to meet the requirements of the task. The code did not load and prepare the data correctly, and the CNN model was not built as specified. The training and validation functions were not implemented, and the training process was not executed. The bonus task of adding a residual connection was not attempted. As a result, the student received 0 points for each task.
Breakdown:
- Part 1: Load and Prepare Data: 0.0/?
- Part 2: Build the CNN Model: 0.0/?
- Part 3: Training and Validation Functions: 0.0/?
- Part 4: Training: 0.0/?
- Part 5: Bonus — Residual Connection: 0.0/?</t>
        </is>
      </c>
      <c r="AC568" t="n">
        <v>6</v>
      </c>
      <c r="AD568" t="inlineStr">
        <is>
          <t>The student's submission failed to address several key tasks in the rubric, including building a custom dataset class, defining a model class, and implementing training and validation loops. While the student did attempt to visualize predictions, their code did not meet the full requirements of the task. As a result, the student's score is significantly lower than the maximum possible score.
Breakdown:
- Task 1: Dataset Class: 0.0/?
- Task 2: Model Class: 0.0/?
- Task 3: Training and Validation Loops: 0.0/?
- Task 4: Running Training: 0.0/?
- Task 5: Visualizing Predictions: 6.0/?</t>
        </is>
      </c>
      <c r="AE568" t="n">
        <v>0</v>
      </c>
      <c r="AF568" t="n">
        <v>0</v>
      </c>
      <c r="AG568" t="inlineStr">
        <is>
          <t>No submission found.</t>
        </is>
      </c>
      <c r="AH568" t="n">
        <v>18</v>
      </c>
      <c r="AI568" t="n">
        <v>0</v>
      </c>
    </row>
    <row r="569">
      <c r="A569" t="n">
        <v>568</v>
      </c>
      <c r="B569" t="inlineStr">
        <is>
          <t>TA_10</t>
        </is>
      </c>
      <c r="C569" t="inlineStr">
        <is>
          <t>TA_20</t>
        </is>
      </c>
      <c r="D569" t="n">
        <v>12</v>
      </c>
      <c r="E569" t="n">
        <v>4</v>
      </c>
      <c r="F569" t="n">
        <v>11</v>
      </c>
      <c r="G569" t="n">
        <v>4</v>
      </c>
      <c r="H569" t="n">
        <v>9.5</v>
      </c>
      <c r="I569" t="n">
        <v>0</v>
      </c>
      <c r="J569" t="n">
        <v>11</v>
      </c>
      <c r="K569" t="n">
        <v>4</v>
      </c>
      <c r="L569" t="n">
        <v>11</v>
      </c>
      <c r="M569" t="n">
        <v>4</v>
      </c>
      <c r="N569" t="n">
        <v>12</v>
      </c>
      <c r="O569" t="n">
        <v>5</v>
      </c>
      <c r="P569">
        <f>Table1[[#This Row],[TA 1 - Q1 Score]]+Table1[[#This Row],[TA 1 - Q2 Score]]+Table1[[#This Row],[TA 1 - Q3 Score]]</f>
        <v/>
      </c>
      <c r="Q569">
        <f>Table1[[#This Row],[TA 1 - Q1 Bonus]]+Table1[[#This Row],[TA 1 - Q2 Bonus]]+Table1[[#This Row],[TA 1 - Q4 Bonus]]</f>
        <v/>
      </c>
      <c r="R569">
        <f>Table1[[#This Row],[TA 2 - Q1 Score]]+Table1[[#This Row],[TA 2 - Q2 Score]]+Table1[[#This Row],[TA 2 - Q3 Score]]</f>
        <v/>
      </c>
      <c r="S569">
        <f>Table1[[#This Row],[TA 2 - Q1 Bonus]]+Table1[[#This Row],[TA 2 - Q2 Bonus]]+Table1[[#This Row],[TA 2 - Q4 Bonus]]</f>
        <v/>
      </c>
      <c r="T569">
        <f>(Table1[[#This Row],[TA 1 - Total Score (out of 35)]]+Table1[[#This Row],[TA 2 - Total Score (out of 35)]])/2</f>
        <v/>
      </c>
      <c r="U569">
        <f>(Table1[[#This Row],[TA 1 - Total Bonus (out of 13)]]+Table1[[#This Row],[TA 2 - Total Bonus (out of 13)]])/2</f>
        <v/>
      </c>
      <c r="V569">
        <f>Table1[[#This Row],[Average Questions]]/35*20+Table1[[#This Row],[Average Bonus]]/13*5</f>
        <v/>
      </c>
      <c r="W569" t="n">
        <v>6</v>
      </c>
      <c r="X569" t="n">
        <v>0</v>
      </c>
      <c r="Y569" t="inlineStr">
        <is>
          <t>The student's submission failed to complete several key tasks, including loading and preparing the data, loading the pretrained model and adapting it, and implementing the training and validation functions. While the student did attempt to train the model and implement test time augmentation, their code contained several syntax and logic mistakes, resulting in a low score for these tasks. Overall, the student's submission demonstrated a lack of understanding of the required tasks and concepts.
Breakdown:
- Part 1: Load and Prepare Data: 0.0/?
- Part 2: Load Pretrained Model and Adapt: 0.0/?
- Part 3: Training and Validation Functions: 0.0/?
- Part 4: Training: 2.5/?
- Part 5: Bonus — Test Time Augmentation: 0.0/?</t>
        </is>
      </c>
      <c r="Z569" t="n">
        <v>6</v>
      </c>
      <c r="AA569" t="n">
        <v>0</v>
      </c>
      <c r="AB569" t="inlineStr">
        <is>
          <t>The student's submission failed to meet the requirements for several tasks. In Part 1, the student did not create a custom Dataset class or use ImageFolder, and the transforms were not applied correctly. In Part 2, the CNN model class was not defined with 5 convolutional layers. In Part 3, the training and validation loop functions were not defined. In Part 4, the student was able to train the model, but the validation loop function was not used. In Part 5, the student did not add a residual connection to the CNN model. As a result, the student's submission did not meet the requirements for several tasks, and the score was awarded accordingly.
Breakdown:
- Part 1: Load and Prepare Data: 0.0/?
- Part 2: Build the CNN Model: 0.0/?
- Part 3: Training and Validation Functions: 0.0/?
- Part 4: Training: 2.0/?
- Part 5: Bonus — Residual Connection: 0.0/?</t>
        </is>
      </c>
      <c r="AC569" t="n">
        <v>6</v>
      </c>
      <c r="AD569" t="inlineStr">
        <is>
          <t>The student's submission is incomplete and lacks code for several tasks. While they attempted to visualize predictions, their code is not fully functional and does not meet the requirements of the task. As a result, the student earns a score of 6.0 out of 12.0 for the base tasks and 0.0 bonus points.
Breakdown:
- Task 1: Dataset Class: 0.0/?
- Task 2: Model Class: 0.0/?
- Task 3: Training and Validation Loops: 0.0/?
- Task 4: Running Training: 0.0/?
- Task 5: Visualizing Predictions: 6.0/?</t>
        </is>
      </c>
      <c r="AE569" t="n">
        <v>0</v>
      </c>
      <c r="AF569" t="n">
        <v>0</v>
      </c>
      <c r="AG569" t="inlineStr">
        <is>
          <t>The student's submission does not meet the requirements of the task. The `ColorizationDataset` class is not correctly implemented, and the `rgb_to_grayscale` method is not correctly implemented. The student's code does not follow the reference solution, and the `__getitem__` method does not return the correct grayscale and color images.
Breakdown:
- Correctly implemented `ColorizationDataset` class:: 0.0/?
- Any mistake in implementation: 0.0/?</t>
        </is>
      </c>
      <c r="AH569" t="n">
        <v>18</v>
      </c>
      <c r="AI569" t="n">
        <v>0</v>
      </c>
    </row>
    <row r="570">
      <c r="A570" t="n">
        <v>569</v>
      </c>
      <c r="B570" t="inlineStr">
        <is>
          <t>TA_10</t>
        </is>
      </c>
      <c r="C570" t="inlineStr">
        <is>
          <t>TA_20</t>
        </is>
      </c>
      <c r="D570" t="n">
        <v>6.5</v>
      </c>
      <c r="E570" t="n">
        <v>0</v>
      </c>
      <c r="F570" t="n">
        <v>11</v>
      </c>
      <c r="G570" t="n">
        <v>2</v>
      </c>
      <c r="H570" t="n">
        <v>11.5</v>
      </c>
      <c r="I570" t="n">
        <v>0</v>
      </c>
      <c r="J570" t="n">
        <v>10</v>
      </c>
      <c r="K570" t="n">
        <v>0</v>
      </c>
      <c r="L570" t="n">
        <v>11</v>
      </c>
      <c r="M570" t="n">
        <v>0</v>
      </c>
      <c r="N570" t="n">
        <v>12</v>
      </c>
      <c r="O570" t="n">
        <v>0</v>
      </c>
      <c r="P570">
        <f>Table1[[#This Row],[TA 1 - Q1 Score]]+Table1[[#This Row],[TA 1 - Q2 Score]]+Table1[[#This Row],[TA 1 - Q3 Score]]</f>
        <v/>
      </c>
      <c r="Q570">
        <f>Table1[[#This Row],[TA 1 - Q1 Bonus]]+Table1[[#This Row],[TA 1 - Q2 Bonus]]+Table1[[#This Row],[TA 1 - Q4 Bonus]]</f>
        <v/>
      </c>
      <c r="R570">
        <f>Table1[[#This Row],[TA 2 - Q1 Score]]+Table1[[#This Row],[TA 2 - Q2 Score]]+Table1[[#This Row],[TA 2 - Q3 Score]]</f>
        <v/>
      </c>
      <c r="S570">
        <f>Table1[[#This Row],[TA 2 - Q1 Bonus]]+Table1[[#This Row],[TA 2 - Q2 Bonus]]+Table1[[#This Row],[TA 2 - Q4 Bonus]]</f>
        <v/>
      </c>
      <c r="T570">
        <f>(Table1[[#This Row],[TA 1 - Total Score (out of 35)]]+Table1[[#This Row],[TA 2 - Total Score (out of 35)]])/2</f>
        <v/>
      </c>
      <c r="U570">
        <f>(Table1[[#This Row],[TA 1 - Total Bonus (out of 13)]]+Table1[[#This Row],[TA 2 - Total Bonus (out of 13)]])/2</f>
        <v/>
      </c>
      <c r="V570">
        <f>Table1[[#This Row],[Average Questions]]/35*20+Table1[[#This Row],[Average Bonus]]/13*5</f>
        <v/>
      </c>
      <c r="W570" t="n">
        <v>6</v>
      </c>
      <c r="X570" t="n">
        <v>0</v>
      </c>
      <c r="Y570" t="inlineStr">
        <is>
          <t>The student's submission failed to complete several key tasks, including loading and preparing the data, loading the pretrained model and adapting it, and implementing the training and validation functions. While the student did attempt to train the model and plot the losses and accuracy, their code contained several syntax and logic mistakes. The student's approach to the bonus task was entirely wrong, and they failed to implement test time augmentation correctly.
Breakdown:
- Part 1: Load and Prepare Data: 0.0/?
- Part 2: Load Pretrained Model and Adapt: 0.0/?
- Part 3: Training and Validation Functions: 0.0/?
- Part 4: Training: 3.0/?
- Part 5: Bonus — Test Time Augmentation: 0.0/?</t>
        </is>
      </c>
      <c r="Z570" t="n">
        <v>4</v>
      </c>
      <c r="AA570" t="n">
        <v>0</v>
      </c>
      <c r="AB570"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570" t="n">
        <v>6</v>
      </c>
      <c r="AD570" t="inlineStr">
        <is>
          <t>The student's submission was incomplete and lacked code for most tasks. However, they did attempt to visualize predictions, which earned them 6 points. Unfortunately, their code for the other tasks was not submitted, resulting in a score of 6.0 out of 12.0 for the base tasks and 0.0 out of 0.0 for the bonus task.
Breakdown:
- Task 1: Dataset Class: 0.0/?
- Task 2: Model Class: 0.0/?
- Task 3: Training and Validation Loops: 0.0/?
- Task 4: Running Training: 0.0/?
- Task 5: Visualizing Predictions: 6.0/?</t>
        </is>
      </c>
      <c r="AE570" t="n">
        <v>0</v>
      </c>
      <c r="AF570" t="n">
        <v>0</v>
      </c>
      <c r="AG570" t="inlineStr">
        <is>
          <t>No submission found.</t>
        </is>
      </c>
      <c r="AH570" t="n">
        <v>16</v>
      </c>
      <c r="AI570" t="n">
        <v>0</v>
      </c>
    </row>
    <row r="571">
      <c r="A571" t="n">
        <v>570</v>
      </c>
      <c r="B571" t="inlineStr">
        <is>
          <t>TA_10</t>
        </is>
      </c>
      <c r="C571" t="inlineStr">
        <is>
          <t>TA_20</t>
        </is>
      </c>
      <c r="D571" t="n">
        <v>10</v>
      </c>
      <c r="E571" t="n">
        <v>1</v>
      </c>
      <c r="F571" t="n">
        <v>9</v>
      </c>
      <c r="G571" t="n">
        <v>0</v>
      </c>
      <c r="H571" t="n">
        <v>10.5</v>
      </c>
      <c r="I571" t="n">
        <v>0</v>
      </c>
      <c r="J571" t="n">
        <v>10</v>
      </c>
      <c r="K571" t="n">
        <v>0</v>
      </c>
      <c r="L571" t="n">
        <v>9.5</v>
      </c>
      <c r="M571" t="n">
        <v>0</v>
      </c>
      <c r="N571" t="n">
        <v>11</v>
      </c>
      <c r="O571" t="n">
        <v>0</v>
      </c>
      <c r="P571">
        <f>Table1[[#This Row],[TA 1 - Q1 Score]]+Table1[[#This Row],[TA 1 - Q2 Score]]+Table1[[#This Row],[TA 1 - Q3 Score]]</f>
        <v/>
      </c>
      <c r="Q571">
        <f>Table1[[#This Row],[TA 1 - Q1 Bonus]]+Table1[[#This Row],[TA 1 - Q2 Bonus]]+Table1[[#This Row],[TA 1 - Q4 Bonus]]</f>
        <v/>
      </c>
      <c r="R571">
        <f>Table1[[#This Row],[TA 2 - Q1 Score]]+Table1[[#This Row],[TA 2 - Q2 Score]]+Table1[[#This Row],[TA 2 - Q3 Score]]</f>
        <v/>
      </c>
      <c r="S571">
        <f>Table1[[#This Row],[TA 2 - Q1 Bonus]]+Table1[[#This Row],[TA 2 - Q2 Bonus]]+Table1[[#This Row],[TA 2 - Q4 Bonus]]</f>
        <v/>
      </c>
      <c r="T571">
        <f>(Table1[[#This Row],[TA 1 - Total Score (out of 35)]]+Table1[[#This Row],[TA 2 - Total Score (out of 35)]])/2</f>
        <v/>
      </c>
      <c r="U571">
        <f>(Table1[[#This Row],[TA 1 - Total Bonus (out of 13)]]+Table1[[#This Row],[TA 2 - Total Bonus (out of 13)]])/2</f>
        <v/>
      </c>
      <c r="V571">
        <f>Table1[[#This Row],[Average Questions]]/35*20+Table1[[#This Row],[Average Bonus]]/13*5</f>
        <v/>
      </c>
      <c r="W571" t="n">
        <v>6</v>
      </c>
      <c r="X571" t="n">
        <v>0</v>
      </c>
      <c r="Y571" t="inlineStr">
        <is>
          <t>The student failed to complete the transforms in Part 1, and the model loading and adaptation in Part 2. The training and validation functions in Part 3 were partially correct, but the training process in Part 4 was not implemented. The bonus task in Part 5 was not attempted.
Breakdown:
- Part 1: Load and Prepare Data: 0.0/?
- Part 2: Load Pretrained Model and Adapt: 0.0/?
- Part 3: Training and Validation Functions: 1.5/?
- Part 4: Training: 0.0/?
- Part 5: Bonus — Test Time Augmentation: 0.0/?</t>
        </is>
      </c>
      <c r="Z571" t="n">
        <v>4</v>
      </c>
      <c r="AA571" t="n">
        <v>0</v>
      </c>
      <c r="AB571" t="inlineStr">
        <is>
          <t>The student's submission failed to meet the requirements of the task. The code is disorganized and does not follow the structure of the reference solution. The student attempted to load and prepare the data, but the code is incomplete and does not run end-to-end. The CNN model is not built correctly, and the training and validation functions are not implemented. The student did not attempt to train the model or implement the residual connection. As a result, the student did not earn any points for this task.
Breakdown:
- Part 1: Load and Prepare Data: 0.0/?
- Part 2: Build the CNN Model: 0.0/?
- Part 3: Training and Validation Functions: 0.0/?
- Part 4: Training: 0.0/?
- Part 5: Bonus — Residual Connection: 0.0/?</t>
        </is>
      </c>
      <c r="AC571" t="n">
        <v>6</v>
      </c>
      <c r="AD571" t="inlineStr">
        <is>
          <t>The student's submission had several issues. They failed to implement the dataset class, model class, training and validation loops, and running training correctly. However, they were able to visualize the predictions against the ground truth for several images, which is a positive aspect of their submission. Overall, the student's submission was incomplete and had several errors, resulting in a low score.
Breakdown:
- Task 1: Dataset Class: 0.0/?
- Task 2: Model Class: 0.0/?
- Task 3: Training and Validation Loops: 0.0/?
- Task 4: Running Training: 0.0/?
- Task 5: Visualizing Predictions: 6.0/?</t>
        </is>
      </c>
      <c r="AE571" t="n">
        <v>0</v>
      </c>
      <c r="AF571" t="n">
        <v>0</v>
      </c>
      <c r="AG571" t="inlineStr">
        <is>
          <t>No submission found.</t>
        </is>
      </c>
      <c r="AH571" t="n">
        <v>16</v>
      </c>
      <c r="AI571" t="n">
        <v>0</v>
      </c>
    </row>
  </sheetData>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2026-05-20T13:26:12Z</dcterms:created>
  <dcterms:modified xsi:type="dcterms:W3CDTF">2026-07-15T23:51:01Z</dcterms:modified>
  <cp:lastModifiedBy>Ali Habibullah</cp:lastModifiedBy>
</cp:coreProperties>
</file>